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tu-rental\"/>
    </mc:Choice>
  </mc:AlternateContent>
  <xr:revisionPtr revIDLastSave="0" documentId="13_ncr:1_{EA2050D7-400D-4006-B87C-EE8C1DF0E253}" xr6:coauthVersionLast="47" xr6:coauthVersionMax="47" xr10:uidLastSave="{00000000-0000-0000-0000-000000000000}"/>
  <bookViews>
    <workbookView xWindow="-120" yWindow="-120" windowWidth="20730" windowHeight="11040" firstSheet="1" activeTab="10" xr2:uid="{6C169419-04B2-43E1-B710-1566536C6DB7}"/>
  </bookViews>
  <sheets>
    <sheet name="Overall Monthly" sheetId="52" r:id="rId1"/>
    <sheet name="Overall" sheetId="44" r:id="rId2"/>
    <sheet name="Sheet1" sheetId="55" r:id="rId3"/>
    <sheet name="Report" sheetId="54" r:id="rId4"/>
    <sheet name="All Fleet" sheetId="48" r:id="rId5"/>
    <sheet name="Sheet2" sheetId="56" r:id="rId6"/>
    <sheet name="Sheet4" sheetId="58" r:id="rId7"/>
    <sheet name="Sheet3" sheetId="57" r:id="rId8"/>
    <sheet name="Sheet5" sheetId="59" r:id="rId9"/>
    <sheet name="Sheet6" sheetId="60" r:id="rId10"/>
    <sheet name="Sheet7" sheetId="61" r:id="rId11"/>
    <sheet name="history mom" sheetId="34" state="hidden" r:id="rId12"/>
  </sheets>
  <externalReferences>
    <externalReference r:id="rId13"/>
    <externalReference r:id="rId14"/>
    <externalReference r:id="rId15"/>
  </externalReferences>
  <definedNames>
    <definedName name="_______________________________________________________________________________wwp1">#REF!</definedName>
    <definedName name="_______________________________________________________________________________wwp2">#REF!</definedName>
    <definedName name="______________________________________________________________________________wwp1">#REF!</definedName>
    <definedName name="______________________________________________________________________________wwp2">#REF!</definedName>
    <definedName name="_____________________________________________________________________________wwp1">#REF!</definedName>
    <definedName name="_____________________________________________________________________________wwp2">#REF!</definedName>
    <definedName name="____________________________________________________________________________wwp1">#REF!</definedName>
    <definedName name="____________________________________________________________________________wwp2">#REF!</definedName>
    <definedName name="___________________________________________________________________________wwp1">#REF!</definedName>
    <definedName name="___________________________________________________________________________wwp2">#REF!</definedName>
    <definedName name="__________________________________________________________________________wwp1">#REF!</definedName>
    <definedName name="__________________________________________________________________________wwp2">#REF!</definedName>
    <definedName name="_________________________________________________________________________wwp1">#REF!</definedName>
    <definedName name="_________________________________________________________________________wwp2">#REF!</definedName>
    <definedName name="________________________________________________________________________wwp1">#REF!</definedName>
    <definedName name="________________________________________________________________________wwp2">#REF!</definedName>
    <definedName name="_______________________________________________________________________wwp1">#REF!</definedName>
    <definedName name="_______________________________________________________________________wwp2">#REF!</definedName>
    <definedName name="______________________________________________________________________wwp1">#REF!</definedName>
    <definedName name="______________________________________________________________________wwp2">#REF!</definedName>
    <definedName name="_____________________________________________________________________wwp1">#REF!</definedName>
    <definedName name="_____________________________________________________________________wwp2">#REF!</definedName>
    <definedName name="____________________________________________________________________wwp1">#REF!</definedName>
    <definedName name="____________________________________________________________________wwp2">#REF!</definedName>
    <definedName name="___________________________________________________________________wwp1">#REF!</definedName>
    <definedName name="___________________________________________________________________wwp2">#REF!</definedName>
    <definedName name="__________________________________________________________________wwp1">#REF!</definedName>
    <definedName name="__________________________________________________________________wwp2">#REF!</definedName>
    <definedName name="_________________________________________________________________wwp1">#REF!</definedName>
    <definedName name="_________________________________________________________________wwp2">#REF!</definedName>
    <definedName name="________________________________________________________________wwp1">#REF!</definedName>
    <definedName name="________________________________________________________________wwp2">#REF!</definedName>
    <definedName name="_______________________________________________________________wwp1">#REF!</definedName>
    <definedName name="_______________________________________________________________wwp2">#REF!</definedName>
    <definedName name="______________________________________________________________wwp1">#REF!</definedName>
    <definedName name="______________________________________________________________wwp2">#REF!</definedName>
    <definedName name="_____________________________________________________________wwp1">#REF!</definedName>
    <definedName name="_____________________________________________________________wwp2">#REF!</definedName>
    <definedName name="____________________________________________________________wwp1">#REF!</definedName>
    <definedName name="____________________________________________________________wwp2">#REF!</definedName>
    <definedName name="___________________________________________________________wwp1">#REF!</definedName>
    <definedName name="___________________________________________________________wwp2">#REF!</definedName>
    <definedName name="__________________________________________________________wwp1">#REF!</definedName>
    <definedName name="__________________________________________________________wwp2">#REF!</definedName>
    <definedName name="_________________________________________________________wwp1">#REF!</definedName>
    <definedName name="_________________________________________________________wwp2">#REF!</definedName>
    <definedName name="________________________________________________________wwp1">#REF!</definedName>
    <definedName name="________________________________________________________wwp2">#REF!</definedName>
    <definedName name="_______________________________________________________wwp1">#REF!</definedName>
    <definedName name="_______________________________________________________wwp2">#REF!</definedName>
    <definedName name="______________________________________________________wwp1">#REF!</definedName>
    <definedName name="______________________________________________________wwp2">#REF!</definedName>
    <definedName name="_____________________________________________________wwp1">#REF!</definedName>
    <definedName name="_____________________________________________________wwp2">#REF!</definedName>
    <definedName name="____________________________________________________wwp1">#REF!</definedName>
    <definedName name="____________________________________________________wwp2">#REF!</definedName>
    <definedName name="___________________________________________________wwp1">#REF!</definedName>
    <definedName name="___________________________________________________wwp2">#REF!</definedName>
    <definedName name="__________________________________________________wwp1">#REF!</definedName>
    <definedName name="__________________________________________________wwp2">#REF!</definedName>
    <definedName name="_________________________________________________wwp1">#REF!</definedName>
    <definedName name="_________________________________________________wwp2">#REF!</definedName>
    <definedName name="________________________________________________wwp1">#REF!</definedName>
    <definedName name="________________________________________________wwp2">#REF!</definedName>
    <definedName name="_______________________________________________wwp1">#REF!</definedName>
    <definedName name="_______________________________________________wwp2">#REF!</definedName>
    <definedName name="______________________________________________wwp1">#REF!</definedName>
    <definedName name="______________________________________________wwp2">#REF!</definedName>
    <definedName name="_____________________________________________wwp1">#REF!</definedName>
    <definedName name="_____________________________________________wwp2">#REF!</definedName>
    <definedName name="____________________________________________wwp1">#REF!</definedName>
    <definedName name="____________________________________________wwp2">#REF!</definedName>
    <definedName name="___________________________________________wwp1">#REF!</definedName>
    <definedName name="___________________________________________wwp2">#REF!</definedName>
    <definedName name="__________________________________________wwp1">#REF!</definedName>
    <definedName name="__________________________________________wwp2">#REF!</definedName>
    <definedName name="_________________________________________wwp1">#REF!</definedName>
    <definedName name="_________________________________________wwp2">#REF!</definedName>
    <definedName name="________________________________________wwp1">#REF!</definedName>
    <definedName name="________________________________________wwp2">#REF!</definedName>
    <definedName name="_______________________________________wwp1">#REF!</definedName>
    <definedName name="_______________________________________wwp2">#REF!</definedName>
    <definedName name="______________________________________wwp1">#REF!</definedName>
    <definedName name="______________________________________wwp2">#REF!</definedName>
    <definedName name="_____________________________________wwp1">#REF!</definedName>
    <definedName name="_____________________________________wwp2">#REF!</definedName>
    <definedName name="____________________________________wwp1">#REF!</definedName>
    <definedName name="____________________________________wwp2">#REF!</definedName>
    <definedName name="___________________________________wwp1">#REF!</definedName>
    <definedName name="___________________________________wwp2">#REF!</definedName>
    <definedName name="__________________________________wwp1">#REF!</definedName>
    <definedName name="__________________________________wwp2">#REF!</definedName>
    <definedName name="_________________________________wwp1">#REF!</definedName>
    <definedName name="_________________________________wwp2">#REF!</definedName>
    <definedName name="________________________________wwp1">#REF!</definedName>
    <definedName name="________________________________wwp2">#REF!</definedName>
    <definedName name="_______________________________wwp1">#REF!</definedName>
    <definedName name="_______________________________wwp2">#REF!</definedName>
    <definedName name="______________________________wwp1">#REF!</definedName>
    <definedName name="______________________________wwp2">#REF!</definedName>
    <definedName name="_____________________________wwp1">#REF!</definedName>
    <definedName name="_____________________________wwp2">#REF!</definedName>
    <definedName name="____________________________wwp1">#REF!</definedName>
    <definedName name="____________________________wwp2">#REF!</definedName>
    <definedName name="___________________________wwp1">#REF!</definedName>
    <definedName name="___________________________wwp2">#REF!</definedName>
    <definedName name="__________________________wwp1">#REF!</definedName>
    <definedName name="__________________________wwp2">#REF!</definedName>
    <definedName name="_________________________wwp1">#REF!</definedName>
    <definedName name="_________________________wwp2">#REF!</definedName>
    <definedName name="________________________wwp1">#REF!</definedName>
    <definedName name="________________________wwp2">#REF!</definedName>
    <definedName name="_______________________wwp1">#REF!</definedName>
    <definedName name="_______________________wwp2">#REF!</definedName>
    <definedName name="_____________________wwp1">#REF!</definedName>
    <definedName name="_____________________wwp2">#REF!</definedName>
    <definedName name="____________________wwp1">#REF!</definedName>
    <definedName name="____________________wwp2">#REF!</definedName>
    <definedName name="___________________wwp1">#REF!</definedName>
    <definedName name="___________________wwp2">#REF!</definedName>
    <definedName name="__________________wwp1">#REF!</definedName>
    <definedName name="__________________wwp2">#REF!</definedName>
    <definedName name="_________________wwp1">#REF!</definedName>
    <definedName name="_________________wwp2">#REF!</definedName>
    <definedName name="________________wwp1">#REF!</definedName>
    <definedName name="________________wwp2">#REF!</definedName>
    <definedName name="_______________wwp1">#REF!</definedName>
    <definedName name="_______________wwp2">#REF!</definedName>
    <definedName name="______________wwp1">#REF!</definedName>
    <definedName name="______________wwp2">#REF!</definedName>
    <definedName name="_____________wwp1">#REF!</definedName>
    <definedName name="_____________wwp2">#REF!</definedName>
    <definedName name="____________wwp1">#REF!</definedName>
    <definedName name="____________wwp2">#REF!</definedName>
    <definedName name="___________wwp1">#REF!</definedName>
    <definedName name="___________wwp2">#REF!</definedName>
    <definedName name="__________wwp1">#REF!</definedName>
    <definedName name="__________wwp2">#REF!</definedName>
    <definedName name="_________wwp1">#REF!</definedName>
    <definedName name="_________wwp2">#REF!</definedName>
    <definedName name="________wwp1">#REF!</definedName>
    <definedName name="________wwp2">#REF!</definedName>
    <definedName name="_______wwp1">#REF!</definedName>
    <definedName name="_______wwp2">#REF!</definedName>
    <definedName name="______wwp1">#REF!</definedName>
    <definedName name="______wwp2">#REF!</definedName>
    <definedName name="_____wwp1">#REF!</definedName>
    <definedName name="_____wwp2">#REF!</definedName>
    <definedName name="____wwp1">#REF!</definedName>
    <definedName name="____wwp2">#REF!</definedName>
    <definedName name="___wwp1">#REF!</definedName>
    <definedName name="___wwp2">#REF!</definedName>
    <definedName name="__wwp1">#REF!</definedName>
    <definedName name="__wwp2">#REF!</definedName>
    <definedName name="_xlnm._FilterDatabase" localSheetId="1" hidden="1">Overall!$A$3:$CK$27</definedName>
    <definedName name="_xlnm._FilterDatabase" localSheetId="0" hidden="1">'Overall Monthly'!$A$28:$AP$42</definedName>
    <definedName name="_wwp1">#REF!</definedName>
    <definedName name="_wwp2">#REF!</definedName>
    <definedName name="aa">#REF!</definedName>
    <definedName name="activity">#REF!</definedName>
    <definedName name="arif">#REF!</definedName>
    <definedName name="bandung">#REF!</definedName>
    <definedName name="bandung1">#REF!</definedName>
    <definedName name="bb">#REF!</definedName>
    <definedName name="bn">#REF!</definedName>
    <definedName name="cc">#REF!</definedName>
    <definedName name="ccc">#REF!</definedName>
    <definedName name="Coaltruck_opt2">#REF!</definedName>
    <definedName name="coba">#REF!</definedName>
    <definedName name="d">#REF!</definedName>
    <definedName name="draftw292015buma">#REF!</definedName>
    <definedName name="extend">#REF!</definedName>
    <definedName name="extend1">#REF!</definedName>
    <definedName name="GG">#REF!</definedName>
    <definedName name="harga">#REF!</definedName>
    <definedName name="helmi">#REF!</definedName>
    <definedName name="helmi1">#REF!</definedName>
    <definedName name="helmi3">#REF!</definedName>
    <definedName name="helmi4">#REF!</definedName>
    <definedName name="impact1">#REF!</definedName>
    <definedName name="jakarta">#REF!</definedName>
    <definedName name="jakarta1">#REF!</definedName>
    <definedName name="judul1">#REF!</definedName>
    <definedName name="KK">#REF!</definedName>
    <definedName name="loc">#REF!</definedName>
    <definedName name="machine">#REF!</definedName>
    <definedName name="machine1">#REF!</definedName>
    <definedName name="MEP">#REF!</definedName>
    <definedName name="mepbkj">#REF!</definedName>
    <definedName name="model">#REF!</definedName>
    <definedName name="model1">#REF!</definedName>
    <definedName name="modelcek">#REF!</definedName>
    <definedName name="month">#REF!</definedName>
    <definedName name="OBtruck_opt2">#REF!</definedName>
    <definedName name="periode1">#REF!</definedName>
    <definedName name="periodeweekfix">#REF!</definedName>
    <definedName name="plandown">#REF!</definedName>
    <definedName name="plandown1">#REF!</definedName>
    <definedName name="plandown10">#REF!</definedName>
    <definedName name="plandown2">#REF!</definedName>
    <definedName name="plandown3">#REF!</definedName>
    <definedName name="plandown5">#REF!</definedName>
    <definedName name="pmtypew25buma">#REF!</definedName>
    <definedName name="pp">#REF!</definedName>
    <definedName name="prev">#REF!</definedName>
    <definedName name="prev2">#REF!</definedName>
    <definedName name="price2">#REF!</definedName>
    <definedName name="Satu">#REF!</definedName>
    <definedName name="sd">#REF!</definedName>
    <definedName name="sitejudul">#REF!</definedName>
    <definedName name="sko">#REF!</definedName>
    <definedName name="startdate">#REF!</definedName>
    <definedName name="strategytask">#REF!</definedName>
    <definedName name="Summary_opt2">#REF!</definedName>
    <definedName name="vv">#REF!</definedName>
    <definedName name="week">#REF!</definedName>
    <definedName name="wwp">#REF!</definedName>
  </definedNames>
  <calcPr calcId="191028"/>
  <pivotCaches>
    <pivotCache cacheId="1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60" l="1"/>
  <c r="K7" i="60" s="1"/>
  <c r="I6" i="60"/>
  <c r="I5" i="60"/>
  <c r="I4" i="60"/>
  <c r="K4" i="60" s="1"/>
  <c r="K5" i="60" s="1"/>
  <c r="I3" i="60"/>
  <c r="K3" i="60" s="1"/>
  <c r="E7" i="60"/>
  <c r="E6" i="60"/>
  <c r="E5" i="60"/>
  <c r="E4" i="60"/>
  <c r="E3" i="60"/>
  <c r="F7" i="60"/>
  <c r="H7" i="60" s="1"/>
  <c r="F6" i="60"/>
  <c r="F5" i="60"/>
  <c r="F4" i="60"/>
  <c r="H4" i="60" s="1"/>
  <c r="H5" i="60" s="1"/>
  <c r="F3" i="60"/>
  <c r="H3" i="60" s="1"/>
  <c r="E6" i="59"/>
  <c r="E5" i="59"/>
  <c r="E7" i="59"/>
  <c r="E4" i="59"/>
  <c r="E3" i="59"/>
  <c r="I3" i="57"/>
  <c r="H3" i="57"/>
  <c r="G3" i="57"/>
  <c r="F3" i="57"/>
  <c r="E3" i="57"/>
  <c r="D3" i="57"/>
  <c r="JX22" i="48"/>
  <c r="JY22" i="48"/>
  <c r="JZ22" i="48"/>
  <c r="KA22" i="48"/>
  <c r="KB22" i="48"/>
  <c r="KC22" i="48"/>
  <c r="KD22" i="48"/>
  <c r="KE22" i="48"/>
  <c r="KF22" i="48"/>
  <c r="KG22" i="48"/>
  <c r="KH22" i="48"/>
  <c r="KI22" i="48"/>
  <c r="KJ22" i="48"/>
  <c r="KK22" i="48"/>
  <c r="KL22" i="48"/>
  <c r="KM22" i="48"/>
  <c r="KN22" i="48"/>
  <c r="KO22" i="48"/>
  <c r="KP22" i="48"/>
  <c r="KQ22" i="48"/>
  <c r="KR22" i="48"/>
  <c r="KS22" i="48"/>
  <c r="KT22" i="48"/>
  <c r="KU22" i="48"/>
  <c r="KV22" i="48"/>
  <c r="KW22" i="48"/>
  <c r="KX22" i="48"/>
  <c r="KY22" i="48"/>
  <c r="KZ22" i="48"/>
  <c r="LA22" i="48"/>
  <c r="LB22" i="48"/>
  <c r="LC22" i="48"/>
  <c r="LD22" i="48"/>
  <c r="LE22" i="48"/>
  <c r="LF22" i="48"/>
  <c r="LG22" i="48"/>
  <c r="LH22" i="48"/>
  <c r="LI22" i="48"/>
  <c r="LJ22" i="48"/>
  <c r="LK22" i="48"/>
  <c r="LL22" i="48"/>
  <c r="LM22" i="48"/>
  <c r="LN22" i="48"/>
  <c r="LO22" i="48"/>
  <c r="LP22" i="48"/>
  <c r="LQ22" i="48"/>
  <c r="LR22" i="48"/>
  <c r="LS22" i="48"/>
  <c r="LT22" i="48"/>
  <c r="LU22" i="48"/>
  <c r="LV22" i="48"/>
  <c r="LW22" i="48"/>
  <c r="LX22" i="48"/>
  <c r="LY22" i="48"/>
  <c r="LZ22" i="48"/>
  <c r="MA22" i="48"/>
  <c r="MB22" i="48"/>
  <c r="MC22" i="48"/>
  <c r="MD22" i="48"/>
  <c r="ME22" i="48"/>
  <c r="MF22" i="48"/>
  <c r="MG22" i="48"/>
  <c r="MH22" i="48"/>
  <c r="MI22" i="48"/>
  <c r="MJ22" i="48"/>
  <c r="MK22" i="48"/>
  <c r="ML22" i="48"/>
  <c r="MM22" i="48"/>
  <c r="MN22" i="48"/>
  <c r="MO22" i="48"/>
  <c r="MP22" i="48"/>
  <c r="MQ22" i="48"/>
  <c r="MR22" i="48"/>
  <c r="MS22" i="48"/>
  <c r="MT22" i="48"/>
  <c r="MU22" i="48"/>
  <c r="MV22" i="48"/>
  <c r="MW22" i="48"/>
  <c r="MX22" i="48"/>
  <c r="MY22" i="48"/>
  <c r="MZ22" i="48"/>
  <c r="NA22" i="48"/>
  <c r="NB22" i="48"/>
  <c r="NC22" i="48"/>
  <c r="JX23" i="48"/>
  <c r="JY23" i="48"/>
  <c r="JZ23" i="48"/>
  <c r="KA23" i="48"/>
  <c r="KB23" i="48"/>
  <c r="KC23" i="48"/>
  <c r="KD23" i="48"/>
  <c r="KE23" i="48"/>
  <c r="KF23" i="48"/>
  <c r="KG23" i="48"/>
  <c r="KH23" i="48"/>
  <c r="KI23" i="48"/>
  <c r="KJ23" i="48"/>
  <c r="KK23" i="48"/>
  <c r="KL23" i="48"/>
  <c r="KM23" i="48"/>
  <c r="KN23" i="48"/>
  <c r="KO23" i="48"/>
  <c r="KP23" i="48"/>
  <c r="KQ23" i="48"/>
  <c r="KR23" i="48"/>
  <c r="KS23" i="48"/>
  <c r="KT23" i="48"/>
  <c r="KU23" i="48"/>
  <c r="KV23" i="48"/>
  <c r="KW23" i="48"/>
  <c r="KX23" i="48"/>
  <c r="KY23" i="48"/>
  <c r="KZ23" i="48"/>
  <c r="LA23" i="48"/>
  <c r="LB23" i="48"/>
  <c r="LC23" i="48"/>
  <c r="LD23" i="48"/>
  <c r="LE23" i="48"/>
  <c r="LF23" i="48"/>
  <c r="LG23" i="48"/>
  <c r="LH23" i="48"/>
  <c r="LI23" i="48"/>
  <c r="LJ23" i="48"/>
  <c r="LK23" i="48"/>
  <c r="LL23" i="48"/>
  <c r="LM23" i="48"/>
  <c r="LN23" i="48"/>
  <c r="LO23" i="48"/>
  <c r="LP23" i="48"/>
  <c r="LQ23" i="48"/>
  <c r="LR23" i="48"/>
  <c r="LS23" i="48"/>
  <c r="LT23" i="48"/>
  <c r="LU23" i="48"/>
  <c r="LV23" i="48"/>
  <c r="LW23" i="48"/>
  <c r="LX23" i="48"/>
  <c r="LY23" i="48"/>
  <c r="LZ23" i="48"/>
  <c r="MA23" i="48"/>
  <c r="MB23" i="48"/>
  <c r="MC23" i="48"/>
  <c r="MD23" i="48"/>
  <c r="ME23" i="48"/>
  <c r="MF23" i="48"/>
  <c r="MG23" i="48"/>
  <c r="MH23" i="48"/>
  <c r="MI23" i="48"/>
  <c r="MJ23" i="48"/>
  <c r="MK23" i="48"/>
  <c r="ML23" i="48"/>
  <c r="MM23" i="48"/>
  <c r="MN23" i="48"/>
  <c r="MO23" i="48"/>
  <c r="MP23" i="48"/>
  <c r="MQ23" i="48"/>
  <c r="MR23" i="48"/>
  <c r="MS23" i="48"/>
  <c r="MT23" i="48"/>
  <c r="MU23" i="48"/>
  <c r="MV23" i="48"/>
  <c r="MW23" i="48"/>
  <c r="MX23" i="48"/>
  <c r="MY23" i="48"/>
  <c r="MZ23" i="48"/>
  <c r="NA23" i="48"/>
  <c r="NB23" i="48"/>
  <c r="NC23" i="48"/>
  <c r="JW23" i="48"/>
  <c r="JW22" i="48"/>
  <c r="F10" i="56"/>
  <c r="E10" i="56"/>
  <c r="E6" i="56"/>
  <c r="F6" i="56" s="1"/>
  <c r="K6" i="60" l="1"/>
  <c r="H6" i="60"/>
  <c r="JU16" i="48"/>
  <c r="JN13" i="48" l="1"/>
  <c r="JQ7" i="48"/>
  <c r="JR7" i="48"/>
  <c r="JS7" i="48"/>
  <c r="JH13" i="48"/>
  <c r="JI13" i="48"/>
  <c r="JJ13" i="48"/>
  <c r="JK13" i="48"/>
  <c r="JL13" i="48"/>
  <c r="JH14" i="48"/>
  <c r="JI14" i="48"/>
  <c r="JJ14" i="48"/>
  <c r="JK14" i="48"/>
  <c r="JL14" i="48"/>
  <c r="JM14" i="48"/>
  <c r="JH15" i="48"/>
  <c r="JI15" i="48"/>
  <c r="JJ15" i="48"/>
  <c r="JK15" i="48"/>
  <c r="JL15" i="48"/>
  <c r="JM15" i="48"/>
  <c r="JH16" i="48"/>
  <c r="JI16" i="48"/>
  <c r="JJ16" i="48"/>
  <c r="JK16" i="48"/>
  <c r="JL16" i="48"/>
  <c r="JH17" i="48"/>
  <c r="JI17" i="48"/>
  <c r="JJ17" i="48"/>
  <c r="JK17" i="48"/>
  <c r="JL17" i="48"/>
  <c r="JM17" i="48"/>
  <c r="JH18" i="48"/>
  <c r="JI18" i="48"/>
  <c r="JJ18" i="48"/>
  <c r="JK18" i="48"/>
  <c r="JL18" i="48"/>
  <c r="JM18" i="48"/>
  <c r="JH19" i="48"/>
  <c r="JI19" i="48"/>
  <c r="JJ19" i="48"/>
  <c r="JK19" i="48"/>
  <c r="JL19" i="48"/>
  <c r="JH20" i="48"/>
  <c r="JI20" i="48"/>
  <c r="JJ20" i="48"/>
  <c r="JK20" i="48"/>
  <c r="JL20" i="48"/>
  <c r="JM20" i="48"/>
  <c r="JH21" i="48"/>
  <c r="JI21" i="48"/>
  <c r="JJ21" i="48"/>
  <c r="JK21" i="48"/>
  <c r="JL21" i="48"/>
  <c r="JM21" i="48"/>
  <c r="JG14" i="48"/>
  <c r="JG15" i="48"/>
  <c r="JG16" i="48"/>
  <c r="JG17" i="48"/>
  <c r="C6" i="56" s="1"/>
  <c r="JG18" i="48"/>
  <c r="C7" i="56" s="1"/>
  <c r="JG19" i="48"/>
  <c r="JG20" i="48"/>
  <c r="JG21" i="48"/>
  <c r="JG13" i="48"/>
  <c r="IY13" i="48"/>
  <c r="IZ13" i="48"/>
  <c r="JA13" i="48"/>
  <c r="JB13" i="48"/>
  <c r="JC13" i="48"/>
  <c r="JD13" i="48"/>
  <c r="JE13" i="48"/>
  <c r="JF13" i="48"/>
  <c r="IY14" i="48"/>
  <c r="IZ14" i="48"/>
  <c r="JA14" i="48"/>
  <c r="JB14" i="48"/>
  <c r="JC14" i="48"/>
  <c r="JD14" i="48"/>
  <c r="JE14" i="48"/>
  <c r="JF14" i="48"/>
  <c r="IY15" i="48"/>
  <c r="IZ15" i="48"/>
  <c r="JA15" i="48"/>
  <c r="JB15" i="48"/>
  <c r="JC15" i="48"/>
  <c r="JD15" i="48"/>
  <c r="JE15" i="48"/>
  <c r="JF15" i="48"/>
  <c r="IY16" i="48"/>
  <c r="IZ16" i="48"/>
  <c r="JA16" i="48"/>
  <c r="JB16" i="48"/>
  <c r="JC16" i="48"/>
  <c r="JD16" i="48"/>
  <c r="JE16" i="48"/>
  <c r="JF16" i="48"/>
  <c r="IY17" i="48"/>
  <c r="IZ17" i="48"/>
  <c r="JA17" i="48"/>
  <c r="JB17" i="48"/>
  <c r="JC17" i="48"/>
  <c r="JD17" i="48"/>
  <c r="JE17" i="48"/>
  <c r="JF17" i="48"/>
  <c r="IY18" i="48"/>
  <c r="IZ18" i="48"/>
  <c r="JA18" i="48"/>
  <c r="JB18" i="48"/>
  <c r="JC18" i="48"/>
  <c r="JD18" i="48"/>
  <c r="JE18" i="48"/>
  <c r="JF18" i="48"/>
  <c r="IY19" i="48"/>
  <c r="IZ19" i="48"/>
  <c r="JA19" i="48"/>
  <c r="JB19" i="48"/>
  <c r="JC19" i="48"/>
  <c r="JD19" i="48"/>
  <c r="JE19" i="48"/>
  <c r="JF19" i="48"/>
  <c r="IY20" i="48"/>
  <c r="IZ20" i="48"/>
  <c r="JA20" i="48"/>
  <c r="JB20" i="48"/>
  <c r="JC20" i="48"/>
  <c r="JD20" i="48"/>
  <c r="JE20" i="48"/>
  <c r="JF20" i="48"/>
  <c r="IY21" i="48"/>
  <c r="IZ21" i="48"/>
  <c r="JA21" i="48"/>
  <c r="JB21" i="48"/>
  <c r="JC21" i="48"/>
  <c r="JD21" i="48"/>
  <c r="JE21" i="48"/>
  <c r="JF21" i="48"/>
  <c r="IS69" i="48"/>
  <c r="IV72" i="48"/>
  <c r="IT70" i="48"/>
  <c r="IU71" i="48"/>
  <c r="IX66" i="48"/>
  <c r="IV70" i="48"/>
  <c r="IW73" i="48"/>
  <c r="IX72" i="48"/>
  <c r="IW71" i="48"/>
  <c r="IV74" i="48"/>
  <c r="IE72" i="48"/>
  <c r="IH72" i="48"/>
  <c r="FK69" i="48"/>
  <c r="FD72" i="48"/>
  <c r="FL73" i="48"/>
  <c r="FK71" i="48"/>
  <c r="FG72" i="48"/>
  <c r="FH74" i="48"/>
  <c r="FI67" i="48"/>
  <c r="FJ69" i="48"/>
  <c r="EZ68" i="48"/>
  <c r="RU66" i="48"/>
  <c r="RV66" i="48"/>
  <c r="RW66" i="48"/>
  <c r="RX66" i="48"/>
  <c r="RY66" i="48"/>
  <c r="RZ66" i="48"/>
  <c r="SA66" i="48"/>
  <c r="SB66" i="48"/>
  <c r="SC66" i="48"/>
  <c r="SD66" i="48"/>
  <c r="SE66" i="48"/>
  <c r="SF66" i="48"/>
  <c r="SG66" i="48"/>
  <c r="SH66" i="48"/>
  <c r="SI66" i="48"/>
  <c r="SJ66" i="48"/>
  <c r="SK66" i="48"/>
  <c r="SL66" i="48"/>
  <c r="SM66" i="48"/>
  <c r="SN66" i="48"/>
  <c r="SO66" i="48"/>
  <c r="SP66" i="48"/>
  <c r="SQ66" i="48"/>
  <c r="SR66" i="48"/>
  <c r="SS66" i="48"/>
  <c r="ST66" i="48"/>
  <c r="SU66" i="48"/>
  <c r="SV66" i="48"/>
  <c r="SW66" i="48"/>
  <c r="RU67" i="48"/>
  <c r="RV67" i="48"/>
  <c r="RW67" i="48"/>
  <c r="RX67" i="48"/>
  <c r="RY67" i="48"/>
  <c r="RZ67" i="48"/>
  <c r="SA67" i="48"/>
  <c r="SB67" i="48"/>
  <c r="SC67" i="48"/>
  <c r="SD67" i="48"/>
  <c r="SE67" i="48"/>
  <c r="SF67" i="48"/>
  <c r="SG67" i="48"/>
  <c r="SH67" i="48"/>
  <c r="SI67" i="48"/>
  <c r="SJ67" i="48"/>
  <c r="SK67" i="48"/>
  <c r="SL67" i="48"/>
  <c r="SM67" i="48"/>
  <c r="SN67" i="48"/>
  <c r="SO67" i="48"/>
  <c r="SP67" i="48"/>
  <c r="SQ67" i="48"/>
  <c r="SR67" i="48"/>
  <c r="SS67" i="48"/>
  <c r="ST67" i="48"/>
  <c r="SU67" i="48"/>
  <c r="SV67" i="48"/>
  <c r="SW67" i="48"/>
  <c r="RU68" i="48"/>
  <c r="RV68" i="48"/>
  <c r="RW68" i="48"/>
  <c r="RX68" i="48"/>
  <c r="RY68" i="48"/>
  <c r="RZ68" i="48"/>
  <c r="SA68" i="48"/>
  <c r="SB68" i="48"/>
  <c r="SC68" i="48"/>
  <c r="SD68" i="48"/>
  <c r="SE68" i="48"/>
  <c r="SF68" i="48"/>
  <c r="SG68" i="48"/>
  <c r="SH68" i="48"/>
  <c r="SI68" i="48"/>
  <c r="SJ68" i="48"/>
  <c r="SK68" i="48"/>
  <c r="SL68" i="48"/>
  <c r="SM68" i="48"/>
  <c r="SN68" i="48"/>
  <c r="SO68" i="48"/>
  <c r="SP68" i="48"/>
  <c r="SQ68" i="48"/>
  <c r="SR68" i="48"/>
  <c r="SS68" i="48"/>
  <c r="ST68" i="48"/>
  <c r="SU68" i="48"/>
  <c r="SV68" i="48"/>
  <c r="SW68" i="48"/>
  <c r="RU69" i="48"/>
  <c r="RV69" i="48"/>
  <c r="RW69" i="48"/>
  <c r="RX69" i="48"/>
  <c r="RY69" i="48"/>
  <c r="RZ69" i="48"/>
  <c r="SA69" i="48"/>
  <c r="SB69" i="48"/>
  <c r="SC69" i="48"/>
  <c r="SD69" i="48"/>
  <c r="SE69" i="48"/>
  <c r="SF69" i="48"/>
  <c r="SG69" i="48"/>
  <c r="SH69" i="48"/>
  <c r="SI69" i="48"/>
  <c r="SJ69" i="48"/>
  <c r="SK69" i="48"/>
  <c r="SL69" i="48"/>
  <c r="SM69" i="48"/>
  <c r="SN69" i="48"/>
  <c r="SO69" i="48"/>
  <c r="SP69" i="48"/>
  <c r="SQ69" i="48"/>
  <c r="SR69" i="48"/>
  <c r="SS69" i="48"/>
  <c r="ST69" i="48"/>
  <c r="SU69" i="48"/>
  <c r="SV69" i="48"/>
  <c r="SW69" i="48"/>
  <c r="RU70" i="48"/>
  <c r="RV70" i="48"/>
  <c r="RW70" i="48"/>
  <c r="RX70" i="48"/>
  <c r="RY70" i="48"/>
  <c r="RZ70" i="48"/>
  <c r="SA70" i="48"/>
  <c r="SB70" i="48"/>
  <c r="SC70" i="48"/>
  <c r="SD70" i="48"/>
  <c r="SE70" i="48"/>
  <c r="SF70" i="48"/>
  <c r="SG70" i="48"/>
  <c r="SH70" i="48"/>
  <c r="SI70" i="48"/>
  <c r="SJ70" i="48"/>
  <c r="SK70" i="48"/>
  <c r="SL70" i="48"/>
  <c r="SM70" i="48"/>
  <c r="SN70" i="48"/>
  <c r="SO70" i="48"/>
  <c r="SP70" i="48"/>
  <c r="SQ70" i="48"/>
  <c r="SR70" i="48"/>
  <c r="SS70" i="48"/>
  <c r="ST70" i="48"/>
  <c r="SU70" i="48"/>
  <c r="SV70" i="48"/>
  <c r="SW70" i="48"/>
  <c r="RU71" i="48"/>
  <c r="RV71" i="48"/>
  <c r="RW71" i="48"/>
  <c r="RX71" i="48"/>
  <c r="RY71" i="48"/>
  <c r="RZ71" i="48"/>
  <c r="SA71" i="48"/>
  <c r="SB71" i="48"/>
  <c r="SC71" i="48"/>
  <c r="SD71" i="48"/>
  <c r="SE71" i="48"/>
  <c r="SF71" i="48"/>
  <c r="SG71" i="48"/>
  <c r="SH71" i="48"/>
  <c r="SI71" i="48"/>
  <c r="SJ71" i="48"/>
  <c r="SK71" i="48"/>
  <c r="SL71" i="48"/>
  <c r="SM71" i="48"/>
  <c r="SN71" i="48"/>
  <c r="SO71" i="48"/>
  <c r="SP71" i="48"/>
  <c r="SQ71" i="48"/>
  <c r="SR71" i="48"/>
  <c r="SS71" i="48"/>
  <c r="ST71" i="48"/>
  <c r="SU71" i="48"/>
  <c r="SV71" i="48"/>
  <c r="SW71" i="48"/>
  <c r="RU72" i="48"/>
  <c r="RV72" i="48"/>
  <c r="RW72" i="48"/>
  <c r="RX72" i="48"/>
  <c r="RY72" i="48"/>
  <c r="RZ72" i="48"/>
  <c r="SA72" i="48"/>
  <c r="SB72" i="48"/>
  <c r="SC72" i="48"/>
  <c r="SD72" i="48"/>
  <c r="SE72" i="48"/>
  <c r="SF72" i="48"/>
  <c r="SG72" i="48"/>
  <c r="SH72" i="48"/>
  <c r="SI72" i="48"/>
  <c r="SJ72" i="48"/>
  <c r="SK72" i="48"/>
  <c r="SL72" i="48"/>
  <c r="SM72" i="48"/>
  <c r="SN72" i="48"/>
  <c r="SO72" i="48"/>
  <c r="SP72" i="48"/>
  <c r="SQ72" i="48"/>
  <c r="SR72" i="48"/>
  <c r="SS72" i="48"/>
  <c r="ST72" i="48"/>
  <c r="SU72" i="48"/>
  <c r="SV72" i="48"/>
  <c r="SW72" i="48"/>
  <c r="RU73" i="48"/>
  <c r="RV73" i="48"/>
  <c r="RW73" i="48"/>
  <c r="RX73" i="48"/>
  <c r="RY73" i="48"/>
  <c r="RZ73" i="48"/>
  <c r="SA73" i="48"/>
  <c r="SB73" i="48"/>
  <c r="SC73" i="48"/>
  <c r="SD73" i="48"/>
  <c r="SE73" i="48"/>
  <c r="SF73" i="48"/>
  <c r="SG73" i="48"/>
  <c r="SH73" i="48"/>
  <c r="SI73" i="48"/>
  <c r="SJ73" i="48"/>
  <c r="SK73" i="48"/>
  <c r="SL73" i="48"/>
  <c r="SM73" i="48"/>
  <c r="SN73" i="48"/>
  <c r="SO73" i="48"/>
  <c r="SP73" i="48"/>
  <c r="SQ73" i="48"/>
  <c r="SR73" i="48"/>
  <c r="SS73" i="48"/>
  <c r="ST73" i="48"/>
  <c r="SU73" i="48"/>
  <c r="SV73" i="48"/>
  <c r="SW73" i="48"/>
  <c r="RU74" i="48"/>
  <c r="RV74" i="48"/>
  <c r="RW74" i="48"/>
  <c r="RX74" i="48"/>
  <c r="RY74" i="48"/>
  <c r="RZ74" i="48"/>
  <c r="SA74" i="48"/>
  <c r="SB74" i="48"/>
  <c r="SC74" i="48"/>
  <c r="SD74" i="48"/>
  <c r="SE74" i="48"/>
  <c r="SF74" i="48"/>
  <c r="SG74" i="48"/>
  <c r="SH74" i="48"/>
  <c r="SI74" i="48"/>
  <c r="SJ74" i="48"/>
  <c r="SK74" i="48"/>
  <c r="SL74" i="48"/>
  <c r="SM74" i="48"/>
  <c r="SN74" i="48"/>
  <c r="SO74" i="48"/>
  <c r="SP74" i="48"/>
  <c r="SQ74" i="48"/>
  <c r="SR74" i="48"/>
  <c r="SS74" i="48"/>
  <c r="ST74" i="48"/>
  <c r="SU74" i="48"/>
  <c r="SV74" i="48"/>
  <c r="SW74" i="48"/>
  <c r="RT67" i="48"/>
  <c r="RT68" i="48"/>
  <c r="RT69" i="48"/>
  <c r="RT70" i="48"/>
  <c r="RT71" i="48"/>
  <c r="RT72" i="48"/>
  <c r="RT73" i="48"/>
  <c r="RT74" i="48"/>
  <c r="RT66" i="48"/>
  <c r="QQ66" i="48"/>
  <c r="QR66" i="48"/>
  <c r="QS66" i="48"/>
  <c r="QT66" i="48"/>
  <c r="QU66" i="48"/>
  <c r="QV66" i="48"/>
  <c r="QW66" i="48"/>
  <c r="QX66" i="48"/>
  <c r="QY66" i="48"/>
  <c r="QZ66" i="48"/>
  <c r="RA66" i="48"/>
  <c r="RB66" i="48"/>
  <c r="RC66" i="48"/>
  <c r="RD66" i="48"/>
  <c r="RE66" i="48"/>
  <c r="RF66" i="48"/>
  <c r="RG66" i="48"/>
  <c r="RH66" i="48"/>
  <c r="RI66" i="48"/>
  <c r="RJ66" i="48"/>
  <c r="RK66" i="48"/>
  <c r="RL66" i="48"/>
  <c r="RM66" i="48"/>
  <c r="RN66" i="48"/>
  <c r="RO66" i="48"/>
  <c r="RP66" i="48"/>
  <c r="RQ66" i="48"/>
  <c r="RR66" i="48"/>
  <c r="RS66" i="48"/>
  <c r="QQ67" i="48"/>
  <c r="QR67" i="48"/>
  <c r="QS67" i="48"/>
  <c r="QT67" i="48"/>
  <c r="QU67" i="48"/>
  <c r="QV67" i="48"/>
  <c r="QW67" i="48"/>
  <c r="QX67" i="48"/>
  <c r="QY67" i="48"/>
  <c r="QZ67" i="48"/>
  <c r="RA67" i="48"/>
  <c r="RB67" i="48"/>
  <c r="RC67" i="48"/>
  <c r="RD67" i="48"/>
  <c r="RE67" i="48"/>
  <c r="RF67" i="48"/>
  <c r="RG67" i="48"/>
  <c r="RH67" i="48"/>
  <c r="RI67" i="48"/>
  <c r="RJ67" i="48"/>
  <c r="RK67" i="48"/>
  <c r="RL67" i="48"/>
  <c r="RM67" i="48"/>
  <c r="RN67" i="48"/>
  <c r="RO67" i="48"/>
  <c r="RP67" i="48"/>
  <c r="RQ67" i="48"/>
  <c r="RR67" i="48"/>
  <c r="RS67" i="48"/>
  <c r="QQ68" i="48"/>
  <c r="QR68" i="48"/>
  <c r="QS68" i="48"/>
  <c r="QT68" i="48"/>
  <c r="QU68" i="48"/>
  <c r="QV68" i="48"/>
  <c r="QW68" i="48"/>
  <c r="QX68" i="48"/>
  <c r="QY68" i="48"/>
  <c r="QZ68" i="48"/>
  <c r="RA68" i="48"/>
  <c r="RB68" i="48"/>
  <c r="RC68" i="48"/>
  <c r="RD68" i="48"/>
  <c r="RE68" i="48"/>
  <c r="RF68" i="48"/>
  <c r="RG68" i="48"/>
  <c r="RH68" i="48"/>
  <c r="RI68" i="48"/>
  <c r="RJ68" i="48"/>
  <c r="RK68" i="48"/>
  <c r="RL68" i="48"/>
  <c r="RM68" i="48"/>
  <c r="RN68" i="48"/>
  <c r="RO68" i="48"/>
  <c r="RP68" i="48"/>
  <c r="RQ68" i="48"/>
  <c r="RR68" i="48"/>
  <c r="RS68" i="48"/>
  <c r="QQ69" i="48"/>
  <c r="QR69" i="48"/>
  <c r="QS69" i="48"/>
  <c r="QT69" i="48"/>
  <c r="QU69" i="48"/>
  <c r="QV69" i="48"/>
  <c r="QW69" i="48"/>
  <c r="QX69" i="48"/>
  <c r="QY69" i="48"/>
  <c r="QZ69" i="48"/>
  <c r="RA69" i="48"/>
  <c r="RB69" i="48"/>
  <c r="RC69" i="48"/>
  <c r="RD69" i="48"/>
  <c r="RE69" i="48"/>
  <c r="RF69" i="48"/>
  <c r="RG69" i="48"/>
  <c r="RH69" i="48"/>
  <c r="RI69" i="48"/>
  <c r="RJ69" i="48"/>
  <c r="RK69" i="48"/>
  <c r="RL69" i="48"/>
  <c r="RM69" i="48"/>
  <c r="RN69" i="48"/>
  <c r="RO69" i="48"/>
  <c r="RP69" i="48"/>
  <c r="RQ69" i="48"/>
  <c r="RR69" i="48"/>
  <c r="RS69" i="48"/>
  <c r="QQ70" i="48"/>
  <c r="QR70" i="48"/>
  <c r="QS70" i="48"/>
  <c r="QT70" i="48"/>
  <c r="QU70" i="48"/>
  <c r="QV70" i="48"/>
  <c r="QW70" i="48"/>
  <c r="QX70" i="48"/>
  <c r="QY70" i="48"/>
  <c r="QZ70" i="48"/>
  <c r="RA70" i="48"/>
  <c r="RB70" i="48"/>
  <c r="RC70" i="48"/>
  <c r="RD70" i="48"/>
  <c r="RE70" i="48"/>
  <c r="RF70" i="48"/>
  <c r="RG70" i="48"/>
  <c r="RH70" i="48"/>
  <c r="RI70" i="48"/>
  <c r="RJ70" i="48"/>
  <c r="RK70" i="48"/>
  <c r="RL70" i="48"/>
  <c r="RM70" i="48"/>
  <c r="RN70" i="48"/>
  <c r="RO70" i="48"/>
  <c r="RP70" i="48"/>
  <c r="RQ70" i="48"/>
  <c r="RR70" i="48"/>
  <c r="RS70" i="48"/>
  <c r="QQ71" i="48"/>
  <c r="QR71" i="48"/>
  <c r="QS71" i="48"/>
  <c r="QT71" i="48"/>
  <c r="QU71" i="48"/>
  <c r="QV71" i="48"/>
  <c r="QW71" i="48"/>
  <c r="QX71" i="48"/>
  <c r="QY71" i="48"/>
  <c r="QZ71" i="48"/>
  <c r="RA71" i="48"/>
  <c r="RB71" i="48"/>
  <c r="RC71" i="48"/>
  <c r="RD71" i="48"/>
  <c r="RE71" i="48"/>
  <c r="RF71" i="48"/>
  <c r="RG71" i="48"/>
  <c r="RH71" i="48"/>
  <c r="RI71" i="48"/>
  <c r="RJ71" i="48"/>
  <c r="RK71" i="48"/>
  <c r="RL71" i="48"/>
  <c r="RM71" i="48"/>
  <c r="RN71" i="48"/>
  <c r="RO71" i="48"/>
  <c r="RP71" i="48"/>
  <c r="RQ71" i="48"/>
  <c r="RR71" i="48"/>
  <c r="RS71" i="48"/>
  <c r="QQ72" i="48"/>
  <c r="QR72" i="48"/>
  <c r="QS72" i="48"/>
  <c r="QT72" i="48"/>
  <c r="QU72" i="48"/>
  <c r="QV72" i="48"/>
  <c r="QW72" i="48"/>
  <c r="QX72" i="48"/>
  <c r="QY72" i="48"/>
  <c r="QZ72" i="48"/>
  <c r="RA72" i="48"/>
  <c r="RB72" i="48"/>
  <c r="RC72" i="48"/>
  <c r="RD72" i="48"/>
  <c r="RE72" i="48"/>
  <c r="RF72" i="48"/>
  <c r="RG72" i="48"/>
  <c r="RH72" i="48"/>
  <c r="RI72" i="48"/>
  <c r="RJ72" i="48"/>
  <c r="RK72" i="48"/>
  <c r="RL72" i="48"/>
  <c r="RM72" i="48"/>
  <c r="RN72" i="48"/>
  <c r="RO72" i="48"/>
  <c r="RP72" i="48"/>
  <c r="RQ72" i="48"/>
  <c r="RR72" i="48"/>
  <c r="RS72" i="48"/>
  <c r="QQ73" i="48"/>
  <c r="QR73" i="48"/>
  <c r="QS73" i="48"/>
  <c r="QT73" i="48"/>
  <c r="QU73" i="48"/>
  <c r="QV73" i="48"/>
  <c r="QW73" i="48"/>
  <c r="QX73" i="48"/>
  <c r="QY73" i="48"/>
  <c r="QZ73" i="48"/>
  <c r="RA73" i="48"/>
  <c r="RB73" i="48"/>
  <c r="RC73" i="48"/>
  <c r="RD73" i="48"/>
  <c r="RE73" i="48"/>
  <c r="RF73" i="48"/>
  <c r="RG73" i="48"/>
  <c r="RH73" i="48"/>
  <c r="RI73" i="48"/>
  <c r="RJ73" i="48"/>
  <c r="RK73" i="48"/>
  <c r="RL73" i="48"/>
  <c r="RM73" i="48"/>
  <c r="RN73" i="48"/>
  <c r="RO73" i="48"/>
  <c r="RP73" i="48"/>
  <c r="RQ73" i="48"/>
  <c r="RR73" i="48"/>
  <c r="RS73" i="48"/>
  <c r="QQ74" i="48"/>
  <c r="QR74" i="48"/>
  <c r="QS74" i="48"/>
  <c r="QT74" i="48"/>
  <c r="QU74" i="48"/>
  <c r="QV74" i="48"/>
  <c r="QW74" i="48"/>
  <c r="QX74" i="48"/>
  <c r="QY74" i="48"/>
  <c r="QZ74" i="48"/>
  <c r="RA74" i="48"/>
  <c r="RB74" i="48"/>
  <c r="RC74" i="48"/>
  <c r="RD74" i="48"/>
  <c r="RE74" i="48"/>
  <c r="RF74" i="48"/>
  <c r="RG74" i="48"/>
  <c r="RH74" i="48"/>
  <c r="RI74" i="48"/>
  <c r="RJ74" i="48"/>
  <c r="RK74" i="48"/>
  <c r="RL74" i="48"/>
  <c r="RM74" i="48"/>
  <c r="RN74" i="48"/>
  <c r="RO74" i="48"/>
  <c r="RP74" i="48"/>
  <c r="RQ74" i="48"/>
  <c r="RR74" i="48"/>
  <c r="RS74" i="48"/>
  <c r="QP67" i="48"/>
  <c r="QP68" i="48"/>
  <c r="QP69" i="48"/>
  <c r="QP70" i="48"/>
  <c r="QP71" i="48"/>
  <c r="QP72" i="48"/>
  <c r="QP73" i="48"/>
  <c r="QP74" i="48"/>
  <c r="QP66" i="48"/>
  <c r="PL66" i="48"/>
  <c r="PM66" i="48"/>
  <c r="PN66" i="48"/>
  <c r="PO66" i="48"/>
  <c r="PP66" i="48"/>
  <c r="PQ66" i="48"/>
  <c r="PR66" i="48"/>
  <c r="PS66" i="48"/>
  <c r="PT66" i="48"/>
  <c r="PU66" i="48"/>
  <c r="PV66" i="48"/>
  <c r="PW66" i="48"/>
  <c r="PX66" i="48"/>
  <c r="PY66" i="48"/>
  <c r="PZ66" i="48"/>
  <c r="QA66" i="48"/>
  <c r="QB66" i="48"/>
  <c r="QC66" i="48"/>
  <c r="QD66" i="48"/>
  <c r="QE66" i="48"/>
  <c r="QF66" i="48"/>
  <c r="QG66" i="48"/>
  <c r="QH66" i="48"/>
  <c r="QI66" i="48"/>
  <c r="QJ66" i="48"/>
  <c r="QK66" i="48"/>
  <c r="QL66" i="48"/>
  <c r="QM66" i="48"/>
  <c r="QN66" i="48"/>
  <c r="QO66" i="48"/>
  <c r="PL67" i="48"/>
  <c r="PM67" i="48"/>
  <c r="PN67" i="48"/>
  <c r="PO67" i="48"/>
  <c r="PP67" i="48"/>
  <c r="PQ67" i="48"/>
  <c r="PR67" i="48"/>
  <c r="PS67" i="48"/>
  <c r="PT67" i="48"/>
  <c r="PU67" i="48"/>
  <c r="PV67" i="48"/>
  <c r="PW67" i="48"/>
  <c r="PX67" i="48"/>
  <c r="PY67" i="48"/>
  <c r="PZ67" i="48"/>
  <c r="QA67" i="48"/>
  <c r="QB67" i="48"/>
  <c r="QC67" i="48"/>
  <c r="QD67" i="48"/>
  <c r="QE67" i="48"/>
  <c r="QF67" i="48"/>
  <c r="QG67" i="48"/>
  <c r="QH67" i="48"/>
  <c r="QI67" i="48"/>
  <c r="QJ67" i="48"/>
  <c r="QK67" i="48"/>
  <c r="QL67" i="48"/>
  <c r="QM67" i="48"/>
  <c r="QN67" i="48"/>
  <c r="QO67" i="48"/>
  <c r="PL68" i="48"/>
  <c r="PM68" i="48"/>
  <c r="PN68" i="48"/>
  <c r="PO68" i="48"/>
  <c r="PP68" i="48"/>
  <c r="PQ68" i="48"/>
  <c r="PR68" i="48"/>
  <c r="PS68" i="48"/>
  <c r="PT68" i="48"/>
  <c r="PU68" i="48"/>
  <c r="PV68" i="48"/>
  <c r="PW68" i="48"/>
  <c r="PX68" i="48"/>
  <c r="PY68" i="48"/>
  <c r="PZ68" i="48"/>
  <c r="QA68" i="48"/>
  <c r="QB68" i="48"/>
  <c r="QC68" i="48"/>
  <c r="QD68" i="48"/>
  <c r="QE68" i="48"/>
  <c r="QF68" i="48"/>
  <c r="QG68" i="48"/>
  <c r="QH68" i="48"/>
  <c r="QI68" i="48"/>
  <c r="QJ68" i="48"/>
  <c r="QK68" i="48"/>
  <c r="QL68" i="48"/>
  <c r="QM68" i="48"/>
  <c r="QN68" i="48"/>
  <c r="QO68" i="48"/>
  <c r="PL69" i="48"/>
  <c r="PM69" i="48"/>
  <c r="PN69" i="48"/>
  <c r="PO69" i="48"/>
  <c r="PP69" i="48"/>
  <c r="PQ69" i="48"/>
  <c r="PR69" i="48"/>
  <c r="PS69" i="48"/>
  <c r="PT69" i="48"/>
  <c r="PU69" i="48"/>
  <c r="PV69" i="48"/>
  <c r="PW69" i="48"/>
  <c r="PX69" i="48"/>
  <c r="PY69" i="48"/>
  <c r="PZ69" i="48"/>
  <c r="QA69" i="48"/>
  <c r="QB69" i="48"/>
  <c r="QC69" i="48"/>
  <c r="QD69" i="48"/>
  <c r="QE69" i="48"/>
  <c r="QF69" i="48"/>
  <c r="QG69" i="48"/>
  <c r="QH69" i="48"/>
  <c r="QI69" i="48"/>
  <c r="QJ69" i="48"/>
  <c r="QK69" i="48"/>
  <c r="QL69" i="48"/>
  <c r="QM69" i="48"/>
  <c r="QN69" i="48"/>
  <c r="QO69" i="48"/>
  <c r="PL70" i="48"/>
  <c r="PM70" i="48"/>
  <c r="PN70" i="48"/>
  <c r="PO70" i="48"/>
  <c r="PP70" i="48"/>
  <c r="PQ70" i="48"/>
  <c r="PR70" i="48"/>
  <c r="PS70" i="48"/>
  <c r="PT70" i="48"/>
  <c r="PU70" i="48"/>
  <c r="PV70" i="48"/>
  <c r="PW70" i="48"/>
  <c r="PX70" i="48"/>
  <c r="PY70" i="48"/>
  <c r="PZ70" i="48"/>
  <c r="QA70" i="48"/>
  <c r="QB70" i="48"/>
  <c r="QC70" i="48"/>
  <c r="QD70" i="48"/>
  <c r="QE70" i="48"/>
  <c r="QF70" i="48"/>
  <c r="QG70" i="48"/>
  <c r="QH70" i="48"/>
  <c r="QI70" i="48"/>
  <c r="QJ70" i="48"/>
  <c r="QK70" i="48"/>
  <c r="QL70" i="48"/>
  <c r="QM70" i="48"/>
  <c r="QN70" i="48"/>
  <c r="QO70" i="48"/>
  <c r="PL71" i="48"/>
  <c r="PM71" i="48"/>
  <c r="PN71" i="48"/>
  <c r="PO71" i="48"/>
  <c r="PP71" i="48"/>
  <c r="PQ71" i="48"/>
  <c r="PR71" i="48"/>
  <c r="PS71" i="48"/>
  <c r="PT71" i="48"/>
  <c r="PU71" i="48"/>
  <c r="PV71" i="48"/>
  <c r="PW71" i="48"/>
  <c r="PX71" i="48"/>
  <c r="PY71" i="48"/>
  <c r="PZ71" i="48"/>
  <c r="QA71" i="48"/>
  <c r="QB71" i="48"/>
  <c r="QC71" i="48"/>
  <c r="QD71" i="48"/>
  <c r="QE71" i="48"/>
  <c r="QF71" i="48"/>
  <c r="QG71" i="48"/>
  <c r="QH71" i="48"/>
  <c r="QI71" i="48"/>
  <c r="QJ71" i="48"/>
  <c r="QK71" i="48"/>
  <c r="QL71" i="48"/>
  <c r="QM71" i="48"/>
  <c r="QN71" i="48"/>
  <c r="QO71" i="48"/>
  <c r="PL72" i="48"/>
  <c r="PM72" i="48"/>
  <c r="PN72" i="48"/>
  <c r="PO72" i="48"/>
  <c r="PP72" i="48"/>
  <c r="PQ72" i="48"/>
  <c r="PR72" i="48"/>
  <c r="PS72" i="48"/>
  <c r="PT72" i="48"/>
  <c r="PU72" i="48"/>
  <c r="PV72" i="48"/>
  <c r="PW72" i="48"/>
  <c r="PX72" i="48"/>
  <c r="PY72" i="48"/>
  <c r="PZ72" i="48"/>
  <c r="QA72" i="48"/>
  <c r="QB72" i="48"/>
  <c r="QC72" i="48"/>
  <c r="QD72" i="48"/>
  <c r="QE72" i="48"/>
  <c r="QF72" i="48"/>
  <c r="QG72" i="48"/>
  <c r="QH72" i="48"/>
  <c r="QI72" i="48"/>
  <c r="QJ72" i="48"/>
  <c r="QK72" i="48"/>
  <c r="QL72" i="48"/>
  <c r="QM72" i="48"/>
  <c r="QN72" i="48"/>
  <c r="QO72" i="48"/>
  <c r="PL73" i="48"/>
  <c r="PM73" i="48"/>
  <c r="PN73" i="48"/>
  <c r="PO73" i="48"/>
  <c r="PP73" i="48"/>
  <c r="PQ73" i="48"/>
  <c r="PR73" i="48"/>
  <c r="PS73" i="48"/>
  <c r="PT73" i="48"/>
  <c r="PU73" i="48"/>
  <c r="PV73" i="48"/>
  <c r="PW73" i="48"/>
  <c r="PX73" i="48"/>
  <c r="PY73" i="48"/>
  <c r="PZ73" i="48"/>
  <c r="QA73" i="48"/>
  <c r="QB73" i="48"/>
  <c r="QC73" i="48"/>
  <c r="QD73" i="48"/>
  <c r="QE73" i="48"/>
  <c r="QF73" i="48"/>
  <c r="QG73" i="48"/>
  <c r="QH73" i="48"/>
  <c r="QI73" i="48"/>
  <c r="QJ73" i="48"/>
  <c r="QK73" i="48"/>
  <c r="QL73" i="48"/>
  <c r="QM73" i="48"/>
  <c r="QN73" i="48"/>
  <c r="QO73" i="48"/>
  <c r="PL74" i="48"/>
  <c r="PM74" i="48"/>
  <c r="PN74" i="48"/>
  <c r="PO74" i="48"/>
  <c r="PP74" i="48"/>
  <c r="PQ74" i="48"/>
  <c r="PR74" i="48"/>
  <c r="PS74" i="48"/>
  <c r="PT74" i="48"/>
  <c r="PU74" i="48"/>
  <c r="PV74" i="48"/>
  <c r="PW74" i="48"/>
  <c r="PX74" i="48"/>
  <c r="PY74" i="48"/>
  <c r="PZ74" i="48"/>
  <c r="QA74" i="48"/>
  <c r="QB74" i="48"/>
  <c r="QC74" i="48"/>
  <c r="QD74" i="48"/>
  <c r="QE74" i="48"/>
  <c r="QF74" i="48"/>
  <c r="QG74" i="48"/>
  <c r="QH74" i="48"/>
  <c r="QI74" i="48"/>
  <c r="QJ74" i="48"/>
  <c r="QK74" i="48"/>
  <c r="QL74" i="48"/>
  <c r="QM74" i="48"/>
  <c r="QN74" i="48"/>
  <c r="QO74" i="48"/>
  <c r="PK67" i="48"/>
  <c r="PK68" i="48"/>
  <c r="PK69" i="48"/>
  <c r="PK70" i="48"/>
  <c r="PK71" i="48"/>
  <c r="PK72" i="48"/>
  <c r="PK73" i="48"/>
  <c r="PK74" i="48"/>
  <c r="PK66" i="48"/>
  <c r="OJ66" i="48"/>
  <c r="OK66" i="48"/>
  <c r="OL66" i="48"/>
  <c r="OM66" i="48"/>
  <c r="ON66" i="48"/>
  <c r="OO66" i="48"/>
  <c r="OP66" i="48"/>
  <c r="OQ66" i="48"/>
  <c r="OR66" i="48"/>
  <c r="OS66" i="48"/>
  <c r="OT66" i="48"/>
  <c r="OU66" i="48"/>
  <c r="OV66" i="48"/>
  <c r="OW66" i="48"/>
  <c r="OX66" i="48"/>
  <c r="OY66" i="48"/>
  <c r="OZ66" i="48"/>
  <c r="PA66" i="48"/>
  <c r="PB66" i="48"/>
  <c r="PC66" i="48"/>
  <c r="PD66" i="48"/>
  <c r="PE66" i="48"/>
  <c r="PF66" i="48"/>
  <c r="PG66" i="48"/>
  <c r="PH66" i="48"/>
  <c r="PI66" i="48"/>
  <c r="PJ66" i="48"/>
  <c r="OJ67" i="48"/>
  <c r="OK67" i="48"/>
  <c r="OL67" i="48"/>
  <c r="OM67" i="48"/>
  <c r="ON67" i="48"/>
  <c r="OO67" i="48"/>
  <c r="OP67" i="48"/>
  <c r="OQ67" i="48"/>
  <c r="OR67" i="48"/>
  <c r="OS67" i="48"/>
  <c r="OT67" i="48"/>
  <c r="OU67" i="48"/>
  <c r="OV67" i="48"/>
  <c r="OW67" i="48"/>
  <c r="OX67" i="48"/>
  <c r="OY67" i="48"/>
  <c r="OZ67" i="48"/>
  <c r="PA67" i="48"/>
  <c r="PB67" i="48"/>
  <c r="PC67" i="48"/>
  <c r="PD67" i="48"/>
  <c r="PE67" i="48"/>
  <c r="PF67" i="48"/>
  <c r="PG67" i="48"/>
  <c r="PH67" i="48"/>
  <c r="PI67" i="48"/>
  <c r="PJ67" i="48"/>
  <c r="OJ68" i="48"/>
  <c r="OK68" i="48"/>
  <c r="OL68" i="48"/>
  <c r="OM68" i="48"/>
  <c r="ON68" i="48"/>
  <c r="OO68" i="48"/>
  <c r="OP68" i="48"/>
  <c r="OQ68" i="48"/>
  <c r="OR68" i="48"/>
  <c r="OS68" i="48"/>
  <c r="OT68" i="48"/>
  <c r="OU68" i="48"/>
  <c r="OV68" i="48"/>
  <c r="OW68" i="48"/>
  <c r="OX68" i="48"/>
  <c r="OY68" i="48"/>
  <c r="OZ68" i="48"/>
  <c r="PA68" i="48"/>
  <c r="PB68" i="48"/>
  <c r="PC68" i="48"/>
  <c r="PD68" i="48"/>
  <c r="PE68" i="48"/>
  <c r="PF68" i="48"/>
  <c r="PG68" i="48"/>
  <c r="PH68" i="48"/>
  <c r="PI68" i="48"/>
  <c r="PJ68" i="48"/>
  <c r="OJ69" i="48"/>
  <c r="OK69" i="48"/>
  <c r="OL69" i="48"/>
  <c r="OM69" i="48"/>
  <c r="ON69" i="48"/>
  <c r="OO69" i="48"/>
  <c r="OP69" i="48"/>
  <c r="OQ69" i="48"/>
  <c r="OR69" i="48"/>
  <c r="OS69" i="48"/>
  <c r="OT69" i="48"/>
  <c r="OU69" i="48"/>
  <c r="OV69" i="48"/>
  <c r="OW69" i="48"/>
  <c r="OX69" i="48"/>
  <c r="OY69" i="48"/>
  <c r="OZ69" i="48"/>
  <c r="PA69" i="48"/>
  <c r="PB69" i="48"/>
  <c r="PC69" i="48"/>
  <c r="PD69" i="48"/>
  <c r="PE69" i="48"/>
  <c r="PF69" i="48"/>
  <c r="PG69" i="48"/>
  <c r="PH69" i="48"/>
  <c r="PI69" i="48"/>
  <c r="PJ69" i="48"/>
  <c r="OJ70" i="48"/>
  <c r="OK70" i="48"/>
  <c r="OL70" i="48"/>
  <c r="OM70" i="48"/>
  <c r="ON70" i="48"/>
  <c r="OO70" i="48"/>
  <c r="OP70" i="48"/>
  <c r="OQ70" i="48"/>
  <c r="OR70" i="48"/>
  <c r="OS70" i="48"/>
  <c r="OT70" i="48"/>
  <c r="OU70" i="48"/>
  <c r="OV70" i="48"/>
  <c r="OW70" i="48"/>
  <c r="OX70" i="48"/>
  <c r="OY70" i="48"/>
  <c r="OZ70" i="48"/>
  <c r="PA70" i="48"/>
  <c r="PB70" i="48"/>
  <c r="PC70" i="48"/>
  <c r="PD70" i="48"/>
  <c r="PE70" i="48"/>
  <c r="PF70" i="48"/>
  <c r="PG70" i="48"/>
  <c r="PH70" i="48"/>
  <c r="PI70" i="48"/>
  <c r="PJ70" i="48"/>
  <c r="OJ71" i="48"/>
  <c r="OK71" i="48"/>
  <c r="OL71" i="48"/>
  <c r="OM71" i="48"/>
  <c r="ON71" i="48"/>
  <c r="OO71" i="48"/>
  <c r="OP71" i="48"/>
  <c r="OQ71" i="48"/>
  <c r="OR71" i="48"/>
  <c r="OS71" i="48"/>
  <c r="OT71" i="48"/>
  <c r="OU71" i="48"/>
  <c r="OV71" i="48"/>
  <c r="OW71" i="48"/>
  <c r="OX71" i="48"/>
  <c r="OY71" i="48"/>
  <c r="OZ71" i="48"/>
  <c r="PA71" i="48"/>
  <c r="PB71" i="48"/>
  <c r="PC71" i="48"/>
  <c r="PD71" i="48"/>
  <c r="PE71" i="48"/>
  <c r="PF71" i="48"/>
  <c r="PG71" i="48"/>
  <c r="PH71" i="48"/>
  <c r="PI71" i="48"/>
  <c r="PJ71" i="48"/>
  <c r="OJ72" i="48"/>
  <c r="OK72" i="48"/>
  <c r="OL72" i="48"/>
  <c r="OM72" i="48"/>
  <c r="ON72" i="48"/>
  <c r="OO72" i="48"/>
  <c r="OP72" i="48"/>
  <c r="OQ72" i="48"/>
  <c r="OR72" i="48"/>
  <c r="OS72" i="48"/>
  <c r="OT72" i="48"/>
  <c r="OU72" i="48"/>
  <c r="OV72" i="48"/>
  <c r="OW72" i="48"/>
  <c r="OX72" i="48"/>
  <c r="OY72" i="48"/>
  <c r="OZ72" i="48"/>
  <c r="PA72" i="48"/>
  <c r="PB72" i="48"/>
  <c r="PC72" i="48"/>
  <c r="PD72" i="48"/>
  <c r="PE72" i="48"/>
  <c r="PF72" i="48"/>
  <c r="PG72" i="48"/>
  <c r="PH72" i="48"/>
  <c r="PI72" i="48"/>
  <c r="PJ72" i="48"/>
  <c r="OJ73" i="48"/>
  <c r="OK73" i="48"/>
  <c r="OL73" i="48"/>
  <c r="OM73" i="48"/>
  <c r="ON73" i="48"/>
  <c r="OO73" i="48"/>
  <c r="OP73" i="48"/>
  <c r="OQ73" i="48"/>
  <c r="OR73" i="48"/>
  <c r="OS73" i="48"/>
  <c r="OT73" i="48"/>
  <c r="OU73" i="48"/>
  <c r="OV73" i="48"/>
  <c r="OW73" i="48"/>
  <c r="OX73" i="48"/>
  <c r="OY73" i="48"/>
  <c r="OZ73" i="48"/>
  <c r="PA73" i="48"/>
  <c r="PB73" i="48"/>
  <c r="PC73" i="48"/>
  <c r="PD73" i="48"/>
  <c r="PE73" i="48"/>
  <c r="PF73" i="48"/>
  <c r="PG73" i="48"/>
  <c r="PH73" i="48"/>
  <c r="PI73" i="48"/>
  <c r="PJ73" i="48"/>
  <c r="OJ74" i="48"/>
  <c r="OK74" i="48"/>
  <c r="OL74" i="48"/>
  <c r="OM74" i="48"/>
  <c r="ON74" i="48"/>
  <c r="OO74" i="48"/>
  <c r="OP74" i="48"/>
  <c r="OQ74" i="48"/>
  <c r="OR74" i="48"/>
  <c r="OS74" i="48"/>
  <c r="OT74" i="48"/>
  <c r="OU74" i="48"/>
  <c r="OV74" i="48"/>
  <c r="OW74" i="48"/>
  <c r="OX74" i="48"/>
  <c r="OY74" i="48"/>
  <c r="OZ74" i="48"/>
  <c r="PA74" i="48"/>
  <c r="PB74" i="48"/>
  <c r="PC74" i="48"/>
  <c r="PD74" i="48"/>
  <c r="PE74" i="48"/>
  <c r="PF74" i="48"/>
  <c r="PG74" i="48"/>
  <c r="PH74" i="48"/>
  <c r="PI74" i="48"/>
  <c r="PJ74" i="48"/>
  <c r="OI67" i="48"/>
  <c r="OI68" i="48"/>
  <c r="OI69" i="48"/>
  <c r="OI70" i="48"/>
  <c r="OI71" i="48"/>
  <c r="OI72" i="48"/>
  <c r="OI73" i="48"/>
  <c r="OI74" i="48"/>
  <c r="OI66" i="48"/>
  <c r="NE66" i="48"/>
  <c r="NF66" i="48"/>
  <c r="NG66" i="48"/>
  <c r="NH66" i="48"/>
  <c r="NI66" i="48"/>
  <c r="NJ66" i="48"/>
  <c r="NK66" i="48"/>
  <c r="NL66" i="48"/>
  <c r="NM66" i="48"/>
  <c r="NN66" i="48"/>
  <c r="NO66" i="48"/>
  <c r="NP66" i="48"/>
  <c r="NQ66" i="48"/>
  <c r="NR66" i="48"/>
  <c r="NS66" i="48"/>
  <c r="NT66" i="48"/>
  <c r="NU66" i="48"/>
  <c r="NV66" i="48"/>
  <c r="NW66" i="48"/>
  <c r="NX66" i="48"/>
  <c r="NY66" i="48"/>
  <c r="NZ66" i="48"/>
  <c r="OA66" i="48"/>
  <c r="OB66" i="48"/>
  <c r="OC66" i="48"/>
  <c r="OD66" i="48"/>
  <c r="OE66" i="48"/>
  <c r="OF66" i="48"/>
  <c r="OG66" i="48"/>
  <c r="OH66" i="48"/>
  <c r="NE67" i="48"/>
  <c r="NF67" i="48"/>
  <c r="NG67" i="48"/>
  <c r="NH67" i="48"/>
  <c r="NI67" i="48"/>
  <c r="NJ67" i="48"/>
  <c r="NK67" i="48"/>
  <c r="NL67" i="48"/>
  <c r="NM67" i="48"/>
  <c r="NN67" i="48"/>
  <c r="NO67" i="48"/>
  <c r="NP67" i="48"/>
  <c r="NQ67" i="48"/>
  <c r="NR67" i="48"/>
  <c r="NS67" i="48"/>
  <c r="NT67" i="48"/>
  <c r="NU67" i="48"/>
  <c r="NV67" i="48"/>
  <c r="NW67" i="48"/>
  <c r="NX67" i="48"/>
  <c r="NY67" i="48"/>
  <c r="NZ67" i="48"/>
  <c r="OA67" i="48"/>
  <c r="OB67" i="48"/>
  <c r="OC67" i="48"/>
  <c r="OD67" i="48"/>
  <c r="OE67" i="48"/>
  <c r="OF67" i="48"/>
  <c r="OG67" i="48"/>
  <c r="OH67" i="48"/>
  <c r="NE68" i="48"/>
  <c r="NF68" i="48"/>
  <c r="NG68" i="48"/>
  <c r="NH68" i="48"/>
  <c r="NI68" i="48"/>
  <c r="NJ68" i="48"/>
  <c r="NK68" i="48"/>
  <c r="NL68" i="48"/>
  <c r="NM68" i="48"/>
  <c r="NN68" i="48"/>
  <c r="NO68" i="48"/>
  <c r="NP68" i="48"/>
  <c r="NQ68" i="48"/>
  <c r="NR68" i="48"/>
  <c r="NS68" i="48"/>
  <c r="NT68" i="48"/>
  <c r="NU68" i="48"/>
  <c r="NV68" i="48"/>
  <c r="NW68" i="48"/>
  <c r="NX68" i="48"/>
  <c r="NY68" i="48"/>
  <c r="NZ68" i="48"/>
  <c r="OA68" i="48"/>
  <c r="OB68" i="48"/>
  <c r="OC68" i="48"/>
  <c r="OD68" i="48"/>
  <c r="OE68" i="48"/>
  <c r="OF68" i="48"/>
  <c r="OG68" i="48"/>
  <c r="OH68" i="48"/>
  <c r="NE69" i="48"/>
  <c r="NF69" i="48"/>
  <c r="NG69" i="48"/>
  <c r="NH69" i="48"/>
  <c r="NI69" i="48"/>
  <c r="NJ69" i="48"/>
  <c r="NK69" i="48"/>
  <c r="NL69" i="48"/>
  <c r="NM69" i="48"/>
  <c r="NN69" i="48"/>
  <c r="NO69" i="48"/>
  <c r="NP69" i="48"/>
  <c r="NQ69" i="48"/>
  <c r="NR69" i="48"/>
  <c r="NS69" i="48"/>
  <c r="NT69" i="48"/>
  <c r="NU69" i="48"/>
  <c r="NV69" i="48"/>
  <c r="NW69" i="48"/>
  <c r="NX69" i="48"/>
  <c r="NY69" i="48"/>
  <c r="NZ69" i="48"/>
  <c r="OA69" i="48"/>
  <c r="OB69" i="48"/>
  <c r="OC69" i="48"/>
  <c r="OD69" i="48"/>
  <c r="OE69" i="48"/>
  <c r="OF69" i="48"/>
  <c r="OG69" i="48"/>
  <c r="OH69" i="48"/>
  <c r="NE70" i="48"/>
  <c r="NF70" i="48"/>
  <c r="NG70" i="48"/>
  <c r="NH70" i="48"/>
  <c r="NI70" i="48"/>
  <c r="NJ70" i="48"/>
  <c r="NK70" i="48"/>
  <c r="NL70" i="48"/>
  <c r="NM70" i="48"/>
  <c r="NN70" i="48"/>
  <c r="NO70" i="48"/>
  <c r="NP70" i="48"/>
  <c r="NQ70" i="48"/>
  <c r="NR70" i="48"/>
  <c r="NS70" i="48"/>
  <c r="NT70" i="48"/>
  <c r="NU70" i="48"/>
  <c r="NV70" i="48"/>
  <c r="NW70" i="48"/>
  <c r="NX70" i="48"/>
  <c r="NY70" i="48"/>
  <c r="NZ70" i="48"/>
  <c r="OA70" i="48"/>
  <c r="OB70" i="48"/>
  <c r="OC70" i="48"/>
  <c r="OD70" i="48"/>
  <c r="OE70" i="48"/>
  <c r="OF70" i="48"/>
  <c r="OG70" i="48"/>
  <c r="OH70" i="48"/>
  <c r="NE71" i="48"/>
  <c r="NF71" i="48"/>
  <c r="NG71" i="48"/>
  <c r="NH71" i="48"/>
  <c r="NI71" i="48"/>
  <c r="NJ71" i="48"/>
  <c r="NK71" i="48"/>
  <c r="NL71" i="48"/>
  <c r="NM71" i="48"/>
  <c r="NN71" i="48"/>
  <c r="NO71" i="48"/>
  <c r="NP71" i="48"/>
  <c r="NQ71" i="48"/>
  <c r="NR71" i="48"/>
  <c r="NS71" i="48"/>
  <c r="NT71" i="48"/>
  <c r="NU71" i="48"/>
  <c r="NV71" i="48"/>
  <c r="NW71" i="48"/>
  <c r="NX71" i="48"/>
  <c r="NY71" i="48"/>
  <c r="NZ71" i="48"/>
  <c r="OA71" i="48"/>
  <c r="OB71" i="48"/>
  <c r="OC71" i="48"/>
  <c r="OD71" i="48"/>
  <c r="OE71" i="48"/>
  <c r="OF71" i="48"/>
  <c r="OG71" i="48"/>
  <c r="OH71" i="48"/>
  <c r="NE72" i="48"/>
  <c r="NF72" i="48"/>
  <c r="NG72" i="48"/>
  <c r="NH72" i="48"/>
  <c r="NI72" i="48"/>
  <c r="NJ72" i="48"/>
  <c r="NK72" i="48"/>
  <c r="NL72" i="48"/>
  <c r="NM72" i="48"/>
  <c r="NN72" i="48"/>
  <c r="NO72" i="48"/>
  <c r="NP72" i="48"/>
  <c r="NQ72" i="48"/>
  <c r="NR72" i="48"/>
  <c r="NS72" i="48"/>
  <c r="NT72" i="48"/>
  <c r="NU72" i="48"/>
  <c r="NV72" i="48"/>
  <c r="NW72" i="48"/>
  <c r="NX72" i="48"/>
  <c r="NY72" i="48"/>
  <c r="NZ72" i="48"/>
  <c r="OA72" i="48"/>
  <c r="OB72" i="48"/>
  <c r="OC72" i="48"/>
  <c r="OD72" i="48"/>
  <c r="OE72" i="48"/>
  <c r="OF72" i="48"/>
  <c r="OG72" i="48"/>
  <c r="OH72" i="48"/>
  <c r="NE73" i="48"/>
  <c r="NF73" i="48"/>
  <c r="NG73" i="48"/>
  <c r="NH73" i="48"/>
  <c r="NI73" i="48"/>
  <c r="NJ73" i="48"/>
  <c r="NK73" i="48"/>
  <c r="NL73" i="48"/>
  <c r="NM73" i="48"/>
  <c r="NN73" i="48"/>
  <c r="NO73" i="48"/>
  <c r="NP73" i="48"/>
  <c r="NQ73" i="48"/>
  <c r="NR73" i="48"/>
  <c r="NS73" i="48"/>
  <c r="NT73" i="48"/>
  <c r="NU73" i="48"/>
  <c r="NV73" i="48"/>
  <c r="NW73" i="48"/>
  <c r="NX73" i="48"/>
  <c r="NY73" i="48"/>
  <c r="NZ73" i="48"/>
  <c r="OA73" i="48"/>
  <c r="OB73" i="48"/>
  <c r="OC73" i="48"/>
  <c r="OD73" i="48"/>
  <c r="OE73" i="48"/>
  <c r="OF73" i="48"/>
  <c r="OG73" i="48"/>
  <c r="OH73" i="48"/>
  <c r="NE74" i="48"/>
  <c r="NF74" i="48"/>
  <c r="NG74" i="48"/>
  <c r="NH74" i="48"/>
  <c r="NI74" i="48"/>
  <c r="NJ74" i="48"/>
  <c r="NK74" i="48"/>
  <c r="NL74" i="48"/>
  <c r="NM74" i="48"/>
  <c r="NN74" i="48"/>
  <c r="NO74" i="48"/>
  <c r="NP74" i="48"/>
  <c r="NQ74" i="48"/>
  <c r="NR74" i="48"/>
  <c r="NS74" i="48"/>
  <c r="NT74" i="48"/>
  <c r="NU74" i="48"/>
  <c r="NV74" i="48"/>
  <c r="NW74" i="48"/>
  <c r="NX74" i="48"/>
  <c r="NY74" i="48"/>
  <c r="NZ74" i="48"/>
  <c r="OA74" i="48"/>
  <c r="OB74" i="48"/>
  <c r="OC74" i="48"/>
  <c r="OD74" i="48"/>
  <c r="OE74" i="48"/>
  <c r="OF74" i="48"/>
  <c r="OG74" i="48"/>
  <c r="OH74" i="48"/>
  <c r="ND67" i="48"/>
  <c r="ND68" i="48"/>
  <c r="ND69" i="48"/>
  <c r="ND70" i="48"/>
  <c r="ND71" i="48"/>
  <c r="ND72" i="48"/>
  <c r="ND73" i="48"/>
  <c r="ND74" i="48"/>
  <c r="ND66" i="48"/>
  <c r="LZ66" i="48"/>
  <c r="MA66" i="48"/>
  <c r="MB66" i="48"/>
  <c r="MC66" i="48"/>
  <c r="MD66" i="48"/>
  <c r="ME66" i="48"/>
  <c r="MF66" i="48"/>
  <c r="MG66" i="48"/>
  <c r="MH66" i="48"/>
  <c r="MI66" i="48"/>
  <c r="MJ66" i="48"/>
  <c r="MK66" i="48"/>
  <c r="ML66" i="48"/>
  <c r="MM66" i="48"/>
  <c r="MN66" i="48"/>
  <c r="MO66" i="48"/>
  <c r="MP66" i="48"/>
  <c r="MQ66" i="48"/>
  <c r="MR66" i="48"/>
  <c r="MS66" i="48"/>
  <c r="MT66" i="48"/>
  <c r="MU66" i="48"/>
  <c r="MV66" i="48"/>
  <c r="MW66" i="48"/>
  <c r="MX66" i="48"/>
  <c r="MY66" i="48"/>
  <c r="MZ66" i="48"/>
  <c r="NA66" i="48"/>
  <c r="NB66" i="48"/>
  <c r="NC66" i="48"/>
  <c r="LZ67" i="48"/>
  <c r="MA67" i="48"/>
  <c r="MB67" i="48"/>
  <c r="MC67" i="48"/>
  <c r="MD67" i="48"/>
  <c r="ME67" i="48"/>
  <c r="MF67" i="48"/>
  <c r="MG67" i="48"/>
  <c r="MH67" i="48"/>
  <c r="MI67" i="48"/>
  <c r="MJ67" i="48"/>
  <c r="MK67" i="48"/>
  <c r="ML67" i="48"/>
  <c r="MM67" i="48"/>
  <c r="MN67" i="48"/>
  <c r="MO67" i="48"/>
  <c r="MP67" i="48"/>
  <c r="MQ67" i="48"/>
  <c r="MR67" i="48"/>
  <c r="MS67" i="48"/>
  <c r="MT67" i="48"/>
  <c r="MU67" i="48"/>
  <c r="MV67" i="48"/>
  <c r="MW67" i="48"/>
  <c r="MX67" i="48"/>
  <c r="MY67" i="48"/>
  <c r="MZ67" i="48"/>
  <c r="NA67" i="48"/>
  <c r="NB67" i="48"/>
  <c r="NC67" i="48"/>
  <c r="LZ68" i="48"/>
  <c r="MA68" i="48"/>
  <c r="MB68" i="48"/>
  <c r="MC68" i="48"/>
  <c r="MD68" i="48"/>
  <c r="ME68" i="48"/>
  <c r="MF68" i="48"/>
  <c r="MG68" i="48"/>
  <c r="MH68" i="48"/>
  <c r="MI68" i="48"/>
  <c r="MJ68" i="48"/>
  <c r="MK68" i="48"/>
  <c r="ML68" i="48"/>
  <c r="MM68" i="48"/>
  <c r="MN68" i="48"/>
  <c r="MO68" i="48"/>
  <c r="MP68" i="48"/>
  <c r="MQ68" i="48"/>
  <c r="MR68" i="48"/>
  <c r="MS68" i="48"/>
  <c r="MT68" i="48"/>
  <c r="MU68" i="48"/>
  <c r="MV68" i="48"/>
  <c r="MW68" i="48"/>
  <c r="MX68" i="48"/>
  <c r="MY68" i="48"/>
  <c r="MZ68" i="48"/>
  <c r="NA68" i="48"/>
  <c r="NB68" i="48"/>
  <c r="NC68" i="48"/>
  <c r="LZ69" i="48"/>
  <c r="MA69" i="48"/>
  <c r="MB69" i="48"/>
  <c r="MC69" i="48"/>
  <c r="MD69" i="48"/>
  <c r="ME69" i="48"/>
  <c r="MF69" i="48"/>
  <c r="MG69" i="48"/>
  <c r="MH69" i="48"/>
  <c r="MI69" i="48"/>
  <c r="MJ69" i="48"/>
  <c r="MK69" i="48"/>
  <c r="ML69" i="48"/>
  <c r="MM69" i="48"/>
  <c r="MN69" i="48"/>
  <c r="MO69" i="48"/>
  <c r="MP69" i="48"/>
  <c r="MQ69" i="48"/>
  <c r="MR69" i="48"/>
  <c r="MS69" i="48"/>
  <c r="MT69" i="48"/>
  <c r="MU69" i="48"/>
  <c r="MV69" i="48"/>
  <c r="MW69" i="48"/>
  <c r="MX69" i="48"/>
  <c r="MY69" i="48"/>
  <c r="MZ69" i="48"/>
  <c r="NA69" i="48"/>
  <c r="NB69" i="48"/>
  <c r="NC69" i="48"/>
  <c r="LZ70" i="48"/>
  <c r="MA70" i="48"/>
  <c r="MB70" i="48"/>
  <c r="MC70" i="48"/>
  <c r="MD70" i="48"/>
  <c r="ME70" i="48"/>
  <c r="MF70" i="48"/>
  <c r="MG70" i="48"/>
  <c r="MH70" i="48"/>
  <c r="MI70" i="48"/>
  <c r="MJ70" i="48"/>
  <c r="MK70" i="48"/>
  <c r="ML70" i="48"/>
  <c r="MM70" i="48"/>
  <c r="MN70" i="48"/>
  <c r="MO70" i="48"/>
  <c r="MP70" i="48"/>
  <c r="MQ70" i="48"/>
  <c r="MR70" i="48"/>
  <c r="MS70" i="48"/>
  <c r="MT70" i="48"/>
  <c r="MU70" i="48"/>
  <c r="MV70" i="48"/>
  <c r="MW70" i="48"/>
  <c r="MX70" i="48"/>
  <c r="MY70" i="48"/>
  <c r="MZ70" i="48"/>
  <c r="NA70" i="48"/>
  <c r="NB70" i="48"/>
  <c r="NC70" i="48"/>
  <c r="LZ71" i="48"/>
  <c r="MA71" i="48"/>
  <c r="MB71" i="48"/>
  <c r="MC71" i="48"/>
  <c r="MD71" i="48"/>
  <c r="ME71" i="48"/>
  <c r="MF71" i="48"/>
  <c r="MG71" i="48"/>
  <c r="MH71" i="48"/>
  <c r="MI71" i="48"/>
  <c r="MJ71" i="48"/>
  <c r="MK71" i="48"/>
  <c r="ML71" i="48"/>
  <c r="MM71" i="48"/>
  <c r="MN71" i="48"/>
  <c r="MO71" i="48"/>
  <c r="MP71" i="48"/>
  <c r="MQ71" i="48"/>
  <c r="MR71" i="48"/>
  <c r="MS71" i="48"/>
  <c r="MT71" i="48"/>
  <c r="MU71" i="48"/>
  <c r="MV71" i="48"/>
  <c r="MW71" i="48"/>
  <c r="MX71" i="48"/>
  <c r="MY71" i="48"/>
  <c r="MZ71" i="48"/>
  <c r="NA71" i="48"/>
  <c r="NB71" i="48"/>
  <c r="NC71" i="48"/>
  <c r="LZ72" i="48"/>
  <c r="MA72" i="48"/>
  <c r="MB72" i="48"/>
  <c r="MC72" i="48"/>
  <c r="MD72" i="48"/>
  <c r="ME72" i="48"/>
  <c r="MF72" i="48"/>
  <c r="MG72" i="48"/>
  <c r="MH72" i="48"/>
  <c r="MI72" i="48"/>
  <c r="MJ72" i="48"/>
  <c r="MK72" i="48"/>
  <c r="ML72" i="48"/>
  <c r="MM72" i="48"/>
  <c r="MN72" i="48"/>
  <c r="MO72" i="48"/>
  <c r="MP72" i="48"/>
  <c r="MQ72" i="48"/>
  <c r="MR72" i="48"/>
  <c r="MS72" i="48"/>
  <c r="MT72" i="48"/>
  <c r="MU72" i="48"/>
  <c r="MV72" i="48"/>
  <c r="MW72" i="48"/>
  <c r="MX72" i="48"/>
  <c r="MY72" i="48"/>
  <c r="MZ72" i="48"/>
  <c r="NA72" i="48"/>
  <c r="NB72" i="48"/>
  <c r="NC72" i="48"/>
  <c r="LZ73" i="48"/>
  <c r="MA73" i="48"/>
  <c r="MB73" i="48"/>
  <c r="MC73" i="48"/>
  <c r="MD73" i="48"/>
  <c r="ME73" i="48"/>
  <c r="MF73" i="48"/>
  <c r="MG73" i="48"/>
  <c r="MH73" i="48"/>
  <c r="MI73" i="48"/>
  <c r="MJ73" i="48"/>
  <c r="MK73" i="48"/>
  <c r="ML73" i="48"/>
  <c r="MM73" i="48"/>
  <c r="MN73" i="48"/>
  <c r="MO73" i="48"/>
  <c r="MP73" i="48"/>
  <c r="MQ73" i="48"/>
  <c r="MR73" i="48"/>
  <c r="MS73" i="48"/>
  <c r="MT73" i="48"/>
  <c r="MU73" i="48"/>
  <c r="MV73" i="48"/>
  <c r="MW73" i="48"/>
  <c r="MX73" i="48"/>
  <c r="MY73" i="48"/>
  <c r="MZ73" i="48"/>
  <c r="NA73" i="48"/>
  <c r="NB73" i="48"/>
  <c r="NC73" i="48"/>
  <c r="LZ74" i="48"/>
  <c r="MA74" i="48"/>
  <c r="MB74" i="48"/>
  <c r="MC74" i="48"/>
  <c r="MD74" i="48"/>
  <c r="ME74" i="48"/>
  <c r="MF74" i="48"/>
  <c r="MG74" i="48"/>
  <c r="MH74" i="48"/>
  <c r="MI74" i="48"/>
  <c r="MJ74" i="48"/>
  <c r="MK74" i="48"/>
  <c r="ML74" i="48"/>
  <c r="MM74" i="48"/>
  <c r="MN74" i="48"/>
  <c r="MO74" i="48"/>
  <c r="MP74" i="48"/>
  <c r="MQ74" i="48"/>
  <c r="MR74" i="48"/>
  <c r="MS74" i="48"/>
  <c r="MT74" i="48"/>
  <c r="MU74" i="48"/>
  <c r="MV74" i="48"/>
  <c r="MW74" i="48"/>
  <c r="MX74" i="48"/>
  <c r="MY74" i="48"/>
  <c r="MZ74" i="48"/>
  <c r="NA74" i="48"/>
  <c r="NB74" i="48"/>
  <c r="NC74" i="48"/>
  <c r="LY67" i="48"/>
  <c r="LY68" i="48"/>
  <c r="LY69" i="48"/>
  <c r="LY70" i="48"/>
  <c r="LY71" i="48"/>
  <c r="LY72" i="48"/>
  <c r="LY73" i="48"/>
  <c r="LY74" i="48"/>
  <c r="LY66" i="48"/>
  <c r="KV66" i="48"/>
  <c r="KW66" i="48"/>
  <c r="KX66" i="48"/>
  <c r="KY66" i="48"/>
  <c r="KZ66" i="48"/>
  <c r="LA66" i="48"/>
  <c r="LB66" i="48"/>
  <c r="LC66" i="48"/>
  <c r="LD66" i="48"/>
  <c r="LE66" i="48"/>
  <c r="LF66" i="48"/>
  <c r="LG66" i="48"/>
  <c r="LH66" i="48"/>
  <c r="LI66" i="48"/>
  <c r="LJ66" i="48"/>
  <c r="LK66" i="48"/>
  <c r="LL66" i="48"/>
  <c r="LM66" i="48"/>
  <c r="LN66" i="48"/>
  <c r="LO66" i="48"/>
  <c r="LP66" i="48"/>
  <c r="LQ66" i="48"/>
  <c r="LR66" i="48"/>
  <c r="LS66" i="48"/>
  <c r="LT66" i="48"/>
  <c r="LU66" i="48"/>
  <c r="LV66" i="48"/>
  <c r="LW66" i="48"/>
  <c r="LX66" i="48"/>
  <c r="KV67" i="48"/>
  <c r="KW67" i="48"/>
  <c r="KX67" i="48"/>
  <c r="KY67" i="48"/>
  <c r="KZ67" i="48"/>
  <c r="LA67" i="48"/>
  <c r="LB67" i="48"/>
  <c r="LC67" i="48"/>
  <c r="LD67" i="48"/>
  <c r="LE67" i="48"/>
  <c r="LF67" i="48"/>
  <c r="LG67" i="48"/>
  <c r="LH67" i="48"/>
  <c r="LI67" i="48"/>
  <c r="LJ67" i="48"/>
  <c r="LK67" i="48"/>
  <c r="LL67" i="48"/>
  <c r="LM67" i="48"/>
  <c r="LN67" i="48"/>
  <c r="LO67" i="48"/>
  <c r="LP67" i="48"/>
  <c r="LQ67" i="48"/>
  <c r="LR67" i="48"/>
  <c r="LS67" i="48"/>
  <c r="LT67" i="48"/>
  <c r="LU67" i="48"/>
  <c r="LV67" i="48"/>
  <c r="LW67" i="48"/>
  <c r="LX67" i="48"/>
  <c r="KV68" i="48"/>
  <c r="KW68" i="48"/>
  <c r="KX68" i="48"/>
  <c r="KY68" i="48"/>
  <c r="KZ68" i="48"/>
  <c r="LA68" i="48"/>
  <c r="LB68" i="48"/>
  <c r="LC68" i="48"/>
  <c r="LD68" i="48"/>
  <c r="LE68" i="48"/>
  <c r="LF68" i="48"/>
  <c r="LG68" i="48"/>
  <c r="LH68" i="48"/>
  <c r="LI68" i="48"/>
  <c r="LJ68" i="48"/>
  <c r="LK68" i="48"/>
  <c r="LL68" i="48"/>
  <c r="LM68" i="48"/>
  <c r="LN68" i="48"/>
  <c r="LO68" i="48"/>
  <c r="LP68" i="48"/>
  <c r="LQ68" i="48"/>
  <c r="LR68" i="48"/>
  <c r="LS68" i="48"/>
  <c r="LT68" i="48"/>
  <c r="LU68" i="48"/>
  <c r="LV68" i="48"/>
  <c r="LW68" i="48"/>
  <c r="LX68" i="48"/>
  <c r="KV69" i="48"/>
  <c r="KW69" i="48"/>
  <c r="KX69" i="48"/>
  <c r="KY69" i="48"/>
  <c r="KZ69" i="48"/>
  <c r="LA69" i="48"/>
  <c r="LB69" i="48"/>
  <c r="LC69" i="48"/>
  <c r="LD69" i="48"/>
  <c r="LE69" i="48"/>
  <c r="LF69" i="48"/>
  <c r="LG69" i="48"/>
  <c r="LH69" i="48"/>
  <c r="LI69" i="48"/>
  <c r="LJ69" i="48"/>
  <c r="LK69" i="48"/>
  <c r="LL69" i="48"/>
  <c r="LM69" i="48"/>
  <c r="LN69" i="48"/>
  <c r="LO69" i="48"/>
  <c r="LP69" i="48"/>
  <c r="LQ69" i="48"/>
  <c r="LR69" i="48"/>
  <c r="LS69" i="48"/>
  <c r="LT69" i="48"/>
  <c r="LU69" i="48"/>
  <c r="LV69" i="48"/>
  <c r="LW69" i="48"/>
  <c r="LX69" i="48"/>
  <c r="KV70" i="48"/>
  <c r="KW70" i="48"/>
  <c r="KX70" i="48"/>
  <c r="KY70" i="48"/>
  <c r="KZ70" i="48"/>
  <c r="LA70" i="48"/>
  <c r="LB70" i="48"/>
  <c r="LC70" i="48"/>
  <c r="LD70" i="48"/>
  <c r="LE70" i="48"/>
  <c r="LF70" i="48"/>
  <c r="LG70" i="48"/>
  <c r="LH70" i="48"/>
  <c r="LI70" i="48"/>
  <c r="LJ70" i="48"/>
  <c r="LK70" i="48"/>
  <c r="LL70" i="48"/>
  <c r="LM70" i="48"/>
  <c r="LN70" i="48"/>
  <c r="LO70" i="48"/>
  <c r="LP70" i="48"/>
  <c r="LQ70" i="48"/>
  <c r="LR70" i="48"/>
  <c r="LS70" i="48"/>
  <c r="LT70" i="48"/>
  <c r="LU70" i="48"/>
  <c r="LV70" i="48"/>
  <c r="LW70" i="48"/>
  <c r="LX70" i="48"/>
  <c r="KV71" i="48"/>
  <c r="KW71" i="48"/>
  <c r="KX71" i="48"/>
  <c r="KY71" i="48"/>
  <c r="KZ71" i="48"/>
  <c r="LA71" i="48"/>
  <c r="LB71" i="48"/>
  <c r="LC71" i="48"/>
  <c r="LD71" i="48"/>
  <c r="LE71" i="48"/>
  <c r="LF71" i="48"/>
  <c r="LG71" i="48"/>
  <c r="LH71" i="48"/>
  <c r="LI71" i="48"/>
  <c r="LJ71" i="48"/>
  <c r="LK71" i="48"/>
  <c r="LL71" i="48"/>
  <c r="LM71" i="48"/>
  <c r="LN71" i="48"/>
  <c r="LO71" i="48"/>
  <c r="LP71" i="48"/>
  <c r="LQ71" i="48"/>
  <c r="LR71" i="48"/>
  <c r="LS71" i="48"/>
  <c r="LT71" i="48"/>
  <c r="LU71" i="48"/>
  <c r="LV71" i="48"/>
  <c r="LW71" i="48"/>
  <c r="LX71" i="48"/>
  <c r="KV72" i="48"/>
  <c r="KW72" i="48"/>
  <c r="KX72" i="48"/>
  <c r="KY72" i="48"/>
  <c r="KZ72" i="48"/>
  <c r="LA72" i="48"/>
  <c r="LB72" i="48"/>
  <c r="LC72" i="48"/>
  <c r="LD72" i="48"/>
  <c r="LE72" i="48"/>
  <c r="LF72" i="48"/>
  <c r="LG72" i="48"/>
  <c r="LH72" i="48"/>
  <c r="LI72" i="48"/>
  <c r="LJ72" i="48"/>
  <c r="LK72" i="48"/>
  <c r="LL72" i="48"/>
  <c r="LM72" i="48"/>
  <c r="LN72" i="48"/>
  <c r="LO72" i="48"/>
  <c r="LP72" i="48"/>
  <c r="LQ72" i="48"/>
  <c r="LR72" i="48"/>
  <c r="LS72" i="48"/>
  <c r="LT72" i="48"/>
  <c r="LU72" i="48"/>
  <c r="LV72" i="48"/>
  <c r="LW72" i="48"/>
  <c r="LX72" i="48"/>
  <c r="KV73" i="48"/>
  <c r="KW73" i="48"/>
  <c r="KX73" i="48"/>
  <c r="KY73" i="48"/>
  <c r="KZ73" i="48"/>
  <c r="LA73" i="48"/>
  <c r="LB73" i="48"/>
  <c r="LC73" i="48"/>
  <c r="LD73" i="48"/>
  <c r="LE73" i="48"/>
  <c r="LF73" i="48"/>
  <c r="LG73" i="48"/>
  <c r="LH73" i="48"/>
  <c r="LI73" i="48"/>
  <c r="LJ73" i="48"/>
  <c r="LK73" i="48"/>
  <c r="LL73" i="48"/>
  <c r="LM73" i="48"/>
  <c r="LN73" i="48"/>
  <c r="LO73" i="48"/>
  <c r="LP73" i="48"/>
  <c r="LQ73" i="48"/>
  <c r="LR73" i="48"/>
  <c r="LS73" i="48"/>
  <c r="LT73" i="48"/>
  <c r="LU73" i="48"/>
  <c r="LV73" i="48"/>
  <c r="LW73" i="48"/>
  <c r="LX73" i="48"/>
  <c r="KV74" i="48"/>
  <c r="KW74" i="48"/>
  <c r="KX74" i="48"/>
  <c r="KY74" i="48"/>
  <c r="KZ74" i="48"/>
  <c r="LA74" i="48"/>
  <c r="LB74" i="48"/>
  <c r="LC74" i="48"/>
  <c r="LD74" i="48"/>
  <c r="LE74" i="48"/>
  <c r="LF74" i="48"/>
  <c r="LG74" i="48"/>
  <c r="LH74" i="48"/>
  <c r="LI74" i="48"/>
  <c r="LJ74" i="48"/>
  <c r="LK74" i="48"/>
  <c r="LL74" i="48"/>
  <c r="LM74" i="48"/>
  <c r="LN74" i="48"/>
  <c r="LO74" i="48"/>
  <c r="LP74" i="48"/>
  <c r="LQ74" i="48"/>
  <c r="LR74" i="48"/>
  <c r="LS74" i="48"/>
  <c r="LT74" i="48"/>
  <c r="LU74" i="48"/>
  <c r="LV74" i="48"/>
  <c r="LW74" i="48"/>
  <c r="LX74" i="48"/>
  <c r="KU67" i="48"/>
  <c r="KU68" i="48"/>
  <c r="KU69" i="48"/>
  <c r="KU70" i="48"/>
  <c r="KU71" i="48"/>
  <c r="KU72" i="48"/>
  <c r="KU73" i="48"/>
  <c r="KU74" i="48"/>
  <c r="KU66" i="48"/>
  <c r="JQ66" i="48"/>
  <c r="JR66" i="48"/>
  <c r="JS66" i="48"/>
  <c r="JT66" i="48"/>
  <c r="JU66" i="48"/>
  <c r="JV66" i="48"/>
  <c r="JW66" i="48"/>
  <c r="JX66" i="48"/>
  <c r="JY66" i="48"/>
  <c r="JZ66" i="48"/>
  <c r="KA66" i="48"/>
  <c r="KB66" i="48"/>
  <c r="KC66" i="48"/>
  <c r="KD66" i="48"/>
  <c r="KE66" i="48"/>
  <c r="KF66" i="48"/>
  <c r="KG66" i="48"/>
  <c r="KH66" i="48"/>
  <c r="KI66" i="48"/>
  <c r="KJ66" i="48"/>
  <c r="KK66" i="48"/>
  <c r="KL66" i="48"/>
  <c r="KM66" i="48"/>
  <c r="KN66" i="48"/>
  <c r="KO66" i="48"/>
  <c r="KP66" i="48"/>
  <c r="KQ66" i="48"/>
  <c r="KR66" i="48"/>
  <c r="KS66" i="48"/>
  <c r="KT66" i="48"/>
  <c r="JQ67" i="48"/>
  <c r="JR67" i="48"/>
  <c r="JS67" i="48"/>
  <c r="JT67" i="48"/>
  <c r="JU67" i="48"/>
  <c r="JV67" i="48"/>
  <c r="JW67" i="48"/>
  <c r="JX67" i="48"/>
  <c r="JY67" i="48"/>
  <c r="JZ67" i="48"/>
  <c r="KA67" i="48"/>
  <c r="KB67" i="48"/>
  <c r="KC67" i="48"/>
  <c r="KD67" i="48"/>
  <c r="KE67" i="48"/>
  <c r="KF67" i="48"/>
  <c r="KG67" i="48"/>
  <c r="KH67" i="48"/>
  <c r="KI67" i="48"/>
  <c r="KJ67" i="48"/>
  <c r="KK67" i="48"/>
  <c r="KL67" i="48"/>
  <c r="KM67" i="48"/>
  <c r="KN67" i="48"/>
  <c r="KO67" i="48"/>
  <c r="KP67" i="48"/>
  <c r="KQ67" i="48"/>
  <c r="KR67" i="48"/>
  <c r="KS67" i="48"/>
  <c r="KT67" i="48"/>
  <c r="JQ68" i="48"/>
  <c r="JR68" i="48"/>
  <c r="JS68" i="48"/>
  <c r="JT68" i="48"/>
  <c r="JU68" i="48"/>
  <c r="JV68" i="48"/>
  <c r="JW68" i="48"/>
  <c r="JX68" i="48"/>
  <c r="JY68" i="48"/>
  <c r="JZ68" i="48"/>
  <c r="KA68" i="48"/>
  <c r="KB68" i="48"/>
  <c r="KC68" i="48"/>
  <c r="KD68" i="48"/>
  <c r="KE68" i="48"/>
  <c r="KF68" i="48"/>
  <c r="KG68" i="48"/>
  <c r="KH68" i="48"/>
  <c r="KI68" i="48"/>
  <c r="KJ68" i="48"/>
  <c r="KK68" i="48"/>
  <c r="KL68" i="48"/>
  <c r="KM68" i="48"/>
  <c r="KN68" i="48"/>
  <c r="KO68" i="48"/>
  <c r="KP68" i="48"/>
  <c r="KQ68" i="48"/>
  <c r="KR68" i="48"/>
  <c r="KS68" i="48"/>
  <c r="KT68" i="48"/>
  <c r="JQ69" i="48"/>
  <c r="JR69" i="48"/>
  <c r="JS69" i="48"/>
  <c r="JT69" i="48"/>
  <c r="JU69" i="48"/>
  <c r="JV69" i="48"/>
  <c r="JW69" i="48"/>
  <c r="JX69" i="48"/>
  <c r="JY69" i="48"/>
  <c r="JZ69" i="48"/>
  <c r="KA69" i="48"/>
  <c r="KB69" i="48"/>
  <c r="KC69" i="48"/>
  <c r="KD69" i="48"/>
  <c r="KE69" i="48"/>
  <c r="KF69" i="48"/>
  <c r="KG69" i="48"/>
  <c r="KH69" i="48"/>
  <c r="KI69" i="48"/>
  <c r="KJ69" i="48"/>
  <c r="KK69" i="48"/>
  <c r="KL69" i="48"/>
  <c r="KM69" i="48"/>
  <c r="KN69" i="48"/>
  <c r="KO69" i="48"/>
  <c r="KP69" i="48"/>
  <c r="KQ69" i="48"/>
  <c r="KR69" i="48"/>
  <c r="KS69" i="48"/>
  <c r="KT69" i="48"/>
  <c r="JQ70" i="48"/>
  <c r="JR70" i="48"/>
  <c r="JS70" i="48"/>
  <c r="JT70" i="48"/>
  <c r="JU70" i="48"/>
  <c r="JV70" i="48"/>
  <c r="JW70" i="48"/>
  <c r="JX70" i="48"/>
  <c r="JY70" i="48"/>
  <c r="JZ70" i="48"/>
  <c r="KA70" i="48"/>
  <c r="KB70" i="48"/>
  <c r="KC70" i="48"/>
  <c r="KD70" i="48"/>
  <c r="KE70" i="48"/>
  <c r="KF70" i="48"/>
  <c r="KG70" i="48"/>
  <c r="KH70" i="48"/>
  <c r="KI70" i="48"/>
  <c r="KJ70" i="48"/>
  <c r="KK70" i="48"/>
  <c r="KL70" i="48"/>
  <c r="KM70" i="48"/>
  <c r="KN70" i="48"/>
  <c r="KO70" i="48"/>
  <c r="KP70" i="48"/>
  <c r="KQ70" i="48"/>
  <c r="KR70" i="48"/>
  <c r="KS70" i="48"/>
  <c r="KT70" i="48"/>
  <c r="JQ71" i="48"/>
  <c r="JR71" i="48"/>
  <c r="JS71" i="48"/>
  <c r="JT71" i="48"/>
  <c r="JU71" i="48"/>
  <c r="JV71" i="48"/>
  <c r="JW71" i="48"/>
  <c r="JX71" i="48"/>
  <c r="JY71" i="48"/>
  <c r="JZ71" i="48"/>
  <c r="KA71" i="48"/>
  <c r="KB71" i="48"/>
  <c r="KC71" i="48"/>
  <c r="KD71" i="48"/>
  <c r="KE71" i="48"/>
  <c r="KF71" i="48"/>
  <c r="KG71" i="48"/>
  <c r="KH71" i="48"/>
  <c r="KI71" i="48"/>
  <c r="KJ71" i="48"/>
  <c r="KK71" i="48"/>
  <c r="KL71" i="48"/>
  <c r="KM71" i="48"/>
  <c r="KN71" i="48"/>
  <c r="KO71" i="48"/>
  <c r="KP71" i="48"/>
  <c r="KQ71" i="48"/>
  <c r="KR71" i="48"/>
  <c r="KS71" i="48"/>
  <c r="KT71" i="48"/>
  <c r="JQ72" i="48"/>
  <c r="JR72" i="48"/>
  <c r="JS72" i="48"/>
  <c r="JT72" i="48"/>
  <c r="JU72" i="48"/>
  <c r="JV72" i="48"/>
  <c r="JW72" i="48"/>
  <c r="JX72" i="48"/>
  <c r="JY72" i="48"/>
  <c r="JZ72" i="48"/>
  <c r="KA72" i="48"/>
  <c r="KB72" i="48"/>
  <c r="KC72" i="48"/>
  <c r="KD72" i="48"/>
  <c r="KE72" i="48"/>
  <c r="KF72" i="48"/>
  <c r="KG72" i="48"/>
  <c r="KH72" i="48"/>
  <c r="KI72" i="48"/>
  <c r="KJ72" i="48"/>
  <c r="KK72" i="48"/>
  <c r="KL72" i="48"/>
  <c r="KM72" i="48"/>
  <c r="KN72" i="48"/>
  <c r="KO72" i="48"/>
  <c r="KP72" i="48"/>
  <c r="KQ72" i="48"/>
  <c r="KR72" i="48"/>
  <c r="KS72" i="48"/>
  <c r="KT72" i="48"/>
  <c r="JQ73" i="48"/>
  <c r="JR73" i="48"/>
  <c r="JS73" i="48"/>
  <c r="JT73" i="48"/>
  <c r="JU73" i="48"/>
  <c r="JV73" i="48"/>
  <c r="JW73" i="48"/>
  <c r="JX73" i="48"/>
  <c r="JY73" i="48"/>
  <c r="JZ73" i="48"/>
  <c r="KA73" i="48"/>
  <c r="KB73" i="48"/>
  <c r="KC73" i="48"/>
  <c r="KD73" i="48"/>
  <c r="KE73" i="48"/>
  <c r="KF73" i="48"/>
  <c r="KG73" i="48"/>
  <c r="KH73" i="48"/>
  <c r="KI73" i="48"/>
  <c r="KJ73" i="48"/>
  <c r="KK73" i="48"/>
  <c r="KL73" i="48"/>
  <c r="KM73" i="48"/>
  <c r="KN73" i="48"/>
  <c r="KO73" i="48"/>
  <c r="KP73" i="48"/>
  <c r="KQ73" i="48"/>
  <c r="KR73" i="48"/>
  <c r="KS73" i="48"/>
  <c r="KT73" i="48"/>
  <c r="JQ74" i="48"/>
  <c r="JR74" i="48"/>
  <c r="JS74" i="48"/>
  <c r="JT74" i="48"/>
  <c r="JU74" i="48"/>
  <c r="JV74" i="48"/>
  <c r="JW74" i="48"/>
  <c r="JX74" i="48"/>
  <c r="JY74" i="48"/>
  <c r="JZ74" i="48"/>
  <c r="KA74" i="48"/>
  <c r="KB74" i="48"/>
  <c r="KC74" i="48"/>
  <c r="KD74" i="48"/>
  <c r="KE74" i="48"/>
  <c r="KF74" i="48"/>
  <c r="KG74" i="48"/>
  <c r="KH74" i="48"/>
  <c r="KI74" i="48"/>
  <c r="KJ74" i="48"/>
  <c r="KK74" i="48"/>
  <c r="KL74" i="48"/>
  <c r="KM74" i="48"/>
  <c r="KN74" i="48"/>
  <c r="KO74" i="48"/>
  <c r="KP74" i="48"/>
  <c r="KQ74" i="48"/>
  <c r="KR74" i="48"/>
  <c r="KS74" i="48"/>
  <c r="KT74" i="48"/>
  <c r="JP67" i="48"/>
  <c r="JP68" i="48"/>
  <c r="JP69" i="48"/>
  <c r="JP70" i="48"/>
  <c r="JP71" i="48"/>
  <c r="JP72" i="48"/>
  <c r="JP73" i="48"/>
  <c r="JP74" i="48"/>
  <c r="JP66" i="48"/>
  <c r="IU66" i="48"/>
  <c r="IW66" i="48"/>
  <c r="IS67" i="48"/>
  <c r="IW67" i="48"/>
  <c r="IX67" i="48"/>
  <c r="IX68" i="48"/>
  <c r="IU69" i="48"/>
  <c r="IS70" i="48"/>
  <c r="IS71" i="48"/>
  <c r="IT71" i="48"/>
  <c r="IS72" i="48"/>
  <c r="IT72" i="48"/>
  <c r="IU72" i="48"/>
  <c r="IU73" i="48"/>
  <c r="IV73" i="48"/>
  <c r="IU74" i="48"/>
  <c r="IW74" i="48"/>
  <c r="HH66" i="48"/>
  <c r="HI66" i="48"/>
  <c r="HJ66" i="48"/>
  <c r="HK66" i="48"/>
  <c r="HL66" i="48"/>
  <c r="HM66" i="48"/>
  <c r="HN66" i="48"/>
  <c r="HO66" i="48"/>
  <c r="HP66" i="48"/>
  <c r="HQ66" i="48"/>
  <c r="HR66" i="48"/>
  <c r="HS66" i="48"/>
  <c r="HT66" i="48"/>
  <c r="HU66" i="48"/>
  <c r="HV66" i="48"/>
  <c r="HW66" i="48"/>
  <c r="HX66" i="48"/>
  <c r="HY66" i="48"/>
  <c r="HZ66" i="48"/>
  <c r="IA66" i="48"/>
  <c r="IB66" i="48"/>
  <c r="HH67" i="48"/>
  <c r="HI67" i="48"/>
  <c r="HJ67" i="48"/>
  <c r="HK67" i="48"/>
  <c r="HL67" i="48"/>
  <c r="HM67" i="48"/>
  <c r="HN67" i="48"/>
  <c r="HO67" i="48"/>
  <c r="HP67" i="48"/>
  <c r="HQ67" i="48"/>
  <c r="HR67" i="48"/>
  <c r="HS67" i="48"/>
  <c r="HT67" i="48"/>
  <c r="HU67" i="48"/>
  <c r="HV67" i="48"/>
  <c r="HW67" i="48"/>
  <c r="HX67" i="48"/>
  <c r="HY67" i="48"/>
  <c r="HZ67" i="48"/>
  <c r="IA67" i="48"/>
  <c r="IB67" i="48"/>
  <c r="HH68" i="48"/>
  <c r="HI68" i="48"/>
  <c r="HJ68" i="48"/>
  <c r="HK68" i="48"/>
  <c r="HL68" i="48"/>
  <c r="HM68" i="48"/>
  <c r="HN68" i="48"/>
  <c r="HO68" i="48"/>
  <c r="HP68" i="48"/>
  <c r="HQ68" i="48"/>
  <c r="HR68" i="48"/>
  <c r="HS68" i="48"/>
  <c r="HT68" i="48"/>
  <c r="HU68" i="48"/>
  <c r="HV68" i="48"/>
  <c r="HW68" i="48"/>
  <c r="HX68" i="48"/>
  <c r="HY68" i="48"/>
  <c r="HZ68" i="48"/>
  <c r="IA68" i="48"/>
  <c r="IB68" i="48"/>
  <c r="HH69" i="48"/>
  <c r="HI69" i="48"/>
  <c r="HJ69" i="48"/>
  <c r="HK69" i="48"/>
  <c r="HL69" i="48"/>
  <c r="HM69" i="48"/>
  <c r="HN69" i="48"/>
  <c r="HO69" i="48"/>
  <c r="HP69" i="48"/>
  <c r="HQ69" i="48"/>
  <c r="HR69" i="48"/>
  <c r="HS69" i="48"/>
  <c r="HT69" i="48"/>
  <c r="HU69" i="48"/>
  <c r="HV69" i="48"/>
  <c r="HW69" i="48"/>
  <c r="HX69" i="48"/>
  <c r="HY69" i="48"/>
  <c r="HZ69" i="48"/>
  <c r="IA69" i="48"/>
  <c r="IB69" i="48"/>
  <c r="HH70" i="48"/>
  <c r="HI70" i="48"/>
  <c r="HJ70" i="48"/>
  <c r="HK70" i="48"/>
  <c r="HL70" i="48"/>
  <c r="HM70" i="48"/>
  <c r="HN70" i="48"/>
  <c r="HO70" i="48"/>
  <c r="HP70" i="48"/>
  <c r="HQ70" i="48"/>
  <c r="HR70" i="48"/>
  <c r="HS70" i="48"/>
  <c r="HT70" i="48"/>
  <c r="HU70" i="48"/>
  <c r="HV70" i="48"/>
  <c r="HW70" i="48"/>
  <c r="HX70" i="48"/>
  <c r="HY70" i="48"/>
  <c r="HZ70" i="48"/>
  <c r="IA70" i="48"/>
  <c r="IB70" i="48"/>
  <c r="HH71" i="48"/>
  <c r="HI71" i="48"/>
  <c r="HJ71" i="48"/>
  <c r="HK71" i="48"/>
  <c r="HL71" i="48"/>
  <c r="HM71" i="48"/>
  <c r="HN71" i="48"/>
  <c r="HO71" i="48"/>
  <c r="HP71" i="48"/>
  <c r="HQ71" i="48"/>
  <c r="HR71" i="48"/>
  <c r="HS71" i="48"/>
  <c r="HT71" i="48"/>
  <c r="HU71" i="48"/>
  <c r="HV71" i="48"/>
  <c r="HW71" i="48"/>
  <c r="HX71" i="48"/>
  <c r="HY71" i="48"/>
  <c r="HZ71" i="48"/>
  <c r="IA71" i="48"/>
  <c r="IB71" i="48"/>
  <c r="HH72" i="48"/>
  <c r="HI72" i="48"/>
  <c r="HJ72" i="48"/>
  <c r="HK72" i="48"/>
  <c r="HL72" i="48"/>
  <c r="HM72" i="48"/>
  <c r="HN72" i="48"/>
  <c r="HO72" i="48"/>
  <c r="HP72" i="48"/>
  <c r="HQ72" i="48"/>
  <c r="HR72" i="48"/>
  <c r="HS72" i="48"/>
  <c r="HT72" i="48"/>
  <c r="HU72" i="48"/>
  <c r="HV72" i="48"/>
  <c r="HW72" i="48"/>
  <c r="HX72" i="48"/>
  <c r="HY72" i="48"/>
  <c r="HZ72" i="48"/>
  <c r="IA72" i="48"/>
  <c r="IB72" i="48"/>
  <c r="HH73" i="48"/>
  <c r="HI73" i="48"/>
  <c r="HJ73" i="48"/>
  <c r="HK73" i="48"/>
  <c r="HL73" i="48"/>
  <c r="HM73" i="48"/>
  <c r="HN73" i="48"/>
  <c r="HO73" i="48"/>
  <c r="HP73" i="48"/>
  <c r="HQ73" i="48"/>
  <c r="HR73" i="48"/>
  <c r="HS73" i="48"/>
  <c r="HT73" i="48"/>
  <c r="HU73" i="48"/>
  <c r="HV73" i="48"/>
  <c r="HW73" i="48"/>
  <c r="HX73" i="48"/>
  <c r="HY73" i="48"/>
  <c r="HZ73" i="48"/>
  <c r="IA73" i="48"/>
  <c r="IB73" i="48"/>
  <c r="HH74" i="48"/>
  <c r="HI74" i="48"/>
  <c r="HJ74" i="48"/>
  <c r="HK74" i="48"/>
  <c r="HL74" i="48"/>
  <c r="HM74" i="48"/>
  <c r="HN74" i="48"/>
  <c r="HO74" i="48"/>
  <c r="HP74" i="48"/>
  <c r="HQ74" i="48"/>
  <c r="HR74" i="48"/>
  <c r="HS74" i="48"/>
  <c r="HT74" i="48"/>
  <c r="HU74" i="48"/>
  <c r="HV74" i="48"/>
  <c r="HW74" i="48"/>
  <c r="HX74" i="48"/>
  <c r="HY74" i="48"/>
  <c r="HZ74" i="48"/>
  <c r="IA74" i="48"/>
  <c r="IB74" i="48"/>
  <c r="HG67" i="48"/>
  <c r="HG68" i="48"/>
  <c r="HG69" i="48"/>
  <c r="HG70" i="48"/>
  <c r="HG71" i="48"/>
  <c r="HG72" i="48"/>
  <c r="HG73" i="48"/>
  <c r="HG74" i="48"/>
  <c r="HG66" i="48"/>
  <c r="GC66" i="48"/>
  <c r="GD66" i="48"/>
  <c r="GE66" i="48"/>
  <c r="GF66" i="48"/>
  <c r="GG66" i="48"/>
  <c r="GH66" i="48"/>
  <c r="GI66" i="48"/>
  <c r="GJ66" i="48"/>
  <c r="GK66" i="48"/>
  <c r="GL66" i="48"/>
  <c r="GM66" i="48"/>
  <c r="GN66" i="48"/>
  <c r="GO66" i="48"/>
  <c r="GP66" i="48"/>
  <c r="GQ66" i="48"/>
  <c r="GR66" i="48"/>
  <c r="GS66" i="48"/>
  <c r="GT66" i="48"/>
  <c r="GU66" i="48"/>
  <c r="GV66" i="48"/>
  <c r="GW66" i="48"/>
  <c r="GX66" i="48"/>
  <c r="GY66" i="48"/>
  <c r="GZ66" i="48"/>
  <c r="HA66" i="48"/>
  <c r="HB66" i="48"/>
  <c r="HC66" i="48"/>
  <c r="HD66" i="48"/>
  <c r="HE66" i="48"/>
  <c r="HF66" i="48"/>
  <c r="GC67" i="48"/>
  <c r="GD67" i="48"/>
  <c r="GE67" i="48"/>
  <c r="GF67" i="48"/>
  <c r="GG67" i="48"/>
  <c r="GH67" i="48"/>
  <c r="GI67" i="48"/>
  <c r="GJ67" i="48"/>
  <c r="GK67" i="48"/>
  <c r="GL67" i="48"/>
  <c r="GM67" i="48"/>
  <c r="GN67" i="48"/>
  <c r="GO67" i="48"/>
  <c r="GP67" i="48"/>
  <c r="GQ67" i="48"/>
  <c r="GR67" i="48"/>
  <c r="GS67" i="48"/>
  <c r="GT67" i="48"/>
  <c r="GU67" i="48"/>
  <c r="GV67" i="48"/>
  <c r="GW67" i="48"/>
  <c r="GX67" i="48"/>
  <c r="GY67" i="48"/>
  <c r="GZ67" i="48"/>
  <c r="HA67" i="48"/>
  <c r="HB67" i="48"/>
  <c r="HC67" i="48"/>
  <c r="HD67" i="48"/>
  <c r="HE67" i="48"/>
  <c r="HF67" i="48"/>
  <c r="GC68" i="48"/>
  <c r="GD68" i="48"/>
  <c r="GE68" i="48"/>
  <c r="GF68" i="48"/>
  <c r="GG68" i="48"/>
  <c r="GH68" i="48"/>
  <c r="GI68" i="48"/>
  <c r="GJ68" i="48"/>
  <c r="GK68" i="48"/>
  <c r="GL68" i="48"/>
  <c r="GM68" i="48"/>
  <c r="GN68" i="48"/>
  <c r="GO68" i="48"/>
  <c r="GP68" i="48"/>
  <c r="GQ68" i="48"/>
  <c r="GR68" i="48"/>
  <c r="GS68" i="48"/>
  <c r="GT68" i="48"/>
  <c r="GU68" i="48"/>
  <c r="GV68" i="48"/>
  <c r="GW68" i="48"/>
  <c r="GX68" i="48"/>
  <c r="GY68" i="48"/>
  <c r="GZ68" i="48"/>
  <c r="HA68" i="48"/>
  <c r="HB68" i="48"/>
  <c r="HC68" i="48"/>
  <c r="HD68" i="48"/>
  <c r="HE68" i="48"/>
  <c r="HF68" i="48"/>
  <c r="GC69" i="48"/>
  <c r="GD69" i="48"/>
  <c r="GE69" i="48"/>
  <c r="GF69" i="48"/>
  <c r="GG69" i="48"/>
  <c r="GH69" i="48"/>
  <c r="GI69" i="48"/>
  <c r="GJ69" i="48"/>
  <c r="GK69" i="48"/>
  <c r="GL69" i="48"/>
  <c r="GM69" i="48"/>
  <c r="GN69" i="48"/>
  <c r="GO69" i="48"/>
  <c r="GP69" i="48"/>
  <c r="GQ69" i="48"/>
  <c r="GR69" i="48"/>
  <c r="GS69" i="48"/>
  <c r="GT69" i="48"/>
  <c r="GU69" i="48"/>
  <c r="GV69" i="48"/>
  <c r="GW69" i="48"/>
  <c r="GX69" i="48"/>
  <c r="GY69" i="48"/>
  <c r="GZ69" i="48"/>
  <c r="HA69" i="48"/>
  <c r="HB69" i="48"/>
  <c r="HC69" i="48"/>
  <c r="HD69" i="48"/>
  <c r="HE69" i="48"/>
  <c r="HF69" i="48"/>
  <c r="GC70" i="48"/>
  <c r="GD70" i="48"/>
  <c r="GE70" i="48"/>
  <c r="GF70" i="48"/>
  <c r="GG70" i="48"/>
  <c r="GH70" i="48"/>
  <c r="GI70" i="48"/>
  <c r="GJ70" i="48"/>
  <c r="GK70" i="48"/>
  <c r="GL70" i="48"/>
  <c r="GM70" i="48"/>
  <c r="GN70" i="48"/>
  <c r="GO70" i="48"/>
  <c r="GP70" i="48"/>
  <c r="GQ70" i="48"/>
  <c r="GR70" i="48"/>
  <c r="GS70" i="48"/>
  <c r="GT70" i="48"/>
  <c r="GU70" i="48"/>
  <c r="GV70" i="48"/>
  <c r="GW70" i="48"/>
  <c r="GX70" i="48"/>
  <c r="GY70" i="48"/>
  <c r="GZ70" i="48"/>
  <c r="HA70" i="48"/>
  <c r="HB70" i="48"/>
  <c r="HC70" i="48"/>
  <c r="HD70" i="48"/>
  <c r="HE70" i="48"/>
  <c r="HF70" i="48"/>
  <c r="GC71" i="48"/>
  <c r="GD71" i="48"/>
  <c r="GE71" i="48"/>
  <c r="GF71" i="48"/>
  <c r="GG71" i="48"/>
  <c r="GH71" i="48"/>
  <c r="GI71" i="48"/>
  <c r="GJ71" i="48"/>
  <c r="GK71" i="48"/>
  <c r="GL71" i="48"/>
  <c r="GM71" i="48"/>
  <c r="GN71" i="48"/>
  <c r="GO71" i="48"/>
  <c r="GP71" i="48"/>
  <c r="GQ71" i="48"/>
  <c r="GR71" i="48"/>
  <c r="GS71" i="48"/>
  <c r="GT71" i="48"/>
  <c r="GU71" i="48"/>
  <c r="GV71" i="48"/>
  <c r="GW71" i="48"/>
  <c r="GX71" i="48"/>
  <c r="GY71" i="48"/>
  <c r="GZ71" i="48"/>
  <c r="HA71" i="48"/>
  <c r="HB71" i="48"/>
  <c r="HC71" i="48"/>
  <c r="HD71" i="48"/>
  <c r="HE71" i="48"/>
  <c r="HF71" i="48"/>
  <c r="GC72" i="48"/>
  <c r="GD72" i="48"/>
  <c r="GE72" i="48"/>
  <c r="GF72" i="48"/>
  <c r="GG72" i="48"/>
  <c r="GH72" i="48"/>
  <c r="GI72" i="48"/>
  <c r="GJ72" i="48"/>
  <c r="GK72" i="48"/>
  <c r="GL72" i="48"/>
  <c r="GM72" i="48"/>
  <c r="GN72" i="48"/>
  <c r="GO72" i="48"/>
  <c r="GP72" i="48"/>
  <c r="GQ72" i="48"/>
  <c r="GR72" i="48"/>
  <c r="GS72" i="48"/>
  <c r="GT72" i="48"/>
  <c r="GU72" i="48"/>
  <c r="GV72" i="48"/>
  <c r="GW72" i="48"/>
  <c r="GX72" i="48"/>
  <c r="GY72" i="48"/>
  <c r="GZ72" i="48"/>
  <c r="HA72" i="48"/>
  <c r="HB72" i="48"/>
  <c r="HC72" i="48"/>
  <c r="HD72" i="48"/>
  <c r="HE72" i="48"/>
  <c r="HF72" i="48"/>
  <c r="GC73" i="48"/>
  <c r="GD73" i="48"/>
  <c r="GE73" i="48"/>
  <c r="GF73" i="48"/>
  <c r="GG73" i="48"/>
  <c r="GH73" i="48"/>
  <c r="GI73" i="48"/>
  <c r="GJ73" i="48"/>
  <c r="GK73" i="48"/>
  <c r="GL73" i="48"/>
  <c r="GM73" i="48"/>
  <c r="GN73" i="48"/>
  <c r="GO73" i="48"/>
  <c r="GP73" i="48"/>
  <c r="GQ73" i="48"/>
  <c r="GR73" i="48"/>
  <c r="GS73" i="48"/>
  <c r="GT73" i="48"/>
  <c r="GU73" i="48"/>
  <c r="GV73" i="48"/>
  <c r="GW73" i="48"/>
  <c r="GX73" i="48"/>
  <c r="GY73" i="48"/>
  <c r="GZ73" i="48"/>
  <c r="HA73" i="48"/>
  <c r="HB73" i="48"/>
  <c r="HC73" i="48"/>
  <c r="HD73" i="48"/>
  <c r="HE73" i="48"/>
  <c r="HF73" i="48"/>
  <c r="GC74" i="48"/>
  <c r="GD74" i="48"/>
  <c r="GE74" i="48"/>
  <c r="GF74" i="48"/>
  <c r="GG74" i="48"/>
  <c r="GH74" i="48"/>
  <c r="GI74" i="48"/>
  <c r="GJ74" i="48"/>
  <c r="GK74" i="48"/>
  <c r="GL74" i="48"/>
  <c r="GM74" i="48"/>
  <c r="GN74" i="48"/>
  <c r="GO74" i="48"/>
  <c r="GP74" i="48"/>
  <c r="GQ74" i="48"/>
  <c r="GR74" i="48"/>
  <c r="GS74" i="48"/>
  <c r="GT74" i="48"/>
  <c r="GU74" i="48"/>
  <c r="GV74" i="48"/>
  <c r="GW74" i="48"/>
  <c r="GX74" i="48"/>
  <c r="GY74" i="48"/>
  <c r="GZ74" i="48"/>
  <c r="HA74" i="48"/>
  <c r="HB74" i="48"/>
  <c r="HC74" i="48"/>
  <c r="HD74" i="48"/>
  <c r="HE74" i="48"/>
  <c r="HF74" i="48"/>
  <c r="GB67" i="48"/>
  <c r="GB68" i="48"/>
  <c r="GB69" i="48"/>
  <c r="GB70" i="48"/>
  <c r="GB71" i="48"/>
  <c r="GB72" i="48"/>
  <c r="GB73" i="48"/>
  <c r="GB74" i="48"/>
  <c r="GB66" i="48"/>
  <c r="FI66" i="48"/>
  <c r="FM66" i="48"/>
  <c r="FN66" i="48"/>
  <c r="FO66" i="48"/>
  <c r="FP66" i="48"/>
  <c r="FQ66" i="48"/>
  <c r="FR66" i="48"/>
  <c r="FS66" i="48"/>
  <c r="FT66" i="48"/>
  <c r="FU66" i="48"/>
  <c r="FV66" i="48"/>
  <c r="FW66" i="48"/>
  <c r="FX66" i="48"/>
  <c r="FY66" i="48"/>
  <c r="FZ66" i="48"/>
  <c r="GA66" i="48"/>
  <c r="FM67" i="48"/>
  <c r="FN67" i="48"/>
  <c r="FO67" i="48"/>
  <c r="FP67" i="48"/>
  <c r="FQ67" i="48"/>
  <c r="FR67" i="48"/>
  <c r="FS67" i="48"/>
  <c r="FT67" i="48"/>
  <c r="FU67" i="48"/>
  <c r="FV67" i="48"/>
  <c r="FW67" i="48"/>
  <c r="FX67" i="48"/>
  <c r="FY67" i="48"/>
  <c r="FZ67" i="48"/>
  <c r="GA67" i="48"/>
  <c r="FJ68" i="48"/>
  <c r="FM68" i="48"/>
  <c r="FN68" i="48"/>
  <c r="FO68" i="48"/>
  <c r="FP68" i="48"/>
  <c r="FQ68" i="48"/>
  <c r="FR68" i="48"/>
  <c r="FS68" i="48"/>
  <c r="FT68" i="48"/>
  <c r="FU68" i="48"/>
  <c r="FV68" i="48"/>
  <c r="FW68" i="48"/>
  <c r="FX68" i="48"/>
  <c r="FY68" i="48"/>
  <c r="FZ68" i="48"/>
  <c r="GA68" i="48"/>
  <c r="FM69" i="48"/>
  <c r="FN69" i="48"/>
  <c r="FO69" i="48"/>
  <c r="FP69" i="48"/>
  <c r="FQ69" i="48"/>
  <c r="FR69" i="48"/>
  <c r="FS69" i="48"/>
  <c r="FT69" i="48"/>
  <c r="FU69" i="48"/>
  <c r="FV69" i="48"/>
  <c r="FW69" i="48"/>
  <c r="FX69" i="48"/>
  <c r="FY69" i="48"/>
  <c r="FZ69" i="48"/>
  <c r="GA69" i="48"/>
  <c r="FL70" i="48"/>
  <c r="FM70" i="48"/>
  <c r="FN70" i="48"/>
  <c r="FO70" i="48"/>
  <c r="FP70" i="48"/>
  <c r="FQ70" i="48"/>
  <c r="FR70" i="48"/>
  <c r="FS70" i="48"/>
  <c r="FT70" i="48"/>
  <c r="FU70" i="48"/>
  <c r="FV70" i="48"/>
  <c r="FW70" i="48"/>
  <c r="FX70" i="48"/>
  <c r="FY70" i="48"/>
  <c r="FZ70" i="48"/>
  <c r="GA70" i="48"/>
  <c r="FH71" i="48"/>
  <c r="FM71" i="48"/>
  <c r="FN71" i="48"/>
  <c r="FO71" i="48"/>
  <c r="FP71" i="48"/>
  <c r="FQ71" i="48"/>
  <c r="FR71" i="48"/>
  <c r="FS71" i="48"/>
  <c r="FT71" i="48"/>
  <c r="FU71" i="48"/>
  <c r="FV71" i="48"/>
  <c r="FW71" i="48"/>
  <c r="FX71" i="48"/>
  <c r="FY71" i="48"/>
  <c r="FZ71" i="48"/>
  <c r="GA71" i="48"/>
  <c r="FM72" i="48"/>
  <c r="FN72" i="48"/>
  <c r="FO72" i="48"/>
  <c r="FP72" i="48"/>
  <c r="FQ72" i="48"/>
  <c r="FR72" i="48"/>
  <c r="FS72" i="48"/>
  <c r="FT72" i="48"/>
  <c r="FU72" i="48"/>
  <c r="FV72" i="48"/>
  <c r="FW72" i="48"/>
  <c r="FX72" i="48"/>
  <c r="FY72" i="48"/>
  <c r="FZ72" i="48"/>
  <c r="GA72" i="48"/>
  <c r="FI73" i="48"/>
  <c r="FM73" i="48"/>
  <c r="FN73" i="48"/>
  <c r="FO73" i="48"/>
  <c r="FP73" i="48"/>
  <c r="FQ73" i="48"/>
  <c r="FR73" i="48"/>
  <c r="FS73" i="48"/>
  <c r="FT73" i="48"/>
  <c r="FU73" i="48"/>
  <c r="FV73" i="48"/>
  <c r="FW73" i="48"/>
  <c r="FX73" i="48"/>
  <c r="FY73" i="48"/>
  <c r="FZ73" i="48"/>
  <c r="GA73" i="48"/>
  <c r="FM74" i="48"/>
  <c r="FN74" i="48"/>
  <c r="FO74" i="48"/>
  <c r="FP74" i="48"/>
  <c r="FQ74" i="48"/>
  <c r="FR74" i="48"/>
  <c r="FS74" i="48"/>
  <c r="FT74" i="48"/>
  <c r="FU74" i="48"/>
  <c r="FV74" i="48"/>
  <c r="FW74" i="48"/>
  <c r="FX74" i="48"/>
  <c r="FY74" i="48"/>
  <c r="FZ74" i="48"/>
  <c r="GA74" i="48"/>
  <c r="C5" i="56" l="1"/>
  <c r="C4" i="56"/>
  <c r="C3" i="56"/>
  <c r="C2" i="56"/>
  <c r="C10" i="56"/>
  <c r="C9" i="56"/>
  <c r="C8" i="56"/>
  <c r="JO70" i="48"/>
  <c r="JN66" i="48"/>
  <c r="JO74" i="48"/>
  <c r="JO72" i="48"/>
  <c r="JN71" i="48"/>
  <c r="JM68" i="48"/>
  <c r="JO67" i="48"/>
  <c r="JN72" i="48"/>
  <c r="JO69" i="48"/>
  <c r="JI66" i="48"/>
  <c r="JN73" i="48"/>
  <c r="JN69" i="48"/>
  <c r="JN68" i="48"/>
  <c r="JL72" i="48"/>
  <c r="JN67" i="48"/>
  <c r="JK70" i="48"/>
  <c r="JO71" i="48"/>
  <c r="JH69" i="48"/>
  <c r="JH71" i="48"/>
  <c r="JN74" i="48"/>
  <c r="JJ73" i="48"/>
  <c r="JH66" i="48"/>
  <c r="JH73" i="48"/>
  <c r="JJ66" i="48"/>
  <c r="JJ74" i="48"/>
  <c r="JN70" i="48"/>
  <c r="JO68" i="48"/>
  <c r="JH67" i="48"/>
  <c r="JI71" i="48"/>
  <c r="JO73" i="48"/>
  <c r="JH68" i="48"/>
  <c r="JH74" i="48"/>
  <c r="JL68" i="48"/>
  <c r="JL70" i="48"/>
  <c r="JO66" i="48"/>
  <c r="JK74" i="48"/>
  <c r="JH72" i="48"/>
  <c r="JL69" i="48"/>
  <c r="JM69" i="48"/>
  <c r="JL73" i="48"/>
  <c r="JJ69" i="48"/>
  <c r="JL74" i="48"/>
  <c r="JM70" i="48"/>
  <c r="JL71" i="48"/>
  <c r="JJ70" i="48"/>
  <c r="JM67" i="48"/>
  <c r="JK69" i="48"/>
  <c r="JI74" i="48"/>
  <c r="JK68" i="48"/>
  <c r="JI73" i="48"/>
  <c r="JK72" i="48"/>
  <c r="JH70" i="48"/>
  <c r="JI69" i="48"/>
  <c r="JJ68" i="48"/>
  <c r="JK67" i="48"/>
  <c r="JI70" i="48"/>
  <c r="JL67" i="48"/>
  <c r="JJ72" i="48"/>
  <c r="JM71" i="48"/>
  <c r="JI68" i="48"/>
  <c r="JJ67" i="48"/>
  <c r="JM66" i="48"/>
  <c r="JM74" i="48"/>
  <c r="JI72" i="48"/>
  <c r="JI67" i="48"/>
  <c r="JL66" i="48"/>
  <c r="JK71" i="48"/>
  <c r="JK66" i="48"/>
  <c r="JM73" i="48"/>
  <c r="JJ71" i="48"/>
  <c r="JK73" i="48"/>
  <c r="JM72" i="48"/>
  <c r="JG74" i="48"/>
  <c r="JG71" i="48"/>
  <c r="JG72" i="48"/>
  <c r="JG68" i="48"/>
  <c r="JG66" i="48"/>
  <c r="JG73" i="48"/>
  <c r="JG67" i="48"/>
  <c r="JG70" i="48"/>
  <c r="JG69" i="48"/>
  <c r="JD68" i="48"/>
  <c r="JE74" i="48"/>
  <c r="JC67" i="48"/>
  <c r="JC72" i="48"/>
  <c r="IZ66" i="48"/>
  <c r="JC68" i="48"/>
  <c r="IZ68" i="48"/>
  <c r="JA74" i="48"/>
  <c r="JA73" i="48"/>
  <c r="JA72" i="48"/>
  <c r="JD71" i="48"/>
  <c r="JB70" i="48"/>
  <c r="JA69" i="48"/>
  <c r="JB68" i="48"/>
  <c r="JA67" i="48"/>
  <c r="JD66" i="48"/>
  <c r="JF66" i="48"/>
  <c r="IZ74" i="48"/>
  <c r="JB69" i="48"/>
  <c r="JE67" i="48"/>
  <c r="JD72" i="48"/>
  <c r="JD67" i="48"/>
  <c r="JC69" i="48"/>
  <c r="JB73" i="48"/>
  <c r="JA70" i="48"/>
  <c r="IZ70" i="48"/>
  <c r="JF70" i="48"/>
  <c r="JF71" i="48"/>
  <c r="JF67" i="48"/>
  <c r="JF74" i="48"/>
  <c r="IZ73" i="48"/>
  <c r="JB72" i="48"/>
  <c r="JE71" i="48"/>
  <c r="IZ69" i="48"/>
  <c r="JA68" i="48"/>
  <c r="JB67" i="48"/>
  <c r="JE66" i="48"/>
  <c r="JD74" i="48"/>
  <c r="JF73" i="48"/>
  <c r="IZ72" i="48"/>
  <c r="JC71" i="48"/>
  <c r="JE70" i="48"/>
  <c r="JF69" i="48"/>
  <c r="IZ67" i="48"/>
  <c r="JC66" i="48"/>
  <c r="JC74" i="48"/>
  <c r="JE73" i="48"/>
  <c r="JB71" i="48"/>
  <c r="JD70" i="48"/>
  <c r="JE69" i="48"/>
  <c r="JF68" i="48"/>
  <c r="JB66" i="48"/>
  <c r="JB74" i="48"/>
  <c r="JD73" i="48"/>
  <c r="JF72" i="48"/>
  <c r="JA71" i="48"/>
  <c r="JC70" i="48"/>
  <c r="JD69" i="48"/>
  <c r="JE68" i="48"/>
  <c r="JA66" i="48"/>
  <c r="JC73" i="48"/>
  <c r="JE72" i="48"/>
  <c r="IZ71" i="48"/>
  <c r="IY66" i="48"/>
  <c r="IY71" i="48"/>
  <c r="IY73" i="48"/>
  <c r="IY67" i="48"/>
  <c r="IY68" i="48"/>
  <c r="IY70" i="48"/>
  <c r="IY74" i="48"/>
  <c r="IY72" i="48"/>
  <c r="IY69" i="48"/>
  <c r="IT74" i="48"/>
  <c r="IS73" i="48"/>
  <c r="IX70" i="48"/>
  <c r="IW69" i="48"/>
  <c r="IV68" i="48"/>
  <c r="IU67" i="48"/>
  <c r="IT66" i="48"/>
  <c r="IT73" i="48"/>
  <c r="IX69" i="48"/>
  <c r="IW68" i="48"/>
  <c r="IV67" i="48"/>
  <c r="IS74" i="48"/>
  <c r="IX71" i="48"/>
  <c r="IW70" i="48"/>
  <c r="IV69" i="48"/>
  <c r="IU68" i="48"/>
  <c r="IT67" i="48"/>
  <c r="IS66" i="48"/>
  <c r="IV66" i="48"/>
  <c r="IT68" i="48"/>
  <c r="IX73" i="48"/>
  <c r="IW72" i="48"/>
  <c r="IV71" i="48"/>
  <c r="IU70" i="48"/>
  <c r="IT69" i="48"/>
  <c r="IS68" i="48"/>
  <c r="IX74" i="48"/>
  <c r="IL67" i="48"/>
  <c r="IM74" i="48"/>
  <c r="IQ66" i="48"/>
  <c r="IL74" i="48"/>
  <c r="IO73" i="48"/>
  <c r="IO72" i="48"/>
  <c r="IO68" i="48"/>
  <c r="IL70" i="48"/>
  <c r="IP67" i="48"/>
  <c r="IM70" i="48"/>
  <c r="IM66" i="48"/>
  <c r="IL68" i="48"/>
  <c r="IM72" i="48"/>
  <c r="IL66" i="48"/>
  <c r="IL71" i="48"/>
  <c r="IM69" i="48"/>
  <c r="IM67" i="48"/>
  <c r="IO67" i="48"/>
  <c r="IP73" i="48"/>
  <c r="IQ68" i="48"/>
  <c r="IN73" i="48"/>
  <c r="IR73" i="48"/>
  <c r="IQ70" i="48"/>
  <c r="IQ74" i="48"/>
  <c r="IP71" i="48"/>
  <c r="IO70" i="48"/>
  <c r="IR69" i="48"/>
  <c r="IR66" i="48"/>
  <c r="IN69" i="48"/>
  <c r="IN67" i="48"/>
  <c r="IO66" i="48"/>
  <c r="IN70" i="48"/>
  <c r="IR71" i="48"/>
  <c r="IN74" i="48"/>
  <c r="IO74" i="48"/>
  <c r="IQ73" i="48"/>
  <c r="IP72" i="48"/>
  <c r="IQ71" i="48"/>
  <c r="IP70" i="48"/>
  <c r="IP68" i="48"/>
  <c r="IP66" i="48"/>
  <c r="IL73" i="48"/>
  <c r="IP74" i="48"/>
  <c r="IM73" i="48"/>
  <c r="IR72" i="48"/>
  <c r="IO71" i="48"/>
  <c r="IQ69" i="48"/>
  <c r="IN68" i="48"/>
  <c r="IL72" i="48"/>
  <c r="IQ72" i="48"/>
  <c r="IN71" i="48"/>
  <c r="IP69" i="48"/>
  <c r="IM68" i="48"/>
  <c r="IR67" i="48"/>
  <c r="IM71" i="48"/>
  <c r="IR70" i="48"/>
  <c r="IO69" i="48"/>
  <c r="IQ67" i="48"/>
  <c r="IN66" i="48"/>
  <c r="IL69" i="48"/>
  <c r="IN72" i="48"/>
  <c r="IR68" i="48"/>
  <c r="IR74" i="48"/>
  <c r="ID67" i="48"/>
  <c r="IH69" i="48"/>
  <c r="II72" i="48"/>
  <c r="IC72" i="48"/>
  <c r="II69" i="48"/>
  <c r="IE74" i="48"/>
  <c r="IE67" i="48"/>
  <c r="IE69" i="48"/>
  <c r="IE68" i="48"/>
  <c r="IE71" i="48"/>
  <c r="IE73" i="48"/>
  <c r="ID68" i="48"/>
  <c r="ID69" i="48"/>
  <c r="ID74" i="48"/>
  <c r="ID72" i="48"/>
  <c r="IH73" i="48"/>
  <c r="ID71" i="48"/>
  <c r="ID73" i="48"/>
  <c r="IH67" i="48"/>
  <c r="IC67" i="48"/>
  <c r="II66" i="48"/>
  <c r="IH66" i="48"/>
  <c r="ID70" i="48"/>
  <c r="IE66" i="48"/>
  <c r="IE70" i="48"/>
  <c r="IC74" i="48"/>
  <c r="IC70" i="48"/>
  <c r="ID66" i="48"/>
  <c r="IH74" i="48"/>
  <c r="II71" i="48"/>
  <c r="IH68" i="48"/>
  <c r="IK66" i="48"/>
  <c r="IC66" i="48"/>
  <c r="IH71" i="48"/>
  <c r="II68" i="48"/>
  <c r="II74" i="48"/>
  <c r="IJ71" i="48"/>
  <c r="II73" i="48"/>
  <c r="IG67" i="48"/>
  <c r="IK73" i="48"/>
  <c r="IF74" i="48"/>
  <c r="IJ66" i="48"/>
  <c r="IJ73" i="48"/>
  <c r="IG71" i="48"/>
  <c r="IF69" i="48"/>
  <c r="IK68" i="48"/>
  <c r="IG73" i="48"/>
  <c r="IF71" i="48"/>
  <c r="IK70" i="48"/>
  <c r="IJ68" i="48"/>
  <c r="IG69" i="48"/>
  <c r="IJ70" i="48"/>
  <c r="IG66" i="48"/>
  <c r="IK74" i="48"/>
  <c r="IJ72" i="48"/>
  <c r="II70" i="48"/>
  <c r="IF66" i="48"/>
  <c r="IJ74" i="48"/>
  <c r="IH70" i="48"/>
  <c r="IG68" i="48"/>
  <c r="IK72" i="48"/>
  <c r="IG70" i="48"/>
  <c r="IF68" i="48"/>
  <c r="IK67" i="48"/>
  <c r="IG72" i="48"/>
  <c r="IF70" i="48"/>
  <c r="IJ67" i="48"/>
  <c r="IG74" i="48"/>
  <c r="IF72" i="48"/>
  <c r="IK69" i="48"/>
  <c r="II67" i="48"/>
  <c r="IF67" i="48"/>
  <c r="IF73" i="48"/>
  <c r="IK71" i="48"/>
  <c r="IJ69" i="48"/>
  <c r="IC68" i="48"/>
  <c r="IC73" i="48"/>
  <c r="IC71" i="48"/>
  <c r="IC69" i="48"/>
  <c r="FK73" i="48"/>
  <c r="FJ71" i="48"/>
  <c r="FI69" i="48"/>
  <c r="FH67" i="48"/>
  <c r="FL66" i="48"/>
  <c r="FJ73" i="48"/>
  <c r="FI71" i="48"/>
  <c r="FH69" i="48"/>
  <c r="FL68" i="48"/>
  <c r="FJ66" i="48"/>
  <c r="FH73" i="48"/>
  <c r="FL72" i="48"/>
  <c r="FJ70" i="48"/>
  <c r="FI68" i="48"/>
  <c r="FK66" i="48"/>
  <c r="FH66" i="48"/>
  <c r="FL74" i="48"/>
  <c r="FJ72" i="48"/>
  <c r="FI70" i="48"/>
  <c r="FH68" i="48"/>
  <c r="FL67" i="48"/>
  <c r="FJ74" i="48"/>
  <c r="FI72" i="48"/>
  <c r="FH70" i="48"/>
  <c r="FL69" i="48"/>
  <c r="FK67" i="48"/>
  <c r="FI74" i="48"/>
  <c r="FH72" i="48"/>
  <c r="FL71" i="48"/>
  <c r="FJ67" i="48"/>
  <c r="FK74" i="48"/>
  <c r="FK72" i="48"/>
  <c r="FK70" i="48"/>
  <c r="FK68" i="48"/>
  <c r="EZ69" i="48"/>
  <c r="EY70" i="48"/>
  <c r="FA69" i="48"/>
  <c r="EZ73" i="48"/>
  <c r="EZ66" i="48"/>
  <c r="FE68" i="48"/>
  <c r="FG66" i="48"/>
  <c r="FG70" i="48"/>
  <c r="FG67" i="48"/>
  <c r="FG73" i="48"/>
  <c r="FG68" i="48"/>
  <c r="FG71" i="48"/>
  <c r="FG74" i="48"/>
  <c r="FG69" i="48"/>
  <c r="EZ72" i="48"/>
  <c r="FF67" i="48"/>
  <c r="FD67" i="48"/>
  <c r="FC67" i="48"/>
  <c r="EY71" i="48"/>
  <c r="FA71" i="48"/>
  <c r="EY74" i="48"/>
  <c r="EY68" i="48"/>
  <c r="EY67" i="48"/>
  <c r="EZ74" i="48"/>
  <c r="FF73" i="48"/>
  <c r="FC73" i="48"/>
  <c r="FC72" i="48"/>
  <c r="FA73" i="48"/>
  <c r="FA72" i="48"/>
  <c r="FC71" i="48"/>
  <c r="FC69" i="48"/>
  <c r="FC70" i="48"/>
  <c r="FF68" i="48"/>
  <c r="FD68" i="48"/>
  <c r="FF70" i="48"/>
  <c r="EY72" i="48"/>
  <c r="EZ71" i="48"/>
  <c r="FC68" i="48"/>
  <c r="FD69" i="48"/>
  <c r="EY69" i="48"/>
  <c r="FA68" i="48"/>
  <c r="EY73" i="48"/>
  <c r="FE70" i="48"/>
  <c r="FA67" i="48"/>
  <c r="FD73" i="48"/>
  <c r="FD70" i="48"/>
  <c r="EZ67" i="48"/>
  <c r="FC74" i="48"/>
  <c r="FA70" i="48"/>
  <c r="FA74" i="48"/>
  <c r="EZ70" i="48"/>
  <c r="EX69" i="48"/>
  <c r="EY66" i="48"/>
  <c r="EX68" i="48"/>
  <c r="FD66" i="48"/>
  <c r="EX66" i="48"/>
  <c r="EX67" i="48"/>
  <c r="EX70" i="48"/>
  <c r="EX74" i="48"/>
  <c r="EX73" i="48"/>
  <c r="EX72" i="48"/>
  <c r="FC66" i="48"/>
  <c r="EX71" i="48"/>
  <c r="FA66" i="48"/>
  <c r="FF74" i="48"/>
  <c r="FF69" i="48"/>
  <c r="FF71" i="48"/>
  <c r="FF72" i="48"/>
  <c r="FF66" i="48"/>
  <c r="FE72" i="48"/>
  <c r="FE67" i="48"/>
  <c r="FE74" i="48"/>
  <c r="FE69" i="48"/>
  <c r="FE71" i="48"/>
  <c r="FE66" i="48"/>
  <c r="FE73" i="48"/>
  <c r="FD74" i="48"/>
  <c r="FD71" i="48"/>
  <c r="FB69" i="48"/>
  <c r="FB70" i="48"/>
  <c r="FB74" i="48"/>
  <c r="FB68" i="48"/>
  <c r="FB73" i="48"/>
  <c r="FB66" i="48"/>
  <c r="FB71" i="48"/>
  <c r="FB67" i="48"/>
  <c r="FB72" i="48"/>
  <c r="D10" i="56" l="1"/>
  <c r="G10" i="56" s="1"/>
  <c r="D6" i="56"/>
  <c r="G6" i="56" s="1"/>
  <c r="EF22" i="48"/>
  <c r="EF23" i="48"/>
  <c r="J2" i="54"/>
  <c r="A5" i="44" l="1"/>
  <c r="A6" i="44"/>
  <c r="A7" i="44"/>
  <c r="A8" i="44"/>
  <c r="A9" i="44"/>
  <c r="A10" i="44"/>
  <c r="A11" i="44"/>
  <c r="A12" i="44"/>
  <c r="A13" i="44"/>
  <c r="A14" i="44"/>
  <c r="A15" i="44"/>
  <c r="A16" i="44"/>
  <c r="A17" i="44"/>
  <c r="A18" i="44"/>
  <c r="A19" i="44"/>
  <c r="A20" i="44"/>
  <c r="A21" i="44"/>
  <c r="A22" i="44"/>
  <c r="A23" i="44"/>
  <c r="A24" i="44"/>
  <c r="A25" i="44"/>
  <c r="A26" i="44"/>
  <c r="A27" i="44"/>
  <c r="X22" i="48" l="1"/>
  <c r="Y22" i="48"/>
  <c r="Z22" i="48"/>
  <c r="AA22" i="48"/>
  <c r="ND53" i="48"/>
  <c r="NE53" i="48"/>
  <c r="NF53" i="48"/>
  <c r="NG53" i="48"/>
  <c r="NH53" i="48"/>
  <c r="NI53" i="48"/>
  <c r="NJ53" i="48"/>
  <c r="NK53" i="48"/>
  <c r="NL53" i="48"/>
  <c r="NM53" i="48"/>
  <c r="NN53" i="48"/>
  <c r="NO53" i="48"/>
  <c r="NP53" i="48"/>
  <c r="NQ53" i="48"/>
  <c r="NR53" i="48"/>
  <c r="NS53" i="48"/>
  <c r="NT53" i="48"/>
  <c r="NU53" i="48"/>
  <c r="NV53" i="48"/>
  <c r="NW53" i="48"/>
  <c r="NX53" i="48"/>
  <c r="NY53" i="48"/>
  <c r="NZ53" i="48"/>
  <c r="OA53" i="48"/>
  <c r="OB53" i="48"/>
  <c r="OC53" i="48"/>
  <c r="OD53" i="48"/>
  <c r="OE53" i="48"/>
  <c r="OF53" i="48"/>
  <c r="OG53" i="48"/>
  <c r="OH53" i="48"/>
  <c r="OI53" i="48"/>
  <c r="OJ53" i="48"/>
  <c r="OK53" i="48"/>
  <c r="OL53" i="48"/>
  <c r="OM53" i="48"/>
  <c r="ON53" i="48"/>
  <c r="OO53" i="48"/>
  <c r="OP53" i="48"/>
  <c r="OQ53" i="48"/>
  <c r="OR53" i="48"/>
  <c r="OS53" i="48"/>
  <c r="OT53" i="48"/>
  <c r="OU53" i="48"/>
  <c r="OV53" i="48"/>
  <c r="OW53" i="48"/>
  <c r="OX53" i="48"/>
  <c r="OY53" i="48"/>
  <c r="OZ53" i="48"/>
  <c r="PA53" i="48"/>
  <c r="PB53" i="48"/>
  <c r="PC53" i="48"/>
  <c r="PD53" i="48"/>
  <c r="PE53" i="48"/>
  <c r="PF53" i="48"/>
  <c r="PG53" i="48"/>
  <c r="PH53" i="48"/>
  <c r="PI53" i="48"/>
  <c r="PJ53" i="48"/>
  <c r="PK53" i="48"/>
  <c r="PL53" i="48"/>
  <c r="PM53" i="48"/>
  <c r="PN53" i="48"/>
  <c r="PO53" i="48"/>
  <c r="PP53" i="48"/>
  <c r="PQ53" i="48"/>
  <c r="PR53" i="48"/>
  <c r="PS53" i="48"/>
  <c r="PT53" i="48"/>
  <c r="PU53" i="48"/>
  <c r="PV53" i="48"/>
  <c r="PW53" i="48"/>
  <c r="PX53" i="48"/>
  <c r="PY53" i="48"/>
  <c r="PZ53" i="48"/>
  <c r="QA53" i="48"/>
  <c r="QB53" i="48"/>
  <c r="QC53" i="48"/>
  <c r="QD53" i="48"/>
  <c r="QE53" i="48"/>
  <c r="QF53" i="48"/>
  <c r="QG53" i="48"/>
  <c r="QH53" i="48"/>
  <c r="QI53" i="48"/>
  <c r="QJ53" i="48"/>
  <c r="QK53" i="48"/>
  <c r="QL53" i="48"/>
  <c r="QM53" i="48"/>
  <c r="QN53" i="48"/>
  <c r="QO53" i="48"/>
  <c r="QP53" i="48"/>
  <c r="QQ53" i="48"/>
  <c r="QR53" i="48"/>
  <c r="QS53" i="48"/>
  <c r="QT53" i="48"/>
  <c r="QU53" i="48"/>
  <c r="QV53" i="48"/>
  <c r="QW53" i="48"/>
  <c r="QX53" i="48"/>
  <c r="QY53" i="48"/>
  <c r="QZ53" i="48"/>
  <c r="RA53" i="48"/>
  <c r="RB53" i="48"/>
  <c r="RC53" i="48"/>
  <c r="RD53" i="48"/>
  <c r="RE53" i="48"/>
  <c r="RF53" i="48"/>
  <c r="RG53" i="48"/>
  <c r="RH53" i="48"/>
  <c r="RI53" i="48"/>
  <c r="RJ53" i="48"/>
  <c r="RK53" i="48"/>
  <c r="RL53" i="48"/>
  <c r="RM53" i="48"/>
  <c r="RN53" i="48"/>
  <c r="RO53" i="48"/>
  <c r="RP53" i="48"/>
  <c r="RQ53" i="48"/>
  <c r="RR53" i="48"/>
  <c r="RS53" i="48"/>
  <c r="RT53" i="48"/>
  <c r="RU53" i="48"/>
  <c r="RV53" i="48"/>
  <c r="RW53" i="48"/>
  <c r="RX53" i="48"/>
  <c r="RY53" i="48"/>
  <c r="RZ53" i="48"/>
  <c r="SA53" i="48"/>
  <c r="SB53" i="48"/>
  <c r="SC53" i="48"/>
  <c r="SD53" i="48"/>
  <c r="SE53" i="48"/>
  <c r="SF53" i="48"/>
  <c r="SG53" i="48"/>
  <c r="SH53" i="48"/>
  <c r="SI53" i="48"/>
  <c r="SJ53" i="48"/>
  <c r="SK53" i="48"/>
  <c r="SL53" i="48"/>
  <c r="SM53" i="48"/>
  <c r="SN53" i="48"/>
  <c r="SO53" i="48"/>
  <c r="SP53" i="48"/>
  <c r="SQ53" i="48"/>
  <c r="SR53" i="48"/>
  <c r="SS53" i="48"/>
  <c r="ST53" i="48"/>
  <c r="SU53" i="48"/>
  <c r="SV53" i="48"/>
  <c r="SW53" i="48"/>
  <c r="ND54" i="48"/>
  <c r="NE54" i="48"/>
  <c r="NF54" i="48"/>
  <c r="NG54" i="48"/>
  <c r="NH54" i="48"/>
  <c r="NI54" i="48"/>
  <c r="NJ54" i="48"/>
  <c r="NK54" i="48"/>
  <c r="NL54" i="48"/>
  <c r="NM54" i="48"/>
  <c r="NN54" i="48"/>
  <c r="NO54" i="48"/>
  <c r="NP54" i="48"/>
  <c r="NQ54" i="48"/>
  <c r="NR54" i="48"/>
  <c r="NS54" i="48"/>
  <c r="NT54" i="48"/>
  <c r="NU54" i="48"/>
  <c r="NV54" i="48"/>
  <c r="NW54" i="48"/>
  <c r="NX54" i="48"/>
  <c r="NY54" i="48"/>
  <c r="NZ54" i="48"/>
  <c r="OA54" i="48"/>
  <c r="OB54" i="48"/>
  <c r="OC54" i="48"/>
  <c r="OD54" i="48"/>
  <c r="OE54" i="48"/>
  <c r="OF54" i="48"/>
  <c r="OG54" i="48"/>
  <c r="OH54" i="48"/>
  <c r="OI54" i="48"/>
  <c r="OJ54" i="48"/>
  <c r="OK54" i="48"/>
  <c r="OL54" i="48"/>
  <c r="OM54" i="48"/>
  <c r="ON54" i="48"/>
  <c r="OO54" i="48"/>
  <c r="OP54" i="48"/>
  <c r="OQ54" i="48"/>
  <c r="OR54" i="48"/>
  <c r="OS54" i="48"/>
  <c r="OT54" i="48"/>
  <c r="OU54" i="48"/>
  <c r="OV54" i="48"/>
  <c r="OW54" i="48"/>
  <c r="OX54" i="48"/>
  <c r="OY54" i="48"/>
  <c r="OZ54" i="48"/>
  <c r="PA54" i="48"/>
  <c r="PB54" i="48"/>
  <c r="PC54" i="48"/>
  <c r="PD54" i="48"/>
  <c r="PE54" i="48"/>
  <c r="PF54" i="48"/>
  <c r="PG54" i="48"/>
  <c r="PH54" i="48"/>
  <c r="PI54" i="48"/>
  <c r="PJ54" i="48"/>
  <c r="PK54" i="48"/>
  <c r="PL54" i="48"/>
  <c r="PM54" i="48"/>
  <c r="PN54" i="48"/>
  <c r="PO54" i="48"/>
  <c r="PP54" i="48"/>
  <c r="PQ54" i="48"/>
  <c r="PR54" i="48"/>
  <c r="PS54" i="48"/>
  <c r="PT54" i="48"/>
  <c r="PU54" i="48"/>
  <c r="PV54" i="48"/>
  <c r="PW54" i="48"/>
  <c r="PX54" i="48"/>
  <c r="PY54" i="48"/>
  <c r="PZ54" i="48"/>
  <c r="QA54" i="48"/>
  <c r="QB54" i="48"/>
  <c r="QC54" i="48"/>
  <c r="QD54" i="48"/>
  <c r="QE54" i="48"/>
  <c r="QF54" i="48"/>
  <c r="QG54" i="48"/>
  <c r="QH54" i="48"/>
  <c r="QI54" i="48"/>
  <c r="QJ54" i="48"/>
  <c r="QK54" i="48"/>
  <c r="QL54" i="48"/>
  <c r="QM54" i="48"/>
  <c r="QN54" i="48"/>
  <c r="QO54" i="48"/>
  <c r="QP54" i="48"/>
  <c r="QQ54" i="48"/>
  <c r="QR54" i="48"/>
  <c r="QS54" i="48"/>
  <c r="QT54" i="48"/>
  <c r="QU54" i="48"/>
  <c r="QV54" i="48"/>
  <c r="QW54" i="48"/>
  <c r="QX54" i="48"/>
  <c r="QY54" i="48"/>
  <c r="QZ54" i="48"/>
  <c r="RA54" i="48"/>
  <c r="RB54" i="48"/>
  <c r="RC54" i="48"/>
  <c r="RD54" i="48"/>
  <c r="RE54" i="48"/>
  <c r="RF54" i="48"/>
  <c r="RG54" i="48"/>
  <c r="RH54" i="48"/>
  <c r="RI54" i="48"/>
  <c r="RJ54" i="48"/>
  <c r="RK54" i="48"/>
  <c r="RL54" i="48"/>
  <c r="RM54" i="48"/>
  <c r="RN54" i="48"/>
  <c r="RO54" i="48"/>
  <c r="RP54" i="48"/>
  <c r="RQ54" i="48"/>
  <c r="RR54" i="48"/>
  <c r="RS54" i="48"/>
  <c r="RT54" i="48"/>
  <c r="RU54" i="48"/>
  <c r="RV54" i="48"/>
  <c r="RW54" i="48"/>
  <c r="RX54" i="48"/>
  <c r="RY54" i="48"/>
  <c r="RZ54" i="48"/>
  <c r="SA54" i="48"/>
  <c r="SB54" i="48"/>
  <c r="SC54" i="48"/>
  <c r="SD54" i="48"/>
  <c r="SE54" i="48"/>
  <c r="SF54" i="48"/>
  <c r="SG54" i="48"/>
  <c r="SH54" i="48"/>
  <c r="SI54" i="48"/>
  <c r="SJ54" i="48"/>
  <c r="SK54" i="48"/>
  <c r="SL54" i="48"/>
  <c r="SM54" i="48"/>
  <c r="SN54" i="48"/>
  <c r="SO54" i="48"/>
  <c r="SP54" i="48"/>
  <c r="SQ54" i="48"/>
  <c r="SR54" i="48"/>
  <c r="SS54" i="48"/>
  <c r="ST54" i="48"/>
  <c r="SU54" i="48"/>
  <c r="SV54" i="48"/>
  <c r="SW54" i="48"/>
  <c r="ND55" i="48"/>
  <c r="NE55" i="48"/>
  <c r="NF55" i="48"/>
  <c r="NG55" i="48"/>
  <c r="NH55" i="48"/>
  <c r="NI55" i="48"/>
  <c r="NJ55" i="48"/>
  <c r="NK55" i="48"/>
  <c r="NL55" i="48"/>
  <c r="NM55" i="48"/>
  <c r="NN55" i="48"/>
  <c r="NO55" i="48"/>
  <c r="NP55" i="48"/>
  <c r="NQ55" i="48"/>
  <c r="NR55" i="48"/>
  <c r="NS55" i="48"/>
  <c r="NT55" i="48"/>
  <c r="NU55" i="48"/>
  <c r="NV55" i="48"/>
  <c r="NW55" i="48"/>
  <c r="NX55" i="48"/>
  <c r="NY55" i="48"/>
  <c r="NZ55" i="48"/>
  <c r="OA55" i="48"/>
  <c r="OB55" i="48"/>
  <c r="OC55" i="48"/>
  <c r="OD55" i="48"/>
  <c r="OE55" i="48"/>
  <c r="OF55" i="48"/>
  <c r="OG55" i="48"/>
  <c r="OH55" i="48"/>
  <c r="OI55" i="48"/>
  <c r="OJ55" i="48"/>
  <c r="OK55" i="48"/>
  <c r="OL55" i="48"/>
  <c r="OM55" i="48"/>
  <c r="ON55" i="48"/>
  <c r="OO55" i="48"/>
  <c r="OP55" i="48"/>
  <c r="OQ55" i="48"/>
  <c r="OR55" i="48"/>
  <c r="OS55" i="48"/>
  <c r="OT55" i="48"/>
  <c r="OU55" i="48"/>
  <c r="OV55" i="48"/>
  <c r="OW55" i="48"/>
  <c r="OX55" i="48"/>
  <c r="OY55" i="48"/>
  <c r="OZ55" i="48"/>
  <c r="PA55" i="48"/>
  <c r="PB55" i="48"/>
  <c r="PC55" i="48"/>
  <c r="PD55" i="48"/>
  <c r="PE55" i="48"/>
  <c r="PF55" i="48"/>
  <c r="PG55" i="48"/>
  <c r="PH55" i="48"/>
  <c r="PI55" i="48"/>
  <c r="PJ55" i="48"/>
  <c r="PK55" i="48"/>
  <c r="PL55" i="48"/>
  <c r="PM55" i="48"/>
  <c r="PN55" i="48"/>
  <c r="PO55" i="48"/>
  <c r="PP55" i="48"/>
  <c r="PQ55" i="48"/>
  <c r="PR55" i="48"/>
  <c r="PS55" i="48"/>
  <c r="PT55" i="48"/>
  <c r="PU55" i="48"/>
  <c r="PV55" i="48"/>
  <c r="PW55" i="48"/>
  <c r="PX55" i="48"/>
  <c r="PY55" i="48"/>
  <c r="PZ55" i="48"/>
  <c r="QA55" i="48"/>
  <c r="QB55" i="48"/>
  <c r="QC55" i="48"/>
  <c r="QD55" i="48"/>
  <c r="QE55" i="48"/>
  <c r="QF55" i="48"/>
  <c r="QG55" i="48"/>
  <c r="QH55" i="48"/>
  <c r="QI55" i="48"/>
  <c r="QJ55" i="48"/>
  <c r="QK55" i="48"/>
  <c r="QL55" i="48"/>
  <c r="QM55" i="48"/>
  <c r="QN55" i="48"/>
  <c r="QO55" i="48"/>
  <c r="QP55" i="48"/>
  <c r="QQ55" i="48"/>
  <c r="QR55" i="48"/>
  <c r="QS55" i="48"/>
  <c r="QT55" i="48"/>
  <c r="QU55" i="48"/>
  <c r="QV55" i="48"/>
  <c r="QW55" i="48"/>
  <c r="QX55" i="48"/>
  <c r="QY55" i="48"/>
  <c r="QZ55" i="48"/>
  <c r="RA55" i="48"/>
  <c r="RB55" i="48"/>
  <c r="RC55" i="48"/>
  <c r="RD55" i="48"/>
  <c r="RE55" i="48"/>
  <c r="RF55" i="48"/>
  <c r="RG55" i="48"/>
  <c r="RH55" i="48"/>
  <c r="RI55" i="48"/>
  <c r="RJ55" i="48"/>
  <c r="RK55" i="48"/>
  <c r="RL55" i="48"/>
  <c r="RM55" i="48"/>
  <c r="RN55" i="48"/>
  <c r="RO55" i="48"/>
  <c r="RP55" i="48"/>
  <c r="RQ55" i="48"/>
  <c r="RR55" i="48"/>
  <c r="RS55" i="48"/>
  <c r="RT55" i="48"/>
  <c r="RU55" i="48"/>
  <c r="RV55" i="48"/>
  <c r="RW55" i="48"/>
  <c r="RX55" i="48"/>
  <c r="RY55" i="48"/>
  <c r="RZ55" i="48"/>
  <c r="SA55" i="48"/>
  <c r="SB55" i="48"/>
  <c r="SC55" i="48"/>
  <c r="SD55" i="48"/>
  <c r="SE55" i="48"/>
  <c r="SF55" i="48"/>
  <c r="SG55" i="48"/>
  <c r="SH55" i="48"/>
  <c r="SI55" i="48"/>
  <c r="SJ55" i="48"/>
  <c r="SK55" i="48"/>
  <c r="SL55" i="48"/>
  <c r="SM55" i="48"/>
  <c r="SN55" i="48"/>
  <c r="SO55" i="48"/>
  <c r="SP55" i="48"/>
  <c r="SQ55" i="48"/>
  <c r="SR55" i="48"/>
  <c r="SS55" i="48"/>
  <c r="ST55" i="48"/>
  <c r="SU55" i="48"/>
  <c r="SV55" i="48"/>
  <c r="SW55" i="48"/>
  <c r="ND56" i="48"/>
  <c r="NE56" i="48"/>
  <c r="NF56" i="48"/>
  <c r="NG56" i="48"/>
  <c r="NH56" i="48"/>
  <c r="NI56" i="48"/>
  <c r="NJ56" i="48"/>
  <c r="NK56" i="48"/>
  <c r="NL56" i="48"/>
  <c r="NM56" i="48"/>
  <c r="NN56" i="48"/>
  <c r="NO56" i="48"/>
  <c r="NP56" i="48"/>
  <c r="NQ56" i="48"/>
  <c r="NR56" i="48"/>
  <c r="NS56" i="48"/>
  <c r="NT56" i="48"/>
  <c r="NU56" i="48"/>
  <c r="NV56" i="48"/>
  <c r="NW56" i="48"/>
  <c r="NX56" i="48"/>
  <c r="NY56" i="48"/>
  <c r="NZ56" i="48"/>
  <c r="OA56" i="48"/>
  <c r="OB56" i="48"/>
  <c r="OC56" i="48"/>
  <c r="OD56" i="48"/>
  <c r="OE56" i="48"/>
  <c r="OF56" i="48"/>
  <c r="OG56" i="48"/>
  <c r="OH56" i="48"/>
  <c r="OI56" i="48"/>
  <c r="OJ56" i="48"/>
  <c r="OK56" i="48"/>
  <c r="OL56" i="48"/>
  <c r="OM56" i="48"/>
  <c r="ON56" i="48"/>
  <c r="OO56" i="48"/>
  <c r="OP56" i="48"/>
  <c r="OQ56" i="48"/>
  <c r="OR56" i="48"/>
  <c r="OS56" i="48"/>
  <c r="OT56" i="48"/>
  <c r="OU56" i="48"/>
  <c r="OV56" i="48"/>
  <c r="OW56" i="48"/>
  <c r="OX56" i="48"/>
  <c r="OY56" i="48"/>
  <c r="OZ56" i="48"/>
  <c r="PA56" i="48"/>
  <c r="PB56" i="48"/>
  <c r="PC56" i="48"/>
  <c r="PD56" i="48"/>
  <c r="PE56" i="48"/>
  <c r="PF56" i="48"/>
  <c r="PG56" i="48"/>
  <c r="PH56" i="48"/>
  <c r="PI56" i="48"/>
  <c r="PJ56" i="48"/>
  <c r="PK56" i="48"/>
  <c r="PL56" i="48"/>
  <c r="PM56" i="48"/>
  <c r="PN56" i="48"/>
  <c r="PO56" i="48"/>
  <c r="PP56" i="48"/>
  <c r="PQ56" i="48"/>
  <c r="PR56" i="48"/>
  <c r="PS56" i="48"/>
  <c r="PT56" i="48"/>
  <c r="PU56" i="48"/>
  <c r="PV56" i="48"/>
  <c r="PW56" i="48"/>
  <c r="PX56" i="48"/>
  <c r="PY56" i="48"/>
  <c r="PZ56" i="48"/>
  <c r="QA56" i="48"/>
  <c r="QB56" i="48"/>
  <c r="QC56" i="48"/>
  <c r="QD56" i="48"/>
  <c r="QE56" i="48"/>
  <c r="QF56" i="48"/>
  <c r="QG56" i="48"/>
  <c r="QH56" i="48"/>
  <c r="QI56" i="48"/>
  <c r="QJ56" i="48"/>
  <c r="QK56" i="48"/>
  <c r="QL56" i="48"/>
  <c r="QM56" i="48"/>
  <c r="QN56" i="48"/>
  <c r="QO56" i="48"/>
  <c r="QP56" i="48"/>
  <c r="QQ56" i="48"/>
  <c r="QR56" i="48"/>
  <c r="QS56" i="48"/>
  <c r="QT56" i="48"/>
  <c r="QU56" i="48"/>
  <c r="QV56" i="48"/>
  <c r="QW56" i="48"/>
  <c r="QX56" i="48"/>
  <c r="QY56" i="48"/>
  <c r="QZ56" i="48"/>
  <c r="RA56" i="48"/>
  <c r="RB56" i="48"/>
  <c r="RC56" i="48"/>
  <c r="RD56" i="48"/>
  <c r="RE56" i="48"/>
  <c r="RF56" i="48"/>
  <c r="RG56" i="48"/>
  <c r="RH56" i="48"/>
  <c r="RI56" i="48"/>
  <c r="RJ56" i="48"/>
  <c r="RK56" i="48"/>
  <c r="RL56" i="48"/>
  <c r="RM56" i="48"/>
  <c r="RN56" i="48"/>
  <c r="RO56" i="48"/>
  <c r="RP56" i="48"/>
  <c r="RQ56" i="48"/>
  <c r="RR56" i="48"/>
  <c r="RS56" i="48"/>
  <c r="RT56" i="48"/>
  <c r="RU56" i="48"/>
  <c r="RV56" i="48"/>
  <c r="RW56" i="48"/>
  <c r="RX56" i="48"/>
  <c r="RY56" i="48"/>
  <c r="RZ56" i="48"/>
  <c r="SA56" i="48"/>
  <c r="SB56" i="48"/>
  <c r="SC56" i="48"/>
  <c r="SD56" i="48"/>
  <c r="SE56" i="48"/>
  <c r="SF56" i="48"/>
  <c r="SG56" i="48"/>
  <c r="SH56" i="48"/>
  <c r="SI56" i="48"/>
  <c r="SJ56" i="48"/>
  <c r="SK56" i="48"/>
  <c r="SL56" i="48"/>
  <c r="SM56" i="48"/>
  <c r="SN56" i="48"/>
  <c r="SO56" i="48"/>
  <c r="SP56" i="48"/>
  <c r="SQ56" i="48"/>
  <c r="SR56" i="48"/>
  <c r="SS56" i="48"/>
  <c r="ST56" i="48"/>
  <c r="SU56" i="48"/>
  <c r="SV56" i="48"/>
  <c r="SW56" i="48"/>
  <c r="ND57" i="48"/>
  <c r="NE57" i="48"/>
  <c r="NF57" i="48"/>
  <c r="NG57" i="48"/>
  <c r="NH57" i="48"/>
  <c r="NI57" i="48"/>
  <c r="NJ57" i="48"/>
  <c r="NK57" i="48"/>
  <c r="NL57" i="48"/>
  <c r="NM57" i="48"/>
  <c r="NN57" i="48"/>
  <c r="NO57" i="48"/>
  <c r="NP57" i="48"/>
  <c r="NQ57" i="48"/>
  <c r="NR57" i="48"/>
  <c r="NS57" i="48"/>
  <c r="NT57" i="48"/>
  <c r="NU57" i="48"/>
  <c r="NV57" i="48"/>
  <c r="NW57" i="48"/>
  <c r="NX57" i="48"/>
  <c r="NY57" i="48"/>
  <c r="NZ57" i="48"/>
  <c r="OA57" i="48"/>
  <c r="OB57" i="48"/>
  <c r="OC57" i="48"/>
  <c r="OD57" i="48"/>
  <c r="OE57" i="48"/>
  <c r="OF57" i="48"/>
  <c r="OG57" i="48"/>
  <c r="OH57" i="48"/>
  <c r="OI57" i="48"/>
  <c r="OJ57" i="48"/>
  <c r="OK57" i="48"/>
  <c r="OL57" i="48"/>
  <c r="OM57" i="48"/>
  <c r="ON57" i="48"/>
  <c r="OO57" i="48"/>
  <c r="OP57" i="48"/>
  <c r="OQ57" i="48"/>
  <c r="OR57" i="48"/>
  <c r="OS57" i="48"/>
  <c r="OT57" i="48"/>
  <c r="OU57" i="48"/>
  <c r="OV57" i="48"/>
  <c r="OW57" i="48"/>
  <c r="OX57" i="48"/>
  <c r="OY57" i="48"/>
  <c r="OZ57" i="48"/>
  <c r="PA57" i="48"/>
  <c r="PB57" i="48"/>
  <c r="PC57" i="48"/>
  <c r="PD57" i="48"/>
  <c r="PE57" i="48"/>
  <c r="PF57" i="48"/>
  <c r="PG57" i="48"/>
  <c r="PH57" i="48"/>
  <c r="PI57" i="48"/>
  <c r="PJ57" i="48"/>
  <c r="PK57" i="48"/>
  <c r="PL57" i="48"/>
  <c r="PM57" i="48"/>
  <c r="PN57" i="48"/>
  <c r="PO57" i="48"/>
  <c r="PP57" i="48"/>
  <c r="PQ57" i="48"/>
  <c r="PR57" i="48"/>
  <c r="PS57" i="48"/>
  <c r="PT57" i="48"/>
  <c r="PU57" i="48"/>
  <c r="PV57" i="48"/>
  <c r="PW57" i="48"/>
  <c r="PX57" i="48"/>
  <c r="PY57" i="48"/>
  <c r="PZ57" i="48"/>
  <c r="QA57" i="48"/>
  <c r="QB57" i="48"/>
  <c r="QC57" i="48"/>
  <c r="QD57" i="48"/>
  <c r="QE57" i="48"/>
  <c r="QF57" i="48"/>
  <c r="QG57" i="48"/>
  <c r="QH57" i="48"/>
  <c r="QI57" i="48"/>
  <c r="QJ57" i="48"/>
  <c r="QK57" i="48"/>
  <c r="QL57" i="48"/>
  <c r="QM57" i="48"/>
  <c r="QN57" i="48"/>
  <c r="QO57" i="48"/>
  <c r="QP57" i="48"/>
  <c r="QQ57" i="48"/>
  <c r="QR57" i="48"/>
  <c r="QS57" i="48"/>
  <c r="QT57" i="48"/>
  <c r="QU57" i="48"/>
  <c r="QV57" i="48"/>
  <c r="QW57" i="48"/>
  <c r="QX57" i="48"/>
  <c r="QY57" i="48"/>
  <c r="QZ57" i="48"/>
  <c r="RA57" i="48"/>
  <c r="RB57" i="48"/>
  <c r="RC57" i="48"/>
  <c r="RD57" i="48"/>
  <c r="RE57" i="48"/>
  <c r="RF57" i="48"/>
  <c r="RG57" i="48"/>
  <c r="RH57" i="48"/>
  <c r="RI57" i="48"/>
  <c r="RJ57" i="48"/>
  <c r="RK57" i="48"/>
  <c r="RL57" i="48"/>
  <c r="RM57" i="48"/>
  <c r="RN57" i="48"/>
  <c r="RO57" i="48"/>
  <c r="RP57" i="48"/>
  <c r="RQ57" i="48"/>
  <c r="RR57" i="48"/>
  <c r="RS57" i="48"/>
  <c r="RT57" i="48"/>
  <c r="RU57" i="48"/>
  <c r="RV57" i="48"/>
  <c r="RW57" i="48"/>
  <c r="RX57" i="48"/>
  <c r="RY57" i="48"/>
  <c r="RZ57" i="48"/>
  <c r="SA57" i="48"/>
  <c r="SB57" i="48"/>
  <c r="SC57" i="48"/>
  <c r="SD57" i="48"/>
  <c r="SE57" i="48"/>
  <c r="SF57" i="48"/>
  <c r="SG57" i="48"/>
  <c r="SH57" i="48"/>
  <c r="SI57" i="48"/>
  <c r="SJ57" i="48"/>
  <c r="SK57" i="48"/>
  <c r="SL57" i="48"/>
  <c r="SM57" i="48"/>
  <c r="SN57" i="48"/>
  <c r="SO57" i="48"/>
  <c r="SP57" i="48"/>
  <c r="SQ57" i="48"/>
  <c r="SR57" i="48"/>
  <c r="SS57" i="48"/>
  <c r="ST57" i="48"/>
  <c r="SU57" i="48"/>
  <c r="SV57" i="48"/>
  <c r="SW57" i="48"/>
  <c r="ND58" i="48"/>
  <c r="NE58" i="48"/>
  <c r="NF58" i="48"/>
  <c r="NG58" i="48"/>
  <c r="NH58" i="48"/>
  <c r="NI58" i="48"/>
  <c r="NJ58" i="48"/>
  <c r="NK58" i="48"/>
  <c r="NL58" i="48"/>
  <c r="NM58" i="48"/>
  <c r="NN58" i="48"/>
  <c r="NO58" i="48"/>
  <c r="NP58" i="48"/>
  <c r="NQ58" i="48"/>
  <c r="NR58" i="48"/>
  <c r="NS58" i="48"/>
  <c r="NT58" i="48"/>
  <c r="NU58" i="48"/>
  <c r="NV58" i="48"/>
  <c r="NW58" i="48"/>
  <c r="NX58" i="48"/>
  <c r="NY58" i="48"/>
  <c r="NZ58" i="48"/>
  <c r="OA58" i="48"/>
  <c r="OB58" i="48"/>
  <c r="OC58" i="48"/>
  <c r="OD58" i="48"/>
  <c r="OE58" i="48"/>
  <c r="OF58" i="48"/>
  <c r="OG58" i="48"/>
  <c r="OH58" i="48"/>
  <c r="OI58" i="48"/>
  <c r="OJ58" i="48"/>
  <c r="OK58" i="48"/>
  <c r="OL58" i="48"/>
  <c r="OM58" i="48"/>
  <c r="ON58" i="48"/>
  <c r="OO58" i="48"/>
  <c r="OP58" i="48"/>
  <c r="OQ58" i="48"/>
  <c r="OR58" i="48"/>
  <c r="OS58" i="48"/>
  <c r="OT58" i="48"/>
  <c r="OU58" i="48"/>
  <c r="OV58" i="48"/>
  <c r="OW58" i="48"/>
  <c r="OX58" i="48"/>
  <c r="OY58" i="48"/>
  <c r="OZ58" i="48"/>
  <c r="PA58" i="48"/>
  <c r="PB58" i="48"/>
  <c r="PC58" i="48"/>
  <c r="PD58" i="48"/>
  <c r="PE58" i="48"/>
  <c r="PF58" i="48"/>
  <c r="PG58" i="48"/>
  <c r="PH58" i="48"/>
  <c r="PI58" i="48"/>
  <c r="PJ58" i="48"/>
  <c r="PK58" i="48"/>
  <c r="PL58" i="48"/>
  <c r="PM58" i="48"/>
  <c r="PN58" i="48"/>
  <c r="PO58" i="48"/>
  <c r="PP58" i="48"/>
  <c r="PQ58" i="48"/>
  <c r="PR58" i="48"/>
  <c r="PS58" i="48"/>
  <c r="PT58" i="48"/>
  <c r="PU58" i="48"/>
  <c r="PV58" i="48"/>
  <c r="PW58" i="48"/>
  <c r="PX58" i="48"/>
  <c r="PY58" i="48"/>
  <c r="PZ58" i="48"/>
  <c r="QA58" i="48"/>
  <c r="QB58" i="48"/>
  <c r="QC58" i="48"/>
  <c r="QD58" i="48"/>
  <c r="QE58" i="48"/>
  <c r="QF58" i="48"/>
  <c r="QG58" i="48"/>
  <c r="QH58" i="48"/>
  <c r="QI58" i="48"/>
  <c r="QJ58" i="48"/>
  <c r="QK58" i="48"/>
  <c r="QL58" i="48"/>
  <c r="QM58" i="48"/>
  <c r="QN58" i="48"/>
  <c r="QO58" i="48"/>
  <c r="QP58" i="48"/>
  <c r="QQ58" i="48"/>
  <c r="QR58" i="48"/>
  <c r="QS58" i="48"/>
  <c r="QT58" i="48"/>
  <c r="QU58" i="48"/>
  <c r="QV58" i="48"/>
  <c r="QW58" i="48"/>
  <c r="QX58" i="48"/>
  <c r="QY58" i="48"/>
  <c r="QZ58" i="48"/>
  <c r="RA58" i="48"/>
  <c r="RB58" i="48"/>
  <c r="RC58" i="48"/>
  <c r="RD58" i="48"/>
  <c r="RE58" i="48"/>
  <c r="RF58" i="48"/>
  <c r="RG58" i="48"/>
  <c r="RH58" i="48"/>
  <c r="RI58" i="48"/>
  <c r="RJ58" i="48"/>
  <c r="RK58" i="48"/>
  <c r="RL58" i="48"/>
  <c r="RM58" i="48"/>
  <c r="RN58" i="48"/>
  <c r="RO58" i="48"/>
  <c r="RP58" i="48"/>
  <c r="RQ58" i="48"/>
  <c r="RR58" i="48"/>
  <c r="RS58" i="48"/>
  <c r="RT58" i="48"/>
  <c r="RU58" i="48"/>
  <c r="RV58" i="48"/>
  <c r="RW58" i="48"/>
  <c r="RX58" i="48"/>
  <c r="RY58" i="48"/>
  <c r="RZ58" i="48"/>
  <c r="SA58" i="48"/>
  <c r="SB58" i="48"/>
  <c r="SC58" i="48"/>
  <c r="SD58" i="48"/>
  <c r="SE58" i="48"/>
  <c r="SF58" i="48"/>
  <c r="SG58" i="48"/>
  <c r="SH58" i="48"/>
  <c r="SI58" i="48"/>
  <c r="SJ58" i="48"/>
  <c r="SK58" i="48"/>
  <c r="SL58" i="48"/>
  <c r="SM58" i="48"/>
  <c r="SN58" i="48"/>
  <c r="SO58" i="48"/>
  <c r="SP58" i="48"/>
  <c r="SQ58" i="48"/>
  <c r="SR58" i="48"/>
  <c r="SS58" i="48"/>
  <c r="ST58" i="48"/>
  <c r="SU58" i="48"/>
  <c r="SV58" i="48"/>
  <c r="SW58" i="48"/>
  <c r="ND59" i="48"/>
  <c r="NE59" i="48"/>
  <c r="NF59" i="48"/>
  <c r="NG59" i="48"/>
  <c r="NH59" i="48"/>
  <c r="NI59" i="48"/>
  <c r="NJ59" i="48"/>
  <c r="NK59" i="48"/>
  <c r="NL59" i="48"/>
  <c r="NM59" i="48"/>
  <c r="NN59" i="48"/>
  <c r="NO59" i="48"/>
  <c r="NP59" i="48"/>
  <c r="NQ59" i="48"/>
  <c r="NR59" i="48"/>
  <c r="NS59" i="48"/>
  <c r="NT59" i="48"/>
  <c r="NU59" i="48"/>
  <c r="NV59" i="48"/>
  <c r="NW59" i="48"/>
  <c r="NX59" i="48"/>
  <c r="NY59" i="48"/>
  <c r="NZ59" i="48"/>
  <c r="OA59" i="48"/>
  <c r="OB59" i="48"/>
  <c r="OC59" i="48"/>
  <c r="OD59" i="48"/>
  <c r="OE59" i="48"/>
  <c r="OF59" i="48"/>
  <c r="OG59" i="48"/>
  <c r="OH59" i="48"/>
  <c r="OI59" i="48"/>
  <c r="OJ59" i="48"/>
  <c r="OK59" i="48"/>
  <c r="OL59" i="48"/>
  <c r="OM59" i="48"/>
  <c r="ON59" i="48"/>
  <c r="OO59" i="48"/>
  <c r="OP59" i="48"/>
  <c r="OQ59" i="48"/>
  <c r="OR59" i="48"/>
  <c r="OS59" i="48"/>
  <c r="OT59" i="48"/>
  <c r="OU59" i="48"/>
  <c r="OV59" i="48"/>
  <c r="OW59" i="48"/>
  <c r="OX59" i="48"/>
  <c r="OY59" i="48"/>
  <c r="OZ59" i="48"/>
  <c r="PA59" i="48"/>
  <c r="PB59" i="48"/>
  <c r="PC59" i="48"/>
  <c r="PD59" i="48"/>
  <c r="PE59" i="48"/>
  <c r="PF59" i="48"/>
  <c r="PG59" i="48"/>
  <c r="PH59" i="48"/>
  <c r="PI59" i="48"/>
  <c r="PJ59" i="48"/>
  <c r="PK59" i="48"/>
  <c r="PL59" i="48"/>
  <c r="PM59" i="48"/>
  <c r="PN59" i="48"/>
  <c r="PO59" i="48"/>
  <c r="PP59" i="48"/>
  <c r="PQ59" i="48"/>
  <c r="PR59" i="48"/>
  <c r="PS59" i="48"/>
  <c r="PT59" i="48"/>
  <c r="PU59" i="48"/>
  <c r="PV59" i="48"/>
  <c r="PW59" i="48"/>
  <c r="PX59" i="48"/>
  <c r="PY59" i="48"/>
  <c r="PZ59" i="48"/>
  <c r="QA59" i="48"/>
  <c r="QB59" i="48"/>
  <c r="QC59" i="48"/>
  <c r="QD59" i="48"/>
  <c r="QE59" i="48"/>
  <c r="QF59" i="48"/>
  <c r="QG59" i="48"/>
  <c r="QH59" i="48"/>
  <c r="QI59" i="48"/>
  <c r="QJ59" i="48"/>
  <c r="QK59" i="48"/>
  <c r="QL59" i="48"/>
  <c r="QM59" i="48"/>
  <c r="QN59" i="48"/>
  <c r="QO59" i="48"/>
  <c r="QP59" i="48"/>
  <c r="QQ59" i="48"/>
  <c r="QR59" i="48"/>
  <c r="QS59" i="48"/>
  <c r="QT59" i="48"/>
  <c r="QU59" i="48"/>
  <c r="QV59" i="48"/>
  <c r="QW59" i="48"/>
  <c r="QX59" i="48"/>
  <c r="QY59" i="48"/>
  <c r="QZ59" i="48"/>
  <c r="RA59" i="48"/>
  <c r="RB59" i="48"/>
  <c r="RC59" i="48"/>
  <c r="RD59" i="48"/>
  <c r="RE59" i="48"/>
  <c r="RF59" i="48"/>
  <c r="RG59" i="48"/>
  <c r="RH59" i="48"/>
  <c r="RI59" i="48"/>
  <c r="RJ59" i="48"/>
  <c r="RK59" i="48"/>
  <c r="RL59" i="48"/>
  <c r="RM59" i="48"/>
  <c r="RN59" i="48"/>
  <c r="RO59" i="48"/>
  <c r="RP59" i="48"/>
  <c r="RQ59" i="48"/>
  <c r="RR59" i="48"/>
  <c r="RS59" i="48"/>
  <c r="RT59" i="48"/>
  <c r="RU59" i="48"/>
  <c r="RV59" i="48"/>
  <c r="RW59" i="48"/>
  <c r="RX59" i="48"/>
  <c r="RY59" i="48"/>
  <c r="RZ59" i="48"/>
  <c r="SA59" i="48"/>
  <c r="SB59" i="48"/>
  <c r="SC59" i="48"/>
  <c r="SD59" i="48"/>
  <c r="SE59" i="48"/>
  <c r="SF59" i="48"/>
  <c r="SG59" i="48"/>
  <c r="SH59" i="48"/>
  <c r="SI59" i="48"/>
  <c r="SJ59" i="48"/>
  <c r="SK59" i="48"/>
  <c r="SL59" i="48"/>
  <c r="SM59" i="48"/>
  <c r="SN59" i="48"/>
  <c r="SO59" i="48"/>
  <c r="SP59" i="48"/>
  <c r="SQ59" i="48"/>
  <c r="SR59" i="48"/>
  <c r="SS59" i="48"/>
  <c r="ST59" i="48"/>
  <c r="SU59" i="48"/>
  <c r="SV59" i="48"/>
  <c r="SW59" i="48"/>
  <c r="ND60" i="48"/>
  <c r="NE60" i="48"/>
  <c r="NF60" i="48"/>
  <c r="NG60" i="48"/>
  <c r="NH60" i="48"/>
  <c r="NI60" i="48"/>
  <c r="NJ60" i="48"/>
  <c r="NK60" i="48"/>
  <c r="NL60" i="48"/>
  <c r="NM60" i="48"/>
  <c r="NN60" i="48"/>
  <c r="NO60" i="48"/>
  <c r="NP60" i="48"/>
  <c r="NQ60" i="48"/>
  <c r="NR60" i="48"/>
  <c r="NS60" i="48"/>
  <c r="NT60" i="48"/>
  <c r="NU60" i="48"/>
  <c r="NV60" i="48"/>
  <c r="NW60" i="48"/>
  <c r="NX60" i="48"/>
  <c r="NY60" i="48"/>
  <c r="NZ60" i="48"/>
  <c r="OA60" i="48"/>
  <c r="OB60" i="48"/>
  <c r="OC60" i="48"/>
  <c r="OD60" i="48"/>
  <c r="OE60" i="48"/>
  <c r="OF60" i="48"/>
  <c r="OG60" i="48"/>
  <c r="OH60" i="48"/>
  <c r="OI60" i="48"/>
  <c r="OJ60" i="48"/>
  <c r="OK60" i="48"/>
  <c r="OL60" i="48"/>
  <c r="OM60" i="48"/>
  <c r="ON60" i="48"/>
  <c r="OO60" i="48"/>
  <c r="OP60" i="48"/>
  <c r="OQ60" i="48"/>
  <c r="OR60" i="48"/>
  <c r="OS60" i="48"/>
  <c r="OT60" i="48"/>
  <c r="OU60" i="48"/>
  <c r="OV60" i="48"/>
  <c r="OW60" i="48"/>
  <c r="OX60" i="48"/>
  <c r="OY60" i="48"/>
  <c r="OZ60" i="48"/>
  <c r="PA60" i="48"/>
  <c r="PB60" i="48"/>
  <c r="PC60" i="48"/>
  <c r="PD60" i="48"/>
  <c r="PE60" i="48"/>
  <c r="PF60" i="48"/>
  <c r="PG60" i="48"/>
  <c r="PH60" i="48"/>
  <c r="PI60" i="48"/>
  <c r="PJ60" i="48"/>
  <c r="PK60" i="48"/>
  <c r="PL60" i="48"/>
  <c r="PM60" i="48"/>
  <c r="PN60" i="48"/>
  <c r="PO60" i="48"/>
  <c r="PP60" i="48"/>
  <c r="PQ60" i="48"/>
  <c r="PR60" i="48"/>
  <c r="PS60" i="48"/>
  <c r="PT60" i="48"/>
  <c r="PU60" i="48"/>
  <c r="PV60" i="48"/>
  <c r="PW60" i="48"/>
  <c r="PX60" i="48"/>
  <c r="PY60" i="48"/>
  <c r="PZ60" i="48"/>
  <c r="QA60" i="48"/>
  <c r="QB60" i="48"/>
  <c r="QC60" i="48"/>
  <c r="QD60" i="48"/>
  <c r="QE60" i="48"/>
  <c r="QF60" i="48"/>
  <c r="QG60" i="48"/>
  <c r="QH60" i="48"/>
  <c r="QI60" i="48"/>
  <c r="QJ60" i="48"/>
  <c r="QK60" i="48"/>
  <c r="QL60" i="48"/>
  <c r="QM60" i="48"/>
  <c r="QN60" i="48"/>
  <c r="QO60" i="48"/>
  <c r="QP60" i="48"/>
  <c r="QQ60" i="48"/>
  <c r="QR60" i="48"/>
  <c r="QS60" i="48"/>
  <c r="QT60" i="48"/>
  <c r="QU60" i="48"/>
  <c r="QV60" i="48"/>
  <c r="QW60" i="48"/>
  <c r="QX60" i="48"/>
  <c r="QY60" i="48"/>
  <c r="QZ60" i="48"/>
  <c r="RA60" i="48"/>
  <c r="RB60" i="48"/>
  <c r="RC60" i="48"/>
  <c r="RD60" i="48"/>
  <c r="RE60" i="48"/>
  <c r="RF60" i="48"/>
  <c r="RG60" i="48"/>
  <c r="RH60" i="48"/>
  <c r="RI60" i="48"/>
  <c r="RJ60" i="48"/>
  <c r="RK60" i="48"/>
  <c r="RL60" i="48"/>
  <c r="RM60" i="48"/>
  <c r="RN60" i="48"/>
  <c r="RO60" i="48"/>
  <c r="RP60" i="48"/>
  <c r="RQ60" i="48"/>
  <c r="RR60" i="48"/>
  <c r="RS60" i="48"/>
  <c r="RT60" i="48"/>
  <c r="RU60" i="48"/>
  <c r="RV60" i="48"/>
  <c r="RW60" i="48"/>
  <c r="RX60" i="48"/>
  <c r="RY60" i="48"/>
  <c r="RZ60" i="48"/>
  <c r="SA60" i="48"/>
  <c r="SB60" i="48"/>
  <c r="SC60" i="48"/>
  <c r="SD60" i="48"/>
  <c r="SE60" i="48"/>
  <c r="SF60" i="48"/>
  <c r="SG60" i="48"/>
  <c r="SH60" i="48"/>
  <c r="SI60" i="48"/>
  <c r="SJ60" i="48"/>
  <c r="SK60" i="48"/>
  <c r="SL60" i="48"/>
  <c r="SM60" i="48"/>
  <c r="SN60" i="48"/>
  <c r="SO60" i="48"/>
  <c r="SP60" i="48"/>
  <c r="SQ60" i="48"/>
  <c r="SR60" i="48"/>
  <c r="SS60" i="48"/>
  <c r="ST60" i="48"/>
  <c r="SU60" i="48"/>
  <c r="SV60" i="48"/>
  <c r="SW60" i="48"/>
  <c r="ND61" i="48"/>
  <c r="NE61" i="48"/>
  <c r="NF61" i="48"/>
  <c r="NG61" i="48"/>
  <c r="NH61" i="48"/>
  <c r="NI61" i="48"/>
  <c r="NJ61" i="48"/>
  <c r="NK61" i="48"/>
  <c r="NL61" i="48"/>
  <c r="NM61" i="48"/>
  <c r="NN61" i="48"/>
  <c r="NO61" i="48"/>
  <c r="NP61" i="48"/>
  <c r="NQ61" i="48"/>
  <c r="NR61" i="48"/>
  <c r="NS61" i="48"/>
  <c r="NT61" i="48"/>
  <c r="NU61" i="48"/>
  <c r="NV61" i="48"/>
  <c r="NW61" i="48"/>
  <c r="NX61" i="48"/>
  <c r="NY61" i="48"/>
  <c r="NZ61" i="48"/>
  <c r="OA61" i="48"/>
  <c r="OB61" i="48"/>
  <c r="OC61" i="48"/>
  <c r="OD61" i="48"/>
  <c r="OE61" i="48"/>
  <c r="OF61" i="48"/>
  <c r="OG61" i="48"/>
  <c r="OH61" i="48"/>
  <c r="OI61" i="48"/>
  <c r="OJ61" i="48"/>
  <c r="OK61" i="48"/>
  <c r="OL61" i="48"/>
  <c r="OM61" i="48"/>
  <c r="ON61" i="48"/>
  <c r="OO61" i="48"/>
  <c r="OP61" i="48"/>
  <c r="OQ61" i="48"/>
  <c r="OR61" i="48"/>
  <c r="OS61" i="48"/>
  <c r="OT61" i="48"/>
  <c r="OU61" i="48"/>
  <c r="OV61" i="48"/>
  <c r="OW61" i="48"/>
  <c r="OX61" i="48"/>
  <c r="OY61" i="48"/>
  <c r="OZ61" i="48"/>
  <c r="PA61" i="48"/>
  <c r="PB61" i="48"/>
  <c r="PC61" i="48"/>
  <c r="PD61" i="48"/>
  <c r="PE61" i="48"/>
  <c r="PF61" i="48"/>
  <c r="PG61" i="48"/>
  <c r="PH61" i="48"/>
  <c r="PI61" i="48"/>
  <c r="PJ61" i="48"/>
  <c r="PK61" i="48"/>
  <c r="PL61" i="48"/>
  <c r="PM61" i="48"/>
  <c r="PN61" i="48"/>
  <c r="PO61" i="48"/>
  <c r="PP61" i="48"/>
  <c r="PQ61" i="48"/>
  <c r="PR61" i="48"/>
  <c r="PS61" i="48"/>
  <c r="PT61" i="48"/>
  <c r="PU61" i="48"/>
  <c r="PV61" i="48"/>
  <c r="PW61" i="48"/>
  <c r="PX61" i="48"/>
  <c r="PY61" i="48"/>
  <c r="PZ61" i="48"/>
  <c r="QA61" i="48"/>
  <c r="QB61" i="48"/>
  <c r="QC61" i="48"/>
  <c r="QD61" i="48"/>
  <c r="QE61" i="48"/>
  <c r="QF61" i="48"/>
  <c r="QG61" i="48"/>
  <c r="QH61" i="48"/>
  <c r="QI61" i="48"/>
  <c r="QJ61" i="48"/>
  <c r="QK61" i="48"/>
  <c r="QL61" i="48"/>
  <c r="QM61" i="48"/>
  <c r="QN61" i="48"/>
  <c r="QO61" i="48"/>
  <c r="QP61" i="48"/>
  <c r="QQ61" i="48"/>
  <c r="QR61" i="48"/>
  <c r="QS61" i="48"/>
  <c r="QT61" i="48"/>
  <c r="QU61" i="48"/>
  <c r="QV61" i="48"/>
  <c r="QW61" i="48"/>
  <c r="QX61" i="48"/>
  <c r="QY61" i="48"/>
  <c r="QZ61" i="48"/>
  <c r="RA61" i="48"/>
  <c r="RB61" i="48"/>
  <c r="RC61" i="48"/>
  <c r="RD61" i="48"/>
  <c r="RE61" i="48"/>
  <c r="RF61" i="48"/>
  <c r="RG61" i="48"/>
  <c r="RH61" i="48"/>
  <c r="RI61" i="48"/>
  <c r="RJ61" i="48"/>
  <c r="RK61" i="48"/>
  <c r="RL61" i="48"/>
  <c r="RM61" i="48"/>
  <c r="RN61" i="48"/>
  <c r="RO61" i="48"/>
  <c r="RP61" i="48"/>
  <c r="RQ61" i="48"/>
  <c r="RR61" i="48"/>
  <c r="RS61" i="48"/>
  <c r="RT61" i="48"/>
  <c r="RU61" i="48"/>
  <c r="RV61" i="48"/>
  <c r="RW61" i="48"/>
  <c r="RX61" i="48"/>
  <c r="RY61" i="48"/>
  <c r="RZ61" i="48"/>
  <c r="SA61" i="48"/>
  <c r="SB61" i="48"/>
  <c r="SC61" i="48"/>
  <c r="SD61" i="48"/>
  <c r="SE61" i="48"/>
  <c r="SF61" i="48"/>
  <c r="SG61" i="48"/>
  <c r="SH61" i="48"/>
  <c r="SI61" i="48"/>
  <c r="SJ61" i="48"/>
  <c r="SK61" i="48"/>
  <c r="SL61" i="48"/>
  <c r="SM61" i="48"/>
  <c r="SN61" i="48"/>
  <c r="SO61" i="48"/>
  <c r="SP61" i="48"/>
  <c r="SQ61" i="48"/>
  <c r="SR61" i="48"/>
  <c r="SS61" i="48"/>
  <c r="ST61" i="48"/>
  <c r="SU61" i="48"/>
  <c r="SV61" i="48"/>
  <c r="SW61" i="48"/>
  <c r="ND40" i="48"/>
  <c r="NE40" i="48"/>
  <c r="NF40" i="48"/>
  <c r="NG40" i="48"/>
  <c r="NH40" i="48"/>
  <c r="NI40" i="48"/>
  <c r="NJ40" i="48"/>
  <c r="NK40" i="48"/>
  <c r="NL40" i="48"/>
  <c r="NM40" i="48"/>
  <c r="NN40" i="48"/>
  <c r="NO40" i="48"/>
  <c r="NP40" i="48"/>
  <c r="NQ40" i="48"/>
  <c r="NR40" i="48"/>
  <c r="NS40" i="48"/>
  <c r="NT40" i="48"/>
  <c r="NU40" i="48"/>
  <c r="NV40" i="48"/>
  <c r="NW40" i="48"/>
  <c r="NX40" i="48"/>
  <c r="NY40" i="48"/>
  <c r="NZ40" i="48"/>
  <c r="OA40" i="48"/>
  <c r="OB40" i="48"/>
  <c r="OC40" i="48"/>
  <c r="OD40" i="48"/>
  <c r="OE40" i="48"/>
  <c r="OF40" i="48"/>
  <c r="OG40" i="48"/>
  <c r="OH40" i="48"/>
  <c r="OI40" i="48"/>
  <c r="OJ40" i="48"/>
  <c r="OK40" i="48"/>
  <c r="OL40" i="48"/>
  <c r="OM40" i="48"/>
  <c r="ON40" i="48"/>
  <c r="OO40" i="48"/>
  <c r="OP40" i="48"/>
  <c r="OQ40" i="48"/>
  <c r="OR40" i="48"/>
  <c r="OS40" i="48"/>
  <c r="OT40" i="48"/>
  <c r="OU40" i="48"/>
  <c r="OV40" i="48"/>
  <c r="OW40" i="48"/>
  <c r="OX40" i="48"/>
  <c r="OY40" i="48"/>
  <c r="OZ40" i="48"/>
  <c r="PA40" i="48"/>
  <c r="PB40" i="48"/>
  <c r="PC40" i="48"/>
  <c r="PD40" i="48"/>
  <c r="PE40" i="48"/>
  <c r="PF40" i="48"/>
  <c r="PG40" i="48"/>
  <c r="PH40" i="48"/>
  <c r="PI40" i="48"/>
  <c r="PJ40" i="48"/>
  <c r="PK40" i="48"/>
  <c r="PL40" i="48"/>
  <c r="PM40" i="48"/>
  <c r="PN40" i="48"/>
  <c r="PO40" i="48"/>
  <c r="PP40" i="48"/>
  <c r="PQ40" i="48"/>
  <c r="PR40" i="48"/>
  <c r="PS40" i="48"/>
  <c r="PT40" i="48"/>
  <c r="PU40" i="48"/>
  <c r="PV40" i="48"/>
  <c r="PW40" i="48"/>
  <c r="PX40" i="48"/>
  <c r="PY40" i="48"/>
  <c r="PZ40" i="48"/>
  <c r="QA40" i="48"/>
  <c r="QB40" i="48"/>
  <c r="QC40" i="48"/>
  <c r="QD40" i="48"/>
  <c r="QE40" i="48"/>
  <c r="QF40" i="48"/>
  <c r="QG40" i="48"/>
  <c r="QH40" i="48"/>
  <c r="QI40" i="48"/>
  <c r="QJ40" i="48"/>
  <c r="QK40" i="48"/>
  <c r="QL40" i="48"/>
  <c r="QM40" i="48"/>
  <c r="QN40" i="48"/>
  <c r="QO40" i="48"/>
  <c r="QP40" i="48"/>
  <c r="QQ40" i="48"/>
  <c r="QR40" i="48"/>
  <c r="QS40" i="48"/>
  <c r="QT40" i="48"/>
  <c r="QU40" i="48"/>
  <c r="QV40" i="48"/>
  <c r="QW40" i="48"/>
  <c r="QX40" i="48"/>
  <c r="QY40" i="48"/>
  <c r="QZ40" i="48"/>
  <c r="RA40" i="48"/>
  <c r="RB40" i="48"/>
  <c r="RC40" i="48"/>
  <c r="RD40" i="48"/>
  <c r="RE40" i="48"/>
  <c r="RF40" i="48"/>
  <c r="RG40" i="48"/>
  <c r="RH40" i="48"/>
  <c r="RI40" i="48"/>
  <c r="RJ40" i="48"/>
  <c r="RK40" i="48"/>
  <c r="RL40" i="48"/>
  <c r="RM40" i="48"/>
  <c r="RN40" i="48"/>
  <c r="RO40" i="48"/>
  <c r="RP40" i="48"/>
  <c r="RQ40" i="48"/>
  <c r="RR40" i="48"/>
  <c r="RS40" i="48"/>
  <c r="RT40" i="48"/>
  <c r="RU40" i="48"/>
  <c r="RV40" i="48"/>
  <c r="RW40" i="48"/>
  <c r="RX40" i="48"/>
  <c r="RY40" i="48"/>
  <c r="RZ40" i="48"/>
  <c r="SA40" i="48"/>
  <c r="SB40" i="48"/>
  <c r="SC40" i="48"/>
  <c r="SD40" i="48"/>
  <c r="SE40" i="48"/>
  <c r="SF40" i="48"/>
  <c r="SG40" i="48"/>
  <c r="SH40" i="48"/>
  <c r="SI40" i="48"/>
  <c r="SJ40" i="48"/>
  <c r="SK40" i="48"/>
  <c r="SL40" i="48"/>
  <c r="SM40" i="48"/>
  <c r="SN40" i="48"/>
  <c r="SO40" i="48"/>
  <c r="SP40" i="48"/>
  <c r="SQ40" i="48"/>
  <c r="SR40" i="48"/>
  <c r="SS40" i="48"/>
  <c r="ST40" i="48"/>
  <c r="SU40" i="48"/>
  <c r="SV40" i="48"/>
  <c r="SW40" i="48"/>
  <c r="ND41" i="48"/>
  <c r="NE41" i="48"/>
  <c r="NF41" i="48"/>
  <c r="NG41" i="48"/>
  <c r="NH41" i="48"/>
  <c r="NI41" i="48"/>
  <c r="NJ41" i="48"/>
  <c r="NK41" i="48"/>
  <c r="NL41" i="48"/>
  <c r="NM41" i="48"/>
  <c r="NN41" i="48"/>
  <c r="NO41" i="48"/>
  <c r="NP41" i="48"/>
  <c r="NQ41" i="48"/>
  <c r="NR41" i="48"/>
  <c r="NS41" i="48"/>
  <c r="NT41" i="48"/>
  <c r="NU41" i="48"/>
  <c r="NV41" i="48"/>
  <c r="NW41" i="48"/>
  <c r="NX41" i="48"/>
  <c r="NY41" i="48"/>
  <c r="NZ41" i="48"/>
  <c r="OA41" i="48"/>
  <c r="OB41" i="48"/>
  <c r="OC41" i="48"/>
  <c r="OD41" i="48"/>
  <c r="OE41" i="48"/>
  <c r="OF41" i="48"/>
  <c r="OG41" i="48"/>
  <c r="OH41" i="48"/>
  <c r="OI41" i="48"/>
  <c r="OJ41" i="48"/>
  <c r="OK41" i="48"/>
  <c r="OL41" i="48"/>
  <c r="OM41" i="48"/>
  <c r="ON41" i="48"/>
  <c r="OO41" i="48"/>
  <c r="OP41" i="48"/>
  <c r="OQ41" i="48"/>
  <c r="OR41" i="48"/>
  <c r="OS41" i="48"/>
  <c r="OT41" i="48"/>
  <c r="OU41" i="48"/>
  <c r="OV41" i="48"/>
  <c r="OW41" i="48"/>
  <c r="OX41" i="48"/>
  <c r="OY41" i="48"/>
  <c r="OZ41" i="48"/>
  <c r="PA41" i="48"/>
  <c r="PB41" i="48"/>
  <c r="PC41" i="48"/>
  <c r="PD41" i="48"/>
  <c r="PE41" i="48"/>
  <c r="PF41" i="48"/>
  <c r="PG41" i="48"/>
  <c r="PH41" i="48"/>
  <c r="PI41" i="48"/>
  <c r="PJ41" i="48"/>
  <c r="PK41" i="48"/>
  <c r="PL41" i="48"/>
  <c r="PM41" i="48"/>
  <c r="PN41" i="48"/>
  <c r="PO41" i="48"/>
  <c r="PP41" i="48"/>
  <c r="PQ41" i="48"/>
  <c r="PR41" i="48"/>
  <c r="PS41" i="48"/>
  <c r="PT41" i="48"/>
  <c r="PU41" i="48"/>
  <c r="PV41" i="48"/>
  <c r="PW41" i="48"/>
  <c r="PX41" i="48"/>
  <c r="PY41" i="48"/>
  <c r="PZ41" i="48"/>
  <c r="QA41" i="48"/>
  <c r="QB41" i="48"/>
  <c r="QC41" i="48"/>
  <c r="QD41" i="48"/>
  <c r="QE41" i="48"/>
  <c r="QF41" i="48"/>
  <c r="QG41" i="48"/>
  <c r="QH41" i="48"/>
  <c r="QI41" i="48"/>
  <c r="QJ41" i="48"/>
  <c r="QK41" i="48"/>
  <c r="QL41" i="48"/>
  <c r="QM41" i="48"/>
  <c r="QN41" i="48"/>
  <c r="QO41" i="48"/>
  <c r="QP41" i="48"/>
  <c r="QQ41" i="48"/>
  <c r="QR41" i="48"/>
  <c r="QS41" i="48"/>
  <c r="QT41" i="48"/>
  <c r="QU41" i="48"/>
  <c r="QV41" i="48"/>
  <c r="QW41" i="48"/>
  <c r="QX41" i="48"/>
  <c r="QY41" i="48"/>
  <c r="QZ41" i="48"/>
  <c r="RA41" i="48"/>
  <c r="RB41" i="48"/>
  <c r="RC41" i="48"/>
  <c r="RD41" i="48"/>
  <c r="RE41" i="48"/>
  <c r="RF41" i="48"/>
  <c r="RG41" i="48"/>
  <c r="RH41" i="48"/>
  <c r="RI41" i="48"/>
  <c r="RJ41" i="48"/>
  <c r="RK41" i="48"/>
  <c r="RL41" i="48"/>
  <c r="RM41" i="48"/>
  <c r="RN41" i="48"/>
  <c r="RO41" i="48"/>
  <c r="RP41" i="48"/>
  <c r="RQ41" i="48"/>
  <c r="RR41" i="48"/>
  <c r="RS41" i="48"/>
  <c r="RT41" i="48"/>
  <c r="RU41" i="48"/>
  <c r="RV41" i="48"/>
  <c r="RW41" i="48"/>
  <c r="RX41" i="48"/>
  <c r="RY41" i="48"/>
  <c r="RZ41" i="48"/>
  <c r="SA41" i="48"/>
  <c r="SB41" i="48"/>
  <c r="SC41" i="48"/>
  <c r="SD41" i="48"/>
  <c r="SE41" i="48"/>
  <c r="SF41" i="48"/>
  <c r="SG41" i="48"/>
  <c r="SH41" i="48"/>
  <c r="SI41" i="48"/>
  <c r="SJ41" i="48"/>
  <c r="SK41" i="48"/>
  <c r="SL41" i="48"/>
  <c r="SM41" i="48"/>
  <c r="SN41" i="48"/>
  <c r="SO41" i="48"/>
  <c r="SP41" i="48"/>
  <c r="SQ41" i="48"/>
  <c r="SR41" i="48"/>
  <c r="SS41" i="48"/>
  <c r="ST41" i="48"/>
  <c r="SU41" i="48"/>
  <c r="SV41" i="48"/>
  <c r="SW41" i="48"/>
  <c r="ND42" i="48"/>
  <c r="NE42" i="48"/>
  <c r="NF42" i="48"/>
  <c r="NG42" i="48"/>
  <c r="NH42" i="48"/>
  <c r="NI42" i="48"/>
  <c r="NJ42" i="48"/>
  <c r="NK42" i="48"/>
  <c r="NL42" i="48"/>
  <c r="NM42" i="48"/>
  <c r="NN42" i="48"/>
  <c r="NO42" i="48"/>
  <c r="NP42" i="48"/>
  <c r="NQ42" i="48"/>
  <c r="NR42" i="48"/>
  <c r="NS42" i="48"/>
  <c r="NT42" i="48"/>
  <c r="NU42" i="48"/>
  <c r="NV42" i="48"/>
  <c r="NW42" i="48"/>
  <c r="NX42" i="48"/>
  <c r="NY42" i="48"/>
  <c r="NZ42" i="48"/>
  <c r="OA42" i="48"/>
  <c r="OB42" i="48"/>
  <c r="OC42" i="48"/>
  <c r="OD42" i="48"/>
  <c r="OE42" i="48"/>
  <c r="OF42" i="48"/>
  <c r="OG42" i="48"/>
  <c r="OH42" i="48"/>
  <c r="OI42" i="48"/>
  <c r="OJ42" i="48"/>
  <c r="OK42" i="48"/>
  <c r="OL42" i="48"/>
  <c r="OM42" i="48"/>
  <c r="ON42" i="48"/>
  <c r="OO42" i="48"/>
  <c r="OP42" i="48"/>
  <c r="OQ42" i="48"/>
  <c r="OR42" i="48"/>
  <c r="OS42" i="48"/>
  <c r="OT42" i="48"/>
  <c r="OU42" i="48"/>
  <c r="OV42" i="48"/>
  <c r="OW42" i="48"/>
  <c r="OX42" i="48"/>
  <c r="OY42" i="48"/>
  <c r="OZ42" i="48"/>
  <c r="PA42" i="48"/>
  <c r="PB42" i="48"/>
  <c r="PC42" i="48"/>
  <c r="PD42" i="48"/>
  <c r="PE42" i="48"/>
  <c r="PF42" i="48"/>
  <c r="PG42" i="48"/>
  <c r="PH42" i="48"/>
  <c r="PI42" i="48"/>
  <c r="PJ42" i="48"/>
  <c r="PK42" i="48"/>
  <c r="PL42" i="48"/>
  <c r="PM42" i="48"/>
  <c r="PN42" i="48"/>
  <c r="PO42" i="48"/>
  <c r="PP42" i="48"/>
  <c r="PQ42" i="48"/>
  <c r="PR42" i="48"/>
  <c r="PS42" i="48"/>
  <c r="PT42" i="48"/>
  <c r="PU42" i="48"/>
  <c r="PV42" i="48"/>
  <c r="PW42" i="48"/>
  <c r="PX42" i="48"/>
  <c r="PY42" i="48"/>
  <c r="PZ42" i="48"/>
  <c r="QA42" i="48"/>
  <c r="QB42" i="48"/>
  <c r="QC42" i="48"/>
  <c r="QD42" i="48"/>
  <c r="QE42" i="48"/>
  <c r="QF42" i="48"/>
  <c r="QG42" i="48"/>
  <c r="QH42" i="48"/>
  <c r="QI42" i="48"/>
  <c r="QJ42" i="48"/>
  <c r="QK42" i="48"/>
  <c r="QL42" i="48"/>
  <c r="QM42" i="48"/>
  <c r="QN42" i="48"/>
  <c r="QO42" i="48"/>
  <c r="QP42" i="48"/>
  <c r="QQ42" i="48"/>
  <c r="QR42" i="48"/>
  <c r="QS42" i="48"/>
  <c r="QT42" i="48"/>
  <c r="QU42" i="48"/>
  <c r="QV42" i="48"/>
  <c r="QW42" i="48"/>
  <c r="QX42" i="48"/>
  <c r="QY42" i="48"/>
  <c r="QZ42" i="48"/>
  <c r="RA42" i="48"/>
  <c r="RB42" i="48"/>
  <c r="RC42" i="48"/>
  <c r="RD42" i="48"/>
  <c r="RE42" i="48"/>
  <c r="RF42" i="48"/>
  <c r="RG42" i="48"/>
  <c r="RH42" i="48"/>
  <c r="RI42" i="48"/>
  <c r="RJ42" i="48"/>
  <c r="RK42" i="48"/>
  <c r="RL42" i="48"/>
  <c r="RM42" i="48"/>
  <c r="RN42" i="48"/>
  <c r="RO42" i="48"/>
  <c r="RP42" i="48"/>
  <c r="RQ42" i="48"/>
  <c r="RR42" i="48"/>
  <c r="RS42" i="48"/>
  <c r="RT42" i="48"/>
  <c r="RU42" i="48"/>
  <c r="RV42" i="48"/>
  <c r="RW42" i="48"/>
  <c r="RX42" i="48"/>
  <c r="RY42" i="48"/>
  <c r="RZ42" i="48"/>
  <c r="SA42" i="48"/>
  <c r="SB42" i="48"/>
  <c r="SC42" i="48"/>
  <c r="SD42" i="48"/>
  <c r="SE42" i="48"/>
  <c r="SF42" i="48"/>
  <c r="SG42" i="48"/>
  <c r="SH42" i="48"/>
  <c r="SI42" i="48"/>
  <c r="SJ42" i="48"/>
  <c r="SK42" i="48"/>
  <c r="SL42" i="48"/>
  <c r="SM42" i="48"/>
  <c r="SN42" i="48"/>
  <c r="SO42" i="48"/>
  <c r="SP42" i="48"/>
  <c r="SQ42" i="48"/>
  <c r="SR42" i="48"/>
  <c r="SS42" i="48"/>
  <c r="ST42" i="48"/>
  <c r="SU42" i="48"/>
  <c r="SV42" i="48"/>
  <c r="SW42" i="48"/>
  <c r="ND43" i="48"/>
  <c r="NE43" i="48"/>
  <c r="NF43" i="48"/>
  <c r="NG43" i="48"/>
  <c r="NH43" i="48"/>
  <c r="NI43" i="48"/>
  <c r="NJ43" i="48"/>
  <c r="NK43" i="48"/>
  <c r="NL43" i="48"/>
  <c r="NM43" i="48"/>
  <c r="NN43" i="48"/>
  <c r="NO43" i="48"/>
  <c r="NP43" i="48"/>
  <c r="NQ43" i="48"/>
  <c r="NR43" i="48"/>
  <c r="NS43" i="48"/>
  <c r="NT43" i="48"/>
  <c r="NU43" i="48"/>
  <c r="NV43" i="48"/>
  <c r="NW43" i="48"/>
  <c r="NX43" i="48"/>
  <c r="NY43" i="48"/>
  <c r="NZ43" i="48"/>
  <c r="OA43" i="48"/>
  <c r="OB43" i="48"/>
  <c r="OC43" i="48"/>
  <c r="OD43" i="48"/>
  <c r="OE43" i="48"/>
  <c r="OF43" i="48"/>
  <c r="OG43" i="48"/>
  <c r="OH43" i="48"/>
  <c r="OI43" i="48"/>
  <c r="OJ43" i="48"/>
  <c r="OK43" i="48"/>
  <c r="OL43" i="48"/>
  <c r="OM43" i="48"/>
  <c r="ON43" i="48"/>
  <c r="OO43" i="48"/>
  <c r="OP43" i="48"/>
  <c r="OQ43" i="48"/>
  <c r="OR43" i="48"/>
  <c r="OS43" i="48"/>
  <c r="OT43" i="48"/>
  <c r="OU43" i="48"/>
  <c r="OV43" i="48"/>
  <c r="OW43" i="48"/>
  <c r="OX43" i="48"/>
  <c r="OY43" i="48"/>
  <c r="OZ43" i="48"/>
  <c r="PA43" i="48"/>
  <c r="PB43" i="48"/>
  <c r="PC43" i="48"/>
  <c r="PD43" i="48"/>
  <c r="PE43" i="48"/>
  <c r="PF43" i="48"/>
  <c r="PG43" i="48"/>
  <c r="PH43" i="48"/>
  <c r="PI43" i="48"/>
  <c r="PJ43" i="48"/>
  <c r="PK43" i="48"/>
  <c r="PL43" i="48"/>
  <c r="PM43" i="48"/>
  <c r="PN43" i="48"/>
  <c r="PO43" i="48"/>
  <c r="PP43" i="48"/>
  <c r="PQ43" i="48"/>
  <c r="PR43" i="48"/>
  <c r="PS43" i="48"/>
  <c r="PT43" i="48"/>
  <c r="PU43" i="48"/>
  <c r="PV43" i="48"/>
  <c r="PW43" i="48"/>
  <c r="PX43" i="48"/>
  <c r="PY43" i="48"/>
  <c r="PZ43" i="48"/>
  <c r="QA43" i="48"/>
  <c r="QB43" i="48"/>
  <c r="QC43" i="48"/>
  <c r="QD43" i="48"/>
  <c r="QE43" i="48"/>
  <c r="QF43" i="48"/>
  <c r="QG43" i="48"/>
  <c r="QH43" i="48"/>
  <c r="QI43" i="48"/>
  <c r="QJ43" i="48"/>
  <c r="QK43" i="48"/>
  <c r="QL43" i="48"/>
  <c r="QM43" i="48"/>
  <c r="QN43" i="48"/>
  <c r="QO43" i="48"/>
  <c r="QP43" i="48"/>
  <c r="QQ43" i="48"/>
  <c r="QR43" i="48"/>
  <c r="QS43" i="48"/>
  <c r="QT43" i="48"/>
  <c r="QU43" i="48"/>
  <c r="QV43" i="48"/>
  <c r="QW43" i="48"/>
  <c r="QX43" i="48"/>
  <c r="QY43" i="48"/>
  <c r="QZ43" i="48"/>
  <c r="RA43" i="48"/>
  <c r="RB43" i="48"/>
  <c r="RC43" i="48"/>
  <c r="RD43" i="48"/>
  <c r="RE43" i="48"/>
  <c r="RF43" i="48"/>
  <c r="RG43" i="48"/>
  <c r="RH43" i="48"/>
  <c r="RI43" i="48"/>
  <c r="RJ43" i="48"/>
  <c r="RK43" i="48"/>
  <c r="RL43" i="48"/>
  <c r="RM43" i="48"/>
  <c r="RN43" i="48"/>
  <c r="RO43" i="48"/>
  <c r="RP43" i="48"/>
  <c r="RQ43" i="48"/>
  <c r="RR43" i="48"/>
  <c r="RS43" i="48"/>
  <c r="RT43" i="48"/>
  <c r="RU43" i="48"/>
  <c r="RV43" i="48"/>
  <c r="RW43" i="48"/>
  <c r="RX43" i="48"/>
  <c r="RY43" i="48"/>
  <c r="RZ43" i="48"/>
  <c r="SA43" i="48"/>
  <c r="SB43" i="48"/>
  <c r="SC43" i="48"/>
  <c r="SD43" i="48"/>
  <c r="SE43" i="48"/>
  <c r="SF43" i="48"/>
  <c r="SG43" i="48"/>
  <c r="SH43" i="48"/>
  <c r="SI43" i="48"/>
  <c r="SJ43" i="48"/>
  <c r="SK43" i="48"/>
  <c r="SL43" i="48"/>
  <c r="SM43" i="48"/>
  <c r="SN43" i="48"/>
  <c r="SO43" i="48"/>
  <c r="SP43" i="48"/>
  <c r="SQ43" i="48"/>
  <c r="SR43" i="48"/>
  <c r="SS43" i="48"/>
  <c r="ST43" i="48"/>
  <c r="SU43" i="48"/>
  <c r="SV43" i="48"/>
  <c r="SW43" i="48"/>
  <c r="ND44" i="48"/>
  <c r="NE44" i="48"/>
  <c r="NF44" i="48"/>
  <c r="NG44" i="48"/>
  <c r="NH44" i="48"/>
  <c r="NI44" i="48"/>
  <c r="NJ44" i="48"/>
  <c r="NK44" i="48"/>
  <c r="NL44" i="48"/>
  <c r="NM44" i="48"/>
  <c r="NN44" i="48"/>
  <c r="NO44" i="48"/>
  <c r="NP44" i="48"/>
  <c r="NQ44" i="48"/>
  <c r="NR44" i="48"/>
  <c r="NS44" i="48"/>
  <c r="NT44" i="48"/>
  <c r="NU44" i="48"/>
  <c r="NV44" i="48"/>
  <c r="NW44" i="48"/>
  <c r="NX44" i="48"/>
  <c r="NY44" i="48"/>
  <c r="NZ44" i="48"/>
  <c r="OA44" i="48"/>
  <c r="OB44" i="48"/>
  <c r="OC44" i="48"/>
  <c r="OD44" i="48"/>
  <c r="OE44" i="48"/>
  <c r="OF44" i="48"/>
  <c r="OG44" i="48"/>
  <c r="OH44" i="48"/>
  <c r="OI44" i="48"/>
  <c r="OJ44" i="48"/>
  <c r="OK44" i="48"/>
  <c r="OL44" i="48"/>
  <c r="OM44" i="48"/>
  <c r="ON44" i="48"/>
  <c r="OO44" i="48"/>
  <c r="OP44" i="48"/>
  <c r="OQ44" i="48"/>
  <c r="OR44" i="48"/>
  <c r="OS44" i="48"/>
  <c r="OT44" i="48"/>
  <c r="OU44" i="48"/>
  <c r="OV44" i="48"/>
  <c r="OW44" i="48"/>
  <c r="OX44" i="48"/>
  <c r="OY44" i="48"/>
  <c r="OZ44" i="48"/>
  <c r="PA44" i="48"/>
  <c r="PB44" i="48"/>
  <c r="PC44" i="48"/>
  <c r="PD44" i="48"/>
  <c r="PE44" i="48"/>
  <c r="PF44" i="48"/>
  <c r="PG44" i="48"/>
  <c r="PH44" i="48"/>
  <c r="PI44" i="48"/>
  <c r="PJ44" i="48"/>
  <c r="PK44" i="48"/>
  <c r="PL44" i="48"/>
  <c r="PM44" i="48"/>
  <c r="PN44" i="48"/>
  <c r="PO44" i="48"/>
  <c r="PP44" i="48"/>
  <c r="PQ44" i="48"/>
  <c r="PR44" i="48"/>
  <c r="PS44" i="48"/>
  <c r="PT44" i="48"/>
  <c r="PU44" i="48"/>
  <c r="PV44" i="48"/>
  <c r="PW44" i="48"/>
  <c r="PX44" i="48"/>
  <c r="PY44" i="48"/>
  <c r="PZ44" i="48"/>
  <c r="QA44" i="48"/>
  <c r="QB44" i="48"/>
  <c r="QC44" i="48"/>
  <c r="QD44" i="48"/>
  <c r="QE44" i="48"/>
  <c r="QF44" i="48"/>
  <c r="QG44" i="48"/>
  <c r="QH44" i="48"/>
  <c r="QI44" i="48"/>
  <c r="QJ44" i="48"/>
  <c r="QK44" i="48"/>
  <c r="QL44" i="48"/>
  <c r="QM44" i="48"/>
  <c r="QN44" i="48"/>
  <c r="QO44" i="48"/>
  <c r="QP44" i="48"/>
  <c r="QQ44" i="48"/>
  <c r="QR44" i="48"/>
  <c r="QS44" i="48"/>
  <c r="QT44" i="48"/>
  <c r="QU44" i="48"/>
  <c r="QV44" i="48"/>
  <c r="QW44" i="48"/>
  <c r="QX44" i="48"/>
  <c r="QY44" i="48"/>
  <c r="QZ44" i="48"/>
  <c r="RA44" i="48"/>
  <c r="RB44" i="48"/>
  <c r="RC44" i="48"/>
  <c r="RD44" i="48"/>
  <c r="RE44" i="48"/>
  <c r="RF44" i="48"/>
  <c r="RG44" i="48"/>
  <c r="RH44" i="48"/>
  <c r="RI44" i="48"/>
  <c r="RJ44" i="48"/>
  <c r="RK44" i="48"/>
  <c r="RL44" i="48"/>
  <c r="RM44" i="48"/>
  <c r="RN44" i="48"/>
  <c r="RO44" i="48"/>
  <c r="RP44" i="48"/>
  <c r="RQ44" i="48"/>
  <c r="RR44" i="48"/>
  <c r="RS44" i="48"/>
  <c r="RT44" i="48"/>
  <c r="RU44" i="48"/>
  <c r="RV44" i="48"/>
  <c r="RW44" i="48"/>
  <c r="RX44" i="48"/>
  <c r="RY44" i="48"/>
  <c r="RZ44" i="48"/>
  <c r="SA44" i="48"/>
  <c r="SB44" i="48"/>
  <c r="SC44" i="48"/>
  <c r="SD44" i="48"/>
  <c r="SE44" i="48"/>
  <c r="SF44" i="48"/>
  <c r="SG44" i="48"/>
  <c r="SH44" i="48"/>
  <c r="SI44" i="48"/>
  <c r="SJ44" i="48"/>
  <c r="SK44" i="48"/>
  <c r="SL44" i="48"/>
  <c r="SM44" i="48"/>
  <c r="SN44" i="48"/>
  <c r="SO44" i="48"/>
  <c r="SP44" i="48"/>
  <c r="SQ44" i="48"/>
  <c r="SR44" i="48"/>
  <c r="SS44" i="48"/>
  <c r="ST44" i="48"/>
  <c r="SU44" i="48"/>
  <c r="SV44" i="48"/>
  <c r="SW44" i="48"/>
  <c r="ND45" i="48"/>
  <c r="NG14" i="44" s="1"/>
  <c r="NE45" i="48"/>
  <c r="NH14" i="44" s="1"/>
  <c r="NF45" i="48"/>
  <c r="NI14" i="44" s="1"/>
  <c r="NG45" i="48"/>
  <c r="NJ14" i="44" s="1"/>
  <c r="NH45" i="48"/>
  <c r="NK14" i="44" s="1"/>
  <c r="NI45" i="48"/>
  <c r="NL14" i="44" s="1"/>
  <c r="NJ45" i="48"/>
  <c r="NM14" i="44" s="1"/>
  <c r="NK45" i="48"/>
  <c r="NN14" i="44" s="1"/>
  <c r="NL45" i="48"/>
  <c r="NO14" i="44" s="1"/>
  <c r="NM45" i="48"/>
  <c r="NP14" i="44" s="1"/>
  <c r="NN45" i="48"/>
  <c r="NQ14" i="44" s="1"/>
  <c r="NO45" i="48"/>
  <c r="NR14" i="44" s="1"/>
  <c r="NP45" i="48"/>
  <c r="NS14" i="44" s="1"/>
  <c r="NQ45" i="48"/>
  <c r="NT14" i="44" s="1"/>
  <c r="NR45" i="48"/>
  <c r="NU14" i="44" s="1"/>
  <c r="NS45" i="48"/>
  <c r="NV14" i="44" s="1"/>
  <c r="NT45" i="48"/>
  <c r="NW14" i="44" s="1"/>
  <c r="NU45" i="48"/>
  <c r="NX14" i="44" s="1"/>
  <c r="NV45" i="48"/>
  <c r="NY14" i="44" s="1"/>
  <c r="NW45" i="48"/>
  <c r="NZ14" i="44" s="1"/>
  <c r="NX45" i="48"/>
  <c r="OA14" i="44" s="1"/>
  <c r="NY45" i="48"/>
  <c r="OB14" i="44" s="1"/>
  <c r="NZ45" i="48"/>
  <c r="OC14" i="44" s="1"/>
  <c r="OA45" i="48"/>
  <c r="OD14" i="44" s="1"/>
  <c r="OB45" i="48"/>
  <c r="OE14" i="44" s="1"/>
  <c r="OC45" i="48"/>
  <c r="OF14" i="44" s="1"/>
  <c r="OD45" i="48"/>
  <c r="OG14" i="44" s="1"/>
  <c r="OE45" i="48"/>
  <c r="OH14" i="44" s="1"/>
  <c r="OF45" i="48"/>
  <c r="OI14" i="44" s="1"/>
  <c r="OG45" i="48"/>
  <c r="OJ14" i="44" s="1"/>
  <c r="OH45" i="48"/>
  <c r="OK14" i="44" s="1"/>
  <c r="OI45" i="48"/>
  <c r="OL14" i="44" s="1"/>
  <c r="OJ45" i="48"/>
  <c r="OM14" i="44" s="1"/>
  <c r="OK45" i="48"/>
  <c r="ON14" i="44" s="1"/>
  <c r="OL45" i="48"/>
  <c r="OO14" i="44" s="1"/>
  <c r="OM45" i="48"/>
  <c r="OP14" i="44" s="1"/>
  <c r="ON45" i="48"/>
  <c r="OQ14" i="44" s="1"/>
  <c r="OO45" i="48"/>
  <c r="OR14" i="44" s="1"/>
  <c r="OP45" i="48"/>
  <c r="OS14" i="44" s="1"/>
  <c r="OQ45" i="48"/>
  <c r="OT14" i="44" s="1"/>
  <c r="OR45" i="48"/>
  <c r="OU14" i="44" s="1"/>
  <c r="OS45" i="48"/>
  <c r="OV14" i="44" s="1"/>
  <c r="OT45" i="48"/>
  <c r="OW14" i="44" s="1"/>
  <c r="OU45" i="48"/>
  <c r="OX14" i="44" s="1"/>
  <c r="OV45" i="48"/>
  <c r="OY14" i="44" s="1"/>
  <c r="OW45" i="48"/>
  <c r="OZ14" i="44" s="1"/>
  <c r="OX45" i="48"/>
  <c r="OY45" i="48"/>
  <c r="OZ45" i="48"/>
  <c r="PA45" i="48"/>
  <c r="PB45" i="48"/>
  <c r="PC45" i="48"/>
  <c r="PD45" i="48"/>
  <c r="PE45" i="48"/>
  <c r="PF45" i="48"/>
  <c r="PG45" i="48"/>
  <c r="PH45" i="48"/>
  <c r="PI45" i="48"/>
  <c r="PJ45" i="48"/>
  <c r="PK45" i="48"/>
  <c r="PL45" i="48"/>
  <c r="PM45" i="48"/>
  <c r="PN45" i="48"/>
  <c r="PO45" i="48"/>
  <c r="PP45" i="48"/>
  <c r="PQ45" i="48"/>
  <c r="PR45" i="48"/>
  <c r="PS45" i="48"/>
  <c r="PT45" i="48"/>
  <c r="PU45" i="48"/>
  <c r="PV45" i="48"/>
  <c r="PW45" i="48"/>
  <c r="PX45" i="48"/>
  <c r="PY45" i="48"/>
  <c r="PZ45" i="48"/>
  <c r="QA45" i="48"/>
  <c r="QB45" i="48"/>
  <c r="QC45" i="48"/>
  <c r="QD45" i="48"/>
  <c r="QE45" i="48"/>
  <c r="QF45" i="48"/>
  <c r="QG45" i="48"/>
  <c r="QH45" i="48"/>
  <c r="QI45" i="48"/>
  <c r="QJ45" i="48"/>
  <c r="QK45" i="48"/>
  <c r="QL45" i="48"/>
  <c r="QM45" i="48"/>
  <c r="QN45" i="48"/>
  <c r="QO45" i="48"/>
  <c r="QP45" i="48"/>
  <c r="QQ45" i="48"/>
  <c r="QR45" i="48"/>
  <c r="QS45" i="48"/>
  <c r="QT45" i="48"/>
  <c r="QU45" i="48"/>
  <c r="QV45" i="48"/>
  <c r="QW45" i="48"/>
  <c r="QX45" i="48"/>
  <c r="QY45" i="48"/>
  <c r="QZ45" i="48"/>
  <c r="RA45" i="48"/>
  <c r="RB45" i="48"/>
  <c r="RC45" i="48"/>
  <c r="RD45" i="48"/>
  <c r="RE45" i="48"/>
  <c r="RF45" i="48"/>
  <c r="RG45" i="48"/>
  <c r="RH45" i="48"/>
  <c r="RI45" i="48"/>
  <c r="RJ45" i="48"/>
  <c r="RK45" i="48"/>
  <c r="RL45" i="48"/>
  <c r="RM45" i="48"/>
  <c r="RN45" i="48"/>
  <c r="RO45" i="48"/>
  <c r="RP45" i="48"/>
  <c r="RQ45" i="48"/>
  <c r="RR45" i="48"/>
  <c r="RS45" i="48"/>
  <c r="RT45" i="48"/>
  <c r="RU45" i="48"/>
  <c r="RV45" i="48"/>
  <c r="RW45" i="48"/>
  <c r="RX45" i="48"/>
  <c r="RY45" i="48"/>
  <c r="RZ45" i="48"/>
  <c r="SA45" i="48"/>
  <c r="SB45" i="48"/>
  <c r="SC45" i="48"/>
  <c r="SD45" i="48"/>
  <c r="SE45" i="48"/>
  <c r="SF45" i="48"/>
  <c r="SG45" i="48"/>
  <c r="SH45" i="48"/>
  <c r="SI45" i="48"/>
  <c r="SJ45" i="48"/>
  <c r="SK45" i="48"/>
  <c r="SL45" i="48"/>
  <c r="SM45" i="48"/>
  <c r="SN45" i="48"/>
  <c r="SO45" i="48"/>
  <c r="SP45" i="48"/>
  <c r="SQ45" i="48"/>
  <c r="SR45" i="48"/>
  <c r="SS45" i="48"/>
  <c r="ST45" i="48"/>
  <c r="SU45" i="48"/>
  <c r="SV45" i="48"/>
  <c r="SW45" i="48"/>
  <c r="ND46" i="48"/>
  <c r="NG15" i="44" s="1"/>
  <c r="NE46" i="48"/>
  <c r="NH15" i="44" s="1"/>
  <c r="NF46" i="48"/>
  <c r="NI15" i="44" s="1"/>
  <c r="NG46" i="48"/>
  <c r="NJ15" i="44" s="1"/>
  <c r="NH46" i="48"/>
  <c r="NK15" i="44" s="1"/>
  <c r="NI46" i="48"/>
  <c r="NL15" i="44" s="1"/>
  <c r="NJ46" i="48"/>
  <c r="NM15" i="44" s="1"/>
  <c r="NK46" i="48"/>
  <c r="NN15" i="44" s="1"/>
  <c r="NL46" i="48"/>
  <c r="NO15" i="44" s="1"/>
  <c r="NM46" i="48"/>
  <c r="NP15" i="44" s="1"/>
  <c r="NN46" i="48"/>
  <c r="NQ15" i="44" s="1"/>
  <c r="NO46" i="48"/>
  <c r="NR15" i="44" s="1"/>
  <c r="NP46" i="48"/>
  <c r="NS15" i="44" s="1"/>
  <c r="NQ46" i="48"/>
  <c r="NT15" i="44" s="1"/>
  <c r="NR46" i="48"/>
  <c r="NU15" i="44" s="1"/>
  <c r="NS46" i="48"/>
  <c r="NV15" i="44" s="1"/>
  <c r="NT46" i="48"/>
  <c r="NW15" i="44" s="1"/>
  <c r="NU46" i="48"/>
  <c r="NX15" i="44" s="1"/>
  <c r="NV46" i="48"/>
  <c r="NY15" i="44" s="1"/>
  <c r="NW46" i="48"/>
  <c r="NZ15" i="44" s="1"/>
  <c r="NX46" i="48"/>
  <c r="OA15" i="44" s="1"/>
  <c r="NY46" i="48"/>
  <c r="OB15" i="44" s="1"/>
  <c r="NZ46" i="48"/>
  <c r="OC15" i="44" s="1"/>
  <c r="OA46" i="48"/>
  <c r="OD15" i="44" s="1"/>
  <c r="OB46" i="48"/>
  <c r="OE15" i="44" s="1"/>
  <c r="OC46" i="48"/>
  <c r="OF15" i="44" s="1"/>
  <c r="OD46" i="48"/>
  <c r="OG15" i="44" s="1"/>
  <c r="OE46" i="48"/>
  <c r="OH15" i="44" s="1"/>
  <c r="OF46" i="48"/>
  <c r="OI15" i="44" s="1"/>
  <c r="OG46" i="48"/>
  <c r="OJ15" i="44" s="1"/>
  <c r="OH46" i="48"/>
  <c r="OK15" i="44" s="1"/>
  <c r="OI46" i="48"/>
  <c r="OL15" i="44" s="1"/>
  <c r="OJ46" i="48"/>
  <c r="OM15" i="44" s="1"/>
  <c r="OK46" i="48"/>
  <c r="ON15" i="44" s="1"/>
  <c r="OL46" i="48"/>
  <c r="OO15" i="44" s="1"/>
  <c r="OM46" i="48"/>
  <c r="OP15" i="44" s="1"/>
  <c r="ON46" i="48"/>
  <c r="OQ15" i="44" s="1"/>
  <c r="OO46" i="48"/>
  <c r="OR15" i="44" s="1"/>
  <c r="OP46" i="48"/>
  <c r="OS15" i="44" s="1"/>
  <c r="OQ46" i="48"/>
  <c r="OT15" i="44" s="1"/>
  <c r="OR46" i="48"/>
  <c r="OU15" i="44" s="1"/>
  <c r="OS46" i="48"/>
  <c r="OV15" i="44" s="1"/>
  <c r="OT46" i="48"/>
  <c r="OW15" i="44" s="1"/>
  <c r="OU46" i="48"/>
  <c r="OX15" i="44" s="1"/>
  <c r="OV46" i="48"/>
  <c r="OY15" i="44" s="1"/>
  <c r="OW46" i="48"/>
  <c r="OZ15" i="44" s="1"/>
  <c r="OX46" i="48"/>
  <c r="OY46" i="48"/>
  <c r="OZ46" i="48"/>
  <c r="PA46" i="48"/>
  <c r="PB46" i="48"/>
  <c r="PC46" i="48"/>
  <c r="PD46" i="48"/>
  <c r="PE46" i="48"/>
  <c r="PF46" i="48"/>
  <c r="PG46" i="48"/>
  <c r="PH46" i="48"/>
  <c r="PI46" i="48"/>
  <c r="PJ46" i="48"/>
  <c r="PK46" i="48"/>
  <c r="PL46" i="48"/>
  <c r="PM46" i="48"/>
  <c r="PN46" i="48"/>
  <c r="PO46" i="48"/>
  <c r="PP46" i="48"/>
  <c r="PQ46" i="48"/>
  <c r="PR46" i="48"/>
  <c r="PS46" i="48"/>
  <c r="PT46" i="48"/>
  <c r="PU46" i="48"/>
  <c r="PV46" i="48"/>
  <c r="PW46" i="48"/>
  <c r="PX46" i="48"/>
  <c r="PY46" i="48"/>
  <c r="PZ46" i="48"/>
  <c r="QA46" i="48"/>
  <c r="QB46" i="48"/>
  <c r="QC46" i="48"/>
  <c r="QD46" i="48"/>
  <c r="QE46" i="48"/>
  <c r="QF46" i="48"/>
  <c r="QG46" i="48"/>
  <c r="QH46" i="48"/>
  <c r="QI46" i="48"/>
  <c r="QJ46" i="48"/>
  <c r="QK46" i="48"/>
  <c r="QL46" i="48"/>
  <c r="QM46" i="48"/>
  <c r="QN46" i="48"/>
  <c r="QO46" i="48"/>
  <c r="QP46" i="48"/>
  <c r="QQ46" i="48"/>
  <c r="QR46" i="48"/>
  <c r="QS46" i="48"/>
  <c r="QT46" i="48"/>
  <c r="QU46" i="48"/>
  <c r="QV46" i="48"/>
  <c r="QW46" i="48"/>
  <c r="QX46" i="48"/>
  <c r="QY46" i="48"/>
  <c r="QZ46" i="48"/>
  <c r="RA46" i="48"/>
  <c r="RB46" i="48"/>
  <c r="RC46" i="48"/>
  <c r="RD46" i="48"/>
  <c r="RE46" i="48"/>
  <c r="RF46" i="48"/>
  <c r="RG46" i="48"/>
  <c r="RH46" i="48"/>
  <c r="RI46" i="48"/>
  <c r="RJ46" i="48"/>
  <c r="RK46" i="48"/>
  <c r="RL46" i="48"/>
  <c r="RM46" i="48"/>
  <c r="RN46" i="48"/>
  <c r="RO46" i="48"/>
  <c r="RP46" i="48"/>
  <c r="RQ46" i="48"/>
  <c r="RR46" i="48"/>
  <c r="RS46" i="48"/>
  <c r="RT46" i="48"/>
  <c r="RU46" i="48"/>
  <c r="RV46" i="48"/>
  <c r="RW46" i="48"/>
  <c r="RX46" i="48"/>
  <c r="RY46" i="48"/>
  <c r="RZ46" i="48"/>
  <c r="SA46" i="48"/>
  <c r="SB46" i="48"/>
  <c r="SC46" i="48"/>
  <c r="SD46" i="48"/>
  <c r="SE46" i="48"/>
  <c r="SF46" i="48"/>
  <c r="SG46" i="48"/>
  <c r="SH46" i="48"/>
  <c r="SI46" i="48"/>
  <c r="SJ46" i="48"/>
  <c r="SK46" i="48"/>
  <c r="SL46" i="48"/>
  <c r="SM46" i="48"/>
  <c r="SN46" i="48"/>
  <c r="SO46" i="48"/>
  <c r="SP46" i="48"/>
  <c r="SQ46" i="48"/>
  <c r="SR46" i="48"/>
  <c r="SS46" i="48"/>
  <c r="ST46" i="48"/>
  <c r="SU46" i="48"/>
  <c r="SV46" i="48"/>
  <c r="SW46" i="48"/>
  <c r="ND47" i="48"/>
  <c r="NG16" i="44" s="1"/>
  <c r="NE47" i="48"/>
  <c r="NH16" i="44" s="1"/>
  <c r="NF47" i="48"/>
  <c r="NI16" i="44" s="1"/>
  <c r="NG47" i="48"/>
  <c r="NJ16" i="44" s="1"/>
  <c r="NH47" i="48"/>
  <c r="NK16" i="44" s="1"/>
  <c r="NI47" i="48"/>
  <c r="NL16" i="44" s="1"/>
  <c r="NJ47" i="48"/>
  <c r="NM16" i="44" s="1"/>
  <c r="NK47" i="48"/>
  <c r="NN16" i="44" s="1"/>
  <c r="NL47" i="48"/>
  <c r="NO16" i="44" s="1"/>
  <c r="NM47" i="48"/>
  <c r="NP16" i="44" s="1"/>
  <c r="NN47" i="48"/>
  <c r="NQ16" i="44" s="1"/>
  <c r="NO47" i="48"/>
  <c r="NR16" i="44" s="1"/>
  <c r="NP47" i="48"/>
  <c r="NS16" i="44" s="1"/>
  <c r="NQ47" i="48"/>
  <c r="NT16" i="44" s="1"/>
  <c r="NR47" i="48"/>
  <c r="NU16" i="44" s="1"/>
  <c r="NS47" i="48"/>
  <c r="NV16" i="44" s="1"/>
  <c r="NT47" i="48"/>
  <c r="NW16" i="44" s="1"/>
  <c r="NU47" i="48"/>
  <c r="NX16" i="44" s="1"/>
  <c r="NV47" i="48"/>
  <c r="NY16" i="44" s="1"/>
  <c r="NW47" i="48"/>
  <c r="NZ16" i="44" s="1"/>
  <c r="NX47" i="48"/>
  <c r="OA16" i="44" s="1"/>
  <c r="NY47" i="48"/>
  <c r="OB16" i="44" s="1"/>
  <c r="NZ47" i="48"/>
  <c r="OC16" i="44" s="1"/>
  <c r="OA47" i="48"/>
  <c r="OD16" i="44" s="1"/>
  <c r="OB47" i="48"/>
  <c r="OE16" i="44" s="1"/>
  <c r="OC47" i="48"/>
  <c r="OF16" i="44" s="1"/>
  <c r="OD47" i="48"/>
  <c r="OG16" i="44" s="1"/>
  <c r="OE47" i="48"/>
  <c r="OH16" i="44" s="1"/>
  <c r="OF47" i="48"/>
  <c r="OI16" i="44" s="1"/>
  <c r="OG47" i="48"/>
  <c r="OJ16" i="44" s="1"/>
  <c r="OH47" i="48"/>
  <c r="OK16" i="44" s="1"/>
  <c r="OI47" i="48"/>
  <c r="OL16" i="44" s="1"/>
  <c r="OJ47" i="48"/>
  <c r="OM16" i="44" s="1"/>
  <c r="OK47" i="48"/>
  <c r="ON16" i="44" s="1"/>
  <c r="OL47" i="48"/>
  <c r="OO16" i="44" s="1"/>
  <c r="OM47" i="48"/>
  <c r="OP16" i="44" s="1"/>
  <c r="ON47" i="48"/>
  <c r="OQ16" i="44" s="1"/>
  <c r="OO47" i="48"/>
  <c r="OR16" i="44" s="1"/>
  <c r="OP47" i="48"/>
  <c r="OS16" i="44" s="1"/>
  <c r="OQ47" i="48"/>
  <c r="OT16" i="44" s="1"/>
  <c r="OR47" i="48"/>
  <c r="OU16" i="44" s="1"/>
  <c r="OS47" i="48"/>
  <c r="OV16" i="44" s="1"/>
  <c r="OT47" i="48"/>
  <c r="OW16" i="44" s="1"/>
  <c r="OU47" i="48"/>
  <c r="OX16" i="44" s="1"/>
  <c r="OV47" i="48"/>
  <c r="OY16" i="44" s="1"/>
  <c r="OW47" i="48"/>
  <c r="OZ16" i="44" s="1"/>
  <c r="OX47" i="48"/>
  <c r="OY47" i="48"/>
  <c r="OZ47" i="48"/>
  <c r="PA47" i="48"/>
  <c r="PB47" i="48"/>
  <c r="PC47" i="48"/>
  <c r="PD47" i="48"/>
  <c r="PE47" i="48"/>
  <c r="PF47" i="48"/>
  <c r="PG47" i="48"/>
  <c r="PH47" i="48"/>
  <c r="PI47" i="48"/>
  <c r="PJ47" i="48"/>
  <c r="PK47" i="48"/>
  <c r="PL47" i="48"/>
  <c r="PM47" i="48"/>
  <c r="PN47" i="48"/>
  <c r="PO47" i="48"/>
  <c r="PP47" i="48"/>
  <c r="PQ47" i="48"/>
  <c r="PR47" i="48"/>
  <c r="PS47" i="48"/>
  <c r="PT47" i="48"/>
  <c r="PU47" i="48"/>
  <c r="PV47" i="48"/>
  <c r="PW47" i="48"/>
  <c r="PX47" i="48"/>
  <c r="PY47" i="48"/>
  <c r="PZ47" i="48"/>
  <c r="QA47" i="48"/>
  <c r="QB47" i="48"/>
  <c r="QC47" i="48"/>
  <c r="QD47" i="48"/>
  <c r="QE47" i="48"/>
  <c r="QF47" i="48"/>
  <c r="QG47" i="48"/>
  <c r="QH47" i="48"/>
  <c r="QI47" i="48"/>
  <c r="QJ47" i="48"/>
  <c r="QK47" i="48"/>
  <c r="QL47" i="48"/>
  <c r="QM47" i="48"/>
  <c r="QN47" i="48"/>
  <c r="QO47" i="48"/>
  <c r="QP47" i="48"/>
  <c r="QQ47" i="48"/>
  <c r="QR47" i="48"/>
  <c r="QS47" i="48"/>
  <c r="QT47" i="48"/>
  <c r="QU47" i="48"/>
  <c r="QV47" i="48"/>
  <c r="QW47" i="48"/>
  <c r="QX47" i="48"/>
  <c r="QY47" i="48"/>
  <c r="QZ47" i="48"/>
  <c r="RA47" i="48"/>
  <c r="RB47" i="48"/>
  <c r="RC47" i="48"/>
  <c r="RD47" i="48"/>
  <c r="RE47" i="48"/>
  <c r="RF47" i="48"/>
  <c r="RG47" i="48"/>
  <c r="RH47" i="48"/>
  <c r="RI47" i="48"/>
  <c r="RJ47" i="48"/>
  <c r="RK47" i="48"/>
  <c r="RL47" i="48"/>
  <c r="RM47" i="48"/>
  <c r="RN47" i="48"/>
  <c r="RO47" i="48"/>
  <c r="RP47" i="48"/>
  <c r="RQ47" i="48"/>
  <c r="RR47" i="48"/>
  <c r="RS47" i="48"/>
  <c r="RT47" i="48"/>
  <c r="RU47" i="48"/>
  <c r="RV47" i="48"/>
  <c r="RW47" i="48"/>
  <c r="RX47" i="48"/>
  <c r="RY47" i="48"/>
  <c r="RZ47" i="48"/>
  <c r="SA47" i="48"/>
  <c r="SB47" i="48"/>
  <c r="SC47" i="48"/>
  <c r="SD47" i="48"/>
  <c r="SE47" i="48"/>
  <c r="SF47" i="48"/>
  <c r="SG47" i="48"/>
  <c r="SH47" i="48"/>
  <c r="SI47" i="48"/>
  <c r="SJ47" i="48"/>
  <c r="SK47" i="48"/>
  <c r="SL47" i="48"/>
  <c r="SM47" i="48"/>
  <c r="SN47" i="48"/>
  <c r="SO47" i="48"/>
  <c r="SP47" i="48"/>
  <c r="SQ47" i="48"/>
  <c r="SR47" i="48"/>
  <c r="SS47" i="48"/>
  <c r="ST47" i="48"/>
  <c r="SU47" i="48"/>
  <c r="SV47" i="48"/>
  <c r="SW47" i="48"/>
  <c r="ND48" i="48"/>
  <c r="NG17" i="44" s="1"/>
  <c r="NG18" i="44" s="1"/>
  <c r="NE48" i="48"/>
  <c r="NH17" i="44" s="1"/>
  <c r="NH18" i="44" s="1"/>
  <c r="NF48" i="48"/>
  <c r="NI17" i="44" s="1"/>
  <c r="NI18" i="44" s="1"/>
  <c r="NG48" i="48"/>
  <c r="NJ17" i="44" s="1"/>
  <c r="NJ18" i="44" s="1"/>
  <c r="NH48" i="48"/>
  <c r="NK17" i="44" s="1"/>
  <c r="NK18" i="44" s="1"/>
  <c r="NI48" i="48"/>
  <c r="NL17" i="44" s="1"/>
  <c r="NL18" i="44" s="1"/>
  <c r="NJ48" i="48"/>
  <c r="NM17" i="44" s="1"/>
  <c r="NM18" i="44" s="1"/>
  <c r="NK48" i="48"/>
  <c r="NN17" i="44" s="1"/>
  <c r="NN18" i="44" s="1"/>
  <c r="NL48" i="48"/>
  <c r="NO17" i="44" s="1"/>
  <c r="NO18" i="44" s="1"/>
  <c r="NM48" i="48"/>
  <c r="NP17" i="44" s="1"/>
  <c r="NP18" i="44" s="1"/>
  <c r="NN48" i="48"/>
  <c r="NQ17" i="44" s="1"/>
  <c r="NQ18" i="44" s="1"/>
  <c r="NO48" i="48"/>
  <c r="NR17" i="44" s="1"/>
  <c r="NR18" i="44" s="1"/>
  <c r="NP48" i="48"/>
  <c r="NS17" i="44" s="1"/>
  <c r="NS18" i="44" s="1"/>
  <c r="NQ48" i="48"/>
  <c r="NT17" i="44" s="1"/>
  <c r="NT18" i="44" s="1"/>
  <c r="NR48" i="48"/>
  <c r="NU17" i="44" s="1"/>
  <c r="NU18" i="44" s="1"/>
  <c r="NS48" i="48"/>
  <c r="NV17" i="44" s="1"/>
  <c r="NV18" i="44" s="1"/>
  <c r="NT48" i="48"/>
  <c r="NW17" i="44" s="1"/>
  <c r="NW18" i="44" s="1"/>
  <c r="NU48" i="48"/>
  <c r="NX17" i="44" s="1"/>
  <c r="NX18" i="44" s="1"/>
  <c r="NV48" i="48"/>
  <c r="NY17" i="44" s="1"/>
  <c r="NY18" i="44" s="1"/>
  <c r="NW48" i="48"/>
  <c r="NZ17" i="44" s="1"/>
  <c r="NZ18" i="44" s="1"/>
  <c r="NX48" i="48"/>
  <c r="OA17" i="44" s="1"/>
  <c r="OA18" i="44" s="1"/>
  <c r="NY48" i="48"/>
  <c r="OB17" i="44" s="1"/>
  <c r="OB18" i="44" s="1"/>
  <c r="NZ48" i="48"/>
  <c r="OC17" i="44" s="1"/>
  <c r="OC18" i="44" s="1"/>
  <c r="OA48" i="48"/>
  <c r="OD17" i="44" s="1"/>
  <c r="OD18" i="44" s="1"/>
  <c r="OB48" i="48"/>
  <c r="OE17" i="44" s="1"/>
  <c r="OE18" i="44" s="1"/>
  <c r="OC48" i="48"/>
  <c r="OF17" i="44" s="1"/>
  <c r="OF18" i="44" s="1"/>
  <c r="OD48" i="48"/>
  <c r="OG17" i="44" s="1"/>
  <c r="OG18" i="44" s="1"/>
  <c r="OE48" i="48"/>
  <c r="OH17" i="44" s="1"/>
  <c r="OH18" i="44" s="1"/>
  <c r="OF48" i="48"/>
  <c r="OI17" i="44" s="1"/>
  <c r="OI18" i="44" s="1"/>
  <c r="OG48" i="48"/>
  <c r="OJ17" i="44" s="1"/>
  <c r="OJ18" i="44" s="1"/>
  <c r="OH48" i="48"/>
  <c r="OK17" i="44" s="1"/>
  <c r="OK18" i="44" s="1"/>
  <c r="OI48" i="48"/>
  <c r="OL17" i="44" s="1"/>
  <c r="OL18" i="44" s="1"/>
  <c r="OJ48" i="48"/>
  <c r="OM17" i="44" s="1"/>
  <c r="OM18" i="44" s="1"/>
  <c r="OK48" i="48"/>
  <c r="ON17" i="44" s="1"/>
  <c r="ON18" i="44" s="1"/>
  <c r="OL48" i="48"/>
  <c r="OO17" i="44" s="1"/>
  <c r="OO18" i="44" s="1"/>
  <c r="OM48" i="48"/>
  <c r="OP17" i="44" s="1"/>
  <c r="OP18" i="44" s="1"/>
  <c r="ON48" i="48"/>
  <c r="OQ17" i="44" s="1"/>
  <c r="OQ18" i="44" s="1"/>
  <c r="OO48" i="48"/>
  <c r="OR17" i="44" s="1"/>
  <c r="OR18" i="44" s="1"/>
  <c r="OP48" i="48"/>
  <c r="OS17" i="44" s="1"/>
  <c r="OS18" i="44" s="1"/>
  <c r="OQ48" i="48"/>
  <c r="OT17" i="44" s="1"/>
  <c r="OT18" i="44" s="1"/>
  <c r="OR48" i="48"/>
  <c r="OU17" i="44" s="1"/>
  <c r="OU18" i="44" s="1"/>
  <c r="OS48" i="48"/>
  <c r="OV17" i="44" s="1"/>
  <c r="OV18" i="44" s="1"/>
  <c r="OT48" i="48"/>
  <c r="OW17" i="44" s="1"/>
  <c r="OW18" i="44" s="1"/>
  <c r="OU48" i="48"/>
  <c r="OX17" i="44" s="1"/>
  <c r="OX18" i="44" s="1"/>
  <c r="OV48" i="48"/>
  <c r="OY17" i="44" s="1"/>
  <c r="OY18" i="44" s="1"/>
  <c r="OW48" i="48"/>
  <c r="OZ17" i="44" s="1"/>
  <c r="OZ18" i="44" s="1"/>
  <c r="OX48" i="48"/>
  <c r="OY48" i="48"/>
  <c r="OZ48" i="48"/>
  <c r="PA48" i="48"/>
  <c r="PB48" i="48"/>
  <c r="PC48" i="48"/>
  <c r="PD48" i="48"/>
  <c r="PE48" i="48"/>
  <c r="PF48" i="48"/>
  <c r="PG48" i="48"/>
  <c r="PH48" i="48"/>
  <c r="PI48" i="48"/>
  <c r="PJ48" i="48"/>
  <c r="PK48" i="48"/>
  <c r="PL48" i="48"/>
  <c r="PM48" i="48"/>
  <c r="PN48" i="48"/>
  <c r="PO48" i="48"/>
  <c r="PP48" i="48"/>
  <c r="PQ48" i="48"/>
  <c r="PR48" i="48"/>
  <c r="PS48" i="48"/>
  <c r="PT48" i="48"/>
  <c r="PU48" i="48"/>
  <c r="PV48" i="48"/>
  <c r="PW48" i="48"/>
  <c r="PX48" i="48"/>
  <c r="PY48" i="48"/>
  <c r="PZ48" i="48"/>
  <c r="QA48" i="48"/>
  <c r="QB48" i="48"/>
  <c r="QC48" i="48"/>
  <c r="QD48" i="48"/>
  <c r="QE48" i="48"/>
  <c r="QF48" i="48"/>
  <c r="QG48" i="48"/>
  <c r="QH48" i="48"/>
  <c r="QI48" i="48"/>
  <c r="QJ48" i="48"/>
  <c r="QK48" i="48"/>
  <c r="QL48" i="48"/>
  <c r="QM48" i="48"/>
  <c r="QN48" i="48"/>
  <c r="QO48" i="48"/>
  <c r="QP48" i="48"/>
  <c r="QQ48" i="48"/>
  <c r="QR48" i="48"/>
  <c r="QS48" i="48"/>
  <c r="QT48" i="48"/>
  <c r="QU48" i="48"/>
  <c r="QV48" i="48"/>
  <c r="QW48" i="48"/>
  <c r="QX48" i="48"/>
  <c r="QY48" i="48"/>
  <c r="QZ48" i="48"/>
  <c r="RA48" i="48"/>
  <c r="RB48" i="48"/>
  <c r="RC48" i="48"/>
  <c r="RD48" i="48"/>
  <c r="RE48" i="48"/>
  <c r="RF48" i="48"/>
  <c r="RG48" i="48"/>
  <c r="RH48" i="48"/>
  <c r="RI48" i="48"/>
  <c r="RJ48" i="48"/>
  <c r="RK48" i="48"/>
  <c r="RL48" i="48"/>
  <c r="RM48" i="48"/>
  <c r="RN48" i="48"/>
  <c r="RO48" i="48"/>
  <c r="RP48" i="48"/>
  <c r="RQ48" i="48"/>
  <c r="RR48" i="48"/>
  <c r="RS48" i="48"/>
  <c r="RT48" i="48"/>
  <c r="RU48" i="48"/>
  <c r="RV48" i="48"/>
  <c r="RW48" i="48"/>
  <c r="RX48" i="48"/>
  <c r="RY48" i="48"/>
  <c r="RZ48" i="48"/>
  <c r="SA48" i="48"/>
  <c r="SB48" i="48"/>
  <c r="SC48" i="48"/>
  <c r="SD48" i="48"/>
  <c r="SE48" i="48"/>
  <c r="SF48" i="48"/>
  <c r="SG48" i="48"/>
  <c r="SH48" i="48"/>
  <c r="SI48" i="48"/>
  <c r="SJ48" i="48"/>
  <c r="SK48" i="48"/>
  <c r="SL48" i="48"/>
  <c r="SM48" i="48"/>
  <c r="SN48" i="48"/>
  <c r="SO48" i="48"/>
  <c r="SP48" i="48"/>
  <c r="SQ48" i="48"/>
  <c r="SR48" i="48"/>
  <c r="SS48" i="48"/>
  <c r="ST48" i="48"/>
  <c r="SU48" i="48"/>
  <c r="SV48" i="48"/>
  <c r="SW48" i="48"/>
  <c r="R23" i="48"/>
  <c r="AR22" i="48"/>
  <c r="AS22" i="48"/>
  <c r="AU23" i="48"/>
  <c r="BB22" i="48"/>
  <c r="BC22" i="48"/>
  <c r="BG23" i="48"/>
  <c r="BQ23" i="48"/>
  <c r="BS23" i="48"/>
  <c r="DC23" i="48"/>
  <c r="DO23" i="48"/>
  <c r="W22" i="48"/>
  <c r="CM22" i="48"/>
  <c r="CN22" i="48"/>
  <c r="CO22" i="48"/>
  <c r="P23" i="48"/>
  <c r="AI23" i="48"/>
  <c r="BN22" i="48"/>
  <c r="BO22" i="48"/>
  <c r="V23" i="48"/>
  <c r="AT23" i="48"/>
  <c r="CE23" i="48"/>
  <c r="CL22" i="48"/>
  <c r="BZ22" i="48"/>
  <c r="CX22" i="48"/>
  <c r="S23" i="48"/>
  <c r="AB22" i="48"/>
  <c r="AC22" i="48"/>
  <c r="AD22" i="48"/>
  <c r="C23" i="48"/>
  <c r="AB23" i="48"/>
  <c r="AP22" i="48"/>
  <c r="AQ22" i="48"/>
  <c r="P22" i="48"/>
  <c r="D23" i="48"/>
  <c r="CQ23" i="48"/>
  <c r="T23" i="48"/>
  <c r="SW23" i="48"/>
  <c r="SV23" i="48"/>
  <c r="SU23" i="48"/>
  <c r="ST23" i="48"/>
  <c r="SS23" i="48"/>
  <c r="SR23" i="48"/>
  <c r="SQ23" i="48"/>
  <c r="SP23" i="48"/>
  <c r="SO23" i="48"/>
  <c r="SN23" i="48"/>
  <c r="SM23" i="48"/>
  <c r="SL23" i="48"/>
  <c r="SK23" i="48"/>
  <c r="SJ23" i="48"/>
  <c r="SI23" i="48"/>
  <c r="SH23" i="48"/>
  <c r="SG23" i="48"/>
  <c r="SF23" i="48"/>
  <c r="SE23" i="48"/>
  <c r="SD23" i="48"/>
  <c r="SC23" i="48"/>
  <c r="SB23" i="48"/>
  <c r="SA23" i="48"/>
  <c r="RZ23" i="48"/>
  <c r="RY23" i="48"/>
  <c r="RX23" i="48"/>
  <c r="RW23" i="48"/>
  <c r="RV23" i="48"/>
  <c r="RU23" i="48"/>
  <c r="RT23" i="48"/>
  <c r="RS23" i="48"/>
  <c r="RR23" i="48"/>
  <c r="RQ23" i="48"/>
  <c r="RP23" i="48"/>
  <c r="RO23" i="48"/>
  <c r="RN23" i="48"/>
  <c r="RM23" i="48"/>
  <c r="RL23" i="48"/>
  <c r="RK23" i="48"/>
  <c r="RJ23" i="48"/>
  <c r="RI23" i="48"/>
  <c r="RH23" i="48"/>
  <c r="RG23" i="48"/>
  <c r="RF23" i="48"/>
  <c r="RE23" i="48"/>
  <c r="RD23" i="48"/>
  <c r="RC23" i="48"/>
  <c r="RB23" i="48"/>
  <c r="RA23" i="48"/>
  <c r="QZ23" i="48"/>
  <c r="QY23" i="48"/>
  <c r="QX23" i="48"/>
  <c r="QW23" i="48"/>
  <c r="QV23" i="48"/>
  <c r="QU23" i="48"/>
  <c r="QT23" i="48"/>
  <c r="QS23" i="48"/>
  <c r="QR23" i="48"/>
  <c r="QQ23" i="48"/>
  <c r="QP23" i="48"/>
  <c r="QO23" i="48"/>
  <c r="QN23" i="48"/>
  <c r="QM23" i="48"/>
  <c r="QL23" i="48"/>
  <c r="QK23" i="48"/>
  <c r="QJ23" i="48"/>
  <c r="QI23" i="48"/>
  <c r="QH23" i="48"/>
  <c r="QG23" i="48"/>
  <c r="QF23" i="48"/>
  <c r="QE23" i="48"/>
  <c r="QD23" i="48"/>
  <c r="QC23" i="48"/>
  <c r="QB23" i="48"/>
  <c r="QA23" i="48"/>
  <c r="PZ23" i="48"/>
  <c r="PY23" i="48"/>
  <c r="PX23" i="48"/>
  <c r="PW23" i="48"/>
  <c r="PV23" i="48"/>
  <c r="PU23" i="48"/>
  <c r="PT23" i="48"/>
  <c r="PS23" i="48"/>
  <c r="PR23" i="48"/>
  <c r="PQ23" i="48"/>
  <c r="PP23" i="48"/>
  <c r="PO23" i="48"/>
  <c r="PN23" i="48"/>
  <c r="PM23" i="48"/>
  <c r="PL23" i="48"/>
  <c r="PK23" i="48"/>
  <c r="PJ23" i="48"/>
  <c r="PI23" i="48"/>
  <c r="PH23" i="48"/>
  <c r="PG23" i="48"/>
  <c r="PF23" i="48"/>
  <c r="PE23" i="48"/>
  <c r="PD23" i="48"/>
  <c r="PC23" i="48"/>
  <c r="PB23" i="48"/>
  <c r="PA23" i="48"/>
  <c r="OZ23" i="48"/>
  <c r="OY23" i="48"/>
  <c r="OX23" i="48"/>
  <c r="OW23" i="48"/>
  <c r="OV23" i="48"/>
  <c r="OU23" i="48"/>
  <c r="OT23" i="48"/>
  <c r="OS23" i="48"/>
  <c r="OR23" i="48"/>
  <c r="OQ23" i="48"/>
  <c r="OP23" i="48"/>
  <c r="OO23" i="48"/>
  <c r="ON23" i="48"/>
  <c r="OM23" i="48"/>
  <c r="OL23" i="48"/>
  <c r="OK23" i="48"/>
  <c r="OJ23" i="48"/>
  <c r="OI23" i="48"/>
  <c r="OH23" i="48"/>
  <c r="OG23" i="48"/>
  <c r="OF23" i="48"/>
  <c r="OE23" i="48"/>
  <c r="OD23" i="48"/>
  <c r="OC23" i="48"/>
  <c r="OB23" i="48"/>
  <c r="OA23" i="48"/>
  <c r="NZ23" i="48"/>
  <c r="NY23" i="48"/>
  <c r="NX23" i="48"/>
  <c r="NW23" i="48"/>
  <c r="NV23" i="48"/>
  <c r="NU23" i="48"/>
  <c r="NT23" i="48"/>
  <c r="NS23" i="48"/>
  <c r="NR23" i="48"/>
  <c r="NQ23" i="48"/>
  <c r="NP23" i="48"/>
  <c r="NO23" i="48"/>
  <c r="NN23" i="48"/>
  <c r="NM23" i="48"/>
  <c r="NL23" i="48"/>
  <c r="NK23" i="48"/>
  <c r="NJ23" i="48"/>
  <c r="NI23" i="48"/>
  <c r="NH23" i="48"/>
  <c r="NG23" i="48"/>
  <c r="NF23" i="48"/>
  <c r="NE23" i="48"/>
  <c r="ND23" i="48"/>
  <c r="JV23" i="48"/>
  <c r="JU23" i="48"/>
  <c r="JT23" i="48"/>
  <c r="JS23" i="48"/>
  <c r="JR23" i="48"/>
  <c r="JQ23" i="48"/>
  <c r="JP23" i="48"/>
  <c r="JO23" i="48"/>
  <c r="JN23" i="48"/>
  <c r="JM23" i="48"/>
  <c r="JL23" i="48"/>
  <c r="JK23" i="48"/>
  <c r="JJ23" i="48"/>
  <c r="JI23" i="48"/>
  <c r="JH23" i="48"/>
  <c r="JG23" i="48"/>
  <c r="JF23" i="48"/>
  <c r="JE23" i="48"/>
  <c r="JD23" i="48"/>
  <c r="JC23" i="48"/>
  <c r="JB23" i="48"/>
  <c r="JA23" i="48"/>
  <c r="IZ23" i="48"/>
  <c r="IY23" i="48"/>
  <c r="IX23" i="48"/>
  <c r="IW23" i="48"/>
  <c r="IV23" i="48"/>
  <c r="IU23" i="48"/>
  <c r="IT23" i="48"/>
  <c r="IS23" i="48"/>
  <c r="IR23" i="48"/>
  <c r="IQ23" i="48"/>
  <c r="IP23" i="48"/>
  <c r="IO23" i="48"/>
  <c r="IN23" i="48"/>
  <c r="IM23" i="48"/>
  <c r="IL23" i="48"/>
  <c r="IK23" i="48"/>
  <c r="IJ23" i="48"/>
  <c r="II23" i="48"/>
  <c r="IH23" i="48"/>
  <c r="IG23" i="48"/>
  <c r="IF23" i="48"/>
  <c r="IE23" i="48"/>
  <c r="ID23" i="48"/>
  <c r="IC23" i="48"/>
  <c r="IB23" i="48"/>
  <c r="IA23" i="48"/>
  <c r="HZ23" i="48"/>
  <c r="HY23" i="48"/>
  <c r="HX23" i="48"/>
  <c r="HW23" i="48"/>
  <c r="HV23" i="48"/>
  <c r="HU23" i="48"/>
  <c r="HT23" i="48"/>
  <c r="HS23" i="48"/>
  <c r="HR23" i="48"/>
  <c r="HQ23" i="48"/>
  <c r="HP23" i="48"/>
  <c r="HO23" i="48"/>
  <c r="HN23" i="48"/>
  <c r="HM23" i="48"/>
  <c r="HL23" i="48"/>
  <c r="HK23" i="48"/>
  <c r="HJ23" i="48"/>
  <c r="HI23" i="48"/>
  <c r="HH23" i="48"/>
  <c r="HG23" i="48"/>
  <c r="HF23" i="48"/>
  <c r="HE23" i="48"/>
  <c r="HD23" i="48"/>
  <c r="HC23" i="48"/>
  <c r="HB23" i="48"/>
  <c r="HA23" i="48"/>
  <c r="GZ23" i="48"/>
  <c r="GY23" i="48"/>
  <c r="GX23" i="48"/>
  <c r="GW23" i="48"/>
  <c r="GV23" i="48"/>
  <c r="GU23" i="48"/>
  <c r="GT23" i="48"/>
  <c r="GS23" i="48"/>
  <c r="GR23" i="48"/>
  <c r="GQ23" i="48"/>
  <c r="GP23" i="48"/>
  <c r="GO23" i="48"/>
  <c r="GN23" i="48"/>
  <c r="GM23" i="48"/>
  <c r="GL23" i="48"/>
  <c r="GK23" i="48"/>
  <c r="GJ23" i="48"/>
  <c r="GI23" i="48"/>
  <c r="GH23" i="48"/>
  <c r="GG23" i="48"/>
  <c r="GF23" i="48"/>
  <c r="GE23" i="48"/>
  <c r="GD23" i="48"/>
  <c r="GC23" i="48"/>
  <c r="GB23" i="48"/>
  <c r="GA23" i="48"/>
  <c r="FZ23" i="48"/>
  <c r="FY23" i="48"/>
  <c r="FX23" i="48"/>
  <c r="FW23" i="48"/>
  <c r="FV23" i="48"/>
  <c r="FU23" i="48"/>
  <c r="FT23" i="48"/>
  <c r="FS23" i="48"/>
  <c r="FR23" i="48"/>
  <c r="FQ23" i="48"/>
  <c r="FP23" i="48"/>
  <c r="FO23" i="48"/>
  <c r="FN23" i="48"/>
  <c r="FM23" i="48"/>
  <c r="FL23" i="48"/>
  <c r="FK23" i="48"/>
  <c r="FJ23" i="48"/>
  <c r="FI23" i="48"/>
  <c r="FH23" i="48"/>
  <c r="FG23" i="48"/>
  <c r="FF23" i="48"/>
  <c r="FE23" i="48"/>
  <c r="FD23" i="48"/>
  <c r="FC23" i="48"/>
  <c r="FB23" i="48"/>
  <c r="FA23" i="48"/>
  <c r="EZ23" i="48"/>
  <c r="EY23" i="48"/>
  <c r="EX23" i="48"/>
  <c r="EV23" i="48"/>
  <c r="EU23" i="48"/>
  <c r="ET23" i="48"/>
  <c r="ES23" i="48"/>
  <c r="ER23" i="48"/>
  <c r="EQ23" i="48"/>
  <c r="EP23" i="48"/>
  <c r="EO23" i="48"/>
  <c r="EN23" i="48"/>
  <c r="EM23" i="48"/>
  <c r="EL23" i="48"/>
  <c r="EK23" i="48"/>
  <c r="EJ23" i="48"/>
  <c r="EI23" i="48"/>
  <c r="EH23" i="48"/>
  <c r="EG23" i="48"/>
  <c r="EE23" i="48"/>
  <c r="ED23" i="48"/>
  <c r="EC23" i="48"/>
  <c r="EB23" i="48"/>
  <c r="EA23" i="48"/>
  <c r="DZ23" i="48"/>
  <c r="DY23" i="48"/>
  <c r="DX23" i="48"/>
  <c r="DW23" i="48"/>
  <c r="DV23" i="48"/>
  <c r="DU23" i="48"/>
  <c r="SW22" i="48"/>
  <c r="SV22" i="48"/>
  <c r="SU22" i="48"/>
  <c r="ST22" i="48"/>
  <c r="SS22" i="48"/>
  <c r="SR22" i="48"/>
  <c r="SQ22" i="48"/>
  <c r="SP22" i="48"/>
  <c r="SO22" i="48"/>
  <c r="SN22" i="48"/>
  <c r="SM22" i="48"/>
  <c r="SL22" i="48"/>
  <c r="SK22" i="48"/>
  <c r="SJ22" i="48"/>
  <c r="SI22" i="48"/>
  <c r="SH22" i="48"/>
  <c r="SG22" i="48"/>
  <c r="SF22" i="48"/>
  <c r="SE22" i="48"/>
  <c r="SD22" i="48"/>
  <c r="SC22" i="48"/>
  <c r="SB22" i="48"/>
  <c r="SA22" i="48"/>
  <c r="RZ22" i="48"/>
  <c r="RY22" i="48"/>
  <c r="RX22" i="48"/>
  <c r="RW22" i="48"/>
  <c r="RV22" i="48"/>
  <c r="RU22" i="48"/>
  <c r="RT22" i="48"/>
  <c r="RS22" i="48"/>
  <c r="RR22" i="48"/>
  <c r="RQ22" i="48"/>
  <c r="RP22" i="48"/>
  <c r="RO22" i="48"/>
  <c r="RN22" i="48"/>
  <c r="RM22" i="48"/>
  <c r="RL22" i="48"/>
  <c r="RK22" i="48"/>
  <c r="RJ22" i="48"/>
  <c r="RI22" i="48"/>
  <c r="RH22" i="48"/>
  <c r="RG22" i="48"/>
  <c r="RF22" i="48"/>
  <c r="RE22" i="48"/>
  <c r="RD22" i="48"/>
  <c r="RC22" i="48"/>
  <c r="RB22" i="48"/>
  <c r="RA22" i="48"/>
  <c r="QZ22" i="48"/>
  <c r="QY22" i="48"/>
  <c r="QX22" i="48"/>
  <c r="QW22" i="48"/>
  <c r="QV22" i="48"/>
  <c r="QU22" i="48"/>
  <c r="QT22" i="48"/>
  <c r="QS22" i="48"/>
  <c r="QR22" i="48"/>
  <c r="QQ22" i="48"/>
  <c r="QP22" i="48"/>
  <c r="QO22" i="48"/>
  <c r="QN22" i="48"/>
  <c r="QM22" i="48"/>
  <c r="QL22" i="48"/>
  <c r="QK22" i="48"/>
  <c r="QJ22" i="48"/>
  <c r="QI22" i="48"/>
  <c r="QH22" i="48"/>
  <c r="QG22" i="48"/>
  <c r="QF22" i="48"/>
  <c r="QE22" i="48"/>
  <c r="QD22" i="48"/>
  <c r="QC22" i="48"/>
  <c r="QB22" i="48"/>
  <c r="QA22" i="48"/>
  <c r="PZ22" i="48"/>
  <c r="PY22" i="48"/>
  <c r="PX22" i="48"/>
  <c r="PW22" i="48"/>
  <c r="PV22" i="48"/>
  <c r="PU22" i="48"/>
  <c r="PT22" i="48"/>
  <c r="PS22" i="48"/>
  <c r="PR22" i="48"/>
  <c r="PQ22" i="48"/>
  <c r="PP22" i="48"/>
  <c r="PO22" i="48"/>
  <c r="PN22" i="48"/>
  <c r="PM22" i="48"/>
  <c r="PL22" i="48"/>
  <c r="PK22" i="48"/>
  <c r="PJ22" i="48"/>
  <c r="PI22" i="48"/>
  <c r="PH22" i="48"/>
  <c r="PG22" i="48"/>
  <c r="PF22" i="48"/>
  <c r="PE22" i="48"/>
  <c r="PD22" i="48"/>
  <c r="PC22" i="48"/>
  <c r="PB22" i="48"/>
  <c r="PA22" i="48"/>
  <c r="OZ22" i="48"/>
  <c r="OY22" i="48"/>
  <c r="OX22" i="48"/>
  <c r="OW22" i="48"/>
  <c r="OV22" i="48"/>
  <c r="OU22" i="48"/>
  <c r="OT22" i="48"/>
  <c r="OS22" i="48"/>
  <c r="OR22" i="48"/>
  <c r="OQ22" i="48"/>
  <c r="OP22" i="48"/>
  <c r="OO22" i="48"/>
  <c r="ON22" i="48"/>
  <c r="OM22" i="48"/>
  <c r="OL22" i="48"/>
  <c r="OK22" i="48"/>
  <c r="OJ22" i="48"/>
  <c r="OI22" i="48"/>
  <c r="OH22" i="48"/>
  <c r="OG22" i="48"/>
  <c r="OF22" i="48"/>
  <c r="OE22" i="48"/>
  <c r="OD22" i="48"/>
  <c r="OC22" i="48"/>
  <c r="OB22" i="48"/>
  <c r="OA22" i="48"/>
  <c r="NZ22" i="48"/>
  <c r="NY22" i="48"/>
  <c r="NX22" i="48"/>
  <c r="NW22" i="48"/>
  <c r="NV22" i="48"/>
  <c r="NU22" i="48"/>
  <c r="NT22" i="48"/>
  <c r="NS22" i="48"/>
  <c r="NR22" i="48"/>
  <c r="NQ22" i="48"/>
  <c r="NP22" i="48"/>
  <c r="NO22" i="48"/>
  <c r="NN22" i="48"/>
  <c r="NM22" i="48"/>
  <c r="NL22" i="48"/>
  <c r="NK22" i="48"/>
  <c r="NJ22" i="48"/>
  <c r="NI22" i="48"/>
  <c r="NH22" i="48"/>
  <c r="NG22" i="48"/>
  <c r="NF22" i="48"/>
  <c r="NE22" i="48"/>
  <c r="ND22" i="48"/>
  <c r="JV22" i="48"/>
  <c r="JU22" i="48"/>
  <c r="JT22" i="48"/>
  <c r="JS22" i="48"/>
  <c r="JR22" i="48"/>
  <c r="JQ22" i="48"/>
  <c r="JP22" i="48"/>
  <c r="JO22" i="48"/>
  <c r="JN22" i="48"/>
  <c r="JM22" i="48"/>
  <c r="JL22" i="48"/>
  <c r="JK22" i="48"/>
  <c r="JJ22" i="48"/>
  <c r="JI22" i="48"/>
  <c r="JH22" i="48"/>
  <c r="JG22" i="48"/>
  <c r="JF22" i="48"/>
  <c r="JE22" i="48"/>
  <c r="JD22" i="48"/>
  <c r="JC22" i="48"/>
  <c r="JB22" i="48"/>
  <c r="JA22" i="48"/>
  <c r="IZ22" i="48"/>
  <c r="IY22" i="48"/>
  <c r="IX22" i="48"/>
  <c r="IW22" i="48"/>
  <c r="IV22" i="48"/>
  <c r="IU22" i="48"/>
  <c r="IT22" i="48"/>
  <c r="IS22" i="48"/>
  <c r="IR22" i="48"/>
  <c r="IQ22" i="48"/>
  <c r="IP22" i="48"/>
  <c r="IO22" i="48"/>
  <c r="IN22" i="48"/>
  <c r="IM22" i="48"/>
  <c r="IL22" i="48"/>
  <c r="IK22" i="48"/>
  <c r="IJ22" i="48"/>
  <c r="II22" i="48"/>
  <c r="IH22" i="48"/>
  <c r="IG22" i="48"/>
  <c r="IF22" i="48"/>
  <c r="IE22" i="48"/>
  <c r="ID22" i="48"/>
  <c r="IC22" i="48"/>
  <c r="IB22" i="48"/>
  <c r="IA22" i="48"/>
  <c r="HZ22" i="48"/>
  <c r="HY22" i="48"/>
  <c r="HX22" i="48"/>
  <c r="HW22" i="48"/>
  <c r="HV22" i="48"/>
  <c r="HU22" i="48"/>
  <c r="HT22" i="48"/>
  <c r="HS22" i="48"/>
  <c r="HR22" i="48"/>
  <c r="HQ22" i="48"/>
  <c r="HP22" i="48"/>
  <c r="HO22" i="48"/>
  <c r="HN22" i="48"/>
  <c r="HM22" i="48"/>
  <c r="HL22" i="48"/>
  <c r="HK22" i="48"/>
  <c r="HJ22" i="48"/>
  <c r="HI22" i="48"/>
  <c r="HH22" i="48"/>
  <c r="HG22" i="48"/>
  <c r="HF22" i="48"/>
  <c r="HE22" i="48"/>
  <c r="HD22" i="48"/>
  <c r="HC22" i="48"/>
  <c r="HB22" i="48"/>
  <c r="HA22" i="48"/>
  <c r="GZ22" i="48"/>
  <c r="GY22" i="48"/>
  <c r="GX22" i="48"/>
  <c r="GW22" i="48"/>
  <c r="GV22" i="48"/>
  <c r="GU22" i="48"/>
  <c r="GT22" i="48"/>
  <c r="GS22" i="48"/>
  <c r="GR22" i="48"/>
  <c r="GQ22" i="48"/>
  <c r="GP22" i="48"/>
  <c r="GO22" i="48"/>
  <c r="GN22" i="48"/>
  <c r="GM22" i="48"/>
  <c r="GL22" i="48"/>
  <c r="GK22" i="48"/>
  <c r="GJ22" i="48"/>
  <c r="GI22" i="48"/>
  <c r="GH22" i="48"/>
  <c r="GG22" i="48"/>
  <c r="GF22" i="48"/>
  <c r="GE22" i="48"/>
  <c r="GD22" i="48"/>
  <c r="GC22" i="48"/>
  <c r="GB22" i="48"/>
  <c r="GA22" i="48"/>
  <c r="FZ22" i="48"/>
  <c r="FY22" i="48"/>
  <c r="FX22" i="48"/>
  <c r="FW22" i="48"/>
  <c r="FV22" i="48"/>
  <c r="FU22" i="48"/>
  <c r="FT22" i="48"/>
  <c r="FS22" i="48"/>
  <c r="FR22" i="48"/>
  <c r="FQ22" i="48"/>
  <c r="FP22" i="48"/>
  <c r="FO22" i="48"/>
  <c r="FN22" i="48"/>
  <c r="FM22" i="48"/>
  <c r="FL22" i="48"/>
  <c r="FK22" i="48"/>
  <c r="FJ22" i="48"/>
  <c r="FI22" i="48"/>
  <c r="FH22" i="48"/>
  <c r="FG22" i="48"/>
  <c r="FF22" i="48"/>
  <c r="FE22" i="48"/>
  <c r="FD22" i="48"/>
  <c r="FC22" i="48"/>
  <c r="FB22" i="48"/>
  <c r="FA22" i="48"/>
  <c r="EZ22" i="48"/>
  <c r="EY22" i="48"/>
  <c r="EX22" i="48"/>
  <c r="EV22" i="48"/>
  <c r="EU22" i="48"/>
  <c r="ET22" i="48"/>
  <c r="ES22" i="48"/>
  <c r="ER22" i="48"/>
  <c r="EQ22" i="48"/>
  <c r="EP22" i="48"/>
  <c r="EO22" i="48"/>
  <c r="EN22" i="48"/>
  <c r="EM22" i="48"/>
  <c r="EL22" i="48"/>
  <c r="EK22" i="48"/>
  <c r="EJ22" i="48"/>
  <c r="EI22" i="48"/>
  <c r="EH22" i="48"/>
  <c r="EG22" i="48"/>
  <c r="EE22" i="48"/>
  <c r="ED22" i="48"/>
  <c r="EC22" i="48"/>
  <c r="EB22" i="48"/>
  <c r="EA22" i="48"/>
  <c r="DZ22" i="48"/>
  <c r="DY22" i="48"/>
  <c r="DX22" i="48"/>
  <c r="DW22" i="48"/>
  <c r="DV22" i="48"/>
  <c r="DU22" i="48"/>
  <c r="MS75" i="48"/>
  <c r="HR75" i="48"/>
  <c r="HR76" i="48" s="1"/>
  <c r="A90" i="48"/>
  <c r="A89" i="48"/>
  <c r="A76" i="48"/>
  <c r="A75" i="48"/>
  <c r="A63" i="48"/>
  <c r="A62" i="48"/>
  <c r="A64" i="48" s="1"/>
  <c r="A50" i="48"/>
  <c r="A49" i="48"/>
  <c r="A37" i="48"/>
  <c r="A36" i="48"/>
  <c r="A23" i="48"/>
  <c r="A22" i="48"/>
  <c r="F2" i="44"/>
  <c r="D2" i="54"/>
  <c r="E2" i="54"/>
  <c r="F2" i="54"/>
  <c r="G2" i="54"/>
  <c r="H2" i="54"/>
  <c r="I2" i="54"/>
  <c r="C13" i="54"/>
  <c r="C14" i="54" s="1"/>
  <c r="D15" i="54"/>
  <c r="D20" i="54" s="1"/>
  <c r="E15" i="54"/>
  <c r="E20" i="54" s="1"/>
  <c r="F15" i="54"/>
  <c r="E40" i="54"/>
  <c r="F40" i="54" s="1"/>
  <c r="G45" i="54"/>
  <c r="G47" i="54"/>
  <c r="CN3" i="48"/>
  <c r="BJ3" i="48"/>
  <c r="BK3" i="48" s="1"/>
  <c r="BL3" i="48" s="1"/>
  <c r="BM3" i="48" s="1"/>
  <c r="BN3" i="48" s="1"/>
  <c r="CP3" i="48"/>
  <c r="CQ3" i="48" s="1"/>
  <c r="D3" i="48"/>
  <c r="G3" i="44"/>
  <c r="H3" i="44" s="1"/>
  <c r="I3" i="44" s="1"/>
  <c r="I2" i="44" s="1"/>
  <c r="DX66" i="48"/>
  <c r="DY66" i="48"/>
  <c r="DZ66" i="48"/>
  <c r="EA66" i="48"/>
  <c r="EB66" i="48"/>
  <c r="EC66" i="48"/>
  <c r="ED66" i="48"/>
  <c r="EE66" i="48"/>
  <c r="EF66" i="48"/>
  <c r="EG66" i="48"/>
  <c r="EH66" i="48"/>
  <c r="EI66" i="48"/>
  <c r="EJ66" i="48"/>
  <c r="EK66" i="48"/>
  <c r="EL66" i="48"/>
  <c r="EM66" i="48"/>
  <c r="EN66" i="48"/>
  <c r="EO66" i="48"/>
  <c r="EP66" i="48"/>
  <c r="EQ66" i="48"/>
  <c r="ER66" i="48"/>
  <c r="ES66" i="48"/>
  <c r="ET66" i="48"/>
  <c r="EU66" i="48"/>
  <c r="EV66" i="48"/>
  <c r="EW66" i="48"/>
  <c r="DX67" i="48"/>
  <c r="DY67" i="48"/>
  <c r="DZ67" i="48"/>
  <c r="EA67" i="48"/>
  <c r="EB67" i="48"/>
  <c r="EC67" i="48"/>
  <c r="ED67" i="48"/>
  <c r="EE67" i="48"/>
  <c r="EF67" i="48"/>
  <c r="EG67" i="48"/>
  <c r="EH67" i="48"/>
  <c r="EI67" i="48"/>
  <c r="EJ67" i="48"/>
  <c r="EK67" i="48"/>
  <c r="EL67" i="48"/>
  <c r="EM67" i="48"/>
  <c r="EN67" i="48"/>
  <c r="EO67" i="48"/>
  <c r="EP67" i="48"/>
  <c r="EQ67" i="48"/>
  <c r="ER67" i="48"/>
  <c r="ES67" i="48"/>
  <c r="ET67" i="48"/>
  <c r="EU67" i="48"/>
  <c r="EV67" i="48"/>
  <c r="EW67" i="48"/>
  <c r="DX68" i="48"/>
  <c r="DY68" i="48"/>
  <c r="DZ68" i="48"/>
  <c r="EA68" i="48"/>
  <c r="EB68" i="48"/>
  <c r="EC68" i="48"/>
  <c r="ED68" i="48"/>
  <c r="EE68" i="48"/>
  <c r="EF68" i="48"/>
  <c r="EG68" i="48"/>
  <c r="EH68" i="48"/>
  <c r="EI68" i="48"/>
  <c r="EJ68" i="48"/>
  <c r="EK68" i="48"/>
  <c r="EL68" i="48"/>
  <c r="EM68" i="48"/>
  <c r="EN68" i="48"/>
  <c r="EO68" i="48"/>
  <c r="EP68" i="48"/>
  <c r="EQ68" i="48"/>
  <c r="ER68" i="48"/>
  <c r="ES68" i="48"/>
  <c r="ET68" i="48"/>
  <c r="EU68" i="48"/>
  <c r="EV68" i="48"/>
  <c r="EW68" i="48"/>
  <c r="DX69" i="48"/>
  <c r="DY69" i="48"/>
  <c r="DZ69" i="48"/>
  <c r="EA69" i="48"/>
  <c r="EB69" i="48"/>
  <c r="EC69" i="48"/>
  <c r="ED69" i="48"/>
  <c r="EE69" i="48"/>
  <c r="EF69" i="48"/>
  <c r="EG69" i="48"/>
  <c r="EH69" i="48"/>
  <c r="EI69" i="48"/>
  <c r="EJ69" i="48"/>
  <c r="EK69" i="48"/>
  <c r="EL69" i="48"/>
  <c r="EM69" i="48"/>
  <c r="EN69" i="48"/>
  <c r="EO69" i="48"/>
  <c r="EP69" i="48"/>
  <c r="EQ69" i="48"/>
  <c r="ER69" i="48"/>
  <c r="ES69" i="48"/>
  <c r="ET69" i="48"/>
  <c r="EU69" i="48"/>
  <c r="EV69" i="48"/>
  <c r="EW69" i="48"/>
  <c r="DX70" i="48"/>
  <c r="DY70" i="48"/>
  <c r="DZ70" i="48"/>
  <c r="EA70" i="48"/>
  <c r="EB70" i="48"/>
  <c r="EC70" i="48"/>
  <c r="ED70" i="48"/>
  <c r="EE70" i="48"/>
  <c r="EF70" i="48"/>
  <c r="EG70" i="48"/>
  <c r="EH70" i="48"/>
  <c r="EI70" i="48"/>
  <c r="EJ70" i="48"/>
  <c r="EK70" i="48"/>
  <c r="EL70" i="48"/>
  <c r="EM70" i="48"/>
  <c r="EN70" i="48"/>
  <c r="EO70" i="48"/>
  <c r="EP70" i="48"/>
  <c r="EQ70" i="48"/>
  <c r="ER70" i="48"/>
  <c r="ES70" i="48"/>
  <c r="ET70" i="48"/>
  <c r="EU70" i="48"/>
  <c r="EV70" i="48"/>
  <c r="EW70" i="48"/>
  <c r="DX71" i="48"/>
  <c r="DY71" i="48"/>
  <c r="DZ71" i="48"/>
  <c r="EA71" i="48"/>
  <c r="EB71" i="48"/>
  <c r="EC71" i="48"/>
  <c r="ED71" i="48"/>
  <c r="EE71" i="48"/>
  <c r="EF71" i="48"/>
  <c r="EG71" i="48"/>
  <c r="EH71" i="48"/>
  <c r="EI71" i="48"/>
  <c r="EJ71" i="48"/>
  <c r="EK71" i="48"/>
  <c r="EL71" i="48"/>
  <c r="EM71" i="48"/>
  <c r="EN71" i="48"/>
  <c r="EO71" i="48"/>
  <c r="EP71" i="48"/>
  <c r="EQ71" i="48"/>
  <c r="ER71" i="48"/>
  <c r="ES71" i="48"/>
  <c r="ET71" i="48"/>
  <c r="EU71" i="48"/>
  <c r="EV71" i="48"/>
  <c r="EW71" i="48"/>
  <c r="DX72" i="48"/>
  <c r="DY72" i="48"/>
  <c r="DZ72" i="48"/>
  <c r="EA72" i="48"/>
  <c r="EB72" i="48"/>
  <c r="EC72" i="48"/>
  <c r="ED72" i="48"/>
  <c r="EE72" i="48"/>
  <c r="EF72" i="48"/>
  <c r="EG72" i="48"/>
  <c r="EH72" i="48"/>
  <c r="EI72" i="48"/>
  <c r="EJ72" i="48"/>
  <c r="EK72" i="48"/>
  <c r="EL72" i="48"/>
  <c r="EM72" i="48"/>
  <c r="EN72" i="48"/>
  <c r="EO72" i="48"/>
  <c r="EP72" i="48"/>
  <c r="EQ72" i="48"/>
  <c r="ER72" i="48"/>
  <c r="ES72" i="48"/>
  <c r="ET72" i="48"/>
  <c r="EU72" i="48"/>
  <c r="EV72" i="48"/>
  <c r="EW72" i="48"/>
  <c r="DX73" i="48"/>
  <c r="DY73" i="48"/>
  <c r="DZ73" i="48"/>
  <c r="EA73" i="48"/>
  <c r="EB73" i="48"/>
  <c r="EC73" i="48"/>
  <c r="ED73" i="48"/>
  <c r="EE73" i="48"/>
  <c r="EF73" i="48"/>
  <c r="EG73" i="48"/>
  <c r="EH73" i="48"/>
  <c r="EI73" i="48"/>
  <c r="EJ73" i="48"/>
  <c r="EK73" i="48"/>
  <c r="EL73" i="48"/>
  <c r="EM73" i="48"/>
  <c r="EN73" i="48"/>
  <c r="EO73" i="48"/>
  <c r="EP73" i="48"/>
  <c r="EQ73" i="48"/>
  <c r="ER73" i="48"/>
  <c r="ES73" i="48"/>
  <c r="ET73" i="48"/>
  <c r="EU73" i="48"/>
  <c r="EV73" i="48"/>
  <c r="EW73" i="48"/>
  <c r="DX74" i="48"/>
  <c r="DY74" i="48"/>
  <c r="DZ74" i="48"/>
  <c r="EA74" i="48"/>
  <c r="EB74" i="48"/>
  <c r="EC74" i="48"/>
  <c r="ED74" i="48"/>
  <c r="EE74" i="48"/>
  <c r="EF74" i="48"/>
  <c r="EG74" i="48"/>
  <c r="EH74" i="48"/>
  <c r="EI74" i="48"/>
  <c r="EJ74" i="48"/>
  <c r="EK74" i="48"/>
  <c r="EL74" i="48"/>
  <c r="EM74" i="48"/>
  <c r="EN74" i="48"/>
  <c r="EO74" i="48"/>
  <c r="EP74" i="48"/>
  <c r="EQ74" i="48"/>
  <c r="ER74" i="48"/>
  <c r="ES74" i="48"/>
  <c r="ET74" i="48"/>
  <c r="EU74" i="48"/>
  <c r="EV74" i="48"/>
  <c r="EW74" i="48"/>
  <c r="ND62" i="48"/>
  <c r="NG11" i="44" s="1"/>
  <c r="NE62" i="48"/>
  <c r="NH11" i="44" s="1"/>
  <c r="NF62" i="48"/>
  <c r="NI11" i="44" s="1"/>
  <c r="NG62" i="48"/>
  <c r="NJ11" i="44" s="1"/>
  <c r="NH62" i="48"/>
  <c r="NK11" i="44" s="1"/>
  <c r="NI62" i="48"/>
  <c r="NL11" i="44" s="1"/>
  <c r="NJ62" i="48"/>
  <c r="NM11" i="44" s="1"/>
  <c r="NK62" i="48"/>
  <c r="NN11" i="44" s="1"/>
  <c r="NL62" i="48"/>
  <c r="NO11" i="44" s="1"/>
  <c r="NM62" i="48"/>
  <c r="NP11" i="44" s="1"/>
  <c r="NN62" i="48"/>
  <c r="NQ11" i="44" s="1"/>
  <c r="NO62" i="48"/>
  <c r="NR11" i="44" s="1"/>
  <c r="NP62" i="48"/>
  <c r="NS11" i="44" s="1"/>
  <c r="NQ62" i="48"/>
  <c r="NT11" i="44" s="1"/>
  <c r="NR62" i="48"/>
  <c r="NU11" i="44" s="1"/>
  <c r="NS62" i="48"/>
  <c r="NV11" i="44" s="1"/>
  <c r="NT62" i="48"/>
  <c r="NW11" i="44" s="1"/>
  <c r="NU62" i="48"/>
  <c r="NX11" i="44" s="1"/>
  <c r="NV62" i="48"/>
  <c r="NY11" i="44" s="1"/>
  <c r="NW62" i="48"/>
  <c r="NZ11" i="44" s="1"/>
  <c r="NX62" i="48"/>
  <c r="OA11" i="44" s="1"/>
  <c r="NY62" i="48"/>
  <c r="OB11" i="44" s="1"/>
  <c r="NZ62" i="48"/>
  <c r="OC11" i="44" s="1"/>
  <c r="OA62" i="48"/>
  <c r="OD11" i="44" s="1"/>
  <c r="OB62" i="48"/>
  <c r="OE11" i="44" s="1"/>
  <c r="OC62" i="48"/>
  <c r="OF11" i="44" s="1"/>
  <c r="OD62" i="48"/>
  <c r="OG11" i="44" s="1"/>
  <c r="OE62" i="48"/>
  <c r="OH11" i="44" s="1"/>
  <c r="OF62" i="48"/>
  <c r="OI11" i="44" s="1"/>
  <c r="OG62" i="48"/>
  <c r="OJ11" i="44" s="1"/>
  <c r="OH62" i="48"/>
  <c r="OK11" i="44" s="1"/>
  <c r="OI62" i="48"/>
  <c r="OL11" i="44" s="1"/>
  <c r="OJ62" i="48"/>
  <c r="OM11" i="44" s="1"/>
  <c r="OK62" i="48"/>
  <c r="ON11" i="44" s="1"/>
  <c r="OL62" i="48"/>
  <c r="OO11" i="44" s="1"/>
  <c r="OM62" i="48"/>
  <c r="OP11" i="44" s="1"/>
  <c r="ON62" i="48"/>
  <c r="OQ11" i="44" s="1"/>
  <c r="OO62" i="48"/>
  <c r="OR11" i="44" s="1"/>
  <c r="OP62" i="48"/>
  <c r="OS11" i="44" s="1"/>
  <c r="OQ62" i="48"/>
  <c r="OT11" i="44" s="1"/>
  <c r="OR62" i="48"/>
  <c r="OU11" i="44" s="1"/>
  <c r="OS62" i="48"/>
  <c r="OV11" i="44" s="1"/>
  <c r="OT62" i="48"/>
  <c r="OW11" i="44" s="1"/>
  <c r="OU62" i="48"/>
  <c r="OX11" i="44" s="1"/>
  <c r="OV62" i="48"/>
  <c r="OY11" i="44" s="1"/>
  <c r="OW62" i="48"/>
  <c r="OZ11" i="44" s="1"/>
  <c r="OX62" i="48"/>
  <c r="OY62" i="48"/>
  <c r="OZ62" i="48"/>
  <c r="PA62" i="48"/>
  <c r="PB62" i="48"/>
  <c r="PC62" i="48"/>
  <c r="PD62" i="48"/>
  <c r="PE62" i="48"/>
  <c r="PF62" i="48"/>
  <c r="PG62" i="48"/>
  <c r="PH62" i="48"/>
  <c r="PI62" i="48"/>
  <c r="PJ62" i="48"/>
  <c r="PK62" i="48"/>
  <c r="PL62" i="48"/>
  <c r="PM62" i="48"/>
  <c r="PN62" i="48"/>
  <c r="PO62" i="48"/>
  <c r="PP62" i="48"/>
  <c r="PQ62" i="48"/>
  <c r="PR62" i="48"/>
  <c r="PS62" i="48"/>
  <c r="PT62" i="48"/>
  <c r="PU62" i="48"/>
  <c r="PV62" i="48"/>
  <c r="PW62" i="48"/>
  <c r="PX62" i="48"/>
  <c r="PY62" i="48"/>
  <c r="PZ62" i="48"/>
  <c r="QA62" i="48"/>
  <c r="QB62" i="48"/>
  <c r="QC62" i="48"/>
  <c r="QD62" i="48"/>
  <c r="QE62" i="48"/>
  <c r="QF62" i="48"/>
  <c r="QG62" i="48"/>
  <c r="QH62" i="48"/>
  <c r="QI62" i="48"/>
  <c r="QJ62" i="48"/>
  <c r="QK62" i="48"/>
  <c r="QL62" i="48"/>
  <c r="QM62" i="48"/>
  <c r="QN62" i="48"/>
  <c r="QO62" i="48"/>
  <c r="QP62" i="48"/>
  <c r="QQ62" i="48"/>
  <c r="QR62" i="48"/>
  <c r="QS62" i="48"/>
  <c r="QT62" i="48"/>
  <c r="QU62" i="48"/>
  <c r="QV62" i="48"/>
  <c r="QW62" i="48"/>
  <c r="QX62" i="48"/>
  <c r="QY62" i="48"/>
  <c r="QZ62" i="48"/>
  <c r="RA62" i="48"/>
  <c r="RB62" i="48"/>
  <c r="RC62" i="48"/>
  <c r="RD62" i="48"/>
  <c r="RE62" i="48"/>
  <c r="RF62" i="48"/>
  <c r="RG62" i="48"/>
  <c r="RH62" i="48"/>
  <c r="RI62" i="48"/>
  <c r="RJ62" i="48"/>
  <c r="RK62" i="48"/>
  <c r="RL62" i="48"/>
  <c r="RM62" i="48"/>
  <c r="RN62" i="48"/>
  <c r="RO62" i="48"/>
  <c r="RP62" i="48"/>
  <c r="RQ62" i="48"/>
  <c r="RR62" i="48"/>
  <c r="RS62" i="48"/>
  <c r="RT62" i="48"/>
  <c r="RU62" i="48"/>
  <c r="RV62" i="48"/>
  <c r="RW62" i="48"/>
  <c r="RX62" i="48"/>
  <c r="RY62" i="48"/>
  <c r="RZ62" i="48"/>
  <c r="SA62" i="48"/>
  <c r="SB62" i="48"/>
  <c r="SC62" i="48"/>
  <c r="SD62" i="48"/>
  <c r="SE62" i="48"/>
  <c r="SF62" i="48"/>
  <c r="SG62" i="48"/>
  <c r="SH62" i="48"/>
  <c r="SI62" i="48"/>
  <c r="SJ62" i="48"/>
  <c r="SK62" i="48"/>
  <c r="SL62" i="48"/>
  <c r="SM62" i="48"/>
  <c r="SN62" i="48"/>
  <c r="SO62" i="48"/>
  <c r="SP62" i="48"/>
  <c r="SQ62" i="48"/>
  <c r="SR62" i="48"/>
  <c r="SS62" i="48"/>
  <c r="ST62" i="48"/>
  <c r="SU62" i="48"/>
  <c r="SV62" i="48"/>
  <c r="SW62" i="48"/>
  <c r="ND63" i="48"/>
  <c r="NG20" i="44" s="1"/>
  <c r="NE63" i="48"/>
  <c r="NH20" i="44" s="1"/>
  <c r="NF63" i="48"/>
  <c r="NI20" i="44" s="1"/>
  <c r="NG63" i="48"/>
  <c r="NJ20" i="44" s="1"/>
  <c r="NH63" i="48"/>
  <c r="NK20" i="44" s="1"/>
  <c r="NI63" i="48"/>
  <c r="NL20" i="44" s="1"/>
  <c r="NJ63" i="48"/>
  <c r="NM20" i="44" s="1"/>
  <c r="NK63" i="48"/>
  <c r="NN20" i="44" s="1"/>
  <c r="NL63" i="48"/>
  <c r="NO20" i="44" s="1"/>
  <c r="NM63" i="48"/>
  <c r="NP20" i="44" s="1"/>
  <c r="NN63" i="48"/>
  <c r="NQ20" i="44" s="1"/>
  <c r="NO63" i="48"/>
  <c r="NR20" i="44" s="1"/>
  <c r="NP63" i="48"/>
  <c r="NS20" i="44" s="1"/>
  <c r="NQ63" i="48"/>
  <c r="NT20" i="44" s="1"/>
  <c r="NR63" i="48"/>
  <c r="NU20" i="44" s="1"/>
  <c r="NS63" i="48"/>
  <c r="NV20" i="44" s="1"/>
  <c r="NT63" i="48"/>
  <c r="NW20" i="44" s="1"/>
  <c r="NU63" i="48"/>
  <c r="NX20" i="44" s="1"/>
  <c r="NV63" i="48"/>
  <c r="NY20" i="44" s="1"/>
  <c r="NW63" i="48"/>
  <c r="NZ20" i="44" s="1"/>
  <c r="NX63" i="48"/>
  <c r="OA20" i="44" s="1"/>
  <c r="NY63" i="48"/>
  <c r="OB20" i="44" s="1"/>
  <c r="NZ63" i="48"/>
  <c r="OC20" i="44" s="1"/>
  <c r="OA63" i="48"/>
  <c r="OD20" i="44" s="1"/>
  <c r="OB63" i="48"/>
  <c r="OE20" i="44" s="1"/>
  <c r="OC63" i="48"/>
  <c r="OF20" i="44" s="1"/>
  <c r="OD63" i="48"/>
  <c r="OG20" i="44" s="1"/>
  <c r="OE63" i="48"/>
  <c r="OH20" i="44" s="1"/>
  <c r="OF63" i="48"/>
  <c r="OI20" i="44" s="1"/>
  <c r="OG63" i="48"/>
  <c r="OJ20" i="44" s="1"/>
  <c r="OH63" i="48"/>
  <c r="OK20" i="44" s="1"/>
  <c r="OI63" i="48"/>
  <c r="OL20" i="44" s="1"/>
  <c r="OJ63" i="48"/>
  <c r="OM20" i="44" s="1"/>
  <c r="OK63" i="48"/>
  <c r="ON20" i="44" s="1"/>
  <c r="OL63" i="48"/>
  <c r="OO20" i="44" s="1"/>
  <c r="OM63" i="48"/>
  <c r="OP20" i="44" s="1"/>
  <c r="ON63" i="48"/>
  <c r="OQ20" i="44" s="1"/>
  <c r="OO63" i="48"/>
  <c r="OR20" i="44" s="1"/>
  <c r="OP63" i="48"/>
  <c r="OS20" i="44" s="1"/>
  <c r="OQ63" i="48"/>
  <c r="OT20" i="44" s="1"/>
  <c r="OR63" i="48"/>
  <c r="OU20" i="44" s="1"/>
  <c r="OS63" i="48"/>
  <c r="OV20" i="44" s="1"/>
  <c r="OT63" i="48"/>
  <c r="OW20" i="44" s="1"/>
  <c r="OU63" i="48"/>
  <c r="OX20" i="44" s="1"/>
  <c r="OV63" i="48"/>
  <c r="OY20" i="44" s="1"/>
  <c r="OW63" i="48"/>
  <c r="OZ20" i="44" s="1"/>
  <c r="OX63" i="48"/>
  <c r="OY63" i="48"/>
  <c r="OZ63" i="48"/>
  <c r="PA63" i="48"/>
  <c r="PB63" i="48"/>
  <c r="PC63" i="48"/>
  <c r="PD63" i="48"/>
  <c r="PE63" i="48"/>
  <c r="PF63" i="48"/>
  <c r="PG63" i="48"/>
  <c r="PH63" i="48"/>
  <c r="PI63" i="48"/>
  <c r="PJ63" i="48"/>
  <c r="PK63" i="48"/>
  <c r="PL63" i="48"/>
  <c r="PM63" i="48"/>
  <c r="PN63" i="48"/>
  <c r="PO63" i="48"/>
  <c r="PP63" i="48"/>
  <c r="PQ63" i="48"/>
  <c r="PR63" i="48"/>
  <c r="PS63" i="48"/>
  <c r="PT63" i="48"/>
  <c r="PU63" i="48"/>
  <c r="PV63" i="48"/>
  <c r="PW63" i="48"/>
  <c r="PX63" i="48"/>
  <c r="PY63" i="48"/>
  <c r="PZ63" i="48"/>
  <c r="QA63" i="48"/>
  <c r="QB63" i="48"/>
  <c r="QC63" i="48"/>
  <c r="QD63" i="48"/>
  <c r="QE63" i="48"/>
  <c r="QF63" i="48"/>
  <c r="QG63" i="48"/>
  <c r="QH63" i="48"/>
  <c r="QI63" i="48"/>
  <c r="QJ63" i="48"/>
  <c r="QK63" i="48"/>
  <c r="QL63" i="48"/>
  <c r="QM63" i="48"/>
  <c r="QN63" i="48"/>
  <c r="QO63" i="48"/>
  <c r="QP63" i="48"/>
  <c r="QQ63" i="48"/>
  <c r="QR63" i="48"/>
  <c r="QS63" i="48"/>
  <c r="QT63" i="48"/>
  <c r="QU63" i="48"/>
  <c r="QV63" i="48"/>
  <c r="QW63" i="48"/>
  <c r="QX63" i="48"/>
  <c r="QY63" i="48"/>
  <c r="QZ63" i="48"/>
  <c r="RA63" i="48"/>
  <c r="RB63" i="48"/>
  <c r="RC63" i="48"/>
  <c r="RD63" i="48"/>
  <c r="RE63" i="48"/>
  <c r="RF63" i="48"/>
  <c r="RG63" i="48"/>
  <c r="RH63" i="48"/>
  <c r="RI63" i="48"/>
  <c r="RJ63" i="48"/>
  <c r="RK63" i="48"/>
  <c r="RL63" i="48"/>
  <c r="RM63" i="48"/>
  <c r="RN63" i="48"/>
  <c r="RO63" i="48"/>
  <c r="RP63" i="48"/>
  <c r="RQ63" i="48"/>
  <c r="RR63" i="48"/>
  <c r="RS63" i="48"/>
  <c r="RT63" i="48"/>
  <c r="RU63" i="48"/>
  <c r="RV63" i="48"/>
  <c r="RW63" i="48"/>
  <c r="RX63" i="48"/>
  <c r="RY63" i="48"/>
  <c r="RZ63" i="48"/>
  <c r="SA63" i="48"/>
  <c r="SB63" i="48"/>
  <c r="SC63" i="48"/>
  <c r="SD63" i="48"/>
  <c r="SE63" i="48"/>
  <c r="SF63" i="48"/>
  <c r="SG63" i="48"/>
  <c r="SH63" i="48"/>
  <c r="SI63" i="48"/>
  <c r="SJ63" i="48"/>
  <c r="SK63" i="48"/>
  <c r="SL63" i="48"/>
  <c r="SM63" i="48"/>
  <c r="SN63" i="48"/>
  <c r="SO63" i="48"/>
  <c r="SP63" i="48"/>
  <c r="SQ63" i="48"/>
  <c r="SR63" i="48"/>
  <c r="SS63" i="48"/>
  <c r="ST63" i="48"/>
  <c r="SU63" i="48"/>
  <c r="SV63" i="48"/>
  <c r="SW63" i="48"/>
  <c r="ND49" i="48"/>
  <c r="NH10" i="44" s="1"/>
  <c r="NE49" i="48"/>
  <c r="NI10" i="44" s="1"/>
  <c r="NF49" i="48"/>
  <c r="NJ10" i="44" s="1"/>
  <c r="NG49" i="48"/>
  <c r="NK10" i="44" s="1"/>
  <c r="NH49" i="48"/>
  <c r="NL10" i="44" s="1"/>
  <c r="NI49" i="48"/>
  <c r="NM10" i="44" s="1"/>
  <c r="NJ49" i="48"/>
  <c r="NN10" i="44" s="1"/>
  <c r="NK49" i="48"/>
  <c r="NO10" i="44" s="1"/>
  <c r="NL49" i="48"/>
  <c r="NP10" i="44" s="1"/>
  <c r="NM49" i="48"/>
  <c r="NQ10" i="44" s="1"/>
  <c r="NN49" i="48"/>
  <c r="NR10" i="44" s="1"/>
  <c r="NO49" i="48"/>
  <c r="NS10" i="44" s="1"/>
  <c r="NP49" i="48"/>
  <c r="NT10" i="44" s="1"/>
  <c r="NQ49" i="48"/>
  <c r="NU10" i="44" s="1"/>
  <c r="NR49" i="48"/>
  <c r="NV10" i="44" s="1"/>
  <c r="NS49" i="48"/>
  <c r="NW10" i="44" s="1"/>
  <c r="NT49" i="48"/>
  <c r="NX10" i="44" s="1"/>
  <c r="NU49" i="48"/>
  <c r="NY10" i="44" s="1"/>
  <c r="NV49" i="48"/>
  <c r="NZ10" i="44" s="1"/>
  <c r="NW49" i="48"/>
  <c r="OA10" i="44" s="1"/>
  <c r="NX49" i="48"/>
  <c r="OB10" i="44" s="1"/>
  <c r="NY49" i="48"/>
  <c r="OC10" i="44" s="1"/>
  <c r="NZ49" i="48"/>
  <c r="OD10" i="44" s="1"/>
  <c r="OA49" i="48"/>
  <c r="OE10" i="44" s="1"/>
  <c r="OB49" i="48"/>
  <c r="OF10" i="44" s="1"/>
  <c r="OC49" i="48"/>
  <c r="OG10" i="44" s="1"/>
  <c r="OD49" i="48"/>
  <c r="OH10" i="44" s="1"/>
  <c r="OE49" i="48"/>
  <c r="OI10" i="44" s="1"/>
  <c r="OF49" i="48"/>
  <c r="OJ10" i="44" s="1"/>
  <c r="OG49" i="48"/>
  <c r="OK10" i="44" s="1"/>
  <c r="OH49" i="48"/>
  <c r="OL10" i="44" s="1"/>
  <c r="OI49" i="48"/>
  <c r="OM10" i="44" s="1"/>
  <c r="OJ49" i="48"/>
  <c r="ON10" i="44" s="1"/>
  <c r="OK49" i="48"/>
  <c r="OO10" i="44" s="1"/>
  <c r="OL49" i="48"/>
  <c r="OP10" i="44" s="1"/>
  <c r="OM49" i="48"/>
  <c r="OQ10" i="44" s="1"/>
  <c r="ON49" i="48"/>
  <c r="OR10" i="44" s="1"/>
  <c r="OO49" i="48"/>
  <c r="OS10" i="44" s="1"/>
  <c r="OP49" i="48"/>
  <c r="OT10" i="44" s="1"/>
  <c r="OQ49" i="48"/>
  <c r="OU10" i="44" s="1"/>
  <c r="OR49" i="48"/>
  <c r="OV10" i="44" s="1"/>
  <c r="OS49" i="48"/>
  <c r="OW10" i="44" s="1"/>
  <c r="OT49" i="48"/>
  <c r="OX10" i="44" s="1"/>
  <c r="OU49" i="48"/>
  <c r="OY10" i="44" s="1"/>
  <c r="OV49" i="48"/>
  <c r="OZ10" i="44" s="1"/>
  <c r="OW49" i="48"/>
  <c r="OX49" i="48"/>
  <c r="OY49" i="48"/>
  <c r="OZ49" i="48"/>
  <c r="PA49" i="48"/>
  <c r="PB49" i="48"/>
  <c r="PC49" i="48"/>
  <c r="PD49" i="48"/>
  <c r="PE49" i="48"/>
  <c r="PF49" i="48"/>
  <c r="PG49" i="48"/>
  <c r="PH49" i="48"/>
  <c r="PI49" i="48"/>
  <c r="PJ49" i="48"/>
  <c r="PK49" i="48"/>
  <c r="PL49" i="48"/>
  <c r="PM49" i="48"/>
  <c r="PN49" i="48"/>
  <c r="PO49" i="48"/>
  <c r="PP49" i="48"/>
  <c r="PQ49" i="48"/>
  <c r="PR49" i="48"/>
  <c r="PS49" i="48"/>
  <c r="PT49" i="48"/>
  <c r="PU49" i="48"/>
  <c r="PV49" i="48"/>
  <c r="PW49" i="48"/>
  <c r="PX49" i="48"/>
  <c r="PY49" i="48"/>
  <c r="PZ49" i="48"/>
  <c r="QA49" i="48"/>
  <c r="QB49" i="48"/>
  <c r="QC49" i="48"/>
  <c r="QD49" i="48"/>
  <c r="QE49" i="48"/>
  <c r="QF49" i="48"/>
  <c r="QG49" i="48"/>
  <c r="QH49" i="48"/>
  <c r="QI49" i="48"/>
  <c r="QJ49" i="48"/>
  <c r="QK49" i="48"/>
  <c r="QL49" i="48"/>
  <c r="QM49" i="48"/>
  <c r="QN49" i="48"/>
  <c r="QO49" i="48"/>
  <c r="QP49" i="48"/>
  <c r="QQ49" i="48"/>
  <c r="QR49" i="48"/>
  <c r="QS49" i="48"/>
  <c r="QT49" i="48"/>
  <c r="QU49" i="48"/>
  <c r="QV49" i="48"/>
  <c r="QW49" i="48"/>
  <c r="QX49" i="48"/>
  <c r="QY49" i="48"/>
  <c r="QZ49" i="48"/>
  <c r="RA49" i="48"/>
  <c r="RB49" i="48"/>
  <c r="RC49" i="48"/>
  <c r="RD49" i="48"/>
  <c r="RE49" i="48"/>
  <c r="RF49" i="48"/>
  <c r="RG49" i="48"/>
  <c r="RH49" i="48"/>
  <c r="RI49" i="48"/>
  <c r="RJ49" i="48"/>
  <c r="RK49" i="48"/>
  <c r="RL49" i="48"/>
  <c r="RM49" i="48"/>
  <c r="RN49" i="48"/>
  <c r="RO49" i="48"/>
  <c r="RP49" i="48"/>
  <c r="RQ49" i="48"/>
  <c r="RR49" i="48"/>
  <c r="RS49" i="48"/>
  <c r="RT49" i="48"/>
  <c r="RU49" i="48"/>
  <c r="RV49" i="48"/>
  <c r="RW49" i="48"/>
  <c r="RX49" i="48"/>
  <c r="RY49" i="48"/>
  <c r="RZ49" i="48"/>
  <c r="SA49" i="48"/>
  <c r="SB49" i="48"/>
  <c r="SC49" i="48"/>
  <c r="SD49" i="48"/>
  <c r="SE49" i="48"/>
  <c r="SF49" i="48"/>
  <c r="SG49" i="48"/>
  <c r="SH49" i="48"/>
  <c r="SI49" i="48"/>
  <c r="SJ49" i="48"/>
  <c r="SK49" i="48"/>
  <c r="SL49" i="48"/>
  <c r="SM49" i="48"/>
  <c r="SN49" i="48"/>
  <c r="SO49" i="48"/>
  <c r="SP49" i="48"/>
  <c r="SQ49" i="48"/>
  <c r="SR49" i="48"/>
  <c r="SS49" i="48"/>
  <c r="ST49" i="48"/>
  <c r="SU49" i="48"/>
  <c r="SV49" i="48"/>
  <c r="SW49" i="48"/>
  <c r="ND50" i="48"/>
  <c r="NG19" i="44" s="1"/>
  <c r="NE50" i="48"/>
  <c r="NH19" i="44" s="1"/>
  <c r="NF50" i="48"/>
  <c r="NI19" i="44" s="1"/>
  <c r="NG50" i="48"/>
  <c r="NJ19" i="44" s="1"/>
  <c r="NH50" i="48"/>
  <c r="NK19" i="44" s="1"/>
  <c r="NI50" i="48"/>
  <c r="NL19" i="44" s="1"/>
  <c r="NJ50" i="48"/>
  <c r="NM19" i="44" s="1"/>
  <c r="NK50" i="48"/>
  <c r="NN19" i="44" s="1"/>
  <c r="NN24" i="44" s="1"/>
  <c r="NL50" i="48"/>
  <c r="NO19" i="44" s="1"/>
  <c r="NM50" i="48"/>
  <c r="NP19" i="44" s="1"/>
  <c r="NN50" i="48"/>
  <c r="NQ19" i="44" s="1"/>
  <c r="NO50" i="48"/>
  <c r="NR19" i="44" s="1"/>
  <c r="NP50" i="48"/>
  <c r="NS19" i="44" s="1"/>
  <c r="NQ50" i="48"/>
  <c r="NT19" i="44" s="1"/>
  <c r="NR50" i="48"/>
  <c r="NU19" i="44" s="1"/>
  <c r="NS50" i="48"/>
  <c r="NV19" i="44" s="1"/>
  <c r="NT50" i="48"/>
  <c r="NW19" i="44" s="1"/>
  <c r="NU50" i="48"/>
  <c r="NX19" i="44" s="1"/>
  <c r="NV50" i="48"/>
  <c r="NY19" i="44" s="1"/>
  <c r="NW50" i="48"/>
  <c r="NZ19" i="44" s="1"/>
  <c r="NZ24" i="44" s="1"/>
  <c r="NX50" i="48"/>
  <c r="OA19" i="44" s="1"/>
  <c r="NY50" i="48"/>
  <c r="OB19" i="44" s="1"/>
  <c r="NZ50" i="48"/>
  <c r="OC19" i="44" s="1"/>
  <c r="OA50" i="48"/>
  <c r="OD19" i="44" s="1"/>
  <c r="OB50" i="48"/>
  <c r="OE19" i="44" s="1"/>
  <c r="OC50" i="48"/>
  <c r="OF19" i="44" s="1"/>
  <c r="OD50" i="48"/>
  <c r="OG19" i="44" s="1"/>
  <c r="OE50" i="48"/>
  <c r="OH19" i="44" s="1"/>
  <c r="OF50" i="48"/>
  <c r="OI19" i="44" s="1"/>
  <c r="OG50" i="48"/>
  <c r="OJ19" i="44" s="1"/>
  <c r="OH50" i="48"/>
  <c r="OK19" i="44" s="1"/>
  <c r="OI50" i="48"/>
  <c r="OL19" i="44" s="1"/>
  <c r="OJ50" i="48"/>
  <c r="OM19" i="44" s="1"/>
  <c r="OK50" i="48"/>
  <c r="ON19" i="44" s="1"/>
  <c r="OL50" i="48"/>
  <c r="OO19" i="44" s="1"/>
  <c r="OM50" i="48"/>
  <c r="OP19" i="44" s="1"/>
  <c r="ON50" i="48"/>
  <c r="OQ19" i="44" s="1"/>
  <c r="OO50" i="48"/>
  <c r="OR19" i="44" s="1"/>
  <c r="OP50" i="48"/>
  <c r="OS19" i="44" s="1"/>
  <c r="OQ50" i="48"/>
  <c r="OT19" i="44" s="1"/>
  <c r="OR50" i="48"/>
  <c r="OU19" i="44" s="1"/>
  <c r="OS50" i="48"/>
  <c r="OV19" i="44" s="1"/>
  <c r="OT50" i="48"/>
  <c r="OW19" i="44" s="1"/>
  <c r="OU50" i="48"/>
  <c r="OX19" i="44" s="1"/>
  <c r="OX24" i="44" s="1"/>
  <c r="OV50" i="48"/>
  <c r="OY19" i="44" s="1"/>
  <c r="OW50" i="48"/>
  <c r="OZ19" i="44" s="1"/>
  <c r="OX50" i="48"/>
  <c r="OY50" i="48"/>
  <c r="OZ50" i="48"/>
  <c r="PA50" i="48"/>
  <c r="PB50" i="48"/>
  <c r="PC50" i="48"/>
  <c r="PD50" i="48"/>
  <c r="PE50" i="48"/>
  <c r="PF50" i="48"/>
  <c r="PG50" i="48"/>
  <c r="PH50" i="48"/>
  <c r="PI50" i="48"/>
  <c r="PJ50" i="48"/>
  <c r="PK50" i="48"/>
  <c r="PL50" i="48"/>
  <c r="PM50" i="48"/>
  <c r="PN50" i="48"/>
  <c r="PO50" i="48"/>
  <c r="PP50" i="48"/>
  <c r="PQ50" i="48"/>
  <c r="PR50" i="48"/>
  <c r="PS50" i="48"/>
  <c r="PT50" i="48"/>
  <c r="PU50" i="48"/>
  <c r="PV50" i="48"/>
  <c r="PW50" i="48"/>
  <c r="PX50" i="48"/>
  <c r="PY50" i="48"/>
  <c r="PZ50" i="48"/>
  <c r="QA50" i="48"/>
  <c r="QB50" i="48"/>
  <c r="QC50" i="48"/>
  <c r="QD50" i="48"/>
  <c r="QE50" i="48"/>
  <c r="QF50" i="48"/>
  <c r="QG50" i="48"/>
  <c r="QH50" i="48"/>
  <c r="QI50" i="48"/>
  <c r="QJ50" i="48"/>
  <c r="QK50" i="48"/>
  <c r="QL50" i="48"/>
  <c r="QM50" i="48"/>
  <c r="QN50" i="48"/>
  <c r="QO50" i="48"/>
  <c r="QP50" i="48"/>
  <c r="QQ50" i="48"/>
  <c r="QR50" i="48"/>
  <c r="QS50" i="48"/>
  <c r="QT50" i="48"/>
  <c r="QU50" i="48"/>
  <c r="QV50" i="48"/>
  <c r="QW50" i="48"/>
  <c r="QX50" i="48"/>
  <c r="QY50" i="48"/>
  <c r="QZ50" i="48"/>
  <c r="RA50" i="48"/>
  <c r="RB50" i="48"/>
  <c r="RC50" i="48"/>
  <c r="RD50" i="48"/>
  <c r="RE50" i="48"/>
  <c r="RF50" i="48"/>
  <c r="RG50" i="48"/>
  <c r="RH50" i="48"/>
  <c r="RI50" i="48"/>
  <c r="RJ50" i="48"/>
  <c r="RK50" i="48"/>
  <c r="RL50" i="48"/>
  <c r="RM50" i="48"/>
  <c r="RN50" i="48"/>
  <c r="RO50" i="48"/>
  <c r="RP50" i="48"/>
  <c r="RQ50" i="48"/>
  <c r="RR50" i="48"/>
  <c r="RS50" i="48"/>
  <c r="RT50" i="48"/>
  <c r="RU50" i="48"/>
  <c r="RV50" i="48"/>
  <c r="RW50" i="48"/>
  <c r="RX50" i="48"/>
  <c r="RY50" i="48"/>
  <c r="RZ50" i="48"/>
  <c r="SA50" i="48"/>
  <c r="SB50" i="48"/>
  <c r="SC50" i="48"/>
  <c r="SD50" i="48"/>
  <c r="SE50" i="48"/>
  <c r="SF50" i="48"/>
  <c r="SG50" i="48"/>
  <c r="SH50" i="48"/>
  <c r="SI50" i="48"/>
  <c r="SJ50" i="48"/>
  <c r="SK50" i="48"/>
  <c r="SL50" i="48"/>
  <c r="SM50" i="48"/>
  <c r="SN50" i="48"/>
  <c r="SO50" i="48"/>
  <c r="SP50" i="48"/>
  <c r="SQ50" i="48"/>
  <c r="SR50" i="48"/>
  <c r="SS50" i="48"/>
  <c r="ST50" i="48"/>
  <c r="SU50" i="48"/>
  <c r="SV50" i="48"/>
  <c r="SW50" i="48"/>
  <c r="LO36" i="48"/>
  <c r="ND36" i="48"/>
  <c r="NE36" i="48"/>
  <c r="NF36" i="48"/>
  <c r="NG36" i="48"/>
  <c r="NH36" i="48"/>
  <c r="NI36" i="48"/>
  <c r="NJ36" i="48"/>
  <c r="NK36" i="48"/>
  <c r="NL36" i="48"/>
  <c r="NM36" i="48"/>
  <c r="NN36" i="48"/>
  <c r="NO36" i="48"/>
  <c r="NP36" i="48"/>
  <c r="NQ36" i="48"/>
  <c r="NR36" i="48"/>
  <c r="NS36" i="48"/>
  <c r="NT36" i="48"/>
  <c r="NU36" i="48"/>
  <c r="NV36" i="48"/>
  <c r="NW36" i="48"/>
  <c r="NX36" i="48"/>
  <c r="NY36" i="48"/>
  <c r="NZ36" i="48"/>
  <c r="OA36" i="48"/>
  <c r="OB36" i="48"/>
  <c r="OC36" i="48"/>
  <c r="OD36" i="48"/>
  <c r="OE36" i="48"/>
  <c r="OF36" i="48"/>
  <c r="OG36" i="48"/>
  <c r="OH36" i="48"/>
  <c r="OI36" i="48"/>
  <c r="OJ36" i="48"/>
  <c r="OK36" i="48"/>
  <c r="OL36" i="48"/>
  <c r="OM36" i="48"/>
  <c r="ON36" i="48"/>
  <c r="OO36" i="48"/>
  <c r="OP36" i="48"/>
  <c r="OQ36" i="48"/>
  <c r="OR36" i="48"/>
  <c r="OS36" i="48"/>
  <c r="OT36" i="48"/>
  <c r="OU36" i="48"/>
  <c r="OV36" i="48"/>
  <c r="OW36" i="48"/>
  <c r="OX36" i="48"/>
  <c r="OY36" i="48"/>
  <c r="OZ36" i="48"/>
  <c r="PA36" i="48"/>
  <c r="PB36" i="48"/>
  <c r="PC36" i="48"/>
  <c r="PD36" i="48"/>
  <c r="PE36" i="48"/>
  <c r="PF36" i="48"/>
  <c r="PG36" i="48"/>
  <c r="PH36" i="48"/>
  <c r="PI36" i="48"/>
  <c r="PJ36" i="48"/>
  <c r="PK36" i="48"/>
  <c r="PL36" i="48"/>
  <c r="PM36" i="48"/>
  <c r="PN36" i="48"/>
  <c r="PO36" i="48"/>
  <c r="PP36" i="48"/>
  <c r="PQ36" i="48"/>
  <c r="PR36" i="48"/>
  <c r="PS36" i="48"/>
  <c r="PT36" i="48"/>
  <c r="PU36" i="48"/>
  <c r="PV36" i="48"/>
  <c r="PW36" i="48"/>
  <c r="PX36" i="48"/>
  <c r="PY36" i="48"/>
  <c r="PZ36" i="48"/>
  <c r="QA36" i="48"/>
  <c r="QB36" i="48"/>
  <c r="QC36" i="48"/>
  <c r="QD36" i="48"/>
  <c r="QE36" i="48"/>
  <c r="QF36" i="48"/>
  <c r="QG36" i="48"/>
  <c r="QH36" i="48"/>
  <c r="QI36" i="48"/>
  <c r="QJ36" i="48"/>
  <c r="QK36" i="48"/>
  <c r="QL36" i="48"/>
  <c r="QM36" i="48"/>
  <c r="QN36" i="48"/>
  <c r="QO36" i="48"/>
  <c r="QP36" i="48"/>
  <c r="QQ36" i="48"/>
  <c r="QR36" i="48"/>
  <c r="QS36" i="48"/>
  <c r="QT36" i="48"/>
  <c r="QU36" i="48"/>
  <c r="QV36" i="48"/>
  <c r="QW36" i="48"/>
  <c r="QX36" i="48"/>
  <c r="QY36" i="48"/>
  <c r="QZ36" i="48"/>
  <c r="RA36" i="48"/>
  <c r="RB36" i="48"/>
  <c r="RC36" i="48"/>
  <c r="RD36" i="48"/>
  <c r="RE36" i="48"/>
  <c r="RF36" i="48"/>
  <c r="RG36" i="48"/>
  <c r="RH36" i="48"/>
  <c r="RI36" i="48"/>
  <c r="RJ36" i="48"/>
  <c r="RK36" i="48"/>
  <c r="RL36" i="48"/>
  <c r="RM36" i="48"/>
  <c r="RN36" i="48"/>
  <c r="RO36" i="48"/>
  <c r="RP36" i="48"/>
  <c r="RQ36" i="48"/>
  <c r="RR36" i="48"/>
  <c r="RS36" i="48"/>
  <c r="RT36" i="48"/>
  <c r="RU36" i="48"/>
  <c r="RV36" i="48"/>
  <c r="RW36" i="48"/>
  <c r="RX36" i="48"/>
  <c r="RY36" i="48"/>
  <c r="RZ36" i="48"/>
  <c r="SA36" i="48"/>
  <c r="SB36" i="48"/>
  <c r="SC36" i="48"/>
  <c r="SD36" i="48"/>
  <c r="SE36" i="48"/>
  <c r="SF36" i="48"/>
  <c r="SG36" i="48"/>
  <c r="SH36" i="48"/>
  <c r="SI36" i="48"/>
  <c r="SJ36" i="48"/>
  <c r="SK36" i="48"/>
  <c r="SL36" i="48"/>
  <c r="SM36" i="48"/>
  <c r="SN36" i="48"/>
  <c r="SO36" i="48"/>
  <c r="SP36" i="48"/>
  <c r="SQ36" i="48"/>
  <c r="SR36" i="48"/>
  <c r="SS36" i="48"/>
  <c r="ST36" i="48"/>
  <c r="SU36" i="48"/>
  <c r="SV36" i="48"/>
  <c r="SW36" i="48"/>
  <c r="KW37" i="48"/>
  <c r="KX37" i="48"/>
  <c r="MB37" i="48"/>
  <c r="ND37" i="48"/>
  <c r="NE37" i="48"/>
  <c r="NF37" i="48"/>
  <c r="NG37" i="48"/>
  <c r="NH37" i="48"/>
  <c r="NI37" i="48"/>
  <c r="NJ37" i="48"/>
  <c r="NK37" i="48"/>
  <c r="NL37" i="48"/>
  <c r="NM37" i="48"/>
  <c r="NN37" i="48"/>
  <c r="NO37" i="48"/>
  <c r="NP37" i="48"/>
  <c r="NQ37" i="48"/>
  <c r="NR37" i="48"/>
  <c r="NS37" i="48"/>
  <c r="NT37" i="48"/>
  <c r="NU37" i="48"/>
  <c r="NV37" i="48"/>
  <c r="NW37" i="48"/>
  <c r="NX37" i="48"/>
  <c r="NY37" i="48"/>
  <c r="NZ37" i="48"/>
  <c r="OA37" i="48"/>
  <c r="OB37" i="48"/>
  <c r="OC37" i="48"/>
  <c r="OD37" i="48"/>
  <c r="OE37" i="48"/>
  <c r="OF37" i="48"/>
  <c r="OG37" i="48"/>
  <c r="OH37" i="48"/>
  <c r="OI37" i="48"/>
  <c r="OJ37" i="48"/>
  <c r="OK37" i="48"/>
  <c r="OL37" i="48"/>
  <c r="OM37" i="48"/>
  <c r="ON37" i="48"/>
  <c r="OO37" i="48"/>
  <c r="OP37" i="48"/>
  <c r="OQ37" i="48"/>
  <c r="OR37" i="48"/>
  <c r="OS37" i="48"/>
  <c r="OT37" i="48"/>
  <c r="OU37" i="48"/>
  <c r="OV37" i="48"/>
  <c r="OW37" i="48"/>
  <c r="OX37" i="48"/>
  <c r="OY37" i="48"/>
  <c r="OZ37" i="48"/>
  <c r="PA37" i="48"/>
  <c r="PB37" i="48"/>
  <c r="PC37" i="48"/>
  <c r="PD37" i="48"/>
  <c r="PE37" i="48"/>
  <c r="PF37" i="48"/>
  <c r="PG37" i="48"/>
  <c r="PH37" i="48"/>
  <c r="PI37" i="48"/>
  <c r="PJ37" i="48"/>
  <c r="PK37" i="48"/>
  <c r="PL37" i="48"/>
  <c r="PM37" i="48"/>
  <c r="PN37" i="48"/>
  <c r="PO37" i="48"/>
  <c r="PP37" i="48"/>
  <c r="PQ37" i="48"/>
  <c r="PR37" i="48"/>
  <c r="PS37" i="48"/>
  <c r="PT37" i="48"/>
  <c r="PU37" i="48"/>
  <c r="PV37" i="48"/>
  <c r="PW37" i="48"/>
  <c r="PX37" i="48"/>
  <c r="PY37" i="48"/>
  <c r="PZ37" i="48"/>
  <c r="QA37" i="48"/>
  <c r="QB37" i="48"/>
  <c r="QC37" i="48"/>
  <c r="QD37" i="48"/>
  <c r="QE37" i="48"/>
  <c r="QF37" i="48"/>
  <c r="QG37" i="48"/>
  <c r="QH37" i="48"/>
  <c r="QI37" i="48"/>
  <c r="QJ37" i="48"/>
  <c r="QK37" i="48"/>
  <c r="QL37" i="48"/>
  <c r="QM37" i="48"/>
  <c r="QN37" i="48"/>
  <c r="QO37" i="48"/>
  <c r="QP37" i="48"/>
  <c r="QQ37" i="48"/>
  <c r="QR37" i="48"/>
  <c r="QS37" i="48"/>
  <c r="QT37" i="48"/>
  <c r="QU37" i="48"/>
  <c r="QV37" i="48"/>
  <c r="QW37" i="48"/>
  <c r="QX37" i="48"/>
  <c r="QY37" i="48"/>
  <c r="QZ37" i="48"/>
  <c r="RA37" i="48"/>
  <c r="RB37" i="48"/>
  <c r="RC37" i="48"/>
  <c r="RD37" i="48"/>
  <c r="RE37" i="48"/>
  <c r="RF37" i="48"/>
  <c r="RG37" i="48"/>
  <c r="RH37" i="48"/>
  <c r="RI37" i="48"/>
  <c r="RJ37" i="48"/>
  <c r="RK37" i="48"/>
  <c r="RL37" i="48"/>
  <c r="RM37" i="48"/>
  <c r="RN37" i="48"/>
  <c r="RO37" i="48"/>
  <c r="RP37" i="48"/>
  <c r="RQ37" i="48"/>
  <c r="RR37" i="48"/>
  <c r="RS37" i="48"/>
  <c r="RT37" i="48"/>
  <c r="RU37" i="48"/>
  <c r="RV37" i="48"/>
  <c r="RW37" i="48"/>
  <c r="RX37" i="48"/>
  <c r="RY37" i="48"/>
  <c r="RZ37" i="48"/>
  <c r="SA37" i="48"/>
  <c r="SB37" i="48"/>
  <c r="SC37" i="48"/>
  <c r="SD37" i="48"/>
  <c r="SE37" i="48"/>
  <c r="SF37" i="48"/>
  <c r="SG37" i="48"/>
  <c r="SH37" i="48"/>
  <c r="SI37" i="48"/>
  <c r="SJ37" i="48"/>
  <c r="SK37" i="48"/>
  <c r="SL37" i="48"/>
  <c r="SM37" i="48"/>
  <c r="SN37" i="48"/>
  <c r="SO37" i="48"/>
  <c r="SP37" i="48"/>
  <c r="SQ37" i="48"/>
  <c r="SR37" i="48"/>
  <c r="SS37" i="48"/>
  <c r="ST37" i="48"/>
  <c r="SU37" i="48"/>
  <c r="SV37" i="48"/>
  <c r="SW37" i="48"/>
  <c r="SB75" i="48"/>
  <c r="SB76" i="48" s="1"/>
  <c r="SN75" i="48"/>
  <c r="RT75" i="48"/>
  <c r="RT76" i="48" s="1"/>
  <c r="QR75" i="48"/>
  <c r="QR76" i="48" s="1"/>
  <c r="RD75" i="48"/>
  <c r="RP75" i="48"/>
  <c r="RP76" i="48" s="1"/>
  <c r="RK75" i="48"/>
  <c r="PN75" i="48"/>
  <c r="PO75" i="48"/>
  <c r="PS75" i="48"/>
  <c r="PZ75" i="48"/>
  <c r="PZ76" i="48" s="1"/>
  <c r="QL75" i="48"/>
  <c r="QM75" i="48"/>
  <c r="PA75" i="48"/>
  <c r="PA76" i="48" s="1"/>
  <c r="NE75" i="48"/>
  <c r="NS75" i="48"/>
  <c r="OC75" i="48"/>
  <c r="MG75" i="48"/>
  <c r="MJ13" i="44" s="1"/>
  <c r="MH75" i="48"/>
  <c r="MT75" i="48"/>
  <c r="LC75" i="48"/>
  <c r="LO75" i="48"/>
  <c r="JY75" i="48"/>
  <c r="JZ75" i="48"/>
  <c r="JZ76" i="48" s="1"/>
  <c r="KA75" i="48"/>
  <c r="KK75" i="48"/>
  <c r="KL75" i="48"/>
  <c r="IO75" i="48"/>
  <c r="IU75" i="48"/>
  <c r="JG75" i="48"/>
  <c r="JM75" i="48"/>
  <c r="HQ75" i="48"/>
  <c r="IC75" i="48"/>
  <c r="ID75" i="48"/>
  <c r="GH75" i="48"/>
  <c r="GI75" i="48"/>
  <c r="GT75" i="48"/>
  <c r="HF75" i="48"/>
  <c r="RV4" i="48"/>
  <c r="RW4" i="48"/>
  <c r="RX4" i="48"/>
  <c r="RY4" i="48"/>
  <c r="RZ4" i="48"/>
  <c r="SA4" i="48"/>
  <c r="SB4" i="48"/>
  <c r="SC4" i="48"/>
  <c r="SD4" i="48"/>
  <c r="SE4" i="48"/>
  <c r="SF4" i="48"/>
  <c r="SG4" i="48"/>
  <c r="SH4" i="48"/>
  <c r="SI4" i="48"/>
  <c r="SJ4" i="48"/>
  <c r="SK4" i="48"/>
  <c r="SL4" i="48"/>
  <c r="SM4" i="48"/>
  <c r="SN4" i="48"/>
  <c r="SO4" i="48"/>
  <c r="SP4" i="48"/>
  <c r="SQ4" i="48"/>
  <c r="SR4" i="48"/>
  <c r="SS4" i="48"/>
  <c r="ST4" i="48"/>
  <c r="SU4" i="48"/>
  <c r="SV4" i="48"/>
  <c r="SW4" i="48"/>
  <c r="RV5" i="48"/>
  <c r="RW5" i="48"/>
  <c r="RX5" i="48"/>
  <c r="RY5" i="48"/>
  <c r="RZ5" i="48"/>
  <c r="SA5" i="48"/>
  <c r="SB5" i="48"/>
  <c r="SC5" i="48"/>
  <c r="SD5" i="48"/>
  <c r="SE5" i="48"/>
  <c r="SF5" i="48"/>
  <c r="SG5" i="48"/>
  <c r="SH5" i="48"/>
  <c r="SI5" i="48"/>
  <c r="SJ5" i="48"/>
  <c r="SK5" i="48"/>
  <c r="SL5" i="48"/>
  <c r="SM5" i="48"/>
  <c r="SN5" i="48"/>
  <c r="SO5" i="48"/>
  <c r="SP5" i="48"/>
  <c r="SQ5" i="48"/>
  <c r="SR5" i="48"/>
  <c r="SS5" i="48"/>
  <c r="ST5" i="48"/>
  <c r="SU5" i="48"/>
  <c r="SV5" i="48"/>
  <c r="SW5" i="48"/>
  <c r="RV6" i="48"/>
  <c r="RW6" i="48"/>
  <c r="RX6" i="48"/>
  <c r="RY6" i="48"/>
  <c r="RZ6" i="48"/>
  <c r="SA6" i="48"/>
  <c r="SB6" i="48"/>
  <c r="SC6" i="48"/>
  <c r="SD6" i="48"/>
  <c r="SE6" i="48"/>
  <c r="SF6" i="48"/>
  <c r="SG6" i="48"/>
  <c r="SH6" i="48"/>
  <c r="SI6" i="48"/>
  <c r="SJ6" i="48"/>
  <c r="SK6" i="48"/>
  <c r="SL6" i="48"/>
  <c r="SM6" i="48"/>
  <c r="SN6" i="48"/>
  <c r="SO6" i="48"/>
  <c r="SP6" i="48"/>
  <c r="SQ6" i="48"/>
  <c r="SR6" i="48"/>
  <c r="SS6" i="48"/>
  <c r="ST6" i="48"/>
  <c r="SU6" i="48"/>
  <c r="SV6" i="48"/>
  <c r="SW6" i="48"/>
  <c r="RV7" i="48"/>
  <c r="RW7" i="48"/>
  <c r="RX7" i="48"/>
  <c r="RY7" i="48"/>
  <c r="RZ7" i="48"/>
  <c r="SA7" i="48"/>
  <c r="SB7" i="48"/>
  <c r="SC7" i="48"/>
  <c r="SD7" i="48"/>
  <c r="SE7" i="48"/>
  <c r="SF7" i="48"/>
  <c r="SG7" i="48"/>
  <c r="SH7" i="48"/>
  <c r="SI7" i="48"/>
  <c r="SJ7" i="48"/>
  <c r="SK7" i="48"/>
  <c r="SL7" i="48"/>
  <c r="SM7" i="48"/>
  <c r="SN7" i="48"/>
  <c r="SO7" i="48"/>
  <c r="SP7" i="48"/>
  <c r="SQ7" i="48"/>
  <c r="SR7" i="48"/>
  <c r="SS7" i="48"/>
  <c r="ST7" i="48"/>
  <c r="SU7" i="48"/>
  <c r="SV7" i="48"/>
  <c r="SW7" i="48"/>
  <c r="RV8" i="48"/>
  <c r="RW8" i="48"/>
  <c r="RX8" i="48"/>
  <c r="RY8" i="48"/>
  <c r="RZ8" i="48"/>
  <c r="SA8" i="48"/>
  <c r="SB8" i="48"/>
  <c r="SC8" i="48"/>
  <c r="SD8" i="48"/>
  <c r="SE8" i="48"/>
  <c r="SF8" i="48"/>
  <c r="SG8" i="48"/>
  <c r="SH8" i="48"/>
  <c r="SI8" i="48"/>
  <c r="SJ8" i="48"/>
  <c r="SK8" i="48"/>
  <c r="SL8" i="48"/>
  <c r="SM8" i="48"/>
  <c r="SN8" i="48"/>
  <c r="SO8" i="48"/>
  <c r="SP8" i="48"/>
  <c r="SQ8" i="48"/>
  <c r="SR8" i="48"/>
  <c r="SS8" i="48"/>
  <c r="ST8" i="48"/>
  <c r="SU8" i="48"/>
  <c r="SV8" i="48"/>
  <c r="SW8" i="48"/>
  <c r="RV9" i="48"/>
  <c r="RW9" i="48"/>
  <c r="RX9" i="48"/>
  <c r="RY9" i="48"/>
  <c r="RZ9" i="48"/>
  <c r="SA9" i="48"/>
  <c r="SB9" i="48"/>
  <c r="SC9" i="48"/>
  <c r="SD9" i="48"/>
  <c r="SE9" i="48"/>
  <c r="SF9" i="48"/>
  <c r="SG9" i="48"/>
  <c r="SH9" i="48"/>
  <c r="SI9" i="48"/>
  <c r="SJ9" i="48"/>
  <c r="SK9" i="48"/>
  <c r="SL9" i="48"/>
  <c r="SM9" i="48"/>
  <c r="SN9" i="48"/>
  <c r="SO9" i="48"/>
  <c r="SP9" i="48"/>
  <c r="SQ9" i="48"/>
  <c r="SR9" i="48"/>
  <c r="SS9" i="48"/>
  <c r="ST9" i="48"/>
  <c r="SU9" i="48"/>
  <c r="SV9" i="48"/>
  <c r="SW9" i="48"/>
  <c r="RT5" i="48"/>
  <c r="RU5" i="48"/>
  <c r="RU7" i="48"/>
  <c r="RT7" i="48"/>
  <c r="QR4" i="48"/>
  <c r="QS4" i="48"/>
  <c r="QT4" i="48"/>
  <c r="QU4" i="48"/>
  <c r="QV4" i="48"/>
  <c r="QW4" i="48"/>
  <c r="QX4" i="48"/>
  <c r="QY4" i="48"/>
  <c r="QZ4" i="48"/>
  <c r="RA4" i="48"/>
  <c r="RB4" i="48"/>
  <c r="RC4" i="48"/>
  <c r="RD4" i="48"/>
  <c r="RE4" i="48"/>
  <c r="RF4" i="48"/>
  <c r="RG4" i="48"/>
  <c r="RH4" i="48"/>
  <c r="RI4" i="48"/>
  <c r="RJ4" i="48"/>
  <c r="RK4" i="48"/>
  <c r="RL4" i="48"/>
  <c r="RM4" i="48"/>
  <c r="RN4" i="48"/>
  <c r="RO4" i="48"/>
  <c r="RP4" i="48"/>
  <c r="RQ4" i="48"/>
  <c r="RR4" i="48"/>
  <c r="RS4" i="48"/>
  <c r="QR5" i="48"/>
  <c r="QS5" i="48"/>
  <c r="QT5" i="48"/>
  <c r="QU5" i="48"/>
  <c r="QV5" i="48"/>
  <c r="QW5" i="48"/>
  <c r="QX5" i="48"/>
  <c r="QY5" i="48"/>
  <c r="QZ5" i="48"/>
  <c r="RA5" i="48"/>
  <c r="RB5" i="48"/>
  <c r="RC5" i="48"/>
  <c r="RD5" i="48"/>
  <c r="RE5" i="48"/>
  <c r="RF5" i="48"/>
  <c r="RG5" i="48"/>
  <c r="RH5" i="48"/>
  <c r="RI5" i="48"/>
  <c r="RJ5" i="48"/>
  <c r="RK5" i="48"/>
  <c r="RL5" i="48"/>
  <c r="RM5" i="48"/>
  <c r="RN5" i="48"/>
  <c r="RO5" i="48"/>
  <c r="RP5" i="48"/>
  <c r="RQ5" i="48"/>
  <c r="RR5" i="48"/>
  <c r="RS5" i="48"/>
  <c r="QR6" i="48"/>
  <c r="QS6" i="48"/>
  <c r="QT6" i="48"/>
  <c r="QU6" i="48"/>
  <c r="QV6" i="48"/>
  <c r="QW6" i="48"/>
  <c r="QX6" i="48"/>
  <c r="QY6" i="48"/>
  <c r="QZ6" i="48"/>
  <c r="RA6" i="48"/>
  <c r="RB6" i="48"/>
  <c r="RC6" i="48"/>
  <c r="RD6" i="48"/>
  <c r="RE6" i="48"/>
  <c r="RF6" i="48"/>
  <c r="RG6" i="48"/>
  <c r="RH6" i="48"/>
  <c r="RI6" i="48"/>
  <c r="RJ6" i="48"/>
  <c r="RK6" i="48"/>
  <c r="RL6" i="48"/>
  <c r="RM6" i="48"/>
  <c r="RN6" i="48"/>
  <c r="RO6" i="48"/>
  <c r="RP6" i="48"/>
  <c r="RQ6" i="48"/>
  <c r="RR6" i="48"/>
  <c r="RS6" i="48"/>
  <c r="QR7" i="48"/>
  <c r="QS7" i="48"/>
  <c r="QT7" i="48"/>
  <c r="QU7" i="48"/>
  <c r="QV7" i="48"/>
  <c r="QW7" i="48"/>
  <c r="QX7" i="48"/>
  <c r="QY7" i="48"/>
  <c r="QZ7" i="48"/>
  <c r="RA7" i="48"/>
  <c r="RB7" i="48"/>
  <c r="RC7" i="48"/>
  <c r="RD7" i="48"/>
  <c r="RE7" i="48"/>
  <c r="RF7" i="48"/>
  <c r="RG7" i="48"/>
  <c r="RH7" i="48"/>
  <c r="RI7" i="48"/>
  <c r="RJ7" i="48"/>
  <c r="RK7" i="48"/>
  <c r="RL7" i="48"/>
  <c r="RM7" i="48"/>
  <c r="RN7" i="48"/>
  <c r="RO7" i="48"/>
  <c r="RP7" i="48"/>
  <c r="RQ7" i="48"/>
  <c r="RR7" i="48"/>
  <c r="RS7" i="48"/>
  <c r="QR8" i="48"/>
  <c r="QS8" i="48"/>
  <c r="QT8" i="48"/>
  <c r="QU8" i="48"/>
  <c r="QV8" i="48"/>
  <c r="QW8" i="48"/>
  <c r="QX8" i="48"/>
  <c r="QY8" i="48"/>
  <c r="QZ8" i="48"/>
  <c r="RA8" i="48"/>
  <c r="RB8" i="48"/>
  <c r="RC8" i="48"/>
  <c r="RD8" i="48"/>
  <c r="RE8" i="48"/>
  <c r="RF8" i="48"/>
  <c r="RG8" i="48"/>
  <c r="RH8" i="48"/>
  <c r="RI8" i="48"/>
  <c r="RJ8" i="48"/>
  <c r="RK8" i="48"/>
  <c r="RL8" i="48"/>
  <c r="RM8" i="48"/>
  <c r="RN8" i="48"/>
  <c r="RO8" i="48"/>
  <c r="RP8" i="48"/>
  <c r="RQ8" i="48"/>
  <c r="RR8" i="48"/>
  <c r="RS8" i="48"/>
  <c r="QR9" i="48"/>
  <c r="QS9" i="48"/>
  <c r="QT9" i="48"/>
  <c r="QU9" i="48"/>
  <c r="QV9" i="48"/>
  <c r="QW9" i="48"/>
  <c r="QX9" i="48"/>
  <c r="QY9" i="48"/>
  <c r="QZ9" i="48"/>
  <c r="RA9" i="48"/>
  <c r="RB9" i="48"/>
  <c r="RC9" i="48"/>
  <c r="RD9" i="48"/>
  <c r="RE9" i="48"/>
  <c r="RF9" i="48"/>
  <c r="RG9" i="48"/>
  <c r="RH9" i="48"/>
  <c r="RI9" i="48"/>
  <c r="RJ9" i="48"/>
  <c r="RK9" i="48"/>
  <c r="RL9" i="48"/>
  <c r="RM9" i="48"/>
  <c r="RN9" i="48"/>
  <c r="RO9" i="48"/>
  <c r="RP9" i="48"/>
  <c r="RQ9" i="48"/>
  <c r="RR9" i="48"/>
  <c r="RS9" i="48"/>
  <c r="QQ7" i="48"/>
  <c r="QQ5" i="48"/>
  <c r="QP5" i="48"/>
  <c r="QP7" i="48"/>
  <c r="PM4" i="48"/>
  <c r="PN4" i="48"/>
  <c r="PO4" i="48"/>
  <c r="PP4" i="48"/>
  <c r="PQ4" i="48"/>
  <c r="PR4" i="48"/>
  <c r="PS4" i="48"/>
  <c r="PT4" i="48"/>
  <c r="PU4" i="48"/>
  <c r="PV4" i="48"/>
  <c r="PW4" i="48"/>
  <c r="PX4" i="48"/>
  <c r="PY4" i="48"/>
  <c r="PZ4" i="48"/>
  <c r="QA4" i="48"/>
  <c r="QB4" i="48"/>
  <c r="QC4" i="48"/>
  <c r="QD4" i="48"/>
  <c r="QE4" i="48"/>
  <c r="QF4" i="48"/>
  <c r="QG4" i="48"/>
  <c r="QH4" i="48"/>
  <c r="QI4" i="48"/>
  <c r="QJ4" i="48"/>
  <c r="QK4" i="48"/>
  <c r="QL4" i="48"/>
  <c r="QM4" i="48"/>
  <c r="QN4" i="48"/>
  <c r="QO4" i="48"/>
  <c r="PM5" i="48"/>
  <c r="PN5" i="48"/>
  <c r="PO5" i="48"/>
  <c r="PP5" i="48"/>
  <c r="PQ5" i="48"/>
  <c r="PR5" i="48"/>
  <c r="PS5" i="48"/>
  <c r="PT5" i="48"/>
  <c r="PU5" i="48"/>
  <c r="PV5" i="48"/>
  <c r="PW5" i="48"/>
  <c r="PX5" i="48"/>
  <c r="PY5" i="48"/>
  <c r="PZ5" i="48"/>
  <c r="QA5" i="48"/>
  <c r="QB5" i="48"/>
  <c r="QC5" i="48"/>
  <c r="QD5" i="48"/>
  <c r="QE5" i="48"/>
  <c r="QF5" i="48"/>
  <c r="QG5" i="48"/>
  <c r="QH5" i="48"/>
  <c r="QI5" i="48"/>
  <c r="QJ5" i="48"/>
  <c r="QK5" i="48"/>
  <c r="QL5" i="48"/>
  <c r="QM5" i="48"/>
  <c r="QN5" i="48"/>
  <c r="QO5" i="48"/>
  <c r="PM6" i="48"/>
  <c r="PN6" i="48"/>
  <c r="PO6" i="48"/>
  <c r="PP6" i="48"/>
  <c r="PQ6" i="48"/>
  <c r="PR6" i="48"/>
  <c r="PS6" i="48"/>
  <c r="PT6" i="48"/>
  <c r="PU6" i="48"/>
  <c r="PV6" i="48"/>
  <c r="PW6" i="48"/>
  <c r="PX6" i="48"/>
  <c r="PY6" i="48"/>
  <c r="PZ6" i="48"/>
  <c r="QA6" i="48"/>
  <c r="QB6" i="48"/>
  <c r="QC6" i="48"/>
  <c r="QD6" i="48"/>
  <c r="QE6" i="48"/>
  <c r="QF6" i="48"/>
  <c r="QG6" i="48"/>
  <c r="QH6" i="48"/>
  <c r="QI6" i="48"/>
  <c r="QJ6" i="48"/>
  <c r="QK6" i="48"/>
  <c r="QL6" i="48"/>
  <c r="QM6" i="48"/>
  <c r="QN6" i="48"/>
  <c r="QO6" i="48"/>
  <c r="PM7" i="48"/>
  <c r="PN7" i="48"/>
  <c r="PO7" i="48"/>
  <c r="PP7" i="48"/>
  <c r="PQ7" i="48"/>
  <c r="PR7" i="48"/>
  <c r="PS7" i="48"/>
  <c r="PT7" i="48"/>
  <c r="PU7" i="48"/>
  <c r="PV7" i="48"/>
  <c r="PW7" i="48"/>
  <c r="PX7" i="48"/>
  <c r="PY7" i="48"/>
  <c r="PZ7" i="48"/>
  <c r="QA7" i="48"/>
  <c r="QB7" i="48"/>
  <c r="QC7" i="48"/>
  <c r="QD7" i="48"/>
  <c r="QE7" i="48"/>
  <c r="QF7" i="48"/>
  <c r="QG7" i="48"/>
  <c r="QH7" i="48"/>
  <c r="QI7" i="48"/>
  <c r="QJ7" i="48"/>
  <c r="QK7" i="48"/>
  <c r="QL7" i="48"/>
  <c r="QM7" i="48"/>
  <c r="QN7" i="48"/>
  <c r="QO7" i="48"/>
  <c r="PM8" i="48"/>
  <c r="PN8" i="48"/>
  <c r="PO8" i="48"/>
  <c r="PP8" i="48"/>
  <c r="PQ8" i="48"/>
  <c r="PR8" i="48"/>
  <c r="PS8" i="48"/>
  <c r="PT8" i="48"/>
  <c r="PU8" i="48"/>
  <c r="PV8" i="48"/>
  <c r="PW8" i="48"/>
  <c r="PX8" i="48"/>
  <c r="PY8" i="48"/>
  <c r="PZ8" i="48"/>
  <c r="QA8" i="48"/>
  <c r="QB8" i="48"/>
  <c r="QC8" i="48"/>
  <c r="QD8" i="48"/>
  <c r="QE8" i="48"/>
  <c r="QF8" i="48"/>
  <c r="QG8" i="48"/>
  <c r="QH8" i="48"/>
  <c r="QI8" i="48"/>
  <c r="QJ8" i="48"/>
  <c r="QK8" i="48"/>
  <c r="QL8" i="48"/>
  <c r="QM8" i="48"/>
  <c r="QN8" i="48"/>
  <c r="QO8" i="48"/>
  <c r="PM9" i="48"/>
  <c r="PN9" i="48"/>
  <c r="PO9" i="48"/>
  <c r="PP9" i="48"/>
  <c r="PQ9" i="48"/>
  <c r="PR9" i="48"/>
  <c r="PS9" i="48"/>
  <c r="PT9" i="48"/>
  <c r="PU9" i="48"/>
  <c r="PV9" i="48"/>
  <c r="PW9" i="48"/>
  <c r="PX9" i="48"/>
  <c r="PY9" i="48"/>
  <c r="PZ9" i="48"/>
  <c r="QA9" i="48"/>
  <c r="QB9" i="48"/>
  <c r="QC9" i="48"/>
  <c r="QD9" i="48"/>
  <c r="QE9" i="48"/>
  <c r="QF9" i="48"/>
  <c r="QG9" i="48"/>
  <c r="QH9" i="48"/>
  <c r="QI9" i="48"/>
  <c r="QJ9" i="48"/>
  <c r="QK9" i="48"/>
  <c r="QL9" i="48"/>
  <c r="QM9" i="48"/>
  <c r="QN9" i="48"/>
  <c r="QO9" i="48"/>
  <c r="PL7" i="48"/>
  <c r="PL5" i="48"/>
  <c r="PK5" i="48"/>
  <c r="PK7" i="48"/>
  <c r="RT4" i="48"/>
  <c r="RU4" i="48"/>
  <c r="RT6" i="48"/>
  <c r="RU6" i="48"/>
  <c r="RT8" i="48"/>
  <c r="RU8" i="48"/>
  <c r="RT9" i="48"/>
  <c r="RU9" i="48"/>
  <c r="RS27" i="48"/>
  <c r="RT27" i="48"/>
  <c r="RU27" i="48"/>
  <c r="RV27" i="48"/>
  <c r="RW27" i="48"/>
  <c r="RX27" i="48"/>
  <c r="RY27" i="48"/>
  <c r="RZ27" i="48"/>
  <c r="SA27" i="48"/>
  <c r="SB27" i="48"/>
  <c r="SC27" i="48"/>
  <c r="SD27" i="48"/>
  <c r="SE27" i="48"/>
  <c r="SF27" i="48"/>
  <c r="SG27" i="48"/>
  <c r="SH27" i="48"/>
  <c r="SI27" i="48"/>
  <c r="SJ27" i="48"/>
  <c r="SK27" i="48"/>
  <c r="SL27" i="48"/>
  <c r="SM27" i="48"/>
  <c r="SN27" i="48"/>
  <c r="SO27" i="48"/>
  <c r="SP27" i="48"/>
  <c r="SQ27" i="48"/>
  <c r="SR27" i="48"/>
  <c r="SS27" i="48"/>
  <c r="ST27" i="48"/>
  <c r="SU27" i="48"/>
  <c r="SV27" i="48"/>
  <c r="SW27" i="48"/>
  <c r="RS28" i="48"/>
  <c r="RT28" i="48"/>
  <c r="RU28" i="48"/>
  <c r="RV28" i="48"/>
  <c r="RW28" i="48"/>
  <c r="RX28" i="48"/>
  <c r="RY28" i="48"/>
  <c r="RZ28" i="48"/>
  <c r="SA28" i="48"/>
  <c r="SB28" i="48"/>
  <c r="SC28" i="48"/>
  <c r="SD28" i="48"/>
  <c r="SE28" i="48"/>
  <c r="SF28" i="48"/>
  <c r="SG28" i="48"/>
  <c r="SH28" i="48"/>
  <c r="SI28" i="48"/>
  <c r="SJ28" i="48"/>
  <c r="SK28" i="48"/>
  <c r="SL28" i="48"/>
  <c r="SM28" i="48"/>
  <c r="SN28" i="48"/>
  <c r="SO28" i="48"/>
  <c r="SP28" i="48"/>
  <c r="SQ28" i="48"/>
  <c r="SR28" i="48"/>
  <c r="SS28" i="48"/>
  <c r="ST28" i="48"/>
  <c r="SU28" i="48"/>
  <c r="SV28" i="48"/>
  <c r="SW28" i="48"/>
  <c r="RS29" i="48"/>
  <c r="RT29" i="48"/>
  <c r="RU29" i="48"/>
  <c r="RV29" i="48"/>
  <c r="RW29" i="48"/>
  <c r="RX29" i="48"/>
  <c r="RY29" i="48"/>
  <c r="RZ29" i="48"/>
  <c r="SA29" i="48"/>
  <c r="SB29" i="48"/>
  <c r="SC29" i="48"/>
  <c r="SD29" i="48"/>
  <c r="SE29" i="48"/>
  <c r="SF29" i="48"/>
  <c r="SG29" i="48"/>
  <c r="SH29" i="48"/>
  <c r="SI29" i="48"/>
  <c r="SJ29" i="48"/>
  <c r="SK29" i="48"/>
  <c r="SL29" i="48"/>
  <c r="SM29" i="48"/>
  <c r="SN29" i="48"/>
  <c r="SO29" i="48"/>
  <c r="SP29" i="48"/>
  <c r="SQ29" i="48"/>
  <c r="SR29" i="48"/>
  <c r="SS29" i="48"/>
  <c r="ST29" i="48"/>
  <c r="SU29" i="48"/>
  <c r="SV29" i="48"/>
  <c r="SW29" i="48"/>
  <c r="RS30" i="48"/>
  <c r="RT30" i="48"/>
  <c r="RU30" i="48"/>
  <c r="RV30" i="48"/>
  <c r="RW30" i="48"/>
  <c r="RX30" i="48"/>
  <c r="RY30" i="48"/>
  <c r="RZ30" i="48"/>
  <c r="SA30" i="48"/>
  <c r="SB30" i="48"/>
  <c r="SC30" i="48"/>
  <c r="SD30" i="48"/>
  <c r="SE30" i="48"/>
  <c r="SF30" i="48"/>
  <c r="SG30" i="48"/>
  <c r="SH30" i="48"/>
  <c r="SI30" i="48"/>
  <c r="SJ30" i="48"/>
  <c r="SK30" i="48"/>
  <c r="SL30" i="48"/>
  <c r="SM30" i="48"/>
  <c r="SN30" i="48"/>
  <c r="SO30" i="48"/>
  <c r="SP30" i="48"/>
  <c r="SQ30" i="48"/>
  <c r="SR30" i="48"/>
  <c r="SS30" i="48"/>
  <c r="ST30" i="48"/>
  <c r="SU30" i="48"/>
  <c r="SV30" i="48"/>
  <c r="SW30" i="48"/>
  <c r="RS31" i="48"/>
  <c r="RT31" i="48"/>
  <c r="RU31" i="48"/>
  <c r="RV31" i="48"/>
  <c r="RW31" i="48"/>
  <c r="RX31" i="48"/>
  <c r="RY31" i="48"/>
  <c r="RZ31" i="48"/>
  <c r="SA31" i="48"/>
  <c r="SB31" i="48"/>
  <c r="SC31" i="48"/>
  <c r="SD31" i="48"/>
  <c r="SE31" i="48"/>
  <c r="SF31" i="48"/>
  <c r="SG31" i="48"/>
  <c r="SH31" i="48"/>
  <c r="SI31" i="48"/>
  <c r="SJ31" i="48"/>
  <c r="SK31" i="48"/>
  <c r="SL31" i="48"/>
  <c r="SM31" i="48"/>
  <c r="SN31" i="48"/>
  <c r="SO31" i="48"/>
  <c r="SP31" i="48"/>
  <c r="SQ31" i="48"/>
  <c r="SR31" i="48"/>
  <c r="SS31" i="48"/>
  <c r="ST31" i="48"/>
  <c r="SU31" i="48"/>
  <c r="SV31" i="48"/>
  <c r="SW31" i="48"/>
  <c r="RS32" i="48"/>
  <c r="RT32" i="48"/>
  <c r="RU32" i="48"/>
  <c r="RV32" i="48"/>
  <c r="RW32" i="48"/>
  <c r="RX32" i="48"/>
  <c r="RY32" i="48"/>
  <c r="RZ32" i="48"/>
  <c r="SA32" i="48"/>
  <c r="SB32" i="48"/>
  <c r="SC32" i="48"/>
  <c r="SD32" i="48"/>
  <c r="SE32" i="48"/>
  <c r="SF32" i="48"/>
  <c r="SG32" i="48"/>
  <c r="SH32" i="48"/>
  <c r="SI32" i="48"/>
  <c r="SJ32" i="48"/>
  <c r="SK32" i="48"/>
  <c r="SL32" i="48"/>
  <c r="SM32" i="48"/>
  <c r="SN32" i="48"/>
  <c r="SO32" i="48"/>
  <c r="SP32" i="48"/>
  <c r="SQ32" i="48"/>
  <c r="SR32" i="48"/>
  <c r="SS32" i="48"/>
  <c r="ST32" i="48"/>
  <c r="SU32" i="48"/>
  <c r="SV32" i="48"/>
  <c r="SW32" i="48"/>
  <c r="RS33" i="48"/>
  <c r="RT33" i="48"/>
  <c r="RU33" i="48"/>
  <c r="RV33" i="48"/>
  <c r="RW33" i="48"/>
  <c r="RX33" i="48"/>
  <c r="RY33" i="48"/>
  <c r="RZ33" i="48"/>
  <c r="SA33" i="48"/>
  <c r="SB33" i="48"/>
  <c r="SC33" i="48"/>
  <c r="SD33" i="48"/>
  <c r="SE33" i="48"/>
  <c r="SF33" i="48"/>
  <c r="SG33" i="48"/>
  <c r="SH33" i="48"/>
  <c r="SI33" i="48"/>
  <c r="SJ33" i="48"/>
  <c r="SK33" i="48"/>
  <c r="SL33" i="48"/>
  <c r="SM33" i="48"/>
  <c r="SN33" i="48"/>
  <c r="SO33" i="48"/>
  <c r="SP33" i="48"/>
  <c r="SQ33" i="48"/>
  <c r="SR33" i="48"/>
  <c r="SS33" i="48"/>
  <c r="ST33" i="48"/>
  <c r="SU33" i="48"/>
  <c r="SV33" i="48"/>
  <c r="SW33" i="48"/>
  <c r="RS34" i="48"/>
  <c r="RT34" i="48"/>
  <c r="RU34" i="48"/>
  <c r="RV34" i="48"/>
  <c r="RW34" i="48"/>
  <c r="RX34" i="48"/>
  <c r="RY34" i="48"/>
  <c r="RZ34" i="48"/>
  <c r="SA34" i="48"/>
  <c r="SB34" i="48"/>
  <c r="SC34" i="48"/>
  <c r="SD34" i="48"/>
  <c r="SE34" i="48"/>
  <c r="SF34" i="48"/>
  <c r="SG34" i="48"/>
  <c r="SH34" i="48"/>
  <c r="SI34" i="48"/>
  <c r="SJ34" i="48"/>
  <c r="SK34" i="48"/>
  <c r="SL34" i="48"/>
  <c r="SM34" i="48"/>
  <c r="SN34" i="48"/>
  <c r="SO34" i="48"/>
  <c r="SP34" i="48"/>
  <c r="SQ34" i="48"/>
  <c r="SR34" i="48"/>
  <c r="SS34" i="48"/>
  <c r="ST34" i="48"/>
  <c r="SU34" i="48"/>
  <c r="SV34" i="48"/>
  <c r="SW34" i="48"/>
  <c r="RS35" i="48"/>
  <c r="RT35" i="48"/>
  <c r="RU35" i="48"/>
  <c r="RV35" i="48"/>
  <c r="RW35" i="48"/>
  <c r="RX35" i="48"/>
  <c r="RY35" i="48"/>
  <c r="RZ35" i="48"/>
  <c r="SA35" i="48"/>
  <c r="SB35" i="48"/>
  <c r="SC35" i="48"/>
  <c r="SD35" i="48"/>
  <c r="SE35" i="48"/>
  <c r="SF35" i="48"/>
  <c r="SG35" i="48"/>
  <c r="SH35" i="48"/>
  <c r="SI35" i="48"/>
  <c r="SJ35" i="48"/>
  <c r="SK35" i="48"/>
  <c r="SL35" i="48"/>
  <c r="SM35" i="48"/>
  <c r="SN35" i="48"/>
  <c r="SO35" i="48"/>
  <c r="SP35" i="48"/>
  <c r="SQ35" i="48"/>
  <c r="SR35" i="48"/>
  <c r="SS35" i="48"/>
  <c r="ST35" i="48"/>
  <c r="SU35" i="48"/>
  <c r="SV35" i="48"/>
  <c r="SW35" i="48"/>
  <c r="RS80" i="48"/>
  <c r="RT80" i="48"/>
  <c r="RU80" i="48"/>
  <c r="RV80" i="48"/>
  <c r="RW80" i="48"/>
  <c r="RX80" i="48"/>
  <c r="RY80" i="48"/>
  <c r="RZ80" i="48"/>
  <c r="SA80" i="48"/>
  <c r="SB80" i="48"/>
  <c r="SC80" i="48"/>
  <c r="SD80" i="48"/>
  <c r="SE80" i="48"/>
  <c r="SF80" i="48"/>
  <c r="SG80" i="48"/>
  <c r="SH80" i="48"/>
  <c r="SI80" i="48"/>
  <c r="SJ80" i="48"/>
  <c r="SK80" i="48"/>
  <c r="SL80" i="48"/>
  <c r="SM80" i="48"/>
  <c r="SN80" i="48"/>
  <c r="SO80" i="48"/>
  <c r="SP80" i="48"/>
  <c r="SQ80" i="48"/>
  <c r="SR80" i="48"/>
  <c r="SS80" i="48"/>
  <c r="ST80" i="48"/>
  <c r="SU80" i="48"/>
  <c r="SV80" i="48"/>
  <c r="SW80" i="48"/>
  <c r="RS81" i="48"/>
  <c r="RT81" i="48"/>
  <c r="RU81" i="48"/>
  <c r="RV81" i="48"/>
  <c r="RW81" i="48"/>
  <c r="RX81" i="48"/>
  <c r="RY81" i="48"/>
  <c r="RZ81" i="48"/>
  <c r="SA81" i="48"/>
  <c r="SB81" i="48"/>
  <c r="SC81" i="48"/>
  <c r="SD81" i="48"/>
  <c r="SE81" i="48"/>
  <c r="SF81" i="48"/>
  <c r="SG81" i="48"/>
  <c r="SH81" i="48"/>
  <c r="SI81" i="48"/>
  <c r="SJ81" i="48"/>
  <c r="SK81" i="48"/>
  <c r="SL81" i="48"/>
  <c r="SM81" i="48"/>
  <c r="SN81" i="48"/>
  <c r="SO81" i="48"/>
  <c r="SP81" i="48"/>
  <c r="SQ81" i="48"/>
  <c r="SR81" i="48"/>
  <c r="SS81" i="48"/>
  <c r="ST81" i="48"/>
  <c r="SU81" i="48"/>
  <c r="SV81" i="48"/>
  <c r="SW81" i="48"/>
  <c r="RS82" i="48"/>
  <c r="RT82" i="48"/>
  <c r="RU82" i="48"/>
  <c r="RV82" i="48"/>
  <c r="RW82" i="48"/>
  <c r="RX82" i="48"/>
  <c r="RY82" i="48"/>
  <c r="RZ82" i="48"/>
  <c r="SA82" i="48"/>
  <c r="SB82" i="48"/>
  <c r="SC82" i="48"/>
  <c r="SD82" i="48"/>
  <c r="SE82" i="48"/>
  <c r="SF82" i="48"/>
  <c r="SG82" i="48"/>
  <c r="SH82" i="48"/>
  <c r="SI82" i="48"/>
  <c r="SJ82" i="48"/>
  <c r="SK82" i="48"/>
  <c r="SL82" i="48"/>
  <c r="SM82" i="48"/>
  <c r="SN82" i="48"/>
  <c r="SO82" i="48"/>
  <c r="SP82" i="48"/>
  <c r="SQ82" i="48"/>
  <c r="SR82" i="48"/>
  <c r="SS82" i="48"/>
  <c r="ST82" i="48"/>
  <c r="SU82" i="48"/>
  <c r="SV82" i="48"/>
  <c r="SW82" i="48"/>
  <c r="RS83" i="48"/>
  <c r="RT83" i="48"/>
  <c r="RU83" i="48"/>
  <c r="RV83" i="48"/>
  <c r="RW83" i="48"/>
  <c r="RX83" i="48"/>
  <c r="RY83" i="48"/>
  <c r="RZ83" i="48"/>
  <c r="SA83" i="48"/>
  <c r="SB83" i="48"/>
  <c r="SC83" i="48"/>
  <c r="SD83" i="48"/>
  <c r="SE83" i="48"/>
  <c r="SF83" i="48"/>
  <c r="SG83" i="48"/>
  <c r="SH83" i="48"/>
  <c r="SI83" i="48"/>
  <c r="SJ83" i="48"/>
  <c r="SK83" i="48"/>
  <c r="SL83" i="48"/>
  <c r="SM83" i="48"/>
  <c r="SN83" i="48"/>
  <c r="SO83" i="48"/>
  <c r="SP83" i="48"/>
  <c r="SQ83" i="48"/>
  <c r="SR83" i="48"/>
  <c r="SS83" i="48"/>
  <c r="ST83" i="48"/>
  <c r="SU83" i="48"/>
  <c r="SV83" i="48"/>
  <c r="SW83" i="48"/>
  <c r="RS84" i="48"/>
  <c r="RT84" i="48"/>
  <c r="RU84" i="48"/>
  <c r="RV84" i="48"/>
  <c r="RW84" i="48"/>
  <c r="RX84" i="48"/>
  <c r="RY84" i="48"/>
  <c r="RZ84" i="48"/>
  <c r="SA84" i="48"/>
  <c r="SB84" i="48"/>
  <c r="SC84" i="48"/>
  <c r="SD84" i="48"/>
  <c r="SE84" i="48"/>
  <c r="SF84" i="48"/>
  <c r="SG84" i="48"/>
  <c r="SH84" i="48"/>
  <c r="SI84" i="48"/>
  <c r="SJ84" i="48"/>
  <c r="SK84" i="48"/>
  <c r="SL84" i="48"/>
  <c r="SM84" i="48"/>
  <c r="SN84" i="48"/>
  <c r="SO84" i="48"/>
  <c r="SP84" i="48"/>
  <c r="SQ84" i="48"/>
  <c r="SR84" i="48"/>
  <c r="SS84" i="48"/>
  <c r="ST84" i="48"/>
  <c r="SU84" i="48"/>
  <c r="SV84" i="48"/>
  <c r="SW84" i="48"/>
  <c r="RS85" i="48"/>
  <c r="RT85" i="48"/>
  <c r="RU85" i="48"/>
  <c r="RV85" i="48"/>
  <c r="RW85" i="48"/>
  <c r="RX85" i="48"/>
  <c r="RY85" i="48"/>
  <c r="RZ85" i="48"/>
  <c r="SA85" i="48"/>
  <c r="SB85" i="48"/>
  <c r="SC85" i="48"/>
  <c r="SD85" i="48"/>
  <c r="SE85" i="48"/>
  <c r="SF85" i="48"/>
  <c r="SG85" i="48"/>
  <c r="SH85" i="48"/>
  <c r="SI85" i="48"/>
  <c r="SJ85" i="48"/>
  <c r="SK85" i="48"/>
  <c r="SL85" i="48"/>
  <c r="SM85" i="48"/>
  <c r="SN85" i="48"/>
  <c r="SO85" i="48"/>
  <c r="SP85" i="48"/>
  <c r="SQ85" i="48"/>
  <c r="SR85" i="48"/>
  <c r="SS85" i="48"/>
  <c r="ST85" i="48"/>
  <c r="SU85" i="48"/>
  <c r="SV85" i="48"/>
  <c r="SW85" i="48"/>
  <c r="RS86" i="48"/>
  <c r="RT86" i="48"/>
  <c r="RU86" i="48"/>
  <c r="RV86" i="48"/>
  <c r="RW86" i="48"/>
  <c r="RX86" i="48"/>
  <c r="RY86" i="48"/>
  <c r="RZ86" i="48"/>
  <c r="SA86" i="48"/>
  <c r="SB86" i="48"/>
  <c r="SC86" i="48"/>
  <c r="SD86" i="48"/>
  <c r="SE86" i="48"/>
  <c r="SF86" i="48"/>
  <c r="SG86" i="48"/>
  <c r="SH86" i="48"/>
  <c r="SI86" i="48"/>
  <c r="SJ86" i="48"/>
  <c r="SK86" i="48"/>
  <c r="SL86" i="48"/>
  <c r="SM86" i="48"/>
  <c r="SN86" i="48"/>
  <c r="SO86" i="48"/>
  <c r="SP86" i="48"/>
  <c r="SQ86" i="48"/>
  <c r="SR86" i="48"/>
  <c r="SS86" i="48"/>
  <c r="ST86" i="48"/>
  <c r="SU86" i="48"/>
  <c r="SV86" i="48"/>
  <c r="SW86" i="48"/>
  <c r="RS87" i="48"/>
  <c r="RT87" i="48"/>
  <c r="RU87" i="48"/>
  <c r="RV87" i="48"/>
  <c r="RW87" i="48"/>
  <c r="RX87" i="48"/>
  <c r="RY87" i="48"/>
  <c r="RZ87" i="48"/>
  <c r="SA87" i="48"/>
  <c r="SB87" i="48"/>
  <c r="SC87" i="48"/>
  <c r="SD87" i="48"/>
  <c r="SE87" i="48"/>
  <c r="SF87" i="48"/>
  <c r="SG87" i="48"/>
  <c r="SH87" i="48"/>
  <c r="SI87" i="48"/>
  <c r="SJ87" i="48"/>
  <c r="SK87" i="48"/>
  <c r="SL87" i="48"/>
  <c r="SM87" i="48"/>
  <c r="SN87" i="48"/>
  <c r="SO87" i="48"/>
  <c r="SP87" i="48"/>
  <c r="SQ87" i="48"/>
  <c r="SR87" i="48"/>
  <c r="SS87" i="48"/>
  <c r="ST87" i="48"/>
  <c r="SU87" i="48"/>
  <c r="SV87" i="48"/>
  <c r="SW87" i="48"/>
  <c r="RS88" i="48"/>
  <c r="RT88" i="48"/>
  <c r="RU88" i="48"/>
  <c r="RV88" i="48"/>
  <c r="RW88" i="48"/>
  <c r="RX88" i="48"/>
  <c r="RY88" i="48"/>
  <c r="RZ88" i="48"/>
  <c r="SA88" i="48"/>
  <c r="SB88" i="48"/>
  <c r="SC88" i="48"/>
  <c r="SD88" i="48"/>
  <c r="SE88" i="48"/>
  <c r="SF88" i="48"/>
  <c r="SG88" i="48"/>
  <c r="SH88" i="48"/>
  <c r="SI88" i="48"/>
  <c r="SJ88" i="48"/>
  <c r="SK88" i="48"/>
  <c r="SL88" i="48"/>
  <c r="SM88" i="48"/>
  <c r="SN88" i="48"/>
  <c r="SO88" i="48"/>
  <c r="SP88" i="48"/>
  <c r="SQ88" i="48"/>
  <c r="SR88" i="48"/>
  <c r="SS88" i="48"/>
  <c r="ST88" i="48"/>
  <c r="SU88" i="48"/>
  <c r="SV88" i="48"/>
  <c r="SW88" i="48"/>
  <c r="RR88" i="48"/>
  <c r="RQ88" i="48"/>
  <c r="RP88" i="48"/>
  <c r="RO88" i="48"/>
  <c r="RN88" i="48"/>
  <c r="RM88" i="48"/>
  <c r="RL88" i="48"/>
  <c r="RK88" i="48"/>
  <c r="RJ88" i="48"/>
  <c r="RI88" i="48"/>
  <c r="RH88" i="48"/>
  <c r="RG88" i="48"/>
  <c r="RF88" i="48"/>
  <c r="RE88" i="48"/>
  <c r="RD88" i="48"/>
  <c r="RC88" i="48"/>
  <c r="RB88" i="48"/>
  <c r="RA88" i="48"/>
  <c r="QZ88" i="48"/>
  <c r="QY88" i="48"/>
  <c r="QX88" i="48"/>
  <c r="QW88" i="48"/>
  <c r="QV88" i="48"/>
  <c r="QU88" i="48"/>
  <c r="QT88" i="48"/>
  <c r="QS88" i="48"/>
  <c r="QR88" i="48"/>
  <c r="QQ88" i="48"/>
  <c r="QP88" i="48"/>
  <c r="QO88" i="48"/>
  <c r="RR87" i="48"/>
  <c r="RQ87" i="48"/>
  <c r="RP87" i="48"/>
  <c r="RO87" i="48"/>
  <c r="RN87" i="48"/>
  <c r="RM87" i="48"/>
  <c r="RL87" i="48"/>
  <c r="RK87" i="48"/>
  <c r="RJ87" i="48"/>
  <c r="RI87" i="48"/>
  <c r="RH87" i="48"/>
  <c r="RG87" i="48"/>
  <c r="RF87" i="48"/>
  <c r="RE87" i="48"/>
  <c r="RD87" i="48"/>
  <c r="RC87" i="48"/>
  <c r="RB87" i="48"/>
  <c r="RA87" i="48"/>
  <c r="QZ87" i="48"/>
  <c r="QY87" i="48"/>
  <c r="QX87" i="48"/>
  <c r="QW87" i="48"/>
  <c r="QV87" i="48"/>
  <c r="QU87" i="48"/>
  <c r="QT87" i="48"/>
  <c r="QS87" i="48"/>
  <c r="QR87" i="48"/>
  <c r="QQ87" i="48"/>
  <c r="QP87" i="48"/>
  <c r="QO87" i="48"/>
  <c r="RR86" i="48"/>
  <c r="RQ86" i="48"/>
  <c r="RP86" i="48"/>
  <c r="RO86" i="48"/>
  <c r="RN86" i="48"/>
  <c r="RM86" i="48"/>
  <c r="RL86" i="48"/>
  <c r="RK86" i="48"/>
  <c r="RJ86" i="48"/>
  <c r="RI86" i="48"/>
  <c r="RH86" i="48"/>
  <c r="RG86" i="48"/>
  <c r="RF86" i="48"/>
  <c r="RE86" i="48"/>
  <c r="RD86" i="48"/>
  <c r="RC86" i="48"/>
  <c r="RB86" i="48"/>
  <c r="RA86" i="48"/>
  <c r="QZ86" i="48"/>
  <c r="QY86" i="48"/>
  <c r="QX86" i="48"/>
  <c r="QW86" i="48"/>
  <c r="QV86" i="48"/>
  <c r="QU86" i="48"/>
  <c r="QT86" i="48"/>
  <c r="QS86" i="48"/>
  <c r="QR86" i="48"/>
  <c r="QQ86" i="48"/>
  <c r="QP86" i="48"/>
  <c r="QO86" i="48"/>
  <c r="RR85" i="48"/>
  <c r="RQ85" i="48"/>
  <c r="RP85" i="48"/>
  <c r="RO85" i="48"/>
  <c r="RN85" i="48"/>
  <c r="RM85" i="48"/>
  <c r="RL85" i="48"/>
  <c r="RK85" i="48"/>
  <c r="RJ85" i="48"/>
  <c r="RI85" i="48"/>
  <c r="RH85" i="48"/>
  <c r="RG85" i="48"/>
  <c r="RF85" i="48"/>
  <c r="RE85" i="48"/>
  <c r="RD85" i="48"/>
  <c r="RC85" i="48"/>
  <c r="RB85" i="48"/>
  <c r="RA85" i="48"/>
  <c r="QZ85" i="48"/>
  <c r="QY85" i="48"/>
  <c r="QX85" i="48"/>
  <c r="QW85" i="48"/>
  <c r="QV85" i="48"/>
  <c r="QU85" i="48"/>
  <c r="QT85" i="48"/>
  <c r="QS85" i="48"/>
  <c r="QR85" i="48"/>
  <c r="QQ85" i="48"/>
  <c r="QP85" i="48"/>
  <c r="QO85" i="48"/>
  <c r="RR84" i="48"/>
  <c r="RQ84" i="48"/>
  <c r="RP84" i="48"/>
  <c r="RO84" i="48"/>
  <c r="RN84" i="48"/>
  <c r="RM84" i="48"/>
  <c r="RL84" i="48"/>
  <c r="RK84" i="48"/>
  <c r="RJ84" i="48"/>
  <c r="RI84" i="48"/>
  <c r="RH84" i="48"/>
  <c r="RG84" i="48"/>
  <c r="RF84" i="48"/>
  <c r="RE84" i="48"/>
  <c r="RD84" i="48"/>
  <c r="RC84" i="48"/>
  <c r="RB84" i="48"/>
  <c r="RA84" i="48"/>
  <c r="QZ84" i="48"/>
  <c r="QY84" i="48"/>
  <c r="QX84" i="48"/>
  <c r="QW84" i="48"/>
  <c r="QV84" i="48"/>
  <c r="QU84" i="48"/>
  <c r="QT84" i="48"/>
  <c r="QS84" i="48"/>
  <c r="QR84" i="48"/>
  <c r="QQ84" i="48"/>
  <c r="QP84" i="48"/>
  <c r="QO84" i="48"/>
  <c r="RR83" i="48"/>
  <c r="RQ83" i="48"/>
  <c r="RP83" i="48"/>
  <c r="RO83" i="48"/>
  <c r="RN83" i="48"/>
  <c r="RM83" i="48"/>
  <c r="RL83" i="48"/>
  <c r="RK83" i="48"/>
  <c r="RJ83" i="48"/>
  <c r="RI83" i="48"/>
  <c r="RH83" i="48"/>
  <c r="RG83" i="48"/>
  <c r="RF83" i="48"/>
  <c r="RE83" i="48"/>
  <c r="RD83" i="48"/>
  <c r="RC83" i="48"/>
  <c r="RB83" i="48"/>
  <c r="RA83" i="48"/>
  <c r="QZ83" i="48"/>
  <c r="QY83" i="48"/>
  <c r="QX83" i="48"/>
  <c r="QW83" i="48"/>
  <c r="QV83" i="48"/>
  <c r="QU83" i="48"/>
  <c r="QT83" i="48"/>
  <c r="QS83" i="48"/>
  <c r="QR83" i="48"/>
  <c r="QQ83" i="48"/>
  <c r="QP83" i="48"/>
  <c r="QO83" i="48"/>
  <c r="RR82" i="48"/>
  <c r="RQ82" i="48"/>
  <c r="RP82" i="48"/>
  <c r="RO82" i="48"/>
  <c r="RN82" i="48"/>
  <c r="RM82" i="48"/>
  <c r="RL82" i="48"/>
  <c r="RK82" i="48"/>
  <c r="RJ82" i="48"/>
  <c r="RI82" i="48"/>
  <c r="RH82" i="48"/>
  <c r="RG82" i="48"/>
  <c r="RF82" i="48"/>
  <c r="RE82" i="48"/>
  <c r="RD82" i="48"/>
  <c r="RC82" i="48"/>
  <c r="RB82" i="48"/>
  <c r="RA82" i="48"/>
  <c r="QZ82" i="48"/>
  <c r="QY82" i="48"/>
  <c r="QX82" i="48"/>
  <c r="QW82" i="48"/>
  <c r="QV82" i="48"/>
  <c r="QU82" i="48"/>
  <c r="QT82" i="48"/>
  <c r="QS82" i="48"/>
  <c r="QR82" i="48"/>
  <c r="QQ82" i="48"/>
  <c r="QP82" i="48"/>
  <c r="QO82" i="48"/>
  <c r="RR81" i="48"/>
  <c r="RQ81" i="48"/>
  <c r="RP81" i="48"/>
  <c r="RO81" i="48"/>
  <c r="RN81" i="48"/>
  <c r="RM81" i="48"/>
  <c r="RL81" i="48"/>
  <c r="RK81" i="48"/>
  <c r="RJ81" i="48"/>
  <c r="RI81" i="48"/>
  <c r="RH81" i="48"/>
  <c r="RG81" i="48"/>
  <c r="RF81" i="48"/>
  <c r="RE81" i="48"/>
  <c r="RD81" i="48"/>
  <c r="RC81" i="48"/>
  <c r="RB81" i="48"/>
  <c r="RA81" i="48"/>
  <c r="QZ81" i="48"/>
  <c r="QY81" i="48"/>
  <c r="QX81" i="48"/>
  <c r="QW81" i="48"/>
  <c r="QV81" i="48"/>
  <c r="QU81" i="48"/>
  <c r="QT81" i="48"/>
  <c r="QS81" i="48"/>
  <c r="QR81" i="48"/>
  <c r="QQ81" i="48"/>
  <c r="QP81" i="48"/>
  <c r="QO81" i="48"/>
  <c r="RR80" i="48"/>
  <c r="RQ80" i="48"/>
  <c r="RP80" i="48"/>
  <c r="RO80" i="48"/>
  <c r="RN80" i="48"/>
  <c r="RM80" i="48"/>
  <c r="RL80" i="48"/>
  <c r="RK80" i="48"/>
  <c r="RJ80" i="48"/>
  <c r="RI80" i="48"/>
  <c r="RH80" i="48"/>
  <c r="RG80" i="48"/>
  <c r="RF80" i="48"/>
  <c r="RE80" i="48"/>
  <c r="RD80" i="48"/>
  <c r="RC80" i="48"/>
  <c r="RB80" i="48"/>
  <c r="RA80" i="48"/>
  <c r="QZ80" i="48"/>
  <c r="QY80" i="48"/>
  <c r="QX80" i="48"/>
  <c r="QW80" i="48"/>
  <c r="QV80" i="48"/>
  <c r="QU80" i="48"/>
  <c r="QT80" i="48"/>
  <c r="QS80" i="48"/>
  <c r="QR80" i="48"/>
  <c r="QQ80" i="48"/>
  <c r="QP80" i="48"/>
  <c r="QO80" i="48"/>
  <c r="RR35" i="48"/>
  <c r="RQ35" i="48"/>
  <c r="RP35" i="48"/>
  <c r="RO35" i="48"/>
  <c r="RN35" i="48"/>
  <c r="RM35" i="48"/>
  <c r="RL35" i="48"/>
  <c r="RK35" i="48"/>
  <c r="RJ35" i="48"/>
  <c r="RI35" i="48"/>
  <c r="RH35" i="48"/>
  <c r="RG35" i="48"/>
  <c r="RF35" i="48"/>
  <c r="RE35" i="48"/>
  <c r="RD35" i="48"/>
  <c r="RC35" i="48"/>
  <c r="RB35" i="48"/>
  <c r="RA35" i="48"/>
  <c r="QZ35" i="48"/>
  <c r="QY35" i="48"/>
  <c r="QX35" i="48"/>
  <c r="QW35" i="48"/>
  <c r="QV35" i="48"/>
  <c r="QU35" i="48"/>
  <c r="QT35" i="48"/>
  <c r="QS35" i="48"/>
  <c r="QR35" i="48"/>
  <c r="QQ35" i="48"/>
  <c r="QP35" i="48"/>
  <c r="QO35" i="48"/>
  <c r="RR34" i="48"/>
  <c r="RQ34" i="48"/>
  <c r="RP34" i="48"/>
  <c r="RO34" i="48"/>
  <c r="RN34" i="48"/>
  <c r="RM34" i="48"/>
  <c r="RL34" i="48"/>
  <c r="RK34" i="48"/>
  <c r="RJ34" i="48"/>
  <c r="RI34" i="48"/>
  <c r="RH34" i="48"/>
  <c r="RG34" i="48"/>
  <c r="RF34" i="48"/>
  <c r="RE34" i="48"/>
  <c r="RD34" i="48"/>
  <c r="RC34" i="48"/>
  <c r="RB34" i="48"/>
  <c r="RA34" i="48"/>
  <c r="QZ34" i="48"/>
  <c r="QY34" i="48"/>
  <c r="QX34" i="48"/>
  <c r="QW34" i="48"/>
  <c r="QV34" i="48"/>
  <c r="QU34" i="48"/>
  <c r="QT34" i="48"/>
  <c r="QS34" i="48"/>
  <c r="QR34" i="48"/>
  <c r="QQ34" i="48"/>
  <c r="QP34" i="48"/>
  <c r="QO34" i="48"/>
  <c r="RR33" i="48"/>
  <c r="RQ33" i="48"/>
  <c r="RP33" i="48"/>
  <c r="RO33" i="48"/>
  <c r="RN33" i="48"/>
  <c r="RM33" i="48"/>
  <c r="RL33" i="48"/>
  <c r="RK33" i="48"/>
  <c r="RJ33" i="48"/>
  <c r="RI33" i="48"/>
  <c r="RH33" i="48"/>
  <c r="RG33" i="48"/>
  <c r="RF33" i="48"/>
  <c r="RE33" i="48"/>
  <c r="RD33" i="48"/>
  <c r="RC33" i="48"/>
  <c r="RB33" i="48"/>
  <c r="RA33" i="48"/>
  <c r="QZ33" i="48"/>
  <c r="QY33" i="48"/>
  <c r="QX33" i="48"/>
  <c r="QW33" i="48"/>
  <c r="QV33" i="48"/>
  <c r="QU33" i="48"/>
  <c r="QT33" i="48"/>
  <c r="QS33" i="48"/>
  <c r="QR33" i="48"/>
  <c r="QQ33" i="48"/>
  <c r="QP33" i="48"/>
  <c r="QO33" i="48"/>
  <c r="RR32" i="48"/>
  <c r="RQ32" i="48"/>
  <c r="RP32" i="48"/>
  <c r="RO32" i="48"/>
  <c r="RN32" i="48"/>
  <c r="RM32" i="48"/>
  <c r="RL32" i="48"/>
  <c r="RK32" i="48"/>
  <c r="RJ32" i="48"/>
  <c r="RI32" i="48"/>
  <c r="RH32" i="48"/>
  <c r="RG32" i="48"/>
  <c r="RF32" i="48"/>
  <c r="RE32" i="48"/>
  <c r="RD32" i="48"/>
  <c r="RC32" i="48"/>
  <c r="RB32" i="48"/>
  <c r="RA32" i="48"/>
  <c r="QZ32" i="48"/>
  <c r="QY32" i="48"/>
  <c r="QX32" i="48"/>
  <c r="QW32" i="48"/>
  <c r="QV32" i="48"/>
  <c r="QU32" i="48"/>
  <c r="QT32" i="48"/>
  <c r="QS32" i="48"/>
  <c r="QR32" i="48"/>
  <c r="QQ32" i="48"/>
  <c r="QP32" i="48"/>
  <c r="QO32" i="48"/>
  <c r="RR31" i="48"/>
  <c r="RQ31" i="48"/>
  <c r="RP31" i="48"/>
  <c r="RO31" i="48"/>
  <c r="RN31" i="48"/>
  <c r="RM31" i="48"/>
  <c r="RL31" i="48"/>
  <c r="RK31" i="48"/>
  <c r="RJ31" i="48"/>
  <c r="RI31" i="48"/>
  <c r="RH31" i="48"/>
  <c r="RG31" i="48"/>
  <c r="RF31" i="48"/>
  <c r="RE31" i="48"/>
  <c r="RD31" i="48"/>
  <c r="RC31" i="48"/>
  <c r="RB31" i="48"/>
  <c r="RA31" i="48"/>
  <c r="QZ31" i="48"/>
  <c r="QY31" i="48"/>
  <c r="QX31" i="48"/>
  <c r="QW31" i="48"/>
  <c r="QV31" i="48"/>
  <c r="QU31" i="48"/>
  <c r="QT31" i="48"/>
  <c r="QS31" i="48"/>
  <c r="QR31" i="48"/>
  <c r="QQ31" i="48"/>
  <c r="QP31" i="48"/>
  <c r="QO31" i="48"/>
  <c r="RR30" i="48"/>
  <c r="RQ30" i="48"/>
  <c r="RP30" i="48"/>
  <c r="RO30" i="48"/>
  <c r="RN30" i="48"/>
  <c r="RM30" i="48"/>
  <c r="RL30" i="48"/>
  <c r="RK30" i="48"/>
  <c r="RJ30" i="48"/>
  <c r="RI30" i="48"/>
  <c r="RH30" i="48"/>
  <c r="RG30" i="48"/>
  <c r="RF30" i="48"/>
  <c r="RE30" i="48"/>
  <c r="RD30" i="48"/>
  <c r="RC30" i="48"/>
  <c r="RB30" i="48"/>
  <c r="RA30" i="48"/>
  <c r="QZ30" i="48"/>
  <c r="QY30" i="48"/>
  <c r="QX30" i="48"/>
  <c r="QW30" i="48"/>
  <c r="QV30" i="48"/>
  <c r="QU30" i="48"/>
  <c r="QT30" i="48"/>
  <c r="QS30" i="48"/>
  <c r="QR30" i="48"/>
  <c r="QQ30" i="48"/>
  <c r="QP30" i="48"/>
  <c r="QO30" i="48"/>
  <c r="RR29" i="48"/>
  <c r="RQ29" i="48"/>
  <c r="RP29" i="48"/>
  <c r="RO29" i="48"/>
  <c r="RN29" i="48"/>
  <c r="RM29" i="48"/>
  <c r="RL29" i="48"/>
  <c r="RK29" i="48"/>
  <c r="RJ29" i="48"/>
  <c r="RI29" i="48"/>
  <c r="RH29" i="48"/>
  <c r="RG29" i="48"/>
  <c r="RF29" i="48"/>
  <c r="RE29" i="48"/>
  <c r="RD29" i="48"/>
  <c r="RC29" i="48"/>
  <c r="RB29" i="48"/>
  <c r="RA29" i="48"/>
  <c r="QZ29" i="48"/>
  <c r="QY29" i="48"/>
  <c r="QX29" i="48"/>
  <c r="QW29" i="48"/>
  <c r="QV29" i="48"/>
  <c r="QU29" i="48"/>
  <c r="QT29" i="48"/>
  <c r="QS29" i="48"/>
  <c r="QR29" i="48"/>
  <c r="QQ29" i="48"/>
  <c r="QP29" i="48"/>
  <c r="QO29" i="48"/>
  <c r="RR28" i="48"/>
  <c r="RQ28" i="48"/>
  <c r="RP28" i="48"/>
  <c r="RO28" i="48"/>
  <c r="RN28" i="48"/>
  <c r="RM28" i="48"/>
  <c r="RL28" i="48"/>
  <c r="RK28" i="48"/>
  <c r="RJ28" i="48"/>
  <c r="RI28" i="48"/>
  <c r="RH28" i="48"/>
  <c r="RG28" i="48"/>
  <c r="RF28" i="48"/>
  <c r="RE28" i="48"/>
  <c r="RD28" i="48"/>
  <c r="RC28" i="48"/>
  <c r="RB28" i="48"/>
  <c r="RA28" i="48"/>
  <c r="QZ28" i="48"/>
  <c r="QY28" i="48"/>
  <c r="QX28" i="48"/>
  <c r="QW28" i="48"/>
  <c r="QV28" i="48"/>
  <c r="QU28" i="48"/>
  <c r="QT28" i="48"/>
  <c r="QS28" i="48"/>
  <c r="QR28" i="48"/>
  <c r="QQ28" i="48"/>
  <c r="QP28" i="48"/>
  <c r="QO28" i="48"/>
  <c r="RR27" i="48"/>
  <c r="RQ27" i="48"/>
  <c r="RP27" i="48"/>
  <c r="RO27" i="48"/>
  <c r="RN27" i="48"/>
  <c r="RM27" i="48"/>
  <c r="RL27" i="48"/>
  <c r="RK27" i="48"/>
  <c r="RJ27" i="48"/>
  <c r="RI27" i="48"/>
  <c r="RH27" i="48"/>
  <c r="RG27" i="48"/>
  <c r="RF27" i="48"/>
  <c r="RE27" i="48"/>
  <c r="RD27" i="48"/>
  <c r="RC27" i="48"/>
  <c r="RB27" i="48"/>
  <c r="RA27" i="48"/>
  <c r="QZ27" i="48"/>
  <c r="QY27" i="48"/>
  <c r="QX27" i="48"/>
  <c r="QW27" i="48"/>
  <c r="QV27" i="48"/>
  <c r="QU27" i="48"/>
  <c r="QT27" i="48"/>
  <c r="QS27" i="48"/>
  <c r="QR27" i="48"/>
  <c r="QQ27" i="48"/>
  <c r="QP27" i="48"/>
  <c r="QO27" i="48"/>
  <c r="QQ9" i="48"/>
  <c r="QP9" i="48"/>
  <c r="QQ8" i="48"/>
  <c r="QP8" i="48"/>
  <c r="QQ6" i="48"/>
  <c r="QP6" i="48"/>
  <c r="QQ4" i="48"/>
  <c r="QP4" i="48"/>
  <c r="QH27" i="48"/>
  <c r="QI27" i="48"/>
  <c r="QJ27" i="48"/>
  <c r="QK27" i="48"/>
  <c r="QL27" i="48"/>
  <c r="QM27" i="48"/>
  <c r="QN27" i="48"/>
  <c r="QH28" i="48"/>
  <c r="QI28" i="48"/>
  <c r="QJ28" i="48"/>
  <c r="QK28" i="48"/>
  <c r="QL28" i="48"/>
  <c r="QM28" i="48"/>
  <c r="QN28" i="48"/>
  <c r="QH29" i="48"/>
  <c r="QI29" i="48"/>
  <c r="QJ29" i="48"/>
  <c r="QK29" i="48"/>
  <c r="QL29" i="48"/>
  <c r="QM29" i="48"/>
  <c r="QN29" i="48"/>
  <c r="QH30" i="48"/>
  <c r="QI30" i="48"/>
  <c r="QJ30" i="48"/>
  <c r="QK30" i="48"/>
  <c r="QL30" i="48"/>
  <c r="QM30" i="48"/>
  <c r="QN30" i="48"/>
  <c r="QH31" i="48"/>
  <c r="QI31" i="48"/>
  <c r="QJ31" i="48"/>
  <c r="QK31" i="48"/>
  <c r="QL31" i="48"/>
  <c r="QM31" i="48"/>
  <c r="QN31" i="48"/>
  <c r="QH32" i="48"/>
  <c r="QI32" i="48"/>
  <c r="QJ32" i="48"/>
  <c r="QK32" i="48"/>
  <c r="QL32" i="48"/>
  <c r="QM32" i="48"/>
  <c r="QN32" i="48"/>
  <c r="QH33" i="48"/>
  <c r="QI33" i="48"/>
  <c r="QJ33" i="48"/>
  <c r="QK33" i="48"/>
  <c r="QL33" i="48"/>
  <c r="QM33" i="48"/>
  <c r="QN33" i="48"/>
  <c r="QH34" i="48"/>
  <c r="QI34" i="48"/>
  <c r="QJ34" i="48"/>
  <c r="QK34" i="48"/>
  <c r="QL34" i="48"/>
  <c r="QM34" i="48"/>
  <c r="QN34" i="48"/>
  <c r="QH35" i="48"/>
  <c r="QI35" i="48"/>
  <c r="QJ35" i="48"/>
  <c r="QK35" i="48"/>
  <c r="QL35" i="48"/>
  <c r="QM35" i="48"/>
  <c r="QN35" i="48"/>
  <c r="QH80" i="48"/>
  <c r="QI80" i="48"/>
  <c r="QJ80" i="48"/>
  <c r="QK80" i="48"/>
  <c r="QL80" i="48"/>
  <c r="QM80" i="48"/>
  <c r="QN80" i="48"/>
  <c r="QH81" i="48"/>
  <c r="QI81" i="48"/>
  <c r="QJ81" i="48"/>
  <c r="QK81" i="48"/>
  <c r="QL81" i="48"/>
  <c r="QM81" i="48"/>
  <c r="QN81" i="48"/>
  <c r="QH82" i="48"/>
  <c r="QI82" i="48"/>
  <c r="QJ82" i="48"/>
  <c r="QK82" i="48"/>
  <c r="QL82" i="48"/>
  <c r="QM82" i="48"/>
  <c r="QN82" i="48"/>
  <c r="QH83" i="48"/>
  <c r="QI83" i="48"/>
  <c r="QJ83" i="48"/>
  <c r="QK83" i="48"/>
  <c r="QL83" i="48"/>
  <c r="QM83" i="48"/>
  <c r="QN83" i="48"/>
  <c r="QH84" i="48"/>
  <c r="QI84" i="48"/>
  <c r="QJ84" i="48"/>
  <c r="QK84" i="48"/>
  <c r="QL84" i="48"/>
  <c r="QM84" i="48"/>
  <c r="QN84" i="48"/>
  <c r="QH85" i="48"/>
  <c r="QI85" i="48"/>
  <c r="QJ85" i="48"/>
  <c r="QK85" i="48"/>
  <c r="QL85" i="48"/>
  <c r="QM85" i="48"/>
  <c r="QN85" i="48"/>
  <c r="QH86" i="48"/>
  <c r="QI86" i="48"/>
  <c r="QJ86" i="48"/>
  <c r="QK86" i="48"/>
  <c r="QL86" i="48"/>
  <c r="QM86" i="48"/>
  <c r="QN86" i="48"/>
  <c r="QH87" i="48"/>
  <c r="QI87" i="48"/>
  <c r="QJ87" i="48"/>
  <c r="QK87" i="48"/>
  <c r="QL87" i="48"/>
  <c r="QM87" i="48"/>
  <c r="QN87" i="48"/>
  <c r="QH88" i="48"/>
  <c r="QI88" i="48"/>
  <c r="QJ88" i="48"/>
  <c r="QK88" i="48"/>
  <c r="QL88" i="48"/>
  <c r="QM88" i="48"/>
  <c r="QN88" i="48"/>
  <c r="PO27" i="48"/>
  <c r="PP27" i="48"/>
  <c r="PQ27" i="48"/>
  <c r="PR27" i="48"/>
  <c r="PS27" i="48"/>
  <c r="PT27" i="48"/>
  <c r="PU27" i="48"/>
  <c r="PV27" i="48"/>
  <c r="PW27" i="48"/>
  <c r="PX27" i="48"/>
  <c r="PY27" i="48"/>
  <c r="PZ27" i="48"/>
  <c r="QA27" i="48"/>
  <c r="QB27" i="48"/>
  <c r="QC27" i="48"/>
  <c r="QD27" i="48"/>
  <c r="QE27" i="48"/>
  <c r="QF27" i="48"/>
  <c r="QG27" i="48"/>
  <c r="PO28" i="48"/>
  <c r="PP28" i="48"/>
  <c r="PQ28" i="48"/>
  <c r="PR28" i="48"/>
  <c r="PS28" i="48"/>
  <c r="PT28" i="48"/>
  <c r="PU28" i="48"/>
  <c r="PV28" i="48"/>
  <c r="PW28" i="48"/>
  <c r="PX28" i="48"/>
  <c r="PY28" i="48"/>
  <c r="PZ28" i="48"/>
  <c r="QA28" i="48"/>
  <c r="QB28" i="48"/>
  <c r="QC28" i="48"/>
  <c r="QD28" i="48"/>
  <c r="QE28" i="48"/>
  <c r="QF28" i="48"/>
  <c r="QG28" i="48"/>
  <c r="PO29" i="48"/>
  <c r="PP29" i="48"/>
  <c r="PQ29" i="48"/>
  <c r="PR29" i="48"/>
  <c r="PS29" i="48"/>
  <c r="PT29" i="48"/>
  <c r="PU29" i="48"/>
  <c r="PV29" i="48"/>
  <c r="PW29" i="48"/>
  <c r="PX29" i="48"/>
  <c r="PY29" i="48"/>
  <c r="PZ29" i="48"/>
  <c r="QA29" i="48"/>
  <c r="QB29" i="48"/>
  <c r="QC29" i="48"/>
  <c r="QD29" i="48"/>
  <c r="QE29" i="48"/>
  <c r="QF29" i="48"/>
  <c r="QG29" i="48"/>
  <c r="PO30" i="48"/>
  <c r="PP30" i="48"/>
  <c r="PQ30" i="48"/>
  <c r="PR30" i="48"/>
  <c r="PS30" i="48"/>
  <c r="PT30" i="48"/>
  <c r="PU30" i="48"/>
  <c r="PV30" i="48"/>
  <c r="PW30" i="48"/>
  <c r="PX30" i="48"/>
  <c r="PY30" i="48"/>
  <c r="PZ30" i="48"/>
  <c r="QA30" i="48"/>
  <c r="QB30" i="48"/>
  <c r="QC30" i="48"/>
  <c r="QD30" i="48"/>
  <c r="QE30" i="48"/>
  <c r="QF30" i="48"/>
  <c r="QG30" i="48"/>
  <c r="PO31" i="48"/>
  <c r="PP31" i="48"/>
  <c r="PQ31" i="48"/>
  <c r="PR31" i="48"/>
  <c r="PS31" i="48"/>
  <c r="PT31" i="48"/>
  <c r="PU31" i="48"/>
  <c r="PV31" i="48"/>
  <c r="PW31" i="48"/>
  <c r="PX31" i="48"/>
  <c r="PY31" i="48"/>
  <c r="PZ31" i="48"/>
  <c r="QA31" i="48"/>
  <c r="QB31" i="48"/>
  <c r="QC31" i="48"/>
  <c r="QD31" i="48"/>
  <c r="QE31" i="48"/>
  <c r="QF31" i="48"/>
  <c r="QG31" i="48"/>
  <c r="PO32" i="48"/>
  <c r="PP32" i="48"/>
  <c r="PQ32" i="48"/>
  <c r="PR32" i="48"/>
  <c r="PS32" i="48"/>
  <c r="PT32" i="48"/>
  <c r="PU32" i="48"/>
  <c r="PV32" i="48"/>
  <c r="PW32" i="48"/>
  <c r="PX32" i="48"/>
  <c r="PY32" i="48"/>
  <c r="PZ32" i="48"/>
  <c r="QA32" i="48"/>
  <c r="QB32" i="48"/>
  <c r="QC32" i="48"/>
  <c r="QD32" i="48"/>
  <c r="QE32" i="48"/>
  <c r="QF32" i="48"/>
  <c r="QG32" i="48"/>
  <c r="PO33" i="48"/>
  <c r="PP33" i="48"/>
  <c r="PQ33" i="48"/>
  <c r="PR33" i="48"/>
  <c r="PS33" i="48"/>
  <c r="PT33" i="48"/>
  <c r="PU33" i="48"/>
  <c r="PV33" i="48"/>
  <c r="PW33" i="48"/>
  <c r="PX33" i="48"/>
  <c r="PY33" i="48"/>
  <c r="PZ33" i="48"/>
  <c r="QA33" i="48"/>
  <c r="QB33" i="48"/>
  <c r="QC33" i="48"/>
  <c r="QD33" i="48"/>
  <c r="QE33" i="48"/>
  <c r="QF33" i="48"/>
  <c r="QG33" i="48"/>
  <c r="PO34" i="48"/>
  <c r="PP34" i="48"/>
  <c r="PQ34" i="48"/>
  <c r="PR34" i="48"/>
  <c r="PS34" i="48"/>
  <c r="PT34" i="48"/>
  <c r="PU34" i="48"/>
  <c r="PV34" i="48"/>
  <c r="PW34" i="48"/>
  <c r="PX34" i="48"/>
  <c r="PY34" i="48"/>
  <c r="PZ34" i="48"/>
  <c r="QA34" i="48"/>
  <c r="QB34" i="48"/>
  <c r="QC34" i="48"/>
  <c r="QD34" i="48"/>
  <c r="QE34" i="48"/>
  <c r="QF34" i="48"/>
  <c r="QG34" i="48"/>
  <c r="PO35" i="48"/>
  <c r="PP35" i="48"/>
  <c r="PQ35" i="48"/>
  <c r="PR35" i="48"/>
  <c r="PS35" i="48"/>
  <c r="PT35" i="48"/>
  <c r="PU35" i="48"/>
  <c r="PV35" i="48"/>
  <c r="PW35" i="48"/>
  <c r="PX35" i="48"/>
  <c r="PY35" i="48"/>
  <c r="PZ35" i="48"/>
  <c r="QA35" i="48"/>
  <c r="QB35" i="48"/>
  <c r="QC35" i="48"/>
  <c r="QD35" i="48"/>
  <c r="QE35" i="48"/>
  <c r="QF35" i="48"/>
  <c r="QG35" i="48"/>
  <c r="PO80" i="48"/>
  <c r="PP80" i="48"/>
  <c r="PQ80" i="48"/>
  <c r="PR80" i="48"/>
  <c r="PS80" i="48"/>
  <c r="PT80" i="48"/>
  <c r="PU80" i="48"/>
  <c r="PV80" i="48"/>
  <c r="PW80" i="48"/>
  <c r="PX80" i="48"/>
  <c r="PY80" i="48"/>
  <c r="PZ80" i="48"/>
  <c r="QA80" i="48"/>
  <c r="QB80" i="48"/>
  <c r="QC80" i="48"/>
  <c r="QD80" i="48"/>
  <c r="QE80" i="48"/>
  <c r="QF80" i="48"/>
  <c r="QG80" i="48"/>
  <c r="PO81" i="48"/>
  <c r="PP81" i="48"/>
  <c r="PQ81" i="48"/>
  <c r="PR81" i="48"/>
  <c r="PS81" i="48"/>
  <c r="PT81" i="48"/>
  <c r="PU81" i="48"/>
  <c r="PV81" i="48"/>
  <c r="PW81" i="48"/>
  <c r="PX81" i="48"/>
  <c r="PY81" i="48"/>
  <c r="PZ81" i="48"/>
  <c r="QA81" i="48"/>
  <c r="QB81" i="48"/>
  <c r="QC81" i="48"/>
  <c r="QD81" i="48"/>
  <c r="QE81" i="48"/>
  <c r="QF81" i="48"/>
  <c r="QG81" i="48"/>
  <c r="PO82" i="48"/>
  <c r="PP82" i="48"/>
  <c r="PQ82" i="48"/>
  <c r="PR82" i="48"/>
  <c r="PS82" i="48"/>
  <c r="PT82" i="48"/>
  <c r="PU82" i="48"/>
  <c r="PV82" i="48"/>
  <c r="PW82" i="48"/>
  <c r="PX82" i="48"/>
  <c r="PY82" i="48"/>
  <c r="PZ82" i="48"/>
  <c r="QA82" i="48"/>
  <c r="QB82" i="48"/>
  <c r="QC82" i="48"/>
  <c r="QD82" i="48"/>
  <c r="QE82" i="48"/>
  <c r="QF82" i="48"/>
  <c r="QG82" i="48"/>
  <c r="PO83" i="48"/>
  <c r="PP83" i="48"/>
  <c r="PQ83" i="48"/>
  <c r="PR83" i="48"/>
  <c r="PS83" i="48"/>
  <c r="PT83" i="48"/>
  <c r="PU83" i="48"/>
  <c r="PV83" i="48"/>
  <c r="PW83" i="48"/>
  <c r="PX83" i="48"/>
  <c r="PY83" i="48"/>
  <c r="PZ83" i="48"/>
  <c r="QA83" i="48"/>
  <c r="QB83" i="48"/>
  <c r="QC83" i="48"/>
  <c r="QD83" i="48"/>
  <c r="QE83" i="48"/>
  <c r="QF83" i="48"/>
  <c r="QG83" i="48"/>
  <c r="PO84" i="48"/>
  <c r="PP84" i="48"/>
  <c r="PQ84" i="48"/>
  <c r="PR84" i="48"/>
  <c r="PS84" i="48"/>
  <c r="PT84" i="48"/>
  <c r="PU84" i="48"/>
  <c r="PV84" i="48"/>
  <c r="PW84" i="48"/>
  <c r="PX84" i="48"/>
  <c r="PY84" i="48"/>
  <c r="PZ84" i="48"/>
  <c r="QA84" i="48"/>
  <c r="QB84" i="48"/>
  <c r="QC84" i="48"/>
  <c r="QD84" i="48"/>
  <c r="QE84" i="48"/>
  <c r="QF84" i="48"/>
  <c r="QG84" i="48"/>
  <c r="PO85" i="48"/>
  <c r="PP85" i="48"/>
  <c r="PQ85" i="48"/>
  <c r="PR85" i="48"/>
  <c r="PS85" i="48"/>
  <c r="PT85" i="48"/>
  <c r="PU85" i="48"/>
  <c r="PV85" i="48"/>
  <c r="PW85" i="48"/>
  <c r="PX85" i="48"/>
  <c r="PY85" i="48"/>
  <c r="PZ85" i="48"/>
  <c r="QA85" i="48"/>
  <c r="QB85" i="48"/>
  <c r="QC85" i="48"/>
  <c r="QD85" i="48"/>
  <c r="QE85" i="48"/>
  <c r="QF85" i="48"/>
  <c r="QG85" i="48"/>
  <c r="PO86" i="48"/>
  <c r="PP86" i="48"/>
  <c r="PQ86" i="48"/>
  <c r="PR86" i="48"/>
  <c r="PS86" i="48"/>
  <c r="PT86" i="48"/>
  <c r="PU86" i="48"/>
  <c r="PV86" i="48"/>
  <c r="PW86" i="48"/>
  <c r="PX86" i="48"/>
  <c r="PY86" i="48"/>
  <c r="PZ86" i="48"/>
  <c r="QA86" i="48"/>
  <c r="QB86" i="48"/>
  <c r="QC86" i="48"/>
  <c r="QD86" i="48"/>
  <c r="QE86" i="48"/>
  <c r="QF86" i="48"/>
  <c r="QG86" i="48"/>
  <c r="PO87" i="48"/>
  <c r="PP87" i="48"/>
  <c r="PQ87" i="48"/>
  <c r="PR87" i="48"/>
  <c r="PS87" i="48"/>
  <c r="PT87" i="48"/>
  <c r="PU87" i="48"/>
  <c r="PV87" i="48"/>
  <c r="PW87" i="48"/>
  <c r="PX87" i="48"/>
  <c r="PY87" i="48"/>
  <c r="PZ87" i="48"/>
  <c r="QA87" i="48"/>
  <c r="QB87" i="48"/>
  <c r="QC87" i="48"/>
  <c r="QD87" i="48"/>
  <c r="QE87" i="48"/>
  <c r="QF87" i="48"/>
  <c r="QG87" i="48"/>
  <c r="PO88" i="48"/>
  <c r="PP88" i="48"/>
  <c r="PQ88" i="48"/>
  <c r="PR88" i="48"/>
  <c r="PS88" i="48"/>
  <c r="PT88" i="48"/>
  <c r="PU88" i="48"/>
  <c r="PV88" i="48"/>
  <c r="PW88" i="48"/>
  <c r="PX88" i="48"/>
  <c r="PY88" i="48"/>
  <c r="PZ88" i="48"/>
  <c r="QA88" i="48"/>
  <c r="QB88" i="48"/>
  <c r="QC88" i="48"/>
  <c r="QD88" i="48"/>
  <c r="QE88" i="48"/>
  <c r="QF88" i="48"/>
  <c r="QG88" i="48"/>
  <c r="NG4" i="48"/>
  <c r="NH4" i="48"/>
  <c r="NI4" i="48"/>
  <c r="NJ4" i="48"/>
  <c r="NK4" i="48"/>
  <c r="NL4" i="48"/>
  <c r="NM4" i="48"/>
  <c r="NN4" i="48"/>
  <c r="NO4" i="48"/>
  <c r="NP4" i="48"/>
  <c r="NQ4" i="48"/>
  <c r="NR4" i="48"/>
  <c r="NS4" i="48"/>
  <c r="NT4" i="48"/>
  <c r="NU4" i="48"/>
  <c r="NV4" i="48"/>
  <c r="NW4" i="48"/>
  <c r="NX4" i="48"/>
  <c r="NY4" i="48"/>
  <c r="NZ4" i="48"/>
  <c r="OA4" i="48"/>
  <c r="OB4" i="48"/>
  <c r="OC4" i="48"/>
  <c r="OD4" i="48"/>
  <c r="OE4" i="48"/>
  <c r="OF4" i="48"/>
  <c r="OG4" i="48"/>
  <c r="OH4" i="48"/>
  <c r="NG5" i="48"/>
  <c r="NH5" i="48"/>
  <c r="NI5" i="48"/>
  <c r="NJ5" i="48"/>
  <c r="NK5" i="48"/>
  <c r="NL5" i="48"/>
  <c r="NM5" i="48"/>
  <c r="NN5" i="48"/>
  <c r="NO5" i="48"/>
  <c r="NP5" i="48"/>
  <c r="NQ5" i="48"/>
  <c r="NR5" i="48"/>
  <c r="NS5" i="48"/>
  <c r="NT5" i="48"/>
  <c r="NU5" i="48"/>
  <c r="NV5" i="48"/>
  <c r="NW5" i="48"/>
  <c r="NX5" i="48"/>
  <c r="NY5" i="48"/>
  <c r="NZ5" i="48"/>
  <c r="OA5" i="48"/>
  <c r="OB5" i="48"/>
  <c r="OC5" i="48"/>
  <c r="OD5" i="48"/>
  <c r="OE5" i="48"/>
  <c r="OF5" i="48"/>
  <c r="OG5" i="48"/>
  <c r="OH5" i="48"/>
  <c r="NG6" i="48"/>
  <c r="NH6" i="48"/>
  <c r="NI6" i="48"/>
  <c r="NJ6" i="48"/>
  <c r="NK6" i="48"/>
  <c r="NL6" i="48"/>
  <c r="NM6" i="48"/>
  <c r="NN6" i="48"/>
  <c r="NO6" i="48"/>
  <c r="NP6" i="48"/>
  <c r="NQ6" i="48"/>
  <c r="NR6" i="48"/>
  <c r="NS6" i="48"/>
  <c r="NT6" i="48"/>
  <c r="NU6" i="48"/>
  <c r="NV6" i="48"/>
  <c r="NW6" i="48"/>
  <c r="NX6" i="48"/>
  <c r="NY6" i="48"/>
  <c r="NZ6" i="48"/>
  <c r="OA6" i="48"/>
  <c r="OB6" i="48"/>
  <c r="OC6" i="48"/>
  <c r="OD6" i="48"/>
  <c r="OE6" i="48"/>
  <c r="OF6" i="48"/>
  <c r="OG6" i="48"/>
  <c r="OH6" i="48"/>
  <c r="NG7" i="48"/>
  <c r="NH7" i="48"/>
  <c r="NI7" i="48"/>
  <c r="NJ7" i="48"/>
  <c r="NK7" i="48"/>
  <c r="NL7" i="48"/>
  <c r="NM7" i="48"/>
  <c r="NN7" i="48"/>
  <c r="NO7" i="48"/>
  <c r="NP7" i="48"/>
  <c r="NQ7" i="48"/>
  <c r="NR7" i="48"/>
  <c r="NS7" i="48"/>
  <c r="NT7" i="48"/>
  <c r="NU7" i="48"/>
  <c r="NV7" i="48"/>
  <c r="NW7" i="48"/>
  <c r="NX7" i="48"/>
  <c r="NY7" i="48"/>
  <c r="NZ7" i="48"/>
  <c r="OA7" i="48"/>
  <c r="OB7" i="48"/>
  <c r="OC7" i="48"/>
  <c r="OD7" i="48"/>
  <c r="OE7" i="48"/>
  <c r="OF7" i="48"/>
  <c r="OG7" i="48"/>
  <c r="OH7" i="48"/>
  <c r="NG8" i="48"/>
  <c r="NH8" i="48"/>
  <c r="NI8" i="48"/>
  <c r="NJ8" i="48"/>
  <c r="NK8" i="48"/>
  <c r="NL8" i="48"/>
  <c r="NM8" i="48"/>
  <c r="NN8" i="48"/>
  <c r="NO8" i="48"/>
  <c r="NP8" i="48"/>
  <c r="NQ8" i="48"/>
  <c r="NR8" i="48"/>
  <c r="NS8" i="48"/>
  <c r="NT8" i="48"/>
  <c r="NU8" i="48"/>
  <c r="NV8" i="48"/>
  <c r="NW8" i="48"/>
  <c r="NX8" i="48"/>
  <c r="NY8" i="48"/>
  <c r="NZ8" i="48"/>
  <c r="OA8" i="48"/>
  <c r="OB8" i="48"/>
  <c r="OC8" i="48"/>
  <c r="OD8" i="48"/>
  <c r="OE8" i="48"/>
  <c r="OF8" i="48"/>
  <c r="OG8" i="48"/>
  <c r="OH8" i="48"/>
  <c r="NG9" i="48"/>
  <c r="NH9" i="48"/>
  <c r="NI9" i="48"/>
  <c r="NJ9" i="48"/>
  <c r="NK9" i="48"/>
  <c r="NL9" i="48"/>
  <c r="NM9" i="48"/>
  <c r="NN9" i="48"/>
  <c r="NO9" i="48"/>
  <c r="NP9" i="48"/>
  <c r="NQ9" i="48"/>
  <c r="NR9" i="48"/>
  <c r="NS9" i="48"/>
  <c r="NT9" i="48"/>
  <c r="NU9" i="48"/>
  <c r="NV9" i="48"/>
  <c r="NW9" i="48"/>
  <c r="NX9" i="48"/>
  <c r="NY9" i="48"/>
  <c r="NZ9" i="48"/>
  <c r="OA9" i="48"/>
  <c r="OB9" i="48"/>
  <c r="OC9" i="48"/>
  <c r="OD9" i="48"/>
  <c r="OE9" i="48"/>
  <c r="OF9" i="48"/>
  <c r="OG9" i="48"/>
  <c r="OH9" i="48"/>
  <c r="NE9" i="48"/>
  <c r="NE8" i="48"/>
  <c r="NE7" i="48"/>
  <c r="NE6" i="48"/>
  <c r="NE5" i="48"/>
  <c r="NE4" i="48"/>
  <c r="NF7" i="48"/>
  <c r="NF5" i="48"/>
  <c r="NF4" i="48"/>
  <c r="ND9" i="48"/>
  <c r="ND8" i="48"/>
  <c r="ND7" i="48"/>
  <c r="ND6" i="48"/>
  <c r="ND4" i="48"/>
  <c r="ND5" i="48" s="1"/>
  <c r="MA6" i="48"/>
  <c r="MF5" i="48" s="1"/>
  <c r="MB6" i="48"/>
  <c r="MB36" i="48" s="1"/>
  <c r="MC6" i="48"/>
  <c r="MD6" i="48"/>
  <c r="MD37" i="48" s="1"/>
  <c r="ME6" i="48"/>
  <c r="MF6" i="48"/>
  <c r="MF37" i="48" s="1"/>
  <c r="MG6" i="48"/>
  <c r="MH6" i="48"/>
  <c r="MH36" i="48" s="1"/>
  <c r="MI6" i="48"/>
  <c r="MJ6" i="48"/>
  <c r="MJ36" i="48" s="1"/>
  <c r="MK6" i="48"/>
  <c r="ML6" i="48"/>
  <c r="MM6" i="48"/>
  <c r="MM36" i="48" s="1"/>
  <c r="MN6" i="48"/>
  <c r="MN36" i="48" s="1"/>
  <c r="MO6" i="48"/>
  <c r="MP6" i="48"/>
  <c r="MP37" i="48" s="1"/>
  <c r="MQ6" i="48"/>
  <c r="MR6" i="48"/>
  <c r="MR37" i="48" s="1"/>
  <c r="MS6" i="48"/>
  <c r="MS36" i="48" s="1"/>
  <c r="MT6" i="48"/>
  <c r="MT37" i="48" s="1"/>
  <c r="MU6" i="48"/>
  <c r="MV6" i="48"/>
  <c r="MV36" i="48" s="1"/>
  <c r="MW6" i="48"/>
  <c r="MX6" i="48"/>
  <c r="MY6" i="48"/>
  <c r="MZ6" i="48"/>
  <c r="MZ36" i="48" s="1"/>
  <c r="NA6" i="48"/>
  <c r="NB6" i="48"/>
  <c r="NB37" i="48" s="1"/>
  <c r="NC6" i="48"/>
  <c r="MA9" i="48"/>
  <c r="MB9" i="48"/>
  <c r="MC9" i="48"/>
  <c r="MD9" i="48"/>
  <c r="ME9" i="48"/>
  <c r="MF9" i="48"/>
  <c r="MG9" i="48"/>
  <c r="MH9" i="48"/>
  <c r="MI9" i="48"/>
  <c r="MJ9" i="48"/>
  <c r="MK9" i="48"/>
  <c r="ML9" i="48"/>
  <c r="MM9" i="48"/>
  <c r="MN9" i="48"/>
  <c r="MO9" i="48"/>
  <c r="MP9" i="48"/>
  <c r="MQ9" i="48"/>
  <c r="MR9" i="48"/>
  <c r="MS9" i="48"/>
  <c r="MT9" i="48"/>
  <c r="MU9" i="48"/>
  <c r="MV9" i="48"/>
  <c r="MW9" i="48"/>
  <c r="MX9" i="48"/>
  <c r="MY9" i="48"/>
  <c r="MZ9" i="48"/>
  <c r="NA9" i="48"/>
  <c r="NB9" i="48"/>
  <c r="NC9" i="48"/>
  <c r="LZ6" i="48"/>
  <c r="LZ36" i="48" s="1"/>
  <c r="LZ9" i="48"/>
  <c r="LY9" i="48"/>
  <c r="LY7" i="48"/>
  <c r="LY6" i="48"/>
  <c r="KW6" i="48"/>
  <c r="KW36" i="48" s="1"/>
  <c r="KX6" i="48"/>
  <c r="KX36" i="48" s="1"/>
  <c r="KY6" i="48"/>
  <c r="KZ6" i="48"/>
  <c r="LA6" i="48"/>
  <c r="LB6" i="48"/>
  <c r="LB36" i="48" s="1"/>
  <c r="LC6" i="48"/>
  <c r="LC37" i="48" s="1"/>
  <c r="LD6" i="48"/>
  <c r="LD36" i="48" s="1"/>
  <c r="LE6" i="48"/>
  <c r="LF6" i="48"/>
  <c r="LG6" i="48"/>
  <c r="LH6" i="48"/>
  <c r="LI6" i="48"/>
  <c r="LJ6" i="48"/>
  <c r="LJ37" i="48" s="1"/>
  <c r="LK6" i="48"/>
  <c r="LL6" i="48"/>
  <c r="LM6" i="48"/>
  <c r="LN6" i="48"/>
  <c r="LN36" i="48" s="1"/>
  <c r="LO6" i="48"/>
  <c r="LO37" i="48" s="1"/>
  <c r="LP6" i="48"/>
  <c r="LP37" i="48" s="1"/>
  <c r="LQ6" i="48"/>
  <c r="LR6" i="48"/>
  <c r="LS6" i="48"/>
  <c r="LT6" i="48"/>
  <c r="LU6" i="48"/>
  <c r="LV6" i="48"/>
  <c r="LV37" i="48" s="1"/>
  <c r="LW6" i="48"/>
  <c r="LX6" i="48"/>
  <c r="KW9" i="48"/>
  <c r="KX9" i="48"/>
  <c r="KY9" i="48"/>
  <c r="KZ9" i="48"/>
  <c r="LA9" i="48"/>
  <c r="LB9" i="48"/>
  <c r="LC9" i="48"/>
  <c r="LD9" i="48"/>
  <c r="LE9" i="48"/>
  <c r="LF9" i="48"/>
  <c r="LG9" i="48"/>
  <c r="LH9" i="48"/>
  <c r="LI9" i="48"/>
  <c r="LJ9" i="48"/>
  <c r="LK9" i="48"/>
  <c r="LL9" i="48"/>
  <c r="LM9" i="48"/>
  <c r="LN9" i="48"/>
  <c r="LO9" i="48"/>
  <c r="LP9" i="48"/>
  <c r="LQ9" i="48"/>
  <c r="LR9" i="48"/>
  <c r="LS9" i="48"/>
  <c r="LT9" i="48"/>
  <c r="LU9" i="48"/>
  <c r="LV9" i="48"/>
  <c r="LW9" i="48"/>
  <c r="LX9" i="48"/>
  <c r="IY7" i="48"/>
  <c r="IZ7" i="48" s="1"/>
  <c r="JG7" i="48"/>
  <c r="JH7" i="48" s="1"/>
  <c r="JI7" i="48" s="1"/>
  <c r="KV9" i="48"/>
  <c r="KV6" i="48"/>
  <c r="KU9" i="48"/>
  <c r="KU7" i="48"/>
  <c r="KU6" i="48"/>
  <c r="KU37" i="48" s="1"/>
  <c r="JR6" i="48"/>
  <c r="JS6" i="48"/>
  <c r="JT6" i="48"/>
  <c r="JT37" i="48" s="1"/>
  <c r="JU6" i="48"/>
  <c r="JU37" i="48" s="1"/>
  <c r="JV6" i="48"/>
  <c r="JW6" i="48"/>
  <c r="JW37" i="48" s="1"/>
  <c r="JX6" i="48"/>
  <c r="JX37" i="48" s="1"/>
  <c r="JY6" i="48"/>
  <c r="JY37" i="48" s="1"/>
  <c r="JZ6" i="48"/>
  <c r="JZ37" i="48" s="1"/>
  <c r="KA6" i="48"/>
  <c r="KA37" i="48" s="1"/>
  <c r="KB6" i="48"/>
  <c r="KB37" i="48" s="1"/>
  <c r="KC6" i="48"/>
  <c r="KC37" i="48" s="1"/>
  <c r="KD6" i="48"/>
  <c r="KD37" i="48" s="1"/>
  <c r="KE6" i="48"/>
  <c r="KE36" i="48" s="1"/>
  <c r="KF6" i="48"/>
  <c r="KF36" i="48" s="1"/>
  <c r="KG6" i="48"/>
  <c r="KH6" i="48"/>
  <c r="KI6" i="48"/>
  <c r="KI36" i="48" s="1"/>
  <c r="KJ6" i="48"/>
  <c r="KJ36" i="48" s="1"/>
  <c r="KK6" i="48"/>
  <c r="KK37" i="48" s="1"/>
  <c r="KL6" i="48"/>
  <c r="KL37" i="48" s="1"/>
  <c r="KM6" i="48"/>
  <c r="KM37" i="48" s="1"/>
  <c r="KN6" i="48"/>
  <c r="KN37" i="48" s="1"/>
  <c r="KO6" i="48"/>
  <c r="KO37" i="48" s="1"/>
  <c r="KP6" i="48"/>
  <c r="KP37" i="48" s="1"/>
  <c r="KQ6" i="48"/>
  <c r="KQ36" i="48" s="1"/>
  <c r="KR6" i="48"/>
  <c r="KR36" i="48" s="1"/>
  <c r="KS6" i="48"/>
  <c r="KS37" i="48" s="1"/>
  <c r="KT6" i="48"/>
  <c r="JR9" i="48"/>
  <c r="JS9" i="48"/>
  <c r="JT9" i="48"/>
  <c r="JU9" i="48"/>
  <c r="JV9" i="48"/>
  <c r="JW9" i="48"/>
  <c r="JX9" i="48"/>
  <c r="JY9" i="48"/>
  <c r="JZ9" i="48"/>
  <c r="KA9" i="48"/>
  <c r="KB9" i="48"/>
  <c r="KC9" i="48"/>
  <c r="KD9" i="48"/>
  <c r="KE9" i="48"/>
  <c r="KF9" i="48"/>
  <c r="KG9" i="48"/>
  <c r="KH9" i="48"/>
  <c r="KI9" i="48"/>
  <c r="KJ9" i="48"/>
  <c r="KK9" i="48"/>
  <c r="KL9" i="48"/>
  <c r="KM9" i="48"/>
  <c r="KN9" i="48"/>
  <c r="KO9" i="48"/>
  <c r="KP9" i="48"/>
  <c r="KQ9" i="48"/>
  <c r="KR9" i="48"/>
  <c r="KS9" i="48"/>
  <c r="KT9" i="48"/>
  <c r="JQ6" i="48"/>
  <c r="JQ9" i="48"/>
  <c r="JP9" i="48"/>
  <c r="JP7" i="48"/>
  <c r="JP6" i="48"/>
  <c r="HI6" i="48"/>
  <c r="HI37" i="48" s="1"/>
  <c r="HJ6" i="48"/>
  <c r="HJ36" i="48" s="1"/>
  <c r="HK6" i="48"/>
  <c r="HK36" i="48" s="1"/>
  <c r="HL6" i="48"/>
  <c r="HL37" i="48" s="1"/>
  <c r="HM6" i="48"/>
  <c r="HM37" i="48" s="1"/>
  <c r="HN6" i="48"/>
  <c r="HN37" i="48" s="1"/>
  <c r="HO6" i="48"/>
  <c r="HO37" i="48" s="1"/>
  <c r="HP6" i="48"/>
  <c r="HP37" i="48" s="1"/>
  <c r="HQ6" i="48"/>
  <c r="HQ37" i="48" s="1"/>
  <c r="HR6" i="48"/>
  <c r="HR36" i="48" s="1"/>
  <c r="HS6" i="48"/>
  <c r="HS36" i="48" s="1"/>
  <c r="HT6" i="48"/>
  <c r="HT37" i="48" s="1"/>
  <c r="HU6" i="48"/>
  <c r="HU37" i="48" s="1"/>
  <c r="HV6" i="48"/>
  <c r="HV37" i="48" s="1"/>
  <c r="HW6" i="48"/>
  <c r="HW37" i="48" s="1"/>
  <c r="HX6" i="48"/>
  <c r="HY6" i="48"/>
  <c r="HY36" i="48" s="1"/>
  <c r="HZ6" i="48"/>
  <c r="HZ36" i="48" s="1"/>
  <c r="IA6" i="48"/>
  <c r="IA36" i="48" s="1"/>
  <c r="IB6" i="48"/>
  <c r="IB37" i="48" s="1"/>
  <c r="IC6" i="48"/>
  <c r="IC37" i="48" s="1"/>
  <c r="ID6" i="48"/>
  <c r="ID37" i="48" s="1"/>
  <c r="IE6" i="48"/>
  <c r="IF6" i="48"/>
  <c r="IG6" i="48"/>
  <c r="IG36" i="48" s="1"/>
  <c r="IH6" i="48"/>
  <c r="IH37" i="48" s="1"/>
  <c r="II6" i="48"/>
  <c r="II37" i="48" s="1"/>
  <c r="IJ6" i="48"/>
  <c r="IJ37" i="48" s="1"/>
  <c r="IK6" i="48"/>
  <c r="IK37" i="48" s="1"/>
  <c r="HI9" i="48"/>
  <c r="HJ9" i="48"/>
  <c r="HK9" i="48"/>
  <c r="HL9" i="48"/>
  <c r="HM9" i="48"/>
  <c r="HN9" i="48"/>
  <c r="HO9" i="48"/>
  <c r="HP9" i="48"/>
  <c r="HQ9" i="48"/>
  <c r="HR9" i="48"/>
  <c r="HS9" i="48"/>
  <c r="HT9" i="48"/>
  <c r="HU9" i="48"/>
  <c r="HV9" i="48"/>
  <c r="HW9" i="48"/>
  <c r="HX9" i="48"/>
  <c r="HY9" i="48"/>
  <c r="HZ9" i="48"/>
  <c r="IA9" i="48"/>
  <c r="IB9" i="48"/>
  <c r="IC9" i="48"/>
  <c r="ID9" i="48"/>
  <c r="IE9" i="48"/>
  <c r="IF9" i="48"/>
  <c r="IG9" i="48"/>
  <c r="IH9" i="48"/>
  <c r="II9" i="48"/>
  <c r="IJ9" i="48"/>
  <c r="IK9" i="48"/>
  <c r="HH6" i="48"/>
  <c r="HH9" i="48"/>
  <c r="HG6" i="48"/>
  <c r="HG37" i="48" s="1"/>
  <c r="HG7" i="48"/>
  <c r="HG9" i="48"/>
  <c r="GC6" i="48"/>
  <c r="GC37" i="48" s="1"/>
  <c r="GC9" i="48"/>
  <c r="GB9" i="48"/>
  <c r="GB7" i="48"/>
  <c r="GB6" i="48"/>
  <c r="GB37" i="48" s="1"/>
  <c r="EZ6" i="48"/>
  <c r="EZ36" i="48" s="1"/>
  <c r="FA6" i="48"/>
  <c r="FA36" i="48" s="1"/>
  <c r="FB6" i="48"/>
  <c r="FB37" i="48" s="1"/>
  <c r="FC6" i="48"/>
  <c r="FD6" i="48"/>
  <c r="FD37" i="48" s="1"/>
  <c r="FE6" i="48"/>
  <c r="FE37" i="48" s="1"/>
  <c r="FF6" i="48"/>
  <c r="FF37" i="48" s="1"/>
  <c r="FG6" i="48"/>
  <c r="FG37" i="48" s="1"/>
  <c r="FH6" i="48"/>
  <c r="FH36" i="48" s="1"/>
  <c r="FI6" i="48"/>
  <c r="FI36" i="48" s="1"/>
  <c r="FJ6" i="48"/>
  <c r="FJ36" i="48" s="1"/>
  <c r="FK6" i="48"/>
  <c r="FK36" i="48" s="1"/>
  <c r="FL6" i="48"/>
  <c r="FL37" i="48" s="1"/>
  <c r="FM6" i="48"/>
  <c r="FM37" i="48" s="1"/>
  <c r="FN6" i="48"/>
  <c r="FN37" i="48" s="1"/>
  <c r="FO6" i="48"/>
  <c r="FO37" i="48" s="1"/>
  <c r="FP6" i="48"/>
  <c r="FP37" i="48" s="1"/>
  <c r="FQ6" i="48"/>
  <c r="FQ37" i="48" s="1"/>
  <c r="FR6" i="48"/>
  <c r="FR37" i="48" s="1"/>
  <c r="FS6" i="48"/>
  <c r="FS37" i="48" s="1"/>
  <c r="FT6" i="48"/>
  <c r="FT37" i="48" s="1"/>
  <c r="FU6" i="48"/>
  <c r="FU36" i="48" s="1"/>
  <c r="FV6" i="48"/>
  <c r="FV36" i="48" s="1"/>
  <c r="FW6" i="48"/>
  <c r="FW36" i="48" s="1"/>
  <c r="FX6" i="48"/>
  <c r="FX37" i="48" s="1"/>
  <c r="FY6" i="48"/>
  <c r="FY36" i="48" s="1"/>
  <c r="FZ6" i="48"/>
  <c r="GA6" i="48"/>
  <c r="GA36" i="48" s="1"/>
  <c r="EZ9" i="48"/>
  <c r="FA9" i="48"/>
  <c r="FB9" i="48"/>
  <c r="FC9" i="48"/>
  <c r="FD9" i="48"/>
  <c r="FE9" i="48"/>
  <c r="FF9" i="48"/>
  <c r="FG9" i="48"/>
  <c r="FH9" i="48"/>
  <c r="FI9" i="48"/>
  <c r="FJ9" i="48"/>
  <c r="FK9" i="48"/>
  <c r="FL9" i="48"/>
  <c r="FM9" i="48"/>
  <c r="FN9" i="48"/>
  <c r="FO9" i="48"/>
  <c r="FP9" i="48"/>
  <c r="FQ9" i="48"/>
  <c r="FR9" i="48"/>
  <c r="FS9" i="48"/>
  <c r="FT9" i="48"/>
  <c r="FU9" i="48"/>
  <c r="FV9" i="48"/>
  <c r="FW9" i="48"/>
  <c r="FX9" i="48"/>
  <c r="FY9" i="48"/>
  <c r="FZ9" i="48"/>
  <c r="GA9" i="48"/>
  <c r="DX6" i="48"/>
  <c r="DX37" i="48" s="1"/>
  <c r="DY6" i="48"/>
  <c r="DY37" i="48" s="1"/>
  <c r="DZ6" i="48"/>
  <c r="DZ37" i="48" s="1"/>
  <c r="EA6" i="48"/>
  <c r="EA37" i="48" s="1"/>
  <c r="EB6" i="48"/>
  <c r="EB37" i="48" s="1"/>
  <c r="EC6" i="48"/>
  <c r="ED6" i="48"/>
  <c r="ED36" i="48" s="1"/>
  <c r="EE6" i="48"/>
  <c r="EE36" i="48" s="1"/>
  <c r="EF6" i="48"/>
  <c r="EF36" i="48" s="1"/>
  <c r="EG6" i="48"/>
  <c r="EG37" i="48" s="1"/>
  <c r="EH6" i="48"/>
  <c r="EH37" i="48" s="1"/>
  <c r="EI6" i="48"/>
  <c r="EI36" i="48" s="1"/>
  <c r="EJ6" i="48"/>
  <c r="EJ37" i="48" s="1"/>
  <c r="EK6" i="48"/>
  <c r="EK36" i="48" s="1"/>
  <c r="EL6" i="48"/>
  <c r="EL36" i="48" s="1"/>
  <c r="EM6" i="48"/>
  <c r="EM36" i="48" s="1"/>
  <c r="EN6" i="48"/>
  <c r="EN36" i="48" s="1"/>
  <c r="EO6" i="48"/>
  <c r="EO37" i="48" s="1"/>
  <c r="EP6" i="48"/>
  <c r="EP37" i="48" s="1"/>
  <c r="EQ6" i="48"/>
  <c r="EQ36" i="48" s="1"/>
  <c r="ER6" i="48"/>
  <c r="ES6" i="48"/>
  <c r="ES37" i="48" s="1"/>
  <c r="ET6" i="48"/>
  <c r="ET36" i="48" s="1"/>
  <c r="EU6" i="48"/>
  <c r="EU36" i="48" s="1"/>
  <c r="EV6" i="48"/>
  <c r="EV36" i="48" s="1"/>
  <c r="EW6" i="48"/>
  <c r="EW37" i="48" s="1"/>
  <c r="DX9" i="48"/>
  <c r="DY9" i="48"/>
  <c r="DZ9" i="48"/>
  <c r="EA9" i="48"/>
  <c r="EB9" i="48"/>
  <c r="EC9" i="48"/>
  <c r="ED9" i="48"/>
  <c r="EE9" i="48"/>
  <c r="EF9" i="48"/>
  <c r="EG9" i="48"/>
  <c r="EH9" i="48"/>
  <c r="EI9" i="48"/>
  <c r="EJ9" i="48"/>
  <c r="EK9" i="48"/>
  <c r="EL9" i="48"/>
  <c r="EM9" i="48"/>
  <c r="EN9" i="48"/>
  <c r="EO9" i="48"/>
  <c r="EP9" i="48"/>
  <c r="EQ9" i="48"/>
  <c r="ER9" i="48"/>
  <c r="ES9" i="48"/>
  <c r="ET9" i="48"/>
  <c r="EU9" i="48"/>
  <c r="EV9" i="48"/>
  <c r="EW9" i="48"/>
  <c r="DX80" i="48"/>
  <c r="DY80" i="48"/>
  <c r="DZ80" i="48"/>
  <c r="EA80" i="48"/>
  <c r="EB80" i="48"/>
  <c r="EC80" i="48"/>
  <c r="ED80" i="48"/>
  <c r="EE80" i="48"/>
  <c r="EF80" i="48"/>
  <c r="EG80" i="48"/>
  <c r="EH80" i="48"/>
  <c r="EI80" i="48"/>
  <c r="EJ80" i="48"/>
  <c r="EK80" i="48"/>
  <c r="EL80" i="48"/>
  <c r="EM80" i="48"/>
  <c r="EN80" i="48"/>
  <c r="EO80" i="48"/>
  <c r="EP80" i="48"/>
  <c r="EQ80" i="48"/>
  <c r="ER80" i="48"/>
  <c r="ES80" i="48"/>
  <c r="ET80" i="48"/>
  <c r="EU80" i="48"/>
  <c r="EV80" i="48"/>
  <c r="EW80" i="48"/>
  <c r="EX80" i="48"/>
  <c r="EY80" i="48"/>
  <c r="EZ80" i="48"/>
  <c r="FA80" i="48"/>
  <c r="FB80" i="48"/>
  <c r="FC80" i="48"/>
  <c r="FD80" i="48"/>
  <c r="FE80" i="48"/>
  <c r="FF80" i="48"/>
  <c r="FG80" i="48"/>
  <c r="FH80" i="48"/>
  <c r="FI80" i="48"/>
  <c r="FJ80" i="48"/>
  <c r="FK80" i="48"/>
  <c r="FL80" i="48"/>
  <c r="FM80" i="48"/>
  <c r="FN80" i="48"/>
  <c r="FO80" i="48"/>
  <c r="FP80" i="48"/>
  <c r="FQ80" i="48"/>
  <c r="FR80" i="48"/>
  <c r="FS80" i="48"/>
  <c r="FT80" i="48"/>
  <c r="FU80" i="48"/>
  <c r="FV80" i="48"/>
  <c r="FW80" i="48"/>
  <c r="FX80" i="48"/>
  <c r="FY80" i="48"/>
  <c r="FZ80" i="48"/>
  <c r="GA80" i="48"/>
  <c r="GB80" i="48"/>
  <c r="GC80" i="48"/>
  <c r="GD80" i="48"/>
  <c r="GE80" i="48"/>
  <c r="GF80" i="48"/>
  <c r="GG80" i="48"/>
  <c r="GH80" i="48"/>
  <c r="GI80" i="48"/>
  <c r="GJ80" i="48"/>
  <c r="GK80" i="48"/>
  <c r="GL80" i="48"/>
  <c r="GM80" i="48"/>
  <c r="GN80" i="48"/>
  <c r="GO80" i="48"/>
  <c r="GP80" i="48"/>
  <c r="GQ80" i="48"/>
  <c r="GR80" i="48"/>
  <c r="GS80" i="48"/>
  <c r="GT80" i="48"/>
  <c r="GU80" i="48"/>
  <c r="GV80" i="48"/>
  <c r="GW80" i="48"/>
  <c r="GX80" i="48"/>
  <c r="GY80" i="48"/>
  <c r="GZ80" i="48"/>
  <c r="HA80" i="48"/>
  <c r="HB80" i="48"/>
  <c r="HC80" i="48"/>
  <c r="HD80" i="48"/>
  <c r="HE80" i="48"/>
  <c r="HF80" i="48"/>
  <c r="HG80" i="48"/>
  <c r="HH80" i="48"/>
  <c r="HI80" i="48"/>
  <c r="HJ80" i="48"/>
  <c r="HK80" i="48"/>
  <c r="HL80" i="48"/>
  <c r="HM80" i="48"/>
  <c r="HN80" i="48"/>
  <c r="HO80" i="48"/>
  <c r="HP80" i="48"/>
  <c r="HQ80" i="48"/>
  <c r="HR80" i="48"/>
  <c r="HS80" i="48"/>
  <c r="HT80" i="48"/>
  <c r="HU80" i="48"/>
  <c r="HV80" i="48"/>
  <c r="HW80" i="48"/>
  <c r="HX80" i="48"/>
  <c r="HY80" i="48"/>
  <c r="HZ80" i="48"/>
  <c r="IA80" i="48"/>
  <c r="IB80" i="48"/>
  <c r="IC80" i="48"/>
  <c r="ID80" i="48"/>
  <c r="IE80" i="48"/>
  <c r="IF80" i="48"/>
  <c r="IG80" i="48"/>
  <c r="IH80" i="48"/>
  <c r="II80" i="48"/>
  <c r="IJ80" i="48"/>
  <c r="IK80" i="48"/>
  <c r="IL80" i="48"/>
  <c r="IM80" i="48"/>
  <c r="IN80" i="48"/>
  <c r="IO80" i="48"/>
  <c r="IP80" i="48"/>
  <c r="IQ80" i="48"/>
  <c r="IR80" i="48"/>
  <c r="IS80" i="48"/>
  <c r="IT80" i="48"/>
  <c r="IU80" i="48"/>
  <c r="IV80" i="48"/>
  <c r="IW80" i="48"/>
  <c r="IX80" i="48"/>
  <c r="IY80" i="48"/>
  <c r="IZ80" i="48"/>
  <c r="JA80" i="48"/>
  <c r="JB80" i="48"/>
  <c r="JC80" i="48"/>
  <c r="JD80" i="48"/>
  <c r="JE80" i="48"/>
  <c r="JF80" i="48"/>
  <c r="JG80" i="48"/>
  <c r="JH80" i="48"/>
  <c r="JI80" i="48"/>
  <c r="JJ80" i="48"/>
  <c r="JK80" i="48"/>
  <c r="JL80" i="48"/>
  <c r="JM80" i="48"/>
  <c r="JN80" i="48"/>
  <c r="JO80" i="48"/>
  <c r="JP80" i="48"/>
  <c r="JQ80" i="48"/>
  <c r="JR80" i="48"/>
  <c r="JS80" i="48"/>
  <c r="JT80" i="48"/>
  <c r="JU80" i="48"/>
  <c r="JV80" i="48"/>
  <c r="JW80" i="48"/>
  <c r="JX80" i="48"/>
  <c r="JY80" i="48"/>
  <c r="JZ80" i="48"/>
  <c r="KA80" i="48"/>
  <c r="KB80" i="48"/>
  <c r="KC80" i="48"/>
  <c r="KD80" i="48"/>
  <c r="KE80" i="48"/>
  <c r="KF80" i="48"/>
  <c r="KG80" i="48"/>
  <c r="KH80" i="48"/>
  <c r="KI80" i="48"/>
  <c r="KJ80" i="48"/>
  <c r="KK80" i="48"/>
  <c r="KL80" i="48"/>
  <c r="KM80" i="48"/>
  <c r="KN80" i="48"/>
  <c r="KO80" i="48"/>
  <c r="KP80" i="48"/>
  <c r="KQ80" i="48"/>
  <c r="KR80" i="48"/>
  <c r="KS80" i="48"/>
  <c r="KT80" i="48"/>
  <c r="KU80" i="48"/>
  <c r="KV80" i="48"/>
  <c r="KW80" i="48"/>
  <c r="KX80" i="48"/>
  <c r="KY80" i="48"/>
  <c r="KZ80" i="48"/>
  <c r="LA80" i="48"/>
  <c r="LB80" i="48"/>
  <c r="LC80" i="48"/>
  <c r="LD80" i="48"/>
  <c r="LE80" i="48"/>
  <c r="LF80" i="48"/>
  <c r="LG80" i="48"/>
  <c r="LH80" i="48"/>
  <c r="LI80" i="48"/>
  <c r="LJ80" i="48"/>
  <c r="LK80" i="48"/>
  <c r="LL80" i="48"/>
  <c r="LM80" i="48"/>
  <c r="LN80" i="48"/>
  <c r="LO80" i="48"/>
  <c r="LP80" i="48"/>
  <c r="LQ80" i="48"/>
  <c r="LR80" i="48"/>
  <c r="LS80" i="48"/>
  <c r="LT80" i="48"/>
  <c r="LU80" i="48"/>
  <c r="LV80" i="48"/>
  <c r="LW80" i="48"/>
  <c r="LX80" i="48"/>
  <c r="LY80" i="48"/>
  <c r="LZ80" i="48"/>
  <c r="MA80" i="48"/>
  <c r="MB80" i="48"/>
  <c r="MC80" i="48"/>
  <c r="MD80" i="48"/>
  <c r="ME80" i="48"/>
  <c r="MF80" i="48"/>
  <c r="MG80" i="48"/>
  <c r="MH80" i="48"/>
  <c r="MI80" i="48"/>
  <c r="MJ80" i="48"/>
  <c r="MK80" i="48"/>
  <c r="ML80" i="48"/>
  <c r="MM80" i="48"/>
  <c r="MN80" i="48"/>
  <c r="MO80" i="48"/>
  <c r="MP80" i="48"/>
  <c r="MQ80" i="48"/>
  <c r="MR80" i="48"/>
  <c r="MS80" i="48"/>
  <c r="MT80" i="48"/>
  <c r="MU80" i="48"/>
  <c r="MV80" i="48"/>
  <c r="MW80" i="48"/>
  <c r="MX80" i="48"/>
  <c r="MY80" i="48"/>
  <c r="MZ80" i="48"/>
  <c r="NA80" i="48"/>
  <c r="NB80" i="48"/>
  <c r="NC80" i="48"/>
  <c r="ND80" i="48"/>
  <c r="NE80" i="48"/>
  <c r="NF80" i="48"/>
  <c r="NG80" i="48"/>
  <c r="NH80" i="48"/>
  <c r="NI80" i="48"/>
  <c r="NJ80" i="48"/>
  <c r="NK80" i="48"/>
  <c r="NL80" i="48"/>
  <c r="NM80" i="48"/>
  <c r="NN80" i="48"/>
  <c r="NO80" i="48"/>
  <c r="NP80" i="48"/>
  <c r="NQ80" i="48"/>
  <c r="NR80" i="48"/>
  <c r="NS80" i="48"/>
  <c r="NT80" i="48"/>
  <c r="NU80" i="48"/>
  <c r="NV80" i="48"/>
  <c r="NW80" i="48"/>
  <c r="NX80" i="48"/>
  <c r="NY80" i="48"/>
  <c r="NZ80" i="48"/>
  <c r="OA80" i="48"/>
  <c r="OB80" i="48"/>
  <c r="OC80" i="48"/>
  <c r="OD80" i="48"/>
  <c r="OE80" i="48"/>
  <c r="OF80" i="48"/>
  <c r="OG80" i="48"/>
  <c r="OH80" i="48"/>
  <c r="OI80" i="48"/>
  <c r="OJ80" i="48"/>
  <c r="OK80" i="48"/>
  <c r="OL80" i="48"/>
  <c r="OM80" i="48"/>
  <c r="ON80" i="48"/>
  <c r="OO80" i="48"/>
  <c r="OP80" i="48"/>
  <c r="OQ80" i="48"/>
  <c r="OR80" i="48"/>
  <c r="OS80" i="48"/>
  <c r="OT80" i="48"/>
  <c r="OU80" i="48"/>
  <c r="OV80" i="48"/>
  <c r="OW80" i="48"/>
  <c r="OX80" i="48"/>
  <c r="OY80" i="48"/>
  <c r="OZ80" i="48"/>
  <c r="PA80" i="48"/>
  <c r="PB80" i="48"/>
  <c r="PC80" i="48"/>
  <c r="PD80" i="48"/>
  <c r="PE80" i="48"/>
  <c r="PF80" i="48"/>
  <c r="PG80" i="48"/>
  <c r="PH80" i="48"/>
  <c r="PI80" i="48"/>
  <c r="PJ80" i="48"/>
  <c r="PK80" i="48"/>
  <c r="PL80" i="48"/>
  <c r="PM80" i="48"/>
  <c r="PN80" i="48"/>
  <c r="DX81" i="48"/>
  <c r="DY81" i="48"/>
  <c r="DZ81" i="48"/>
  <c r="EA81" i="48"/>
  <c r="EB81" i="48"/>
  <c r="EC81" i="48"/>
  <c r="ED81" i="48"/>
  <c r="EE81" i="48"/>
  <c r="EF81" i="48"/>
  <c r="EG81" i="48"/>
  <c r="EH81" i="48"/>
  <c r="EI81" i="48"/>
  <c r="EJ81" i="48"/>
  <c r="EK81" i="48"/>
  <c r="EL81" i="48"/>
  <c r="EM81" i="48"/>
  <c r="EN81" i="48"/>
  <c r="EO81" i="48"/>
  <c r="EP81" i="48"/>
  <c r="EQ81" i="48"/>
  <c r="ER81" i="48"/>
  <c r="ES81" i="48"/>
  <c r="ET81" i="48"/>
  <c r="EU81" i="48"/>
  <c r="EV81" i="48"/>
  <c r="EW81" i="48"/>
  <c r="EX81" i="48"/>
  <c r="EY81" i="48"/>
  <c r="EZ81" i="48"/>
  <c r="FA81" i="48"/>
  <c r="FB81" i="48"/>
  <c r="FC81" i="48"/>
  <c r="FD81" i="48"/>
  <c r="FE81" i="48"/>
  <c r="FF81" i="48"/>
  <c r="FG81" i="48"/>
  <c r="FH81" i="48"/>
  <c r="FI81" i="48"/>
  <c r="FJ81" i="48"/>
  <c r="FK81" i="48"/>
  <c r="FL81" i="48"/>
  <c r="FM81" i="48"/>
  <c r="FN81" i="48"/>
  <c r="FO81" i="48"/>
  <c r="FP81" i="48"/>
  <c r="FQ81" i="48"/>
  <c r="FR81" i="48"/>
  <c r="FS81" i="48"/>
  <c r="FT81" i="48"/>
  <c r="FU81" i="48"/>
  <c r="FV81" i="48"/>
  <c r="FW81" i="48"/>
  <c r="FX81" i="48"/>
  <c r="FY81" i="48"/>
  <c r="FZ81" i="48"/>
  <c r="GA81" i="48"/>
  <c r="GB81" i="48"/>
  <c r="GC81" i="48"/>
  <c r="GD81" i="48"/>
  <c r="GE81" i="48"/>
  <c r="GF81" i="48"/>
  <c r="GG81" i="48"/>
  <c r="GH81" i="48"/>
  <c r="GI81" i="48"/>
  <c r="GJ81" i="48"/>
  <c r="GK81" i="48"/>
  <c r="GL81" i="48"/>
  <c r="GM81" i="48"/>
  <c r="GN81" i="48"/>
  <c r="GO81" i="48"/>
  <c r="GP81" i="48"/>
  <c r="GQ81" i="48"/>
  <c r="GR81" i="48"/>
  <c r="GS81" i="48"/>
  <c r="GT81" i="48"/>
  <c r="GU81" i="48"/>
  <c r="GV81" i="48"/>
  <c r="GW81" i="48"/>
  <c r="GX81" i="48"/>
  <c r="GY81" i="48"/>
  <c r="GZ81" i="48"/>
  <c r="HA81" i="48"/>
  <c r="HB81" i="48"/>
  <c r="HC81" i="48"/>
  <c r="HD81" i="48"/>
  <c r="HE81" i="48"/>
  <c r="HF81" i="48"/>
  <c r="HG81" i="48"/>
  <c r="HH81" i="48"/>
  <c r="HI81" i="48"/>
  <c r="HJ81" i="48"/>
  <c r="HK81" i="48"/>
  <c r="HL81" i="48"/>
  <c r="HM81" i="48"/>
  <c r="HN81" i="48"/>
  <c r="HO81" i="48"/>
  <c r="HP81" i="48"/>
  <c r="HQ81" i="48"/>
  <c r="HR81" i="48"/>
  <c r="HS81" i="48"/>
  <c r="HT81" i="48"/>
  <c r="HU81" i="48"/>
  <c r="HV81" i="48"/>
  <c r="HW81" i="48"/>
  <c r="HX81" i="48"/>
  <c r="HY81" i="48"/>
  <c r="HZ81" i="48"/>
  <c r="IA81" i="48"/>
  <c r="IB81" i="48"/>
  <c r="IC81" i="48"/>
  <c r="ID81" i="48"/>
  <c r="IE81" i="48"/>
  <c r="IF81" i="48"/>
  <c r="IG81" i="48"/>
  <c r="IH81" i="48"/>
  <c r="II81" i="48"/>
  <c r="IJ81" i="48"/>
  <c r="IK81" i="48"/>
  <c r="IL81" i="48"/>
  <c r="IM81" i="48"/>
  <c r="IN81" i="48"/>
  <c r="IO81" i="48"/>
  <c r="IP81" i="48"/>
  <c r="IQ81" i="48"/>
  <c r="IR81" i="48"/>
  <c r="IS81" i="48"/>
  <c r="IT81" i="48"/>
  <c r="IU81" i="48"/>
  <c r="IV81" i="48"/>
  <c r="IW81" i="48"/>
  <c r="IX81" i="48"/>
  <c r="IY81" i="48"/>
  <c r="IZ81" i="48"/>
  <c r="JA81" i="48"/>
  <c r="JB81" i="48"/>
  <c r="JC81" i="48"/>
  <c r="JD81" i="48"/>
  <c r="JE81" i="48"/>
  <c r="JF81" i="48"/>
  <c r="JG81" i="48"/>
  <c r="JH81" i="48"/>
  <c r="JI81" i="48"/>
  <c r="JJ81" i="48"/>
  <c r="JK81" i="48"/>
  <c r="JL81" i="48"/>
  <c r="JM81" i="48"/>
  <c r="JN81" i="48"/>
  <c r="JO81" i="48"/>
  <c r="JP81" i="48"/>
  <c r="JQ81" i="48"/>
  <c r="JR81" i="48"/>
  <c r="JS81" i="48"/>
  <c r="JT81" i="48"/>
  <c r="JU81" i="48"/>
  <c r="JV81" i="48"/>
  <c r="JW81" i="48"/>
  <c r="JX81" i="48"/>
  <c r="JY81" i="48"/>
  <c r="JZ81" i="48"/>
  <c r="KA81" i="48"/>
  <c r="KB81" i="48"/>
  <c r="KC81" i="48"/>
  <c r="KD81" i="48"/>
  <c r="KE81" i="48"/>
  <c r="KF81" i="48"/>
  <c r="KG81" i="48"/>
  <c r="KH81" i="48"/>
  <c r="KI81" i="48"/>
  <c r="KJ81" i="48"/>
  <c r="KK81" i="48"/>
  <c r="KL81" i="48"/>
  <c r="KM81" i="48"/>
  <c r="KN81" i="48"/>
  <c r="KO81" i="48"/>
  <c r="KP81" i="48"/>
  <c r="KQ81" i="48"/>
  <c r="KR81" i="48"/>
  <c r="KS81" i="48"/>
  <c r="KT81" i="48"/>
  <c r="KU81" i="48"/>
  <c r="KV81" i="48"/>
  <c r="KW81" i="48"/>
  <c r="KX81" i="48"/>
  <c r="KY81" i="48"/>
  <c r="KZ81" i="48"/>
  <c r="LA81" i="48"/>
  <c r="LB81" i="48"/>
  <c r="LC81" i="48"/>
  <c r="LD81" i="48"/>
  <c r="LE81" i="48"/>
  <c r="LF81" i="48"/>
  <c r="LG81" i="48"/>
  <c r="LH81" i="48"/>
  <c r="LI81" i="48"/>
  <c r="LJ81" i="48"/>
  <c r="LK81" i="48"/>
  <c r="LL81" i="48"/>
  <c r="LM81" i="48"/>
  <c r="LN81" i="48"/>
  <c r="LO81" i="48"/>
  <c r="LP81" i="48"/>
  <c r="LQ81" i="48"/>
  <c r="LR81" i="48"/>
  <c r="LS81" i="48"/>
  <c r="LT81" i="48"/>
  <c r="LU81" i="48"/>
  <c r="LV81" i="48"/>
  <c r="LW81" i="48"/>
  <c r="LX81" i="48"/>
  <c r="LY81" i="48"/>
  <c r="LZ81" i="48"/>
  <c r="MA81" i="48"/>
  <c r="MB81" i="48"/>
  <c r="MC81" i="48"/>
  <c r="MD81" i="48"/>
  <c r="ME81" i="48"/>
  <c r="MF81" i="48"/>
  <c r="MG81" i="48"/>
  <c r="MH81" i="48"/>
  <c r="MI81" i="48"/>
  <c r="MJ81" i="48"/>
  <c r="MK81" i="48"/>
  <c r="ML81" i="48"/>
  <c r="MM81" i="48"/>
  <c r="MN81" i="48"/>
  <c r="MO81" i="48"/>
  <c r="MP81" i="48"/>
  <c r="MQ81" i="48"/>
  <c r="MR81" i="48"/>
  <c r="MS81" i="48"/>
  <c r="MT81" i="48"/>
  <c r="MU81" i="48"/>
  <c r="MV81" i="48"/>
  <c r="MW81" i="48"/>
  <c r="MX81" i="48"/>
  <c r="MY81" i="48"/>
  <c r="MZ81" i="48"/>
  <c r="NA81" i="48"/>
  <c r="NB81" i="48"/>
  <c r="NC81" i="48"/>
  <c r="ND81" i="48"/>
  <c r="NE81" i="48"/>
  <c r="NF81" i="48"/>
  <c r="NG81" i="48"/>
  <c r="NH81" i="48"/>
  <c r="NI81" i="48"/>
  <c r="NJ81" i="48"/>
  <c r="NK81" i="48"/>
  <c r="NL81" i="48"/>
  <c r="NM81" i="48"/>
  <c r="NN81" i="48"/>
  <c r="NO81" i="48"/>
  <c r="NP81" i="48"/>
  <c r="NQ81" i="48"/>
  <c r="NR81" i="48"/>
  <c r="NS81" i="48"/>
  <c r="NT81" i="48"/>
  <c r="NU81" i="48"/>
  <c r="NV81" i="48"/>
  <c r="NW81" i="48"/>
  <c r="NX81" i="48"/>
  <c r="NY81" i="48"/>
  <c r="NZ81" i="48"/>
  <c r="OA81" i="48"/>
  <c r="OB81" i="48"/>
  <c r="OC81" i="48"/>
  <c r="OD81" i="48"/>
  <c r="OE81" i="48"/>
  <c r="OF81" i="48"/>
  <c r="OG81" i="48"/>
  <c r="OH81" i="48"/>
  <c r="OI81" i="48"/>
  <c r="OJ81" i="48"/>
  <c r="OK81" i="48"/>
  <c r="OL81" i="48"/>
  <c r="OM81" i="48"/>
  <c r="ON81" i="48"/>
  <c r="OO81" i="48"/>
  <c r="OP81" i="48"/>
  <c r="OQ81" i="48"/>
  <c r="OR81" i="48"/>
  <c r="OS81" i="48"/>
  <c r="OT81" i="48"/>
  <c r="OU81" i="48"/>
  <c r="OV81" i="48"/>
  <c r="OW81" i="48"/>
  <c r="OX81" i="48"/>
  <c r="OY81" i="48"/>
  <c r="OZ81" i="48"/>
  <c r="PA81" i="48"/>
  <c r="PB81" i="48"/>
  <c r="PC81" i="48"/>
  <c r="PD81" i="48"/>
  <c r="PE81" i="48"/>
  <c r="PF81" i="48"/>
  <c r="PG81" i="48"/>
  <c r="PH81" i="48"/>
  <c r="PI81" i="48"/>
  <c r="PJ81" i="48"/>
  <c r="PK81" i="48"/>
  <c r="PL81" i="48"/>
  <c r="PM81" i="48"/>
  <c r="PN81" i="48"/>
  <c r="DX82" i="48"/>
  <c r="DY82" i="48"/>
  <c r="DZ82" i="48"/>
  <c r="EA82" i="48"/>
  <c r="EB82" i="48"/>
  <c r="EC82" i="48"/>
  <c r="ED82" i="48"/>
  <c r="EE82" i="48"/>
  <c r="EF82" i="48"/>
  <c r="EG82" i="48"/>
  <c r="EH82" i="48"/>
  <c r="EI82" i="48"/>
  <c r="EJ82" i="48"/>
  <c r="EK82" i="48"/>
  <c r="EL82" i="48"/>
  <c r="EM82" i="48"/>
  <c r="EN82" i="48"/>
  <c r="EO82" i="48"/>
  <c r="EP82" i="48"/>
  <c r="EQ82" i="48"/>
  <c r="ER82" i="48"/>
  <c r="ES82" i="48"/>
  <c r="ET82" i="48"/>
  <c r="EU82" i="48"/>
  <c r="EV82" i="48"/>
  <c r="EW82" i="48"/>
  <c r="EX82" i="48"/>
  <c r="EY82" i="48"/>
  <c r="EZ82" i="48"/>
  <c r="FA82" i="48"/>
  <c r="FB82" i="48"/>
  <c r="FC82" i="48"/>
  <c r="FD82" i="48"/>
  <c r="FE82" i="48"/>
  <c r="FF82" i="48"/>
  <c r="FG82" i="48"/>
  <c r="FH82" i="48"/>
  <c r="FI82" i="48"/>
  <c r="FJ82" i="48"/>
  <c r="FK82" i="48"/>
  <c r="FL82" i="48"/>
  <c r="FM82" i="48"/>
  <c r="FN82" i="48"/>
  <c r="FO82" i="48"/>
  <c r="FP82" i="48"/>
  <c r="FQ82" i="48"/>
  <c r="FR82" i="48"/>
  <c r="FS82" i="48"/>
  <c r="FT82" i="48"/>
  <c r="FU82" i="48"/>
  <c r="FV82" i="48"/>
  <c r="FW82" i="48"/>
  <c r="FX82" i="48"/>
  <c r="FY82" i="48"/>
  <c r="FZ82" i="48"/>
  <c r="GA82" i="48"/>
  <c r="GB82" i="48"/>
  <c r="GC82" i="48"/>
  <c r="GD82" i="48"/>
  <c r="GE82" i="48"/>
  <c r="GF82" i="48"/>
  <c r="GG82" i="48"/>
  <c r="GH82" i="48"/>
  <c r="GI82" i="48"/>
  <c r="GJ82" i="48"/>
  <c r="GK82" i="48"/>
  <c r="GL82" i="48"/>
  <c r="GM82" i="48"/>
  <c r="GN82" i="48"/>
  <c r="GO82" i="48"/>
  <c r="GP82" i="48"/>
  <c r="GQ82" i="48"/>
  <c r="GR82" i="48"/>
  <c r="GS82" i="48"/>
  <c r="GT82" i="48"/>
  <c r="GU82" i="48"/>
  <c r="GV82" i="48"/>
  <c r="GW82" i="48"/>
  <c r="GX82" i="48"/>
  <c r="GY82" i="48"/>
  <c r="GZ82" i="48"/>
  <c r="HA82" i="48"/>
  <c r="HB82" i="48"/>
  <c r="HC82" i="48"/>
  <c r="HD82" i="48"/>
  <c r="HE82" i="48"/>
  <c r="HF82" i="48"/>
  <c r="HG82" i="48"/>
  <c r="HH82" i="48"/>
  <c r="HI82" i="48"/>
  <c r="HJ82" i="48"/>
  <c r="HK82" i="48"/>
  <c r="HL82" i="48"/>
  <c r="HM82" i="48"/>
  <c r="HN82" i="48"/>
  <c r="HO82" i="48"/>
  <c r="HP82" i="48"/>
  <c r="HQ82" i="48"/>
  <c r="HR82" i="48"/>
  <c r="HS82" i="48"/>
  <c r="HT82" i="48"/>
  <c r="HU82" i="48"/>
  <c r="HV82" i="48"/>
  <c r="HW82" i="48"/>
  <c r="HX82" i="48"/>
  <c r="HY82" i="48"/>
  <c r="HZ82" i="48"/>
  <c r="IA82" i="48"/>
  <c r="IB82" i="48"/>
  <c r="IC82" i="48"/>
  <c r="ID82" i="48"/>
  <c r="IE82" i="48"/>
  <c r="IF82" i="48"/>
  <c r="IG82" i="48"/>
  <c r="IH82" i="48"/>
  <c r="II82" i="48"/>
  <c r="IJ82" i="48"/>
  <c r="IK82" i="48"/>
  <c r="IL82" i="48"/>
  <c r="IM82" i="48"/>
  <c r="IN82" i="48"/>
  <c r="IO82" i="48"/>
  <c r="IP82" i="48"/>
  <c r="IQ82" i="48"/>
  <c r="IR82" i="48"/>
  <c r="IS82" i="48"/>
  <c r="IT82" i="48"/>
  <c r="IU82" i="48"/>
  <c r="IV82" i="48"/>
  <c r="IW82" i="48"/>
  <c r="IX82" i="48"/>
  <c r="IY82" i="48"/>
  <c r="IZ82" i="48"/>
  <c r="JA82" i="48"/>
  <c r="JB82" i="48"/>
  <c r="JC82" i="48"/>
  <c r="JD82" i="48"/>
  <c r="JE82" i="48"/>
  <c r="JF82" i="48"/>
  <c r="JG82" i="48"/>
  <c r="JH82" i="48"/>
  <c r="JI82" i="48"/>
  <c r="JJ82" i="48"/>
  <c r="JK82" i="48"/>
  <c r="JL82" i="48"/>
  <c r="JM82" i="48"/>
  <c r="JN82" i="48"/>
  <c r="JO82" i="48"/>
  <c r="JP82" i="48"/>
  <c r="JQ82" i="48"/>
  <c r="JR82" i="48"/>
  <c r="JS82" i="48"/>
  <c r="JT82" i="48"/>
  <c r="JU82" i="48"/>
  <c r="JV82" i="48"/>
  <c r="JW82" i="48"/>
  <c r="JX82" i="48"/>
  <c r="JY82" i="48"/>
  <c r="JZ82" i="48"/>
  <c r="KA82" i="48"/>
  <c r="KB82" i="48"/>
  <c r="KC82" i="48"/>
  <c r="KD82" i="48"/>
  <c r="KE82" i="48"/>
  <c r="KF82" i="48"/>
  <c r="KG82" i="48"/>
  <c r="KH82" i="48"/>
  <c r="KI82" i="48"/>
  <c r="KJ82" i="48"/>
  <c r="KK82" i="48"/>
  <c r="KL82" i="48"/>
  <c r="KM82" i="48"/>
  <c r="KN82" i="48"/>
  <c r="KO82" i="48"/>
  <c r="KP82" i="48"/>
  <c r="KQ82" i="48"/>
  <c r="KR82" i="48"/>
  <c r="KS82" i="48"/>
  <c r="KT82" i="48"/>
  <c r="KU82" i="48"/>
  <c r="KV82" i="48"/>
  <c r="KW82" i="48"/>
  <c r="KX82" i="48"/>
  <c r="KY82" i="48"/>
  <c r="KZ82" i="48"/>
  <c r="LA82" i="48"/>
  <c r="LB82" i="48"/>
  <c r="LC82" i="48"/>
  <c r="LD82" i="48"/>
  <c r="LE82" i="48"/>
  <c r="LF82" i="48"/>
  <c r="LG82" i="48"/>
  <c r="LH82" i="48"/>
  <c r="LI82" i="48"/>
  <c r="LJ82" i="48"/>
  <c r="LK82" i="48"/>
  <c r="LL82" i="48"/>
  <c r="LM82" i="48"/>
  <c r="LN82" i="48"/>
  <c r="LO82" i="48"/>
  <c r="LP82" i="48"/>
  <c r="LQ82" i="48"/>
  <c r="LR82" i="48"/>
  <c r="LS82" i="48"/>
  <c r="LT82" i="48"/>
  <c r="LU82" i="48"/>
  <c r="LV82" i="48"/>
  <c r="LW82" i="48"/>
  <c r="LX82" i="48"/>
  <c r="LY82" i="48"/>
  <c r="LZ82" i="48"/>
  <c r="MA82" i="48"/>
  <c r="MB82" i="48"/>
  <c r="MC82" i="48"/>
  <c r="MD82" i="48"/>
  <c r="ME82" i="48"/>
  <c r="MF82" i="48"/>
  <c r="MG82" i="48"/>
  <c r="MH82" i="48"/>
  <c r="MI82" i="48"/>
  <c r="MJ82" i="48"/>
  <c r="MK82" i="48"/>
  <c r="ML82" i="48"/>
  <c r="MM82" i="48"/>
  <c r="MN82" i="48"/>
  <c r="MO82" i="48"/>
  <c r="MP82" i="48"/>
  <c r="MQ82" i="48"/>
  <c r="MR82" i="48"/>
  <c r="MS82" i="48"/>
  <c r="MT82" i="48"/>
  <c r="MU82" i="48"/>
  <c r="MV82" i="48"/>
  <c r="MW82" i="48"/>
  <c r="MX82" i="48"/>
  <c r="MY82" i="48"/>
  <c r="MZ82" i="48"/>
  <c r="NA82" i="48"/>
  <c r="NB82" i="48"/>
  <c r="NC82" i="48"/>
  <c r="ND82" i="48"/>
  <c r="NE82" i="48"/>
  <c r="NF82" i="48"/>
  <c r="NG82" i="48"/>
  <c r="NH82" i="48"/>
  <c r="NI82" i="48"/>
  <c r="NJ82" i="48"/>
  <c r="NK82" i="48"/>
  <c r="NL82" i="48"/>
  <c r="NM82" i="48"/>
  <c r="NN82" i="48"/>
  <c r="NO82" i="48"/>
  <c r="NP82" i="48"/>
  <c r="NQ82" i="48"/>
  <c r="NR82" i="48"/>
  <c r="NS82" i="48"/>
  <c r="NT82" i="48"/>
  <c r="NU82" i="48"/>
  <c r="NV82" i="48"/>
  <c r="NW82" i="48"/>
  <c r="NX82" i="48"/>
  <c r="NY82" i="48"/>
  <c r="NZ82" i="48"/>
  <c r="OA82" i="48"/>
  <c r="OB82" i="48"/>
  <c r="OC82" i="48"/>
  <c r="OD82" i="48"/>
  <c r="OE82" i="48"/>
  <c r="OF82" i="48"/>
  <c r="OG82" i="48"/>
  <c r="OH82" i="48"/>
  <c r="OI82" i="48"/>
  <c r="OJ82" i="48"/>
  <c r="OK82" i="48"/>
  <c r="OL82" i="48"/>
  <c r="OM82" i="48"/>
  <c r="ON82" i="48"/>
  <c r="OO82" i="48"/>
  <c r="OP82" i="48"/>
  <c r="OQ82" i="48"/>
  <c r="OR82" i="48"/>
  <c r="OS82" i="48"/>
  <c r="OT82" i="48"/>
  <c r="OU82" i="48"/>
  <c r="OV82" i="48"/>
  <c r="OW82" i="48"/>
  <c r="OX82" i="48"/>
  <c r="OY82" i="48"/>
  <c r="OZ82" i="48"/>
  <c r="PA82" i="48"/>
  <c r="PB82" i="48"/>
  <c r="PC82" i="48"/>
  <c r="PD82" i="48"/>
  <c r="PE82" i="48"/>
  <c r="PF82" i="48"/>
  <c r="PG82" i="48"/>
  <c r="PH82" i="48"/>
  <c r="PI82" i="48"/>
  <c r="PJ82" i="48"/>
  <c r="PK82" i="48"/>
  <c r="PL82" i="48"/>
  <c r="PM82" i="48"/>
  <c r="PN82" i="48"/>
  <c r="DX83" i="48"/>
  <c r="DY83" i="48"/>
  <c r="DZ83" i="48"/>
  <c r="EA83" i="48"/>
  <c r="EB83" i="48"/>
  <c r="EC83" i="48"/>
  <c r="ED83" i="48"/>
  <c r="EE83" i="48"/>
  <c r="EF83" i="48"/>
  <c r="EG83" i="48"/>
  <c r="EH83" i="48"/>
  <c r="EI83" i="48"/>
  <c r="EJ83" i="48"/>
  <c r="EK83" i="48"/>
  <c r="EL83" i="48"/>
  <c r="EM83" i="48"/>
  <c r="EN83" i="48"/>
  <c r="EO83" i="48"/>
  <c r="EP83" i="48"/>
  <c r="EQ83" i="48"/>
  <c r="ER83" i="48"/>
  <c r="ES83" i="48"/>
  <c r="ET83" i="48"/>
  <c r="EU83" i="48"/>
  <c r="EV83" i="48"/>
  <c r="EW83" i="48"/>
  <c r="EX83" i="48"/>
  <c r="EY83" i="48"/>
  <c r="EZ83" i="48"/>
  <c r="FA83" i="48"/>
  <c r="FB83" i="48"/>
  <c r="FC83" i="48"/>
  <c r="FD83" i="48"/>
  <c r="FE83" i="48"/>
  <c r="FF83" i="48"/>
  <c r="FG83" i="48"/>
  <c r="FH83" i="48"/>
  <c r="FI83" i="48"/>
  <c r="FJ83" i="48"/>
  <c r="FK83" i="48"/>
  <c r="FL83" i="48"/>
  <c r="FM83" i="48"/>
  <c r="FN83" i="48"/>
  <c r="FO83" i="48"/>
  <c r="FP83" i="48"/>
  <c r="FQ83" i="48"/>
  <c r="FR83" i="48"/>
  <c r="FS83" i="48"/>
  <c r="FT83" i="48"/>
  <c r="FU83" i="48"/>
  <c r="FV83" i="48"/>
  <c r="FW83" i="48"/>
  <c r="FX83" i="48"/>
  <c r="FY83" i="48"/>
  <c r="FZ83" i="48"/>
  <c r="GA83" i="48"/>
  <c r="GB83" i="48"/>
  <c r="GC83" i="48"/>
  <c r="GD83" i="48"/>
  <c r="GE83" i="48"/>
  <c r="GF83" i="48"/>
  <c r="GG83" i="48"/>
  <c r="GH83" i="48"/>
  <c r="GI83" i="48"/>
  <c r="GJ83" i="48"/>
  <c r="GK83" i="48"/>
  <c r="GL83" i="48"/>
  <c r="GM83" i="48"/>
  <c r="GN83" i="48"/>
  <c r="GO83" i="48"/>
  <c r="GP83" i="48"/>
  <c r="GQ83" i="48"/>
  <c r="GR83" i="48"/>
  <c r="GS83" i="48"/>
  <c r="GT83" i="48"/>
  <c r="GU83" i="48"/>
  <c r="GV83" i="48"/>
  <c r="GW83" i="48"/>
  <c r="GX83" i="48"/>
  <c r="GY83" i="48"/>
  <c r="GZ83" i="48"/>
  <c r="HA83" i="48"/>
  <c r="HB83" i="48"/>
  <c r="HC83" i="48"/>
  <c r="HD83" i="48"/>
  <c r="HE83" i="48"/>
  <c r="HF83" i="48"/>
  <c r="HG83" i="48"/>
  <c r="HH83" i="48"/>
  <c r="HI83" i="48"/>
  <c r="HJ83" i="48"/>
  <c r="HK83" i="48"/>
  <c r="HL83" i="48"/>
  <c r="HM83" i="48"/>
  <c r="HN83" i="48"/>
  <c r="HO83" i="48"/>
  <c r="HP83" i="48"/>
  <c r="HQ83" i="48"/>
  <c r="HR83" i="48"/>
  <c r="HS83" i="48"/>
  <c r="HT83" i="48"/>
  <c r="HU83" i="48"/>
  <c r="HV83" i="48"/>
  <c r="HW83" i="48"/>
  <c r="HX83" i="48"/>
  <c r="HY83" i="48"/>
  <c r="HZ83" i="48"/>
  <c r="IA83" i="48"/>
  <c r="IB83" i="48"/>
  <c r="IC83" i="48"/>
  <c r="ID83" i="48"/>
  <c r="IE83" i="48"/>
  <c r="IF83" i="48"/>
  <c r="IG83" i="48"/>
  <c r="IH83" i="48"/>
  <c r="II83" i="48"/>
  <c r="IJ83" i="48"/>
  <c r="IK83" i="48"/>
  <c r="IL83" i="48"/>
  <c r="IM83" i="48"/>
  <c r="IN83" i="48"/>
  <c r="IO83" i="48"/>
  <c r="IP83" i="48"/>
  <c r="IQ83" i="48"/>
  <c r="IR83" i="48"/>
  <c r="IS83" i="48"/>
  <c r="IT83" i="48"/>
  <c r="IU83" i="48"/>
  <c r="IV83" i="48"/>
  <c r="IW83" i="48"/>
  <c r="IX83" i="48"/>
  <c r="IY83" i="48"/>
  <c r="IZ83" i="48"/>
  <c r="JA83" i="48"/>
  <c r="JB83" i="48"/>
  <c r="JC83" i="48"/>
  <c r="JD83" i="48"/>
  <c r="JE83" i="48"/>
  <c r="JF83" i="48"/>
  <c r="JG83" i="48"/>
  <c r="JH83" i="48"/>
  <c r="JI83" i="48"/>
  <c r="JJ83" i="48"/>
  <c r="JK83" i="48"/>
  <c r="JL83" i="48"/>
  <c r="JM83" i="48"/>
  <c r="JN83" i="48"/>
  <c r="JO83" i="48"/>
  <c r="JP83" i="48"/>
  <c r="JQ83" i="48"/>
  <c r="JR83" i="48"/>
  <c r="JS83" i="48"/>
  <c r="JT83" i="48"/>
  <c r="JU83" i="48"/>
  <c r="JV83" i="48"/>
  <c r="JW83" i="48"/>
  <c r="JX83" i="48"/>
  <c r="JY83" i="48"/>
  <c r="JZ83" i="48"/>
  <c r="KA83" i="48"/>
  <c r="KB83" i="48"/>
  <c r="KC83" i="48"/>
  <c r="KD83" i="48"/>
  <c r="KE83" i="48"/>
  <c r="KF83" i="48"/>
  <c r="KG83" i="48"/>
  <c r="KH83" i="48"/>
  <c r="KI83" i="48"/>
  <c r="KJ83" i="48"/>
  <c r="KK83" i="48"/>
  <c r="KL83" i="48"/>
  <c r="KM83" i="48"/>
  <c r="KN83" i="48"/>
  <c r="KO83" i="48"/>
  <c r="KP83" i="48"/>
  <c r="KQ83" i="48"/>
  <c r="KR83" i="48"/>
  <c r="KS83" i="48"/>
  <c r="KT83" i="48"/>
  <c r="KU83" i="48"/>
  <c r="KV83" i="48"/>
  <c r="KW83" i="48"/>
  <c r="KX83" i="48"/>
  <c r="KY83" i="48"/>
  <c r="KZ83" i="48"/>
  <c r="LA83" i="48"/>
  <c r="LB83" i="48"/>
  <c r="LC83" i="48"/>
  <c r="LD83" i="48"/>
  <c r="LE83" i="48"/>
  <c r="LF83" i="48"/>
  <c r="LG83" i="48"/>
  <c r="LH83" i="48"/>
  <c r="LI83" i="48"/>
  <c r="LJ83" i="48"/>
  <c r="LK83" i="48"/>
  <c r="LL83" i="48"/>
  <c r="LM83" i="48"/>
  <c r="LN83" i="48"/>
  <c r="LO83" i="48"/>
  <c r="LP83" i="48"/>
  <c r="LQ83" i="48"/>
  <c r="LR83" i="48"/>
  <c r="LS83" i="48"/>
  <c r="LT83" i="48"/>
  <c r="LU83" i="48"/>
  <c r="LV83" i="48"/>
  <c r="LW83" i="48"/>
  <c r="LX83" i="48"/>
  <c r="LY83" i="48"/>
  <c r="LZ83" i="48"/>
  <c r="MA83" i="48"/>
  <c r="MB83" i="48"/>
  <c r="MC83" i="48"/>
  <c r="MD83" i="48"/>
  <c r="ME83" i="48"/>
  <c r="MF83" i="48"/>
  <c r="MG83" i="48"/>
  <c r="MH83" i="48"/>
  <c r="MI83" i="48"/>
  <c r="MJ83" i="48"/>
  <c r="MK83" i="48"/>
  <c r="ML83" i="48"/>
  <c r="MM83" i="48"/>
  <c r="MN83" i="48"/>
  <c r="MO83" i="48"/>
  <c r="MP83" i="48"/>
  <c r="MQ83" i="48"/>
  <c r="MR83" i="48"/>
  <c r="MS83" i="48"/>
  <c r="MT83" i="48"/>
  <c r="MU83" i="48"/>
  <c r="MV83" i="48"/>
  <c r="MW83" i="48"/>
  <c r="MX83" i="48"/>
  <c r="MY83" i="48"/>
  <c r="MZ83" i="48"/>
  <c r="NA83" i="48"/>
  <c r="NB83" i="48"/>
  <c r="NC83" i="48"/>
  <c r="ND83" i="48"/>
  <c r="NE83" i="48"/>
  <c r="NF83" i="48"/>
  <c r="NG83" i="48"/>
  <c r="NH83" i="48"/>
  <c r="NI83" i="48"/>
  <c r="NJ83" i="48"/>
  <c r="NK83" i="48"/>
  <c r="NL83" i="48"/>
  <c r="NM83" i="48"/>
  <c r="NN83" i="48"/>
  <c r="NO83" i="48"/>
  <c r="NP83" i="48"/>
  <c r="NQ83" i="48"/>
  <c r="NR83" i="48"/>
  <c r="NS83" i="48"/>
  <c r="NT83" i="48"/>
  <c r="NU83" i="48"/>
  <c r="NV83" i="48"/>
  <c r="NW83" i="48"/>
  <c r="NX83" i="48"/>
  <c r="NY83" i="48"/>
  <c r="NZ83" i="48"/>
  <c r="OA83" i="48"/>
  <c r="OB83" i="48"/>
  <c r="OC83" i="48"/>
  <c r="OD83" i="48"/>
  <c r="OE83" i="48"/>
  <c r="OF83" i="48"/>
  <c r="OG83" i="48"/>
  <c r="OH83" i="48"/>
  <c r="OI83" i="48"/>
  <c r="OJ83" i="48"/>
  <c r="OK83" i="48"/>
  <c r="OL83" i="48"/>
  <c r="OM83" i="48"/>
  <c r="ON83" i="48"/>
  <c r="OO83" i="48"/>
  <c r="OP83" i="48"/>
  <c r="OQ83" i="48"/>
  <c r="OR83" i="48"/>
  <c r="OS83" i="48"/>
  <c r="OT83" i="48"/>
  <c r="OU83" i="48"/>
  <c r="OV83" i="48"/>
  <c r="OW83" i="48"/>
  <c r="OX83" i="48"/>
  <c r="OY83" i="48"/>
  <c r="OZ83" i="48"/>
  <c r="PA83" i="48"/>
  <c r="PB83" i="48"/>
  <c r="PC83" i="48"/>
  <c r="PD83" i="48"/>
  <c r="PE83" i="48"/>
  <c r="PF83" i="48"/>
  <c r="PG83" i="48"/>
  <c r="PH83" i="48"/>
  <c r="PI83" i="48"/>
  <c r="PJ83" i="48"/>
  <c r="PK83" i="48"/>
  <c r="PL83" i="48"/>
  <c r="PM83" i="48"/>
  <c r="PN83" i="48"/>
  <c r="DX84" i="48"/>
  <c r="DY84" i="48"/>
  <c r="DZ84" i="48"/>
  <c r="EA84" i="48"/>
  <c r="EB84" i="48"/>
  <c r="EC84" i="48"/>
  <c r="ED84" i="48"/>
  <c r="EE84" i="48"/>
  <c r="EF84" i="48"/>
  <c r="EG84" i="48"/>
  <c r="EH84" i="48"/>
  <c r="EI84" i="48"/>
  <c r="EJ84" i="48"/>
  <c r="EK84" i="48"/>
  <c r="EL84" i="48"/>
  <c r="EM84" i="48"/>
  <c r="EN84" i="48"/>
  <c r="EO84" i="48"/>
  <c r="EP84" i="48"/>
  <c r="EQ84" i="48"/>
  <c r="ER84" i="48"/>
  <c r="ES84" i="48"/>
  <c r="ET84" i="48"/>
  <c r="EU84" i="48"/>
  <c r="EV84" i="48"/>
  <c r="EW84" i="48"/>
  <c r="EX84" i="48"/>
  <c r="EY84" i="48"/>
  <c r="EZ84" i="48"/>
  <c r="FA84" i="48"/>
  <c r="FB84" i="48"/>
  <c r="FC84" i="48"/>
  <c r="FD84" i="48"/>
  <c r="FE84" i="48"/>
  <c r="FF84" i="48"/>
  <c r="FG84" i="48"/>
  <c r="FH84" i="48"/>
  <c r="FI84" i="48"/>
  <c r="FJ84" i="48"/>
  <c r="FK84" i="48"/>
  <c r="FL84" i="48"/>
  <c r="FM84" i="48"/>
  <c r="FN84" i="48"/>
  <c r="FO84" i="48"/>
  <c r="FP84" i="48"/>
  <c r="FQ84" i="48"/>
  <c r="FR84" i="48"/>
  <c r="FS84" i="48"/>
  <c r="FT84" i="48"/>
  <c r="FU84" i="48"/>
  <c r="FV84" i="48"/>
  <c r="FW84" i="48"/>
  <c r="FX84" i="48"/>
  <c r="FY84" i="48"/>
  <c r="FZ84" i="48"/>
  <c r="GA84" i="48"/>
  <c r="GB84" i="48"/>
  <c r="GC84" i="48"/>
  <c r="GD84" i="48"/>
  <c r="GE84" i="48"/>
  <c r="GF84" i="48"/>
  <c r="GG84" i="48"/>
  <c r="GH84" i="48"/>
  <c r="GI84" i="48"/>
  <c r="GJ84" i="48"/>
  <c r="GK84" i="48"/>
  <c r="GL84" i="48"/>
  <c r="GM84" i="48"/>
  <c r="GN84" i="48"/>
  <c r="GO84" i="48"/>
  <c r="GP84" i="48"/>
  <c r="GQ84" i="48"/>
  <c r="GR84" i="48"/>
  <c r="GS84" i="48"/>
  <c r="GT84" i="48"/>
  <c r="GU84" i="48"/>
  <c r="GV84" i="48"/>
  <c r="GW84" i="48"/>
  <c r="GX84" i="48"/>
  <c r="GY84" i="48"/>
  <c r="GZ84" i="48"/>
  <c r="HA84" i="48"/>
  <c r="HB84" i="48"/>
  <c r="HC84" i="48"/>
  <c r="HD84" i="48"/>
  <c r="HE84" i="48"/>
  <c r="HF84" i="48"/>
  <c r="HG84" i="48"/>
  <c r="HH84" i="48"/>
  <c r="HI84" i="48"/>
  <c r="HJ84" i="48"/>
  <c r="HK84" i="48"/>
  <c r="HL84" i="48"/>
  <c r="HM84" i="48"/>
  <c r="HN84" i="48"/>
  <c r="HO84" i="48"/>
  <c r="HP84" i="48"/>
  <c r="HQ84" i="48"/>
  <c r="HR84" i="48"/>
  <c r="HS84" i="48"/>
  <c r="HT84" i="48"/>
  <c r="HU84" i="48"/>
  <c r="HV84" i="48"/>
  <c r="HW84" i="48"/>
  <c r="HX84" i="48"/>
  <c r="HY84" i="48"/>
  <c r="HZ84" i="48"/>
  <c r="IA84" i="48"/>
  <c r="IB84" i="48"/>
  <c r="IC84" i="48"/>
  <c r="ID84" i="48"/>
  <c r="IE84" i="48"/>
  <c r="IF84" i="48"/>
  <c r="IG84" i="48"/>
  <c r="IH84" i="48"/>
  <c r="II84" i="48"/>
  <c r="IJ84" i="48"/>
  <c r="IK84" i="48"/>
  <c r="IL84" i="48"/>
  <c r="IM84" i="48"/>
  <c r="IN84" i="48"/>
  <c r="IO84" i="48"/>
  <c r="IP84" i="48"/>
  <c r="IQ84" i="48"/>
  <c r="IR84" i="48"/>
  <c r="IS84" i="48"/>
  <c r="IT84" i="48"/>
  <c r="IU84" i="48"/>
  <c r="IV84" i="48"/>
  <c r="IW84" i="48"/>
  <c r="IX84" i="48"/>
  <c r="IY84" i="48"/>
  <c r="IZ84" i="48"/>
  <c r="JA84" i="48"/>
  <c r="JB84" i="48"/>
  <c r="JC84" i="48"/>
  <c r="JD84" i="48"/>
  <c r="JE84" i="48"/>
  <c r="JF84" i="48"/>
  <c r="JG84" i="48"/>
  <c r="JH84" i="48"/>
  <c r="JI84" i="48"/>
  <c r="JJ84" i="48"/>
  <c r="JK84" i="48"/>
  <c r="JL84" i="48"/>
  <c r="JM84" i="48"/>
  <c r="JN84" i="48"/>
  <c r="JO84" i="48"/>
  <c r="JP84" i="48"/>
  <c r="JQ84" i="48"/>
  <c r="JR84" i="48"/>
  <c r="JS84" i="48"/>
  <c r="JT84" i="48"/>
  <c r="JU84" i="48"/>
  <c r="JV84" i="48"/>
  <c r="JW84" i="48"/>
  <c r="JX84" i="48"/>
  <c r="JY84" i="48"/>
  <c r="JZ84" i="48"/>
  <c r="KA84" i="48"/>
  <c r="KB84" i="48"/>
  <c r="KC84" i="48"/>
  <c r="KD84" i="48"/>
  <c r="KE84" i="48"/>
  <c r="KF84" i="48"/>
  <c r="KG84" i="48"/>
  <c r="KH84" i="48"/>
  <c r="KI84" i="48"/>
  <c r="KJ84" i="48"/>
  <c r="KK84" i="48"/>
  <c r="KL84" i="48"/>
  <c r="KM84" i="48"/>
  <c r="KN84" i="48"/>
  <c r="KO84" i="48"/>
  <c r="KP84" i="48"/>
  <c r="KQ84" i="48"/>
  <c r="KR84" i="48"/>
  <c r="KS84" i="48"/>
  <c r="KT84" i="48"/>
  <c r="KU84" i="48"/>
  <c r="KV84" i="48"/>
  <c r="KW84" i="48"/>
  <c r="KX84" i="48"/>
  <c r="KY84" i="48"/>
  <c r="KZ84" i="48"/>
  <c r="LA84" i="48"/>
  <c r="LB84" i="48"/>
  <c r="LC84" i="48"/>
  <c r="LD84" i="48"/>
  <c r="LE84" i="48"/>
  <c r="LF84" i="48"/>
  <c r="LG84" i="48"/>
  <c r="LH84" i="48"/>
  <c r="LI84" i="48"/>
  <c r="LJ84" i="48"/>
  <c r="LK84" i="48"/>
  <c r="LL84" i="48"/>
  <c r="LM84" i="48"/>
  <c r="LN84" i="48"/>
  <c r="LO84" i="48"/>
  <c r="LP84" i="48"/>
  <c r="LQ84" i="48"/>
  <c r="LR84" i="48"/>
  <c r="LS84" i="48"/>
  <c r="LT84" i="48"/>
  <c r="LU84" i="48"/>
  <c r="LV84" i="48"/>
  <c r="LW84" i="48"/>
  <c r="LX84" i="48"/>
  <c r="LY84" i="48"/>
  <c r="LZ84" i="48"/>
  <c r="MA84" i="48"/>
  <c r="MB84" i="48"/>
  <c r="MC84" i="48"/>
  <c r="MD84" i="48"/>
  <c r="ME84" i="48"/>
  <c r="MF84" i="48"/>
  <c r="MG84" i="48"/>
  <c r="MH84" i="48"/>
  <c r="MI84" i="48"/>
  <c r="MJ84" i="48"/>
  <c r="MK84" i="48"/>
  <c r="ML84" i="48"/>
  <c r="MM84" i="48"/>
  <c r="MN84" i="48"/>
  <c r="MO84" i="48"/>
  <c r="MP84" i="48"/>
  <c r="MQ84" i="48"/>
  <c r="MR84" i="48"/>
  <c r="MS84" i="48"/>
  <c r="MT84" i="48"/>
  <c r="MU84" i="48"/>
  <c r="MV84" i="48"/>
  <c r="MW84" i="48"/>
  <c r="MX84" i="48"/>
  <c r="MY84" i="48"/>
  <c r="MZ84" i="48"/>
  <c r="NA84" i="48"/>
  <c r="NB84" i="48"/>
  <c r="NC84" i="48"/>
  <c r="ND84" i="48"/>
  <c r="NE84" i="48"/>
  <c r="NF84" i="48"/>
  <c r="NG84" i="48"/>
  <c r="NH84" i="48"/>
  <c r="NI84" i="48"/>
  <c r="NJ84" i="48"/>
  <c r="NK84" i="48"/>
  <c r="NL84" i="48"/>
  <c r="NM84" i="48"/>
  <c r="NN84" i="48"/>
  <c r="NO84" i="48"/>
  <c r="NP84" i="48"/>
  <c r="NQ84" i="48"/>
  <c r="NR84" i="48"/>
  <c r="NS84" i="48"/>
  <c r="NT84" i="48"/>
  <c r="NU84" i="48"/>
  <c r="NV84" i="48"/>
  <c r="NW84" i="48"/>
  <c r="NX84" i="48"/>
  <c r="NY84" i="48"/>
  <c r="NZ84" i="48"/>
  <c r="OA84" i="48"/>
  <c r="OB84" i="48"/>
  <c r="OC84" i="48"/>
  <c r="OD84" i="48"/>
  <c r="OE84" i="48"/>
  <c r="OF84" i="48"/>
  <c r="OG84" i="48"/>
  <c r="OH84" i="48"/>
  <c r="OI84" i="48"/>
  <c r="OJ84" i="48"/>
  <c r="OK84" i="48"/>
  <c r="OL84" i="48"/>
  <c r="OM84" i="48"/>
  <c r="ON84" i="48"/>
  <c r="OO84" i="48"/>
  <c r="OP84" i="48"/>
  <c r="OQ84" i="48"/>
  <c r="OR84" i="48"/>
  <c r="OS84" i="48"/>
  <c r="OT84" i="48"/>
  <c r="OU84" i="48"/>
  <c r="OV84" i="48"/>
  <c r="OW84" i="48"/>
  <c r="OX84" i="48"/>
  <c r="OY84" i="48"/>
  <c r="OZ84" i="48"/>
  <c r="PA84" i="48"/>
  <c r="PB84" i="48"/>
  <c r="PC84" i="48"/>
  <c r="PD84" i="48"/>
  <c r="PE84" i="48"/>
  <c r="PF84" i="48"/>
  <c r="PG84" i="48"/>
  <c r="PH84" i="48"/>
  <c r="PI84" i="48"/>
  <c r="PJ84" i="48"/>
  <c r="PK84" i="48"/>
  <c r="PL84" i="48"/>
  <c r="PM84" i="48"/>
  <c r="PN84" i="48"/>
  <c r="DX85" i="48"/>
  <c r="DY85" i="48"/>
  <c r="DZ85" i="48"/>
  <c r="EA85" i="48"/>
  <c r="EB85" i="48"/>
  <c r="EC85" i="48"/>
  <c r="ED85" i="48"/>
  <c r="EE85" i="48"/>
  <c r="EF85" i="48"/>
  <c r="EG85" i="48"/>
  <c r="EH85" i="48"/>
  <c r="EI85" i="48"/>
  <c r="EJ85" i="48"/>
  <c r="EK85" i="48"/>
  <c r="EL85" i="48"/>
  <c r="EM85" i="48"/>
  <c r="EN85" i="48"/>
  <c r="EO85" i="48"/>
  <c r="EP85" i="48"/>
  <c r="EQ85" i="48"/>
  <c r="ER85" i="48"/>
  <c r="ES85" i="48"/>
  <c r="ET85" i="48"/>
  <c r="EU85" i="48"/>
  <c r="EV85" i="48"/>
  <c r="EW85" i="48"/>
  <c r="EX85" i="48"/>
  <c r="EY85" i="48"/>
  <c r="EZ85" i="48"/>
  <c r="FA85" i="48"/>
  <c r="FB85" i="48"/>
  <c r="FC85" i="48"/>
  <c r="FD85" i="48"/>
  <c r="FE85" i="48"/>
  <c r="FF85" i="48"/>
  <c r="FG85" i="48"/>
  <c r="FH85" i="48"/>
  <c r="FI85" i="48"/>
  <c r="FJ85" i="48"/>
  <c r="FK85" i="48"/>
  <c r="FL85" i="48"/>
  <c r="FM85" i="48"/>
  <c r="FN85" i="48"/>
  <c r="FO85" i="48"/>
  <c r="FP85" i="48"/>
  <c r="FQ85" i="48"/>
  <c r="FR85" i="48"/>
  <c r="FS85" i="48"/>
  <c r="FT85" i="48"/>
  <c r="FU85" i="48"/>
  <c r="FV85" i="48"/>
  <c r="FW85" i="48"/>
  <c r="FX85" i="48"/>
  <c r="FY85" i="48"/>
  <c r="FZ85" i="48"/>
  <c r="GA85" i="48"/>
  <c r="GB85" i="48"/>
  <c r="GC85" i="48"/>
  <c r="GD85" i="48"/>
  <c r="GE85" i="48"/>
  <c r="GF85" i="48"/>
  <c r="GG85" i="48"/>
  <c r="GH85" i="48"/>
  <c r="GI85" i="48"/>
  <c r="GJ85" i="48"/>
  <c r="GK85" i="48"/>
  <c r="GL85" i="48"/>
  <c r="GM85" i="48"/>
  <c r="GN85" i="48"/>
  <c r="GO85" i="48"/>
  <c r="GP85" i="48"/>
  <c r="GQ85" i="48"/>
  <c r="GR85" i="48"/>
  <c r="GS85" i="48"/>
  <c r="GT85" i="48"/>
  <c r="GU85" i="48"/>
  <c r="GV85" i="48"/>
  <c r="GW85" i="48"/>
  <c r="GX85" i="48"/>
  <c r="GY85" i="48"/>
  <c r="GZ85" i="48"/>
  <c r="HA85" i="48"/>
  <c r="HB85" i="48"/>
  <c r="HC85" i="48"/>
  <c r="HD85" i="48"/>
  <c r="HE85" i="48"/>
  <c r="HF85" i="48"/>
  <c r="HG85" i="48"/>
  <c r="HH85" i="48"/>
  <c r="HI85" i="48"/>
  <c r="HJ85" i="48"/>
  <c r="HK85" i="48"/>
  <c r="HL85" i="48"/>
  <c r="HM85" i="48"/>
  <c r="HN85" i="48"/>
  <c r="HO85" i="48"/>
  <c r="HP85" i="48"/>
  <c r="HQ85" i="48"/>
  <c r="HR85" i="48"/>
  <c r="HS85" i="48"/>
  <c r="HT85" i="48"/>
  <c r="HU85" i="48"/>
  <c r="HV85" i="48"/>
  <c r="HW85" i="48"/>
  <c r="HX85" i="48"/>
  <c r="HY85" i="48"/>
  <c r="HZ85" i="48"/>
  <c r="IA85" i="48"/>
  <c r="IB85" i="48"/>
  <c r="IC85" i="48"/>
  <c r="ID85" i="48"/>
  <c r="IE85" i="48"/>
  <c r="IF85" i="48"/>
  <c r="IG85" i="48"/>
  <c r="IH85" i="48"/>
  <c r="II85" i="48"/>
  <c r="IJ85" i="48"/>
  <c r="IK85" i="48"/>
  <c r="IL85" i="48"/>
  <c r="IM85" i="48"/>
  <c r="IN85" i="48"/>
  <c r="IO85" i="48"/>
  <c r="IP85" i="48"/>
  <c r="IQ85" i="48"/>
  <c r="IR85" i="48"/>
  <c r="IS85" i="48"/>
  <c r="IT85" i="48"/>
  <c r="IU85" i="48"/>
  <c r="IV85" i="48"/>
  <c r="IW85" i="48"/>
  <c r="IX85" i="48"/>
  <c r="IY85" i="48"/>
  <c r="IZ85" i="48"/>
  <c r="JA85" i="48"/>
  <c r="JB85" i="48"/>
  <c r="JC85" i="48"/>
  <c r="JD85" i="48"/>
  <c r="JE85" i="48"/>
  <c r="JF85" i="48"/>
  <c r="JG85" i="48"/>
  <c r="JH85" i="48"/>
  <c r="JI85" i="48"/>
  <c r="JJ85" i="48"/>
  <c r="JK85" i="48"/>
  <c r="JL85" i="48"/>
  <c r="JM85" i="48"/>
  <c r="JN85" i="48"/>
  <c r="JO85" i="48"/>
  <c r="JP85" i="48"/>
  <c r="JQ85" i="48"/>
  <c r="JR85" i="48"/>
  <c r="JS85" i="48"/>
  <c r="JT85" i="48"/>
  <c r="JU85" i="48"/>
  <c r="JV85" i="48"/>
  <c r="JW85" i="48"/>
  <c r="JX85" i="48"/>
  <c r="JY85" i="48"/>
  <c r="JZ85" i="48"/>
  <c r="KA85" i="48"/>
  <c r="KB85" i="48"/>
  <c r="KC85" i="48"/>
  <c r="KD85" i="48"/>
  <c r="KE85" i="48"/>
  <c r="KF85" i="48"/>
  <c r="KG85" i="48"/>
  <c r="KH85" i="48"/>
  <c r="KI85" i="48"/>
  <c r="KJ85" i="48"/>
  <c r="KK85" i="48"/>
  <c r="KL85" i="48"/>
  <c r="KM85" i="48"/>
  <c r="KN85" i="48"/>
  <c r="KO85" i="48"/>
  <c r="KP85" i="48"/>
  <c r="KQ85" i="48"/>
  <c r="KR85" i="48"/>
  <c r="KS85" i="48"/>
  <c r="KT85" i="48"/>
  <c r="KU85" i="48"/>
  <c r="KV85" i="48"/>
  <c r="KW85" i="48"/>
  <c r="KX85" i="48"/>
  <c r="KY85" i="48"/>
  <c r="KZ85" i="48"/>
  <c r="LA85" i="48"/>
  <c r="LB85" i="48"/>
  <c r="LC85" i="48"/>
  <c r="LD85" i="48"/>
  <c r="LE85" i="48"/>
  <c r="LF85" i="48"/>
  <c r="LG85" i="48"/>
  <c r="LH85" i="48"/>
  <c r="LI85" i="48"/>
  <c r="LJ85" i="48"/>
  <c r="LK85" i="48"/>
  <c r="LL85" i="48"/>
  <c r="LM85" i="48"/>
  <c r="LN85" i="48"/>
  <c r="LO85" i="48"/>
  <c r="LP85" i="48"/>
  <c r="LQ85" i="48"/>
  <c r="LR85" i="48"/>
  <c r="LS85" i="48"/>
  <c r="LT85" i="48"/>
  <c r="LU85" i="48"/>
  <c r="LV85" i="48"/>
  <c r="LW85" i="48"/>
  <c r="LX85" i="48"/>
  <c r="LY85" i="48"/>
  <c r="LZ85" i="48"/>
  <c r="MA85" i="48"/>
  <c r="MB85" i="48"/>
  <c r="MC85" i="48"/>
  <c r="MD85" i="48"/>
  <c r="ME85" i="48"/>
  <c r="MF85" i="48"/>
  <c r="MG85" i="48"/>
  <c r="MH85" i="48"/>
  <c r="MI85" i="48"/>
  <c r="MJ85" i="48"/>
  <c r="MK85" i="48"/>
  <c r="ML85" i="48"/>
  <c r="MM85" i="48"/>
  <c r="MN85" i="48"/>
  <c r="MO85" i="48"/>
  <c r="MP85" i="48"/>
  <c r="MQ85" i="48"/>
  <c r="MR85" i="48"/>
  <c r="MS85" i="48"/>
  <c r="MT85" i="48"/>
  <c r="MU85" i="48"/>
  <c r="MV85" i="48"/>
  <c r="MW85" i="48"/>
  <c r="MX85" i="48"/>
  <c r="MY85" i="48"/>
  <c r="MZ85" i="48"/>
  <c r="NA85" i="48"/>
  <c r="NB85" i="48"/>
  <c r="NC85" i="48"/>
  <c r="ND85" i="48"/>
  <c r="NE85" i="48"/>
  <c r="NF85" i="48"/>
  <c r="NG85" i="48"/>
  <c r="NH85" i="48"/>
  <c r="NI85" i="48"/>
  <c r="NJ85" i="48"/>
  <c r="NK85" i="48"/>
  <c r="NL85" i="48"/>
  <c r="NM85" i="48"/>
  <c r="NN85" i="48"/>
  <c r="NO85" i="48"/>
  <c r="NP85" i="48"/>
  <c r="NQ85" i="48"/>
  <c r="NR85" i="48"/>
  <c r="NS85" i="48"/>
  <c r="NT85" i="48"/>
  <c r="NU85" i="48"/>
  <c r="NV85" i="48"/>
  <c r="NW85" i="48"/>
  <c r="NX85" i="48"/>
  <c r="NY85" i="48"/>
  <c r="NZ85" i="48"/>
  <c r="OA85" i="48"/>
  <c r="OB85" i="48"/>
  <c r="OC85" i="48"/>
  <c r="OD85" i="48"/>
  <c r="OE85" i="48"/>
  <c r="OF85" i="48"/>
  <c r="OG85" i="48"/>
  <c r="OH85" i="48"/>
  <c r="OI85" i="48"/>
  <c r="OJ85" i="48"/>
  <c r="OK85" i="48"/>
  <c r="OL85" i="48"/>
  <c r="OM85" i="48"/>
  <c r="ON85" i="48"/>
  <c r="OO85" i="48"/>
  <c r="OP85" i="48"/>
  <c r="OQ85" i="48"/>
  <c r="OR85" i="48"/>
  <c r="OS85" i="48"/>
  <c r="OT85" i="48"/>
  <c r="OU85" i="48"/>
  <c r="OV85" i="48"/>
  <c r="OW85" i="48"/>
  <c r="OX85" i="48"/>
  <c r="OY85" i="48"/>
  <c r="OZ85" i="48"/>
  <c r="PA85" i="48"/>
  <c r="PB85" i="48"/>
  <c r="PC85" i="48"/>
  <c r="PD85" i="48"/>
  <c r="PE85" i="48"/>
  <c r="PF85" i="48"/>
  <c r="PG85" i="48"/>
  <c r="PH85" i="48"/>
  <c r="PI85" i="48"/>
  <c r="PJ85" i="48"/>
  <c r="PK85" i="48"/>
  <c r="PL85" i="48"/>
  <c r="PM85" i="48"/>
  <c r="PN85" i="48"/>
  <c r="DX86" i="48"/>
  <c r="DY86" i="48"/>
  <c r="DZ86" i="48"/>
  <c r="EA86" i="48"/>
  <c r="EB86" i="48"/>
  <c r="EC86" i="48"/>
  <c r="ED86" i="48"/>
  <c r="EE86" i="48"/>
  <c r="EF86" i="48"/>
  <c r="EG86" i="48"/>
  <c r="EH86" i="48"/>
  <c r="EI86" i="48"/>
  <c r="EJ86" i="48"/>
  <c r="EK86" i="48"/>
  <c r="EL86" i="48"/>
  <c r="EM86" i="48"/>
  <c r="EN86" i="48"/>
  <c r="EO86" i="48"/>
  <c r="EP86" i="48"/>
  <c r="EQ86" i="48"/>
  <c r="ER86" i="48"/>
  <c r="ES86" i="48"/>
  <c r="ET86" i="48"/>
  <c r="EU86" i="48"/>
  <c r="EV86" i="48"/>
  <c r="EW86" i="48"/>
  <c r="EX86" i="48"/>
  <c r="EY86" i="48"/>
  <c r="EZ86" i="48"/>
  <c r="FA86" i="48"/>
  <c r="FB86" i="48"/>
  <c r="FC86" i="48"/>
  <c r="FD86" i="48"/>
  <c r="FE86" i="48"/>
  <c r="FF86" i="48"/>
  <c r="FG86" i="48"/>
  <c r="FH86" i="48"/>
  <c r="FI86" i="48"/>
  <c r="FJ86" i="48"/>
  <c r="FK86" i="48"/>
  <c r="FL86" i="48"/>
  <c r="FM86" i="48"/>
  <c r="FN86" i="48"/>
  <c r="FO86" i="48"/>
  <c r="FP86" i="48"/>
  <c r="FQ86" i="48"/>
  <c r="FR86" i="48"/>
  <c r="FS86" i="48"/>
  <c r="FT86" i="48"/>
  <c r="FU86" i="48"/>
  <c r="FV86" i="48"/>
  <c r="FW86" i="48"/>
  <c r="FX86" i="48"/>
  <c r="FY86" i="48"/>
  <c r="FZ86" i="48"/>
  <c r="GA86" i="48"/>
  <c r="GB86" i="48"/>
  <c r="GC86" i="48"/>
  <c r="GD86" i="48"/>
  <c r="GE86" i="48"/>
  <c r="GF86" i="48"/>
  <c r="GG86" i="48"/>
  <c r="GH86" i="48"/>
  <c r="GI86" i="48"/>
  <c r="GJ86" i="48"/>
  <c r="GK86" i="48"/>
  <c r="GL86" i="48"/>
  <c r="GM86" i="48"/>
  <c r="GN86" i="48"/>
  <c r="GO86" i="48"/>
  <c r="GP86" i="48"/>
  <c r="GQ86" i="48"/>
  <c r="GR86" i="48"/>
  <c r="GS86" i="48"/>
  <c r="GT86" i="48"/>
  <c r="GU86" i="48"/>
  <c r="GV86" i="48"/>
  <c r="GW86" i="48"/>
  <c r="GX86" i="48"/>
  <c r="GY86" i="48"/>
  <c r="GZ86" i="48"/>
  <c r="HA86" i="48"/>
  <c r="HB86" i="48"/>
  <c r="HC86" i="48"/>
  <c r="HD86" i="48"/>
  <c r="HE86" i="48"/>
  <c r="HF86" i="48"/>
  <c r="HG86" i="48"/>
  <c r="HH86" i="48"/>
  <c r="HI86" i="48"/>
  <c r="HJ86" i="48"/>
  <c r="HK86" i="48"/>
  <c r="HL86" i="48"/>
  <c r="HM86" i="48"/>
  <c r="HN86" i="48"/>
  <c r="HO86" i="48"/>
  <c r="HP86" i="48"/>
  <c r="HQ86" i="48"/>
  <c r="HR86" i="48"/>
  <c r="HS86" i="48"/>
  <c r="HT86" i="48"/>
  <c r="HU86" i="48"/>
  <c r="HV86" i="48"/>
  <c r="HW86" i="48"/>
  <c r="HX86" i="48"/>
  <c r="HY86" i="48"/>
  <c r="HZ86" i="48"/>
  <c r="IA86" i="48"/>
  <c r="IB86" i="48"/>
  <c r="IC86" i="48"/>
  <c r="ID86" i="48"/>
  <c r="IE86" i="48"/>
  <c r="IF86" i="48"/>
  <c r="IG86" i="48"/>
  <c r="IH86" i="48"/>
  <c r="II86" i="48"/>
  <c r="IJ86" i="48"/>
  <c r="IK86" i="48"/>
  <c r="IL86" i="48"/>
  <c r="IM86" i="48"/>
  <c r="IN86" i="48"/>
  <c r="IO86" i="48"/>
  <c r="IP86" i="48"/>
  <c r="IQ86" i="48"/>
  <c r="IR86" i="48"/>
  <c r="IS86" i="48"/>
  <c r="IT86" i="48"/>
  <c r="IU86" i="48"/>
  <c r="IV86" i="48"/>
  <c r="IW86" i="48"/>
  <c r="IX86" i="48"/>
  <c r="IY86" i="48"/>
  <c r="IZ86" i="48"/>
  <c r="JA86" i="48"/>
  <c r="JB86" i="48"/>
  <c r="JC86" i="48"/>
  <c r="JD86" i="48"/>
  <c r="JE86" i="48"/>
  <c r="JF86" i="48"/>
  <c r="JG86" i="48"/>
  <c r="JH86" i="48"/>
  <c r="JI86" i="48"/>
  <c r="JJ86" i="48"/>
  <c r="JK86" i="48"/>
  <c r="JL86" i="48"/>
  <c r="JM86" i="48"/>
  <c r="JN86" i="48"/>
  <c r="JO86" i="48"/>
  <c r="JP86" i="48"/>
  <c r="JQ86" i="48"/>
  <c r="JR86" i="48"/>
  <c r="JS86" i="48"/>
  <c r="JT86" i="48"/>
  <c r="JU86" i="48"/>
  <c r="JV86" i="48"/>
  <c r="JW86" i="48"/>
  <c r="JX86" i="48"/>
  <c r="JY86" i="48"/>
  <c r="JZ86" i="48"/>
  <c r="KA86" i="48"/>
  <c r="KB86" i="48"/>
  <c r="KC86" i="48"/>
  <c r="KD86" i="48"/>
  <c r="KE86" i="48"/>
  <c r="KF86" i="48"/>
  <c r="KG86" i="48"/>
  <c r="KH86" i="48"/>
  <c r="KI86" i="48"/>
  <c r="KJ86" i="48"/>
  <c r="KK86" i="48"/>
  <c r="KL86" i="48"/>
  <c r="KM86" i="48"/>
  <c r="KN86" i="48"/>
  <c r="KO86" i="48"/>
  <c r="KP86" i="48"/>
  <c r="KQ86" i="48"/>
  <c r="KR86" i="48"/>
  <c r="KS86" i="48"/>
  <c r="KT86" i="48"/>
  <c r="KU86" i="48"/>
  <c r="KV86" i="48"/>
  <c r="KW86" i="48"/>
  <c r="KX86" i="48"/>
  <c r="KY86" i="48"/>
  <c r="KZ86" i="48"/>
  <c r="LA86" i="48"/>
  <c r="LB86" i="48"/>
  <c r="LC86" i="48"/>
  <c r="LD86" i="48"/>
  <c r="LE86" i="48"/>
  <c r="LF86" i="48"/>
  <c r="LG86" i="48"/>
  <c r="LH86" i="48"/>
  <c r="LI86" i="48"/>
  <c r="LJ86" i="48"/>
  <c r="LK86" i="48"/>
  <c r="LL86" i="48"/>
  <c r="LM86" i="48"/>
  <c r="LN86" i="48"/>
  <c r="LO86" i="48"/>
  <c r="LP86" i="48"/>
  <c r="LQ86" i="48"/>
  <c r="LR86" i="48"/>
  <c r="LS86" i="48"/>
  <c r="LT86" i="48"/>
  <c r="LU86" i="48"/>
  <c r="LV86" i="48"/>
  <c r="LW86" i="48"/>
  <c r="LX86" i="48"/>
  <c r="LY86" i="48"/>
  <c r="LZ86" i="48"/>
  <c r="MA86" i="48"/>
  <c r="MB86" i="48"/>
  <c r="MC86" i="48"/>
  <c r="MD86" i="48"/>
  <c r="ME86" i="48"/>
  <c r="MF86" i="48"/>
  <c r="MG86" i="48"/>
  <c r="MH86" i="48"/>
  <c r="MI86" i="48"/>
  <c r="MJ86" i="48"/>
  <c r="MK86" i="48"/>
  <c r="ML86" i="48"/>
  <c r="MM86" i="48"/>
  <c r="MN86" i="48"/>
  <c r="MO86" i="48"/>
  <c r="MP86" i="48"/>
  <c r="MQ86" i="48"/>
  <c r="MR86" i="48"/>
  <c r="MS86" i="48"/>
  <c r="MT86" i="48"/>
  <c r="MU86" i="48"/>
  <c r="MV86" i="48"/>
  <c r="MW86" i="48"/>
  <c r="MX86" i="48"/>
  <c r="MY86" i="48"/>
  <c r="MZ86" i="48"/>
  <c r="NA86" i="48"/>
  <c r="NB86" i="48"/>
  <c r="NC86" i="48"/>
  <c r="ND86" i="48"/>
  <c r="NE86" i="48"/>
  <c r="NF86" i="48"/>
  <c r="NG86" i="48"/>
  <c r="NH86" i="48"/>
  <c r="NI86" i="48"/>
  <c r="NJ86" i="48"/>
  <c r="NK86" i="48"/>
  <c r="NL86" i="48"/>
  <c r="NM86" i="48"/>
  <c r="NN86" i="48"/>
  <c r="NO86" i="48"/>
  <c r="NP86" i="48"/>
  <c r="NQ86" i="48"/>
  <c r="NR86" i="48"/>
  <c r="NS86" i="48"/>
  <c r="NT86" i="48"/>
  <c r="NU86" i="48"/>
  <c r="NV86" i="48"/>
  <c r="NW86" i="48"/>
  <c r="NX86" i="48"/>
  <c r="NY86" i="48"/>
  <c r="NZ86" i="48"/>
  <c r="OA86" i="48"/>
  <c r="OB86" i="48"/>
  <c r="OC86" i="48"/>
  <c r="OD86" i="48"/>
  <c r="OE86" i="48"/>
  <c r="OF86" i="48"/>
  <c r="OG86" i="48"/>
  <c r="OH86" i="48"/>
  <c r="OI86" i="48"/>
  <c r="OJ86" i="48"/>
  <c r="OK86" i="48"/>
  <c r="OL86" i="48"/>
  <c r="OM86" i="48"/>
  <c r="ON86" i="48"/>
  <c r="OO86" i="48"/>
  <c r="OP86" i="48"/>
  <c r="OQ86" i="48"/>
  <c r="OR86" i="48"/>
  <c r="OS86" i="48"/>
  <c r="OT86" i="48"/>
  <c r="OU86" i="48"/>
  <c r="OV86" i="48"/>
  <c r="OW86" i="48"/>
  <c r="OX86" i="48"/>
  <c r="OY86" i="48"/>
  <c r="OZ86" i="48"/>
  <c r="PA86" i="48"/>
  <c r="PB86" i="48"/>
  <c r="PC86" i="48"/>
  <c r="PD86" i="48"/>
  <c r="PE86" i="48"/>
  <c r="PF86" i="48"/>
  <c r="PG86" i="48"/>
  <c r="PH86" i="48"/>
  <c r="PI86" i="48"/>
  <c r="PJ86" i="48"/>
  <c r="PK86" i="48"/>
  <c r="PL86" i="48"/>
  <c r="PM86" i="48"/>
  <c r="PN86" i="48"/>
  <c r="DX87" i="48"/>
  <c r="DY87" i="48"/>
  <c r="DZ87" i="48"/>
  <c r="EA87" i="48"/>
  <c r="EB87" i="48"/>
  <c r="EC87" i="48"/>
  <c r="ED87" i="48"/>
  <c r="EE87" i="48"/>
  <c r="EF87" i="48"/>
  <c r="EG87" i="48"/>
  <c r="EH87" i="48"/>
  <c r="EI87" i="48"/>
  <c r="EJ87" i="48"/>
  <c r="EK87" i="48"/>
  <c r="EL87" i="48"/>
  <c r="EM87" i="48"/>
  <c r="EN87" i="48"/>
  <c r="EO87" i="48"/>
  <c r="EP87" i="48"/>
  <c r="EQ87" i="48"/>
  <c r="ER87" i="48"/>
  <c r="ES87" i="48"/>
  <c r="ET87" i="48"/>
  <c r="EU87" i="48"/>
  <c r="EV87" i="48"/>
  <c r="EW87" i="48"/>
  <c r="EX87" i="48"/>
  <c r="EY87" i="48"/>
  <c r="EZ87" i="48"/>
  <c r="FA87" i="48"/>
  <c r="FB87" i="48"/>
  <c r="FC87" i="48"/>
  <c r="FD87" i="48"/>
  <c r="FE87" i="48"/>
  <c r="FF87" i="48"/>
  <c r="FG87" i="48"/>
  <c r="FH87" i="48"/>
  <c r="FI87" i="48"/>
  <c r="FJ87" i="48"/>
  <c r="FK87" i="48"/>
  <c r="FL87" i="48"/>
  <c r="FM87" i="48"/>
  <c r="FN87" i="48"/>
  <c r="FO87" i="48"/>
  <c r="FP87" i="48"/>
  <c r="FQ87" i="48"/>
  <c r="FR87" i="48"/>
  <c r="FS87" i="48"/>
  <c r="FT87" i="48"/>
  <c r="FU87" i="48"/>
  <c r="FV87" i="48"/>
  <c r="FW87" i="48"/>
  <c r="FX87" i="48"/>
  <c r="FY87" i="48"/>
  <c r="FZ87" i="48"/>
  <c r="GA87" i="48"/>
  <c r="GB87" i="48"/>
  <c r="GC87" i="48"/>
  <c r="GD87" i="48"/>
  <c r="GE87" i="48"/>
  <c r="GF87" i="48"/>
  <c r="GG87" i="48"/>
  <c r="GH87" i="48"/>
  <c r="GI87" i="48"/>
  <c r="GJ87" i="48"/>
  <c r="GK87" i="48"/>
  <c r="GL87" i="48"/>
  <c r="GM87" i="48"/>
  <c r="GN87" i="48"/>
  <c r="GO87" i="48"/>
  <c r="GP87" i="48"/>
  <c r="GQ87" i="48"/>
  <c r="GR87" i="48"/>
  <c r="GS87" i="48"/>
  <c r="GT87" i="48"/>
  <c r="GU87" i="48"/>
  <c r="GV87" i="48"/>
  <c r="GW87" i="48"/>
  <c r="GX87" i="48"/>
  <c r="GY87" i="48"/>
  <c r="GZ87" i="48"/>
  <c r="HA87" i="48"/>
  <c r="HB87" i="48"/>
  <c r="HC87" i="48"/>
  <c r="HD87" i="48"/>
  <c r="HE87" i="48"/>
  <c r="HF87" i="48"/>
  <c r="HG87" i="48"/>
  <c r="HH87" i="48"/>
  <c r="HI87" i="48"/>
  <c r="HJ87" i="48"/>
  <c r="HK87" i="48"/>
  <c r="HL87" i="48"/>
  <c r="HM87" i="48"/>
  <c r="HN87" i="48"/>
  <c r="HO87" i="48"/>
  <c r="HP87" i="48"/>
  <c r="HQ87" i="48"/>
  <c r="HR87" i="48"/>
  <c r="HS87" i="48"/>
  <c r="HT87" i="48"/>
  <c r="HU87" i="48"/>
  <c r="HV87" i="48"/>
  <c r="HW87" i="48"/>
  <c r="HX87" i="48"/>
  <c r="HY87" i="48"/>
  <c r="HZ87" i="48"/>
  <c r="IA87" i="48"/>
  <c r="IB87" i="48"/>
  <c r="IC87" i="48"/>
  <c r="ID87" i="48"/>
  <c r="IE87" i="48"/>
  <c r="IF87" i="48"/>
  <c r="IG87" i="48"/>
  <c r="IH87" i="48"/>
  <c r="II87" i="48"/>
  <c r="IJ87" i="48"/>
  <c r="IK87" i="48"/>
  <c r="IL87" i="48"/>
  <c r="IM87" i="48"/>
  <c r="IN87" i="48"/>
  <c r="IO87" i="48"/>
  <c r="IP87" i="48"/>
  <c r="IQ87" i="48"/>
  <c r="IR87" i="48"/>
  <c r="IS87" i="48"/>
  <c r="IT87" i="48"/>
  <c r="IU87" i="48"/>
  <c r="IV87" i="48"/>
  <c r="IW87" i="48"/>
  <c r="IX87" i="48"/>
  <c r="IY87" i="48"/>
  <c r="IZ87" i="48"/>
  <c r="JA87" i="48"/>
  <c r="JB87" i="48"/>
  <c r="JC87" i="48"/>
  <c r="JD87" i="48"/>
  <c r="JE87" i="48"/>
  <c r="JF87" i="48"/>
  <c r="JG87" i="48"/>
  <c r="JH87" i="48"/>
  <c r="JI87" i="48"/>
  <c r="JJ87" i="48"/>
  <c r="JK87" i="48"/>
  <c r="JL87" i="48"/>
  <c r="JM87" i="48"/>
  <c r="JN87" i="48"/>
  <c r="JO87" i="48"/>
  <c r="JP87" i="48"/>
  <c r="JQ87" i="48"/>
  <c r="JR87" i="48"/>
  <c r="JS87" i="48"/>
  <c r="JT87" i="48"/>
  <c r="JU87" i="48"/>
  <c r="JV87" i="48"/>
  <c r="JW87" i="48"/>
  <c r="JX87" i="48"/>
  <c r="JY87" i="48"/>
  <c r="JZ87" i="48"/>
  <c r="KA87" i="48"/>
  <c r="KB87" i="48"/>
  <c r="KC87" i="48"/>
  <c r="KD87" i="48"/>
  <c r="KE87" i="48"/>
  <c r="KF87" i="48"/>
  <c r="KG87" i="48"/>
  <c r="KH87" i="48"/>
  <c r="KI87" i="48"/>
  <c r="KJ87" i="48"/>
  <c r="KK87" i="48"/>
  <c r="KL87" i="48"/>
  <c r="KM87" i="48"/>
  <c r="KN87" i="48"/>
  <c r="KO87" i="48"/>
  <c r="KP87" i="48"/>
  <c r="KQ87" i="48"/>
  <c r="KR87" i="48"/>
  <c r="KS87" i="48"/>
  <c r="KT87" i="48"/>
  <c r="KU87" i="48"/>
  <c r="KV87" i="48"/>
  <c r="KW87" i="48"/>
  <c r="KX87" i="48"/>
  <c r="KY87" i="48"/>
  <c r="KZ87" i="48"/>
  <c r="LA87" i="48"/>
  <c r="LB87" i="48"/>
  <c r="LC87" i="48"/>
  <c r="LD87" i="48"/>
  <c r="LE87" i="48"/>
  <c r="LF87" i="48"/>
  <c r="LG87" i="48"/>
  <c r="LH87" i="48"/>
  <c r="LI87" i="48"/>
  <c r="LJ87" i="48"/>
  <c r="LK87" i="48"/>
  <c r="LL87" i="48"/>
  <c r="LM87" i="48"/>
  <c r="LN87" i="48"/>
  <c r="LO87" i="48"/>
  <c r="LP87" i="48"/>
  <c r="LQ87" i="48"/>
  <c r="LR87" i="48"/>
  <c r="LS87" i="48"/>
  <c r="LT87" i="48"/>
  <c r="LU87" i="48"/>
  <c r="LV87" i="48"/>
  <c r="LW87" i="48"/>
  <c r="LX87" i="48"/>
  <c r="LY87" i="48"/>
  <c r="LZ87" i="48"/>
  <c r="MA87" i="48"/>
  <c r="MB87" i="48"/>
  <c r="MC87" i="48"/>
  <c r="MD87" i="48"/>
  <c r="ME87" i="48"/>
  <c r="MF87" i="48"/>
  <c r="MG87" i="48"/>
  <c r="MH87" i="48"/>
  <c r="MI87" i="48"/>
  <c r="MJ87" i="48"/>
  <c r="MK87" i="48"/>
  <c r="ML87" i="48"/>
  <c r="MM87" i="48"/>
  <c r="MN87" i="48"/>
  <c r="MO87" i="48"/>
  <c r="MP87" i="48"/>
  <c r="MQ87" i="48"/>
  <c r="MR87" i="48"/>
  <c r="MS87" i="48"/>
  <c r="MT87" i="48"/>
  <c r="MU87" i="48"/>
  <c r="MV87" i="48"/>
  <c r="MW87" i="48"/>
  <c r="MX87" i="48"/>
  <c r="MY87" i="48"/>
  <c r="MZ87" i="48"/>
  <c r="NA87" i="48"/>
  <c r="NB87" i="48"/>
  <c r="NC87" i="48"/>
  <c r="ND87" i="48"/>
  <c r="NE87" i="48"/>
  <c r="NF87" i="48"/>
  <c r="NG87" i="48"/>
  <c r="NH87" i="48"/>
  <c r="NI87" i="48"/>
  <c r="NJ87" i="48"/>
  <c r="NK87" i="48"/>
  <c r="NL87" i="48"/>
  <c r="NM87" i="48"/>
  <c r="NN87" i="48"/>
  <c r="NO87" i="48"/>
  <c r="NP87" i="48"/>
  <c r="NQ87" i="48"/>
  <c r="NR87" i="48"/>
  <c r="NS87" i="48"/>
  <c r="NT87" i="48"/>
  <c r="NU87" i="48"/>
  <c r="NV87" i="48"/>
  <c r="NW87" i="48"/>
  <c r="NX87" i="48"/>
  <c r="NY87" i="48"/>
  <c r="NZ87" i="48"/>
  <c r="OA87" i="48"/>
  <c r="OB87" i="48"/>
  <c r="OC87" i="48"/>
  <c r="OD87" i="48"/>
  <c r="OE87" i="48"/>
  <c r="OF87" i="48"/>
  <c r="OG87" i="48"/>
  <c r="OH87" i="48"/>
  <c r="OI87" i="48"/>
  <c r="OJ87" i="48"/>
  <c r="OK87" i="48"/>
  <c r="OL87" i="48"/>
  <c r="OM87" i="48"/>
  <c r="ON87" i="48"/>
  <c r="OO87" i="48"/>
  <c r="OP87" i="48"/>
  <c r="OQ87" i="48"/>
  <c r="OR87" i="48"/>
  <c r="OS87" i="48"/>
  <c r="OT87" i="48"/>
  <c r="OU87" i="48"/>
  <c r="OV87" i="48"/>
  <c r="OW87" i="48"/>
  <c r="OX87" i="48"/>
  <c r="OY87" i="48"/>
  <c r="OZ87" i="48"/>
  <c r="PA87" i="48"/>
  <c r="PB87" i="48"/>
  <c r="PC87" i="48"/>
  <c r="PD87" i="48"/>
  <c r="PE87" i="48"/>
  <c r="PF87" i="48"/>
  <c r="PG87" i="48"/>
  <c r="PH87" i="48"/>
  <c r="PI87" i="48"/>
  <c r="PJ87" i="48"/>
  <c r="PK87" i="48"/>
  <c r="PL87" i="48"/>
  <c r="PM87" i="48"/>
  <c r="PN87" i="48"/>
  <c r="DX88" i="48"/>
  <c r="DY88" i="48"/>
  <c r="DZ88" i="48"/>
  <c r="EA88" i="48"/>
  <c r="EB88" i="48"/>
  <c r="EC88" i="48"/>
  <c r="ED88" i="48"/>
  <c r="EE88" i="48"/>
  <c r="EF88" i="48"/>
  <c r="EG88" i="48"/>
  <c r="EH88" i="48"/>
  <c r="EI88" i="48"/>
  <c r="EJ88" i="48"/>
  <c r="EK88" i="48"/>
  <c r="EL88" i="48"/>
  <c r="EM88" i="48"/>
  <c r="EN88" i="48"/>
  <c r="EO88" i="48"/>
  <c r="EP88" i="48"/>
  <c r="EQ88" i="48"/>
  <c r="ER88" i="48"/>
  <c r="ES88" i="48"/>
  <c r="ET88" i="48"/>
  <c r="EU88" i="48"/>
  <c r="EV88" i="48"/>
  <c r="EW88" i="48"/>
  <c r="EX88" i="48"/>
  <c r="EY88" i="48"/>
  <c r="EZ88" i="48"/>
  <c r="FA88" i="48"/>
  <c r="FB88" i="48"/>
  <c r="FC88" i="48"/>
  <c r="FD88" i="48"/>
  <c r="FE88" i="48"/>
  <c r="FF88" i="48"/>
  <c r="FG88" i="48"/>
  <c r="FH88" i="48"/>
  <c r="FI88" i="48"/>
  <c r="FJ88" i="48"/>
  <c r="FK88" i="48"/>
  <c r="FL88" i="48"/>
  <c r="FM88" i="48"/>
  <c r="FN88" i="48"/>
  <c r="FO88" i="48"/>
  <c r="FP88" i="48"/>
  <c r="FQ88" i="48"/>
  <c r="FR88" i="48"/>
  <c r="FS88" i="48"/>
  <c r="FT88" i="48"/>
  <c r="FU88" i="48"/>
  <c r="FV88" i="48"/>
  <c r="FW88" i="48"/>
  <c r="FX88" i="48"/>
  <c r="FY88" i="48"/>
  <c r="FZ88" i="48"/>
  <c r="GA88" i="48"/>
  <c r="GB88" i="48"/>
  <c r="GC88" i="48"/>
  <c r="GD88" i="48"/>
  <c r="GE88" i="48"/>
  <c r="GF88" i="48"/>
  <c r="GG88" i="48"/>
  <c r="GH88" i="48"/>
  <c r="GI88" i="48"/>
  <c r="GJ88" i="48"/>
  <c r="GK88" i="48"/>
  <c r="GL88" i="48"/>
  <c r="GM88" i="48"/>
  <c r="GN88" i="48"/>
  <c r="GO88" i="48"/>
  <c r="GP88" i="48"/>
  <c r="GQ88" i="48"/>
  <c r="GR88" i="48"/>
  <c r="GS88" i="48"/>
  <c r="GT88" i="48"/>
  <c r="GU88" i="48"/>
  <c r="GV88" i="48"/>
  <c r="GW88" i="48"/>
  <c r="GX88" i="48"/>
  <c r="GY88" i="48"/>
  <c r="GZ88" i="48"/>
  <c r="HA88" i="48"/>
  <c r="HB88" i="48"/>
  <c r="HC88" i="48"/>
  <c r="HD88" i="48"/>
  <c r="HE88" i="48"/>
  <c r="HF88" i="48"/>
  <c r="HG88" i="48"/>
  <c r="HH88" i="48"/>
  <c r="HI88" i="48"/>
  <c r="HJ88" i="48"/>
  <c r="HK88" i="48"/>
  <c r="HL88" i="48"/>
  <c r="HM88" i="48"/>
  <c r="HN88" i="48"/>
  <c r="HO88" i="48"/>
  <c r="HP88" i="48"/>
  <c r="HQ88" i="48"/>
  <c r="HR88" i="48"/>
  <c r="HS88" i="48"/>
  <c r="HT88" i="48"/>
  <c r="HU88" i="48"/>
  <c r="HV88" i="48"/>
  <c r="HW88" i="48"/>
  <c r="HX88" i="48"/>
  <c r="HY88" i="48"/>
  <c r="HZ88" i="48"/>
  <c r="IA88" i="48"/>
  <c r="IB88" i="48"/>
  <c r="IC88" i="48"/>
  <c r="ID88" i="48"/>
  <c r="IE88" i="48"/>
  <c r="IF88" i="48"/>
  <c r="IG88" i="48"/>
  <c r="IH88" i="48"/>
  <c r="II88" i="48"/>
  <c r="IJ88" i="48"/>
  <c r="IK88" i="48"/>
  <c r="IL88" i="48"/>
  <c r="IM88" i="48"/>
  <c r="IN88" i="48"/>
  <c r="IO88" i="48"/>
  <c r="IP88" i="48"/>
  <c r="IQ88" i="48"/>
  <c r="IR88" i="48"/>
  <c r="IS88" i="48"/>
  <c r="IT88" i="48"/>
  <c r="IU88" i="48"/>
  <c r="IV88" i="48"/>
  <c r="IW88" i="48"/>
  <c r="IX88" i="48"/>
  <c r="IY88" i="48"/>
  <c r="IZ88" i="48"/>
  <c r="JA88" i="48"/>
  <c r="JB88" i="48"/>
  <c r="JC88" i="48"/>
  <c r="JD88" i="48"/>
  <c r="JE88" i="48"/>
  <c r="JF88" i="48"/>
  <c r="JG88" i="48"/>
  <c r="JH88" i="48"/>
  <c r="JI88" i="48"/>
  <c r="JJ88" i="48"/>
  <c r="JK88" i="48"/>
  <c r="JL88" i="48"/>
  <c r="JM88" i="48"/>
  <c r="JN88" i="48"/>
  <c r="JO88" i="48"/>
  <c r="JP88" i="48"/>
  <c r="JQ88" i="48"/>
  <c r="JR88" i="48"/>
  <c r="JS88" i="48"/>
  <c r="JT88" i="48"/>
  <c r="JU88" i="48"/>
  <c r="JV88" i="48"/>
  <c r="JW88" i="48"/>
  <c r="JX88" i="48"/>
  <c r="JY88" i="48"/>
  <c r="JZ88" i="48"/>
  <c r="KA88" i="48"/>
  <c r="KB88" i="48"/>
  <c r="KC88" i="48"/>
  <c r="KD88" i="48"/>
  <c r="KE88" i="48"/>
  <c r="KF88" i="48"/>
  <c r="KG88" i="48"/>
  <c r="KH88" i="48"/>
  <c r="KI88" i="48"/>
  <c r="KJ88" i="48"/>
  <c r="KK88" i="48"/>
  <c r="KL88" i="48"/>
  <c r="KM88" i="48"/>
  <c r="KN88" i="48"/>
  <c r="KO88" i="48"/>
  <c r="KP88" i="48"/>
  <c r="KQ88" i="48"/>
  <c r="KR88" i="48"/>
  <c r="KS88" i="48"/>
  <c r="KT88" i="48"/>
  <c r="KU88" i="48"/>
  <c r="KV88" i="48"/>
  <c r="KW88" i="48"/>
  <c r="KX88" i="48"/>
  <c r="KY88" i="48"/>
  <c r="KZ88" i="48"/>
  <c r="LA88" i="48"/>
  <c r="LB88" i="48"/>
  <c r="LC88" i="48"/>
  <c r="LD88" i="48"/>
  <c r="LE88" i="48"/>
  <c r="LF88" i="48"/>
  <c r="LG88" i="48"/>
  <c r="LH88" i="48"/>
  <c r="LI88" i="48"/>
  <c r="LJ88" i="48"/>
  <c r="LK88" i="48"/>
  <c r="LL88" i="48"/>
  <c r="LM88" i="48"/>
  <c r="LN88" i="48"/>
  <c r="LO88" i="48"/>
  <c r="LP88" i="48"/>
  <c r="LQ88" i="48"/>
  <c r="LR88" i="48"/>
  <c r="LS88" i="48"/>
  <c r="LT88" i="48"/>
  <c r="LU88" i="48"/>
  <c r="LV88" i="48"/>
  <c r="LW88" i="48"/>
  <c r="LX88" i="48"/>
  <c r="LY88" i="48"/>
  <c r="LZ88" i="48"/>
  <c r="MA88" i="48"/>
  <c r="MB88" i="48"/>
  <c r="MC88" i="48"/>
  <c r="MD88" i="48"/>
  <c r="ME88" i="48"/>
  <c r="MF88" i="48"/>
  <c r="MG88" i="48"/>
  <c r="MH88" i="48"/>
  <c r="MI88" i="48"/>
  <c r="MJ88" i="48"/>
  <c r="MK88" i="48"/>
  <c r="ML88" i="48"/>
  <c r="MM88" i="48"/>
  <c r="MN88" i="48"/>
  <c r="MO88" i="48"/>
  <c r="MP88" i="48"/>
  <c r="MQ88" i="48"/>
  <c r="MR88" i="48"/>
  <c r="MS88" i="48"/>
  <c r="MT88" i="48"/>
  <c r="MU88" i="48"/>
  <c r="MV88" i="48"/>
  <c r="MW88" i="48"/>
  <c r="MX88" i="48"/>
  <c r="MY88" i="48"/>
  <c r="MZ88" i="48"/>
  <c r="NA88" i="48"/>
  <c r="NB88" i="48"/>
  <c r="NC88" i="48"/>
  <c r="ND88" i="48"/>
  <c r="NE88" i="48"/>
  <c r="NF88" i="48"/>
  <c r="NG88" i="48"/>
  <c r="NH88" i="48"/>
  <c r="NI88" i="48"/>
  <c r="NJ88" i="48"/>
  <c r="NK88" i="48"/>
  <c r="NL88" i="48"/>
  <c r="NM88" i="48"/>
  <c r="NN88" i="48"/>
  <c r="NO88" i="48"/>
  <c r="NP88" i="48"/>
  <c r="NQ88" i="48"/>
  <c r="NR88" i="48"/>
  <c r="NS88" i="48"/>
  <c r="NT88" i="48"/>
  <c r="NU88" i="48"/>
  <c r="NV88" i="48"/>
  <c r="NW88" i="48"/>
  <c r="NX88" i="48"/>
  <c r="NY88" i="48"/>
  <c r="NZ88" i="48"/>
  <c r="OA88" i="48"/>
  <c r="OB88" i="48"/>
  <c r="OC88" i="48"/>
  <c r="OD88" i="48"/>
  <c r="OE88" i="48"/>
  <c r="OF88" i="48"/>
  <c r="OG88" i="48"/>
  <c r="OH88" i="48"/>
  <c r="OI88" i="48"/>
  <c r="OJ88" i="48"/>
  <c r="OK88" i="48"/>
  <c r="OL88" i="48"/>
  <c r="OM88" i="48"/>
  <c r="ON88" i="48"/>
  <c r="OO88" i="48"/>
  <c r="OP88" i="48"/>
  <c r="OQ88" i="48"/>
  <c r="OR88" i="48"/>
  <c r="OS88" i="48"/>
  <c r="OT88" i="48"/>
  <c r="OU88" i="48"/>
  <c r="OV88" i="48"/>
  <c r="OW88" i="48"/>
  <c r="OX88" i="48"/>
  <c r="OY88" i="48"/>
  <c r="OZ88" i="48"/>
  <c r="PA88" i="48"/>
  <c r="PB88" i="48"/>
  <c r="PC88" i="48"/>
  <c r="PD88" i="48"/>
  <c r="PE88" i="48"/>
  <c r="PF88" i="48"/>
  <c r="PG88" i="48"/>
  <c r="PH88" i="48"/>
  <c r="PI88" i="48"/>
  <c r="PJ88" i="48"/>
  <c r="PK88" i="48"/>
  <c r="PL88" i="48"/>
  <c r="PM88" i="48"/>
  <c r="PN88" i="48"/>
  <c r="D2" i="48"/>
  <c r="E2" i="48" s="1"/>
  <c r="F2" i="48" s="1"/>
  <c r="G2" i="48" s="1"/>
  <c r="H2" i="48" s="1"/>
  <c r="I2" i="48" s="1"/>
  <c r="J2" i="48" s="1"/>
  <c r="K2" i="48" s="1"/>
  <c r="L2" i="48" s="1"/>
  <c r="M2" i="48" s="1"/>
  <c r="N2" i="48" s="1"/>
  <c r="O2" i="48" s="1"/>
  <c r="P2" i="48" s="1"/>
  <c r="Q2" i="48" s="1"/>
  <c r="R2" i="48" s="1"/>
  <c r="S2" i="48" s="1"/>
  <c r="T2" i="48" s="1"/>
  <c r="U2" i="48" s="1"/>
  <c r="V2" i="48" s="1"/>
  <c r="W2" i="48" s="1"/>
  <c r="X2" i="48" s="1"/>
  <c r="Y2" i="48" s="1"/>
  <c r="Z2" i="48" s="1"/>
  <c r="AA2" i="48" s="1"/>
  <c r="AB2" i="48" s="1"/>
  <c r="AC2" i="48" s="1"/>
  <c r="AD2" i="48" s="1"/>
  <c r="AE2" i="48" s="1"/>
  <c r="AF2" i="48" s="1"/>
  <c r="AG2" i="48" s="1"/>
  <c r="AH2" i="48" s="1"/>
  <c r="AI2" i="48" s="1"/>
  <c r="AJ2" i="48" s="1"/>
  <c r="AK2" i="48" s="1"/>
  <c r="AL2" i="48" s="1"/>
  <c r="AM2" i="48" s="1"/>
  <c r="AN2" i="48" s="1"/>
  <c r="AO2" i="48" s="1"/>
  <c r="AP2" i="48" s="1"/>
  <c r="AQ2" i="48" s="1"/>
  <c r="AR2" i="48" s="1"/>
  <c r="AS2" i="48" s="1"/>
  <c r="AT2" i="48" s="1"/>
  <c r="AU2" i="48" s="1"/>
  <c r="AV2" i="48" s="1"/>
  <c r="AW2" i="48" s="1"/>
  <c r="AX2" i="48" s="1"/>
  <c r="AY2" i="48" s="1"/>
  <c r="AZ2" i="48" s="1"/>
  <c r="BA2" i="48" s="1"/>
  <c r="BB2" i="48" s="1"/>
  <c r="BC2" i="48" s="1"/>
  <c r="BD2" i="48" s="1"/>
  <c r="BE2" i="48" s="1"/>
  <c r="BF2" i="48" s="1"/>
  <c r="BG2" i="48" s="1"/>
  <c r="BH2" i="48" s="1"/>
  <c r="BI2" i="48" s="1"/>
  <c r="BJ2" i="48" s="1"/>
  <c r="BK2" i="48" s="1"/>
  <c r="BL2" i="48" s="1"/>
  <c r="BM2" i="48" s="1"/>
  <c r="BN2" i="48" s="1"/>
  <c r="BO2" i="48" s="1"/>
  <c r="BP2" i="48" s="1"/>
  <c r="BQ2" i="48" s="1"/>
  <c r="BR2" i="48" s="1"/>
  <c r="BS2" i="48" s="1"/>
  <c r="BT2" i="48" s="1"/>
  <c r="BU2" i="48" s="1"/>
  <c r="BV2" i="48" s="1"/>
  <c r="BW2" i="48" s="1"/>
  <c r="BX2" i="48" s="1"/>
  <c r="BY2" i="48" s="1"/>
  <c r="BZ2" i="48" s="1"/>
  <c r="CA2" i="48" s="1"/>
  <c r="CB2" i="48" s="1"/>
  <c r="CC2" i="48" s="1"/>
  <c r="CD2" i="48" s="1"/>
  <c r="CE2" i="48" s="1"/>
  <c r="CF2" i="48" s="1"/>
  <c r="CG2" i="48" s="1"/>
  <c r="CH2" i="48" s="1"/>
  <c r="CI2" i="48" s="1"/>
  <c r="CJ2" i="48" s="1"/>
  <c r="CK2" i="48" s="1"/>
  <c r="CL2" i="48" s="1"/>
  <c r="CM2" i="48" s="1"/>
  <c r="CN2" i="48" s="1"/>
  <c r="CO2" i="48" s="1"/>
  <c r="CP2" i="48" s="1"/>
  <c r="CQ2" i="48" s="1"/>
  <c r="CR2" i="48" s="1"/>
  <c r="CS2" i="48" s="1"/>
  <c r="CT2" i="48" s="1"/>
  <c r="CU2" i="48" s="1"/>
  <c r="CV2" i="48" s="1"/>
  <c r="CW2" i="48" s="1"/>
  <c r="CX2" i="48" s="1"/>
  <c r="CY2" i="48" s="1"/>
  <c r="CZ2" i="48" s="1"/>
  <c r="DA2" i="48" s="1"/>
  <c r="DB2" i="48" s="1"/>
  <c r="DC2" i="48" s="1"/>
  <c r="DD2" i="48" s="1"/>
  <c r="DE2" i="48" s="1"/>
  <c r="DF2" i="48" s="1"/>
  <c r="DG2" i="48" s="1"/>
  <c r="DH2" i="48" s="1"/>
  <c r="DI2" i="48" s="1"/>
  <c r="DJ2" i="48" s="1"/>
  <c r="DK2" i="48" s="1"/>
  <c r="DL2" i="48" s="1"/>
  <c r="DM2" i="48" s="1"/>
  <c r="DN2" i="48" s="1"/>
  <c r="DO2" i="48" s="1"/>
  <c r="DP2" i="48" s="1"/>
  <c r="DQ2" i="48" s="1"/>
  <c r="DR2" i="48" s="1"/>
  <c r="DS2" i="48" s="1"/>
  <c r="DT2" i="48" s="1"/>
  <c r="DU2" i="48" s="1"/>
  <c r="DV2" i="48" s="1"/>
  <c r="DW2" i="48" s="1"/>
  <c r="DX2" i="48" s="1"/>
  <c r="DY2" i="48" s="1"/>
  <c r="DZ2" i="48" s="1"/>
  <c r="EA2" i="48" s="1"/>
  <c r="EB2" i="48" s="1"/>
  <c r="EC2" i="48" s="1"/>
  <c r="ED2" i="48" s="1"/>
  <c r="EE2" i="48" s="1"/>
  <c r="EF2" i="48" s="1"/>
  <c r="EG2" i="48" s="1"/>
  <c r="EH2" i="48" s="1"/>
  <c r="EI2" i="48" s="1"/>
  <c r="EJ2" i="48" s="1"/>
  <c r="EK2" i="48" s="1"/>
  <c r="EL2" i="48" s="1"/>
  <c r="EM2" i="48" s="1"/>
  <c r="EN2" i="48" s="1"/>
  <c r="EO2" i="48" s="1"/>
  <c r="EP2" i="48" s="1"/>
  <c r="EQ2" i="48" s="1"/>
  <c r="ER2" i="48" s="1"/>
  <c r="ES2" i="48" s="1"/>
  <c r="ET2" i="48" s="1"/>
  <c r="EU2" i="48" s="1"/>
  <c r="EV2" i="48" s="1"/>
  <c r="EW2" i="48" s="1"/>
  <c r="EX2" i="48" s="1"/>
  <c r="EY2" i="48" s="1"/>
  <c r="EZ2" i="48" s="1"/>
  <c r="FA2" i="48" s="1"/>
  <c r="FB2" i="48" s="1"/>
  <c r="FC2" i="48" s="1"/>
  <c r="FD2" i="48" s="1"/>
  <c r="FE2" i="48" s="1"/>
  <c r="FF2" i="48" s="1"/>
  <c r="FG2" i="48" s="1"/>
  <c r="FH2" i="48" s="1"/>
  <c r="FI2" i="48" s="1"/>
  <c r="FJ2" i="48" s="1"/>
  <c r="FK2" i="48" s="1"/>
  <c r="FL2" i="48" s="1"/>
  <c r="FM2" i="48" s="1"/>
  <c r="FN2" i="48" s="1"/>
  <c r="FO2" i="48" s="1"/>
  <c r="FP2" i="48" s="1"/>
  <c r="FQ2" i="48" s="1"/>
  <c r="FR2" i="48" s="1"/>
  <c r="FS2" i="48" s="1"/>
  <c r="FT2" i="48" s="1"/>
  <c r="FU2" i="48" s="1"/>
  <c r="FV2" i="48" s="1"/>
  <c r="FW2" i="48" s="1"/>
  <c r="FX2" i="48" s="1"/>
  <c r="FY2" i="48" s="1"/>
  <c r="FZ2" i="48" s="1"/>
  <c r="GA2" i="48" s="1"/>
  <c r="GB2" i="48" s="1"/>
  <c r="GC2" i="48" s="1"/>
  <c r="GD2" i="48" s="1"/>
  <c r="GE2" i="48" s="1"/>
  <c r="GF2" i="48" s="1"/>
  <c r="GG2" i="48" s="1"/>
  <c r="GH2" i="48" s="1"/>
  <c r="GI2" i="48" s="1"/>
  <c r="GJ2" i="48" s="1"/>
  <c r="GK2" i="48" s="1"/>
  <c r="GL2" i="48" s="1"/>
  <c r="GM2" i="48" s="1"/>
  <c r="GN2" i="48" s="1"/>
  <c r="GO2" i="48" s="1"/>
  <c r="GP2" i="48" s="1"/>
  <c r="GQ2" i="48" s="1"/>
  <c r="GR2" i="48" s="1"/>
  <c r="GS2" i="48" s="1"/>
  <c r="GT2" i="48" s="1"/>
  <c r="GU2" i="48" s="1"/>
  <c r="GV2" i="48" s="1"/>
  <c r="GW2" i="48" s="1"/>
  <c r="GX2" i="48" s="1"/>
  <c r="GY2" i="48" s="1"/>
  <c r="GZ2" i="48" s="1"/>
  <c r="HA2" i="48" s="1"/>
  <c r="HB2" i="48" s="1"/>
  <c r="HC2" i="48" s="1"/>
  <c r="HD2" i="48" s="1"/>
  <c r="HE2" i="48" s="1"/>
  <c r="HF2" i="48" s="1"/>
  <c r="HG2" i="48" s="1"/>
  <c r="HH2" i="48" s="1"/>
  <c r="HI2" i="48" s="1"/>
  <c r="HJ2" i="48" s="1"/>
  <c r="HK2" i="48" s="1"/>
  <c r="HL2" i="48" s="1"/>
  <c r="HM2" i="48" s="1"/>
  <c r="HN2" i="48" s="1"/>
  <c r="HO2" i="48" s="1"/>
  <c r="HP2" i="48" s="1"/>
  <c r="HQ2" i="48" s="1"/>
  <c r="HR2" i="48" s="1"/>
  <c r="HS2" i="48" s="1"/>
  <c r="HT2" i="48" s="1"/>
  <c r="HU2" i="48" s="1"/>
  <c r="HV2" i="48" s="1"/>
  <c r="HW2" i="48" s="1"/>
  <c r="HX2" i="48" s="1"/>
  <c r="HY2" i="48" s="1"/>
  <c r="HZ2" i="48" s="1"/>
  <c r="IA2" i="48" s="1"/>
  <c r="IB2" i="48" s="1"/>
  <c r="IC2" i="48" s="1"/>
  <c r="ID2" i="48" s="1"/>
  <c r="IE2" i="48" s="1"/>
  <c r="IF2" i="48" s="1"/>
  <c r="IG2" i="48" s="1"/>
  <c r="IH2" i="48" s="1"/>
  <c r="II2" i="48" s="1"/>
  <c r="IJ2" i="48" s="1"/>
  <c r="IK2" i="48" s="1"/>
  <c r="IL2" i="48" s="1"/>
  <c r="IM2" i="48" s="1"/>
  <c r="IN2" i="48" s="1"/>
  <c r="IO2" i="48" s="1"/>
  <c r="IP2" i="48" s="1"/>
  <c r="IQ2" i="48" s="1"/>
  <c r="IR2" i="48" s="1"/>
  <c r="IS2" i="48" s="1"/>
  <c r="IT2" i="48" s="1"/>
  <c r="IU2" i="48" s="1"/>
  <c r="IV2" i="48" s="1"/>
  <c r="IW2" i="48" s="1"/>
  <c r="IX2" i="48" s="1"/>
  <c r="IY2" i="48" s="1"/>
  <c r="IZ2" i="48" s="1"/>
  <c r="JA2" i="48" s="1"/>
  <c r="JB2" i="48" s="1"/>
  <c r="JC2" i="48" s="1"/>
  <c r="JD2" i="48" s="1"/>
  <c r="JE2" i="48" s="1"/>
  <c r="JF2" i="48" s="1"/>
  <c r="JG2" i="48" s="1"/>
  <c r="JH2" i="48" s="1"/>
  <c r="JI2" i="48" s="1"/>
  <c r="JJ2" i="48" s="1"/>
  <c r="JK2" i="48" s="1"/>
  <c r="JL2" i="48" s="1"/>
  <c r="JM2" i="48" s="1"/>
  <c r="JN2" i="48" s="1"/>
  <c r="JO2" i="48" s="1"/>
  <c r="JP2" i="48" s="1"/>
  <c r="JQ2" i="48" s="1"/>
  <c r="JR2" i="48" s="1"/>
  <c r="JS2" i="48" s="1"/>
  <c r="JT2" i="48" s="1"/>
  <c r="JU2" i="48" s="1"/>
  <c r="JV2" i="48" s="1"/>
  <c r="JW2" i="48" s="1"/>
  <c r="JX2" i="48" s="1"/>
  <c r="JY2" i="48" s="1"/>
  <c r="JZ2" i="48" s="1"/>
  <c r="KA2" i="48" s="1"/>
  <c r="KB2" i="48" s="1"/>
  <c r="KC2" i="48" s="1"/>
  <c r="KD2" i="48" s="1"/>
  <c r="KE2" i="48" s="1"/>
  <c r="KF2" i="48" s="1"/>
  <c r="KG2" i="48" s="1"/>
  <c r="KH2" i="48" s="1"/>
  <c r="KI2" i="48" s="1"/>
  <c r="KJ2" i="48" s="1"/>
  <c r="KK2" i="48" s="1"/>
  <c r="KL2" i="48" s="1"/>
  <c r="KM2" i="48" s="1"/>
  <c r="KN2" i="48" s="1"/>
  <c r="KO2" i="48" s="1"/>
  <c r="KP2" i="48" s="1"/>
  <c r="KQ2" i="48" s="1"/>
  <c r="KR2" i="48" s="1"/>
  <c r="KS2" i="48" s="1"/>
  <c r="KT2" i="48" s="1"/>
  <c r="KU2" i="48" s="1"/>
  <c r="KV2" i="48" s="1"/>
  <c r="KW2" i="48" s="1"/>
  <c r="KX2" i="48" s="1"/>
  <c r="KY2" i="48" s="1"/>
  <c r="KZ2" i="48" s="1"/>
  <c r="LA2" i="48" s="1"/>
  <c r="LB2" i="48" s="1"/>
  <c r="LC2" i="48" s="1"/>
  <c r="LD2" i="48" s="1"/>
  <c r="LE2" i="48" s="1"/>
  <c r="LF2" i="48" s="1"/>
  <c r="LG2" i="48" s="1"/>
  <c r="LH2" i="48" s="1"/>
  <c r="LI2" i="48" s="1"/>
  <c r="LJ2" i="48" s="1"/>
  <c r="LK2" i="48" s="1"/>
  <c r="LL2" i="48" s="1"/>
  <c r="LM2" i="48" s="1"/>
  <c r="LN2" i="48" s="1"/>
  <c r="LO2" i="48" s="1"/>
  <c r="LP2" i="48" s="1"/>
  <c r="LQ2" i="48" s="1"/>
  <c r="LR2" i="48" s="1"/>
  <c r="LS2" i="48" s="1"/>
  <c r="LT2" i="48" s="1"/>
  <c r="LU2" i="48" s="1"/>
  <c r="LV2" i="48" s="1"/>
  <c r="LW2" i="48" s="1"/>
  <c r="LX2" i="48" s="1"/>
  <c r="LY2" i="48" s="1"/>
  <c r="LZ2" i="48" s="1"/>
  <c r="MA2" i="48" s="1"/>
  <c r="MB2" i="48" s="1"/>
  <c r="MC2" i="48" s="1"/>
  <c r="MD2" i="48" s="1"/>
  <c r="ME2" i="48" s="1"/>
  <c r="MF2" i="48" s="1"/>
  <c r="MG2" i="48" s="1"/>
  <c r="MH2" i="48" s="1"/>
  <c r="MI2" i="48" s="1"/>
  <c r="MJ2" i="48" s="1"/>
  <c r="MK2" i="48" s="1"/>
  <c r="ML2" i="48" s="1"/>
  <c r="MM2" i="48" s="1"/>
  <c r="MN2" i="48" s="1"/>
  <c r="MO2" i="48" s="1"/>
  <c r="MP2" i="48" s="1"/>
  <c r="MQ2" i="48" s="1"/>
  <c r="MR2" i="48" s="1"/>
  <c r="MS2" i="48" s="1"/>
  <c r="MT2" i="48" s="1"/>
  <c r="MU2" i="48" s="1"/>
  <c r="MV2" i="48" s="1"/>
  <c r="MW2" i="48" s="1"/>
  <c r="MX2" i="48" s="1"/>
  <c r="MY2" i="48" s="1"/>
  <c r="MZ2" i="48" s="1"/>
  <c r="NA2" i="48" s="1"/>
  <c r="NB2" i="48" s="1"/>
  <c r="NC2" i="48" s="1"/>
  <c r="ND2" i="48" s="1"/>
  <c r="NE2" i="48" s="1"/>
  <c r="NF2" i="48" s="1"/>
  <c r="NG2" i="48" s="1"/>
  <c r="NH2" i="48" s="1"/>
  <c r="NI2" i="48" s="1"/>
  <c r="NJ2" i="48" s="1"/>
  <c r="NK2" i="48" s="1"/>
  <c r="NL2" i="48" s="1"/>
  <c r="NM2" i="48" s="1"/>
  <c r="NN2" i="48" s="1"/>
  <c r="NO2" i="48" s="1"/>
  <c r="NP2" i="48" s="1"/>
  <c r="NQ2" i="48" s="1"/>
  <c r="NR2" i="48" s="1"/>
  <c r="NS2" i="48" s="1"/>
  <c r="NT2" i="48" s="1"/>
  <c r="NU2" i="48" s="1"/>
  <c r="NV2" i="48" s="1"/>
  <c r="NW2" i="48" s="1"/>
  <c r="NX2" i="48" s="1"/>
  <c r="NY2" i="48" s="1"/>
  <c r="NZ2" i="48" s="1"/>
  <c r="OA2" i="48" s="1"/>
  <c r="OB2" i="48" s="1"/>
  <c r="OC2" i="48" s="1"/>
  <c r="OD2" i="48" s="1"/>
  <c r="OE2" i="48" s="1"/>
  <c r="OF2" i="48" s="1"/>
  <c r="OG2" i="48" s="1"/>
  <c r="OH2" i="48" s="1"/>
  <c r="OI2" i="48" s="1"/>
  <c r="OJ2" i="48" s="1"/>
  <c r="OK2" i="48" s="1"/>
  <c r="OL2" i="48" s="1"/>
  <c r="OM2" i="48" s="1"/>
  <c r="ON2" i="48" s="1"/>
  <c r="OO2" i="48" s="1"/>
  <c r="OP2" i="48" s="1"/>
  <c r="OQ2" i="48" s="1"/>
  <c r="OR2" i="48" s="1"/>
  <c r="OS2" i="48" s="1"/>
  <c r="OT2" i="48" s="1"/>
  <c r="OU2" i="48" s="1"/>
  <c r="OV2" i="48" s="1"/>
  <c r="OW2" i="48" s="1"/>
  <c r="OX2" i="48" s="1"/>
  <c r="OY2" i="48" s="1"/>
  <c r="OZ2" i="48" s="1"/>
  <c r="PA2" i="48" s="1"/>
  <c r="PB2" i="48" s="1"/>
  <c r="PC2" i="48" s="1"/>
  <c r="PD2" i="48" s="1"/>
  <c r="PE2" i="48" s="1"/>
  <c r="PF2" i="48" s="1"/>
  <c r="PG2" i="48" s="1"/>
  <c r="PH2" i="48" s="1"/>
  <c r="PI2" i="48" s="1"/>
  <c r="PJ2" i="48" s="1"/>
  <c r="PK2" i="48" s="1"/>
  <c r="PL2" i="48" s="1"/>
  <c r="PM2" i="48" s="1"/>
  <c r="PN2" i="48" s="1"/>
  <c r="PO2" i="48" s="1"/>
  <c r="PP2" i="48" s="1"/>
  <c r="PQ2" i="48" s="1"/>
  <c r="PR2" i="48" s="1"/>
  <c r="PS2" i="48" s="1"/>
  <c r="PT2" i="48" s="1"/>
  <c r="PU2" i="48" s="1"/>
  <c r="PV2" i="48" s="1"/>
  <c r="PW2" i="48" s="1"/>
  <c r="PX2" i="48" s="1"/>
  <c r="PY2" i="48" s="1"/>
  <c r="PZ2" i="48" s="1"/>
  <c r="QA2" i="48" s="1"/>
  <c r="QB2" i="48" s="1"/>
  <c r="QC2" i="48" s="1"/>
  <c r="QD2" i="48" s="1"/>
  <c r="QE2" i="48" s="1"/>
  <c r="QF2" i="48" s="1"/>
  <c r="QG2" i="48" s="1"/>
  <c r="QH2" i="48" s="1"/>
  <c r="QI2" i="48" s="1"/>
  <c r="QJ2" i="48" s="1"/>
  <c r="QK2" i="48" s="1"/>
  <c r="QL2" i="48" s="1"/>
  <c r="QM2" i="48" s="1"/>
  <c r="QN2" i="48" s="1"/>
  <c r="QO2" i="48" s="1"/>
  <c r="QP2" i="48" s="1"/>
  <c r="QQ2" i="48" s="1"/>
  <c r="QR2" i="48" s="1"/>
  <c r="QS2" i="48" s="1"/>
  <c r="QT2" i="48" s="1"/>
  <c r="QU2" i="48" s="1"/>
  <c r="QV2" i="48" s="1"/>
  <c r="QW2" i="48" s="1"/>
  <c r="QX2" i="48" s="1"/>
  <c r="QY2" i="48" s="1"/>
  <c r="QZ2" i="48" s="1"/>
  <c r="RA2" i="48" s="1"/>
  <c r="RB2" i="48" s="1"/>
  <c r="RC2" i="48" s="1"/>
  <c r="RD2" i="48" s="1"/>
  <c r="RE2" i="48" s="1"/>
  <c r="RF2" i="48" s="1"/>
  <c r="RG2" i="48" s="1"/>
  <c r="RH2" i="48" s="1"/>
  <c r="RI2" i="48" s="1"/>
  <c r="RJ2" i="48" s="1"/>
  <c r="RK2" i="48" s="1"/>
  <c r="RL2" i="48" s="1"/>
  <c r="RM2" i="48" s="1"/>
  <c r="RN2" i="48" s="1"/>
  <c r="RO2" i="48" s="1"/>
  <c r="RP2" i="48" s="1"/>
  <c r="RQ2" i="48" s="1"/>
  <c r="RR2" i="48" s="1"/>
  <c r="RS2" i="48" s="1"/>
  <c r="RT2" i="48" s="1"/>
  <c r="RU2" i="48" s="1"/>
  <c r="RV2" i="48" s="1"/>
  <c r="RW2" i="48" s="1"/>
  <c r="RX2" i="48" s="1"/>
  <c r="RY2" i="48" s="1"/>
  <c r="RZ2" i="48" s="1"/>
  <c r="SA2" i="48" s="1"/>
  <c r="SB2" i="48" s="1"/>
  <c r="SC2" i="48" s="1"/>
  <c r="SD2" i="48" s="1"/>
  <c r="SE2" i="48" s="1"/>
  <c r="SF2" i="48" s="1"/>
  <c r="SG2" i="48" s="1"/>
  <c r="SH2" i="48" s="1"/>
  <c r="SI2" i="48" s="1"/>
  <c r="SJ2" i="48" s="1"/>
  <c r="SK2" i="48" s="1"/>
  <c r="SL2" i="48" s="1"/>
  <c r="SM2" i="48" s="1"/>
  <c r="SN2" i="48" s="1"/>
  <c r="SO2" i="48" s="1"/>
  <c r="SP2" i="48" s="1"/>
  <c r="SQ2" i="48" s="1"/>
  <c r="SR2" i="48" s="1"/>
  <c r="SS2" i="48" s="1"/>
  <c r="ST2" i="48" s="1"/>
  <c r="SU2" i="48" s="1"/>
  <c r="SV2" i="48" s="1"/>
  <c r="SW2" i="48" s="1"/>
  <c r="OI4" i="48"/>
  <c r="OJ4" i="48"/>
  <c r="OK4" i="48"/>
  <c r="OL4" i="48"/>
  <c r="OM4" i="48"/>
  <c r="ON4" i="48"/>
  <c r="OO4" i="48"/>
  <c r="OP4" i="48"/>
  <c r="OQ4" i="48"/>
  <c r="OR4" i="48"/>
  <c r="OS4" i="48"/>
  <c r="OT4" i="48"/>
  <c r="OU4" i="48"/>
  <c r="OV4" i="48"/>
  <c r="OW4" i="48"/>
  <c r="OX4" i="48"/>
  <c r="OY4" i="48"/>
  <c r="OZ4" i="48"/>
  <c r="PA4" i="48"/>
  <c r="PB4" i="48"/>
  <c r="PC4" i="48"/>
  <c r="PD4" i="48"/>
  <c r="PE4" i="48"/>
  <c r="PF4" i="48"/>
  <c r="PG4" i="48"/>
  <c r="PH4" i="48"/>
  <c r="PI4" i="48"/>
  <c r="PJ4" i="48"/>
  <c r="PK4" i="48"/>
  <c r="PL4" i="48"/>
  <c r="A23" i="52"/>
  <c r="A4" i="52"/>
  <c r="A5" i="52"/>
  <c r="A6" i="52"/>
  <c r="A7" i="52"/>
  <c r="A8" i="52"/>
  <c r="A9" i="52"/>
  <c r="A10" i="52"/>
  <c r="A11" i="52"/>
  <c r="A12" i="52"/>
  <c r="A13" i="52"/>
  <c r="A14" i="52"/>
  <c r="A15" i="52"/>
  <c r="A16" i="52"/>
  <c r="A17" i="52"/>
  <c r="A18" i="52"/>
  <c r="A19" i="52"/>
  <c r="A20" i="52"/>
  <c r="A21" i="52"/>
  <c r="A22" i="52"/>
  <c r="A3" i="52"/>
  <c r="C42" i="52"/>
  <c r="C40" i="52"/>
  <c r="C38" i="52"/>
  <c r="C36" i="52"/>
  <c r="C34" i="52"/>
  <c r="C32" i="52"/>
  <c r="C30" i="52"/>
  <c r="AL21" i="52"/>
  <c r="AL22" i="52" s="1"/>
  <c r="AJ23" i="52"/>
  <c r="AK22" i="52"/>
  <c r="AJ22" i="52"/>
  <c r="AJ19" i="52"/>
  <c r="AK16" i="52"/>
  <c r="AJ16" i="52"/>
  <c r="LJ36" i="48" l="1"/>
  <c r="MV5" i="48"/>
  <c r="MZ37" i="48"/>
  <c r="MS37" i="48"/>
  <c r="MN37" i="48"/>
  <c r="MM37" i="48"/>
  <c r="MG5" i="48"/>
  <c r="MG40" i="48" s="1"/>
  <c r="MA37" i="48"/>
  <c r="LZ37" i="48"/>
  <c r="LN37" i="48"/>
  <c r="MA36" i="48"/>
  <c r="LP36" i="48"/>
  <c r="LJ5" i="48"/>
  <c r="MG42" i="48"/>
  <c r="MG44" i="48"/>
  <c r="MG46" i="48"/>
  <c r="MJ15" i="44" s="1"/>
  <c r="MG41" i="48"/>
  <c r="MG43" i="48"/>
  <c r="MG45" i="48"/>
  <c r="MJ14" i="44" s="1"/>
  <c r="MG47" i="48"/>
  <c r="MJ16" i="44" s="1"/>
  <c r="MG48" i="48"/>
  <c r="MJ17" i="44" s="1"/>
  <c r="MG49" i="48"/>
  <c r="MF45" i="48"/>
  <c r="MI14" i="44" s="1"/>
  <c r="MF46" i="48"/>
  <c r="MI15" i="44" s="1"/>
  <c r="MF44" i="48"/>
  <c r="MF50" i="48"/>
  <c r="MI19" i="44" s="1"/>
  <c r="MF43" i="48"/>
  <c r="MF47" i="48"/>
  <c r="MI16" i="44" s="1"/>
  <c r="MF49" i="48"/>
  <c r="MF48" i="48"/>
  <c r="MI17" i="44" s="1"/>
  <c r="MF42" i="48"/>
  <c r="MF40" i="48"/>
  <c r="MF41" i="48"/>
  <c r="MV40" i="48"/>
  <c r="MV41" i="48"/>
  <c r="MV42" i="48"/>
  <c r="MV49" i="48"/>
  <c r="MV44" i="48"/>
  <c r="MV46" i="48"/>
  <c r="MY15" i="44" s="1"/>
  <c r="MV43" i="48"/>
  <c r="MV48" i="48"/>
  <c r="MY17" i="44" s="1"/>
  <c r="MV50" i="48"/>
  <c r="MY19" i="44" s="1"/>
  <c r="MV47" i="48"/>
  <c r="MY16" i="44" s="1"/>
  <c r="MV45" i="48"/>
  <c r="MY14" i="44" s="1"/>
  <c r="KV37" i="48"/>
  <c r="LA5" i="48"/>
  <c r="LM5" i="48"/>
  <c r="LB5" i="48"/>
  <c r="LN5" i="48"/>
  <c r="LC5" i="48"/>
  <c r="LO5" i="48"/>
  <c r="LG5" i="48"/>
  <c r="LS5" i="48"/>
  <c r="LH5" i="48"/>
  <c r="LT5" i="48"/>
  <c r="KV36" i="48"/>
  <c r="KW5" i="48"/>
  <c r="LI5" i="48"/>
  <c r="LU5" i="48"/>
  <c r="LX5" i="48"/>
  <c r="LK5" i="48"/>
  <c r="KV5" i="48"/>
  <c r="LL5" i="48"/>
  <c r="LP5" i="48"/>
  <c r="KX5" i="48"/>
  <c r="LQ5" i="48"/>
  <c r="LR5" i="48"/>
  <c r="LV5" i="48"/>
  <c r="KY5" i="48"/>
  <c r="LW5" i="48"/>
  <c r="KZ5" i="48"/>
  <c r="LD5" i="48"/>
  <c r="LE5" i="48"/>
  <c r="LF5" i="48"/>
  <c r="LM36" i="48"/>
  <c r="LM37" i="48"/>
  <c r="LA36" i="48"/>
  <c r="LA37" i="48"/>
  <c r="MT5" i="48"/>
  <c r="LU37" i="48"/>
  <c r="LU36" i="48"/>
  <c r="LI36" i="48"/>
  <c r="LI37" i="48"/>
  <c r="MG36" i="48"/>
  <c r="MG37" i="48"/>
  <c r="MP5" i="48"/>
  <c r="LC36" i="48"/>
  <c r="MK36" i="48"/>
  <c r="MK37" i="48"/>
  <c r="MW5" i="48"/>
  <c r="LT37" i="48"/>
  <c r="LT36" i="48"/>
  <c r="MN5" i="48"/>
  <c r="MH5" i="48"/>
  <c r="MW36" i="48"/>
  <c r="MW37" i="48"/>
  <c r="MQ37" i="48"/>
  <c r="MQ36" i="48"/>
  <c r="MR36" i="48"/>
  <c r="LS37" i="48"/>
  <c r="LS36" i="48"/>
  <c r="MM5" i="48"/>
  <c r="NB5" i="48"/>
  <c r="LG37" i="48"/>
  <c r="LG36" i="48"/>
  <c r="NC37" i="48"/>
  <c r="NC36" i="48"/>
  <c r="ME37" i="48"/>
  <c r="ME36" i="48"/>
  <c r="MY37" i="48"/>
  <c r="MY36" i="48"/>
  <c r="MB5" i="48"/>
  <c r="MQ5" i="48"/>
  <c r="MA5" i="48"/>
  <c r="LB37" i="48"/>
  <c r="MF36" i="48"/>
  <c r="LH37" i="48"/>
  <c r="LH36" i="48"/>
  <c r="MX36" i="48"/>
  <c r="MX37" i="48"/>
  <c r="ML36" i="48"/>
  <c r="ML37" i="48"/>
  <c r="NC5" i="48"/>
  <c r="LR37" i="48"/>
  <c r="LR36" i="48"/>
  <c r="LF37" i="48"/>
  <c r="LF36" i="48"/>
  <c r="MC5" i="48"/>
  <c r="MO5" i="48"/>
  <c r="NA5" i="48"/>
  <c r="LY36" i="48"/>
  <c r="MI5" i="48"/>
  <c r="MU5" i="48"/>
  <c r="LY37" i="48"/>
  <c r="MS5" i="48"/>
  <c r="MV12" i="44" s="1"/>
  <c r="ME5" i="48"/>
  <c r="LV36" i="48"/>
  <c r="LQ37" i="48"/>
  <c r="LQ36" i="48"/>
  <c r="LE37" i="48"/>
  <c r="LE36" i="48"/>
  <c r="NA37" i="48"/>
  <c r="NA36" i="48"/>
  <c r="MO37" i="48"/>
  <c r="MO36" i="48"/>
  <c r="MC37" i="48"/>
  <c r="MC36" i="48"/>
  <c r="MR5" i="48"/>
  <c r="MD5" i="48"/>
  <c r="MH37" i="48"/>
  <c r="LD37" i="48"/>
  <c r="MT36" i="48"/>
  <c r="LX36" i="48"/>
  <c r="LX37" i="48"/>
  <c r="LL36" i="48"/>
  <c r="LL37" i="48"/>
  <c r="KZ36" i="48"/>
  <c r="KZ37" i="48"/>
  <c r="MZ5" i="48"/>
  <c r="ML5" i="48"/>
  <c r="LW36" i="48"/>
  <c r="LW37" i="48"/>
  <c r="LK36" i="48"/>
  <c r="LK37" i="48"/>
  <c r="KY36" i="48"/>
  <c r="KY37" i="48"/>
  <c r="MU36" i="48"/>
  <c r="MU37" i="48"/>
  <c r="MI36" i="48"/>
  <c r="MI37" i="48"/>
  <c r="MY5" i="48"/>
  <c r="MK5" i="48"/>
  <c r="LZ5" i="48"/>
  <c r="MX5" i="48"/>
  <c r="MJ5" i="48"/>
  <c r="MV37" i="48"/>
  <c r="MJ37" i="48"/>
  <c r="NB36" i="48"/>
  <c r="MP36" i="48"/>
  <c r="MD36" i="48"/>
  <c r="KU36" i="48"/>
  <c r="KC36" i="48"/>
  <c r="KP36" i="48"/>
  <c r="KO36" i="48"/>
  <c r="KA36" i="48"/>
  <c r="KI37" i="48"/>
  <c r="KM36" i="48"/>
  <c r="KB36" i="48"/>
  <c r="JZ36" i="48"/>
  <c r="KJ37" i="48"/>
  <c r="KL36" i="48"/>
  <c r="KN36" i="48"/>
  <c r="KD36" i="48"/>
  <c r="KA5" i="48"/>
  <c r="KA46" i="48" s="1"/>
  <c r="KD15" i="44" s="1"/>
  <c r="JX5" i="48"/>
  <c r="JX40" i="48" s="1"/>
  <c r="KB5" i="48"/>
  <c r="KB45" i="48" s="1"/>
  <c r="KE14" i="44" s="1"/>
  <c r="JY5" i="48"/>
  <c r="JY49" i="48" s="1"/>
  <c r="KM5" i="48"/>
  <c r="KM40" i="48" s="1"/>
  <c r="JZ5" i="48"/>
  <c r="JZ43" i="48" s="1"/>
  <c r="JW5" i="48"/>
  <c r="JW40" i="48" s="1"/>
  <c r="JW36" i="48"/>
  <c r="KT36" i="48"/>
  <c r="KT37" i="48"/>
  <c r="KH37" i="48"/>
  <c r="KH36" i="48"/>
  <c r="KL5" i="48"/>
  <c r="KO12" i="44" s="1"/>
  <c r="KN5" i="48"/>
  <c r="KI5" i="48"/>
  <c r="KQ37" i="48"/>
  <c r="KE37" i="48"/>
  <c r="KK36" i="48"/>
  <c r="JY36" i="48"/>
  <c r="KJ5" i="48"/>
  <c r="KT5" i="48"/>
  <c r="KH5" i="48"/>
  <c r="JX36" i="48"/>
  <c r="KK5" i="48"/>
  <c r="KS5" i="48"/>
  <c r="KG5" i="48"/>
  <c r="KR5" i="48"/>
  <c r="KF5" i="48"/>
  <c r="KG37" i="48"/>
  <c r="KR37" i="48"/>
  <c r="KQ5" i="48"/>
  <c r="KE5" i="48"/>
  <c r="KS36" i="48"/>
  <c r="KG36" i="48"/>
  <c r="KF37" i="48"/>
  <c r="KP5" i="48"/>
  <c r="KD5" i="48"/>
  <c r="KO5" i="48"/>
  <c r="KC5" i="48"/>
  <c r="JV36" i="48"/>
  <c r="JV5" i="48"/>
  <c r="JV37" i="48"/>
  <c r="JU5" i="48"/>
  <c r="JU36" i="48"/>
  <c r="JT5" i="48"/>
  <c r="JT36" i="48"/>
  <c r="JS5" i="48"/>
  <c r="JS37" i="48"/>
  <c r="JS36" i="48"/>
  <c r="JR36" i="48"/>
  <c r="JR37" i="48"/>
  <c r="JQ36" i="48"/>
  <c r="JQ37" i="48"/>
  <c r="JR5" i="48"/>
  <c r="JQ5" i="48"/>
  <c r="JP36" i="48"/>
  <c r="JP37" i="48"/>
  <c r="JJ7" i="48"/>
  <c r="JA7" i="48"/>
  <c r="JB7" i="48" s="1"/>
  <c r="JC7" i="48" s="1"/>
  <c r="IE5" i="48"/>
  <c r="IK36" i="48"/>
  <c r="II36" i="48"/>
  <c r="IJ4" i="48"/>
  <c r="IJ60" i="48" s="1"/>
  <c r="IH4" i="48"/>
  <c r="IH60" i="48" s="1"/>
  <c r="IE42" i="48"/>
  <c r="IE46" i="48"/>
  <c r="IH15" i="44" s="1"/>
  <c r="IE50" i="48"/>
  <c r="IH19" i="44" s="1"/>
  <c r="IE49" i="48"/>
  <c r="IE43" i="48"/>
  <c r="IE47" i="48"/>
  <c r="IH16" i="44" s="1"/>
  <c r="IE40" i="48"/>
  <c r="IE44" i="48"/>
  <c r="IE48" i="48"/>
  <c r="IH17" i="44" s="1"/>
  <c r="IE41" i="48"/>
  <c r="IE45" i="48"/>
  <c r="IH14" i="44" s="1"/>
  <c r="II4" i="48"/>
  <c r="II55" i="48" s="1"/>
  <c r="IG4" i="48"/>
  <c r="IG61" i="48" s="1"/>
  <c r="IG37" i="48"/>
  <c r="IJ36" i="48"/>
  <c r="IF37" i="48"/>
  <c r="IH63" i="48"/>
  <c r="IK20" i="44" s="1"/>
  <c r="IJ5" i="48"/>
  <c r="IE4" i="48"/>
  <c r="IE60" i="48" s="1"/>
  <c r="IE37" i="48"/>
  <c r="IH36" i="48"/>
  <c r="II5" i="48"/>
  <c r="IK5" i="48"/>
  <c r="IH5" i="48"/>
  <c r="IF36" i="48"/>
  <c r="IG5" i="48"/>
  <c r="IE36" i="48"/>
  <c r="IF4" i="48"/>
  <c r="IF61" i="48" s="1"/>
  <c r="IF5" i="48"/>
  <c r="IK4" i="48"/>
  <c r="IK62" i="48" s="1"/>
  <c r="IN11" i="44" s="1"/>
  <c r="IJ63" i="48"/>
  <c r="IM20" i="44" s="1"/>
  <c r="IA37" i="48"/>
  <c r="IA62" i="48"/>
  <c r="ID11" i="44" s="1"/>
  <c r="IA4" i="48"/>
  <c r="IA63" i="48" s="1"/>
  <c r="ID20" i="44" s="1"/>
  <c r="ID5" i="48"/>
  <c r="ID41" i="48" s="1"/>
  <c r="HZ4" i="48"/>
  <c r="HZ54" i="48" s="1"/>
  <c r="IC5" i="48"/>
  <c r="IF12" i="44" s="1"/>
  <c r="HZ37" i="48"/>
  <c r="ID36" i="48"/>
  <c r="IB5" i="48"/>
  <c r="IC36" i="48"/>
  <c r="IA5" i="48"/>
  <c r="IB36" i="48"/>
  <c r="HZ5" i="48"/>
  <c r="ID4" i="48"/>
  <c r="ID63" i="48" s="1"/>
  <c r="IG20" i="44" s="1"/>
  <c r="IC4" i="48"/>
  <c r="IC60" i="48" s="1"/>
  <c r="ID50" i="48"/>
  <c r="IG19" i="44" s="1"/>
  <c r="IB4" i="48"/>
  <c r="IB59" i="48" s="1"/>
  <c r="HX5" i="48"/>
  <c r="HX41" i="48" s="1"/>
  <c r="HX4" i="48"/>
  <c r="HX59" i="48" s="1"/>
  <c r="HY5" i="48"/>
  <c r="HY43" i="48" s="1"/>
  <c r="HY37" i="48"/>
  <c r="HY4" i="48"/>
  <c r="HY54" i="48" s="1"/>
  <c r="HX36" i="48"/>
  <c r="HX37" i="48"/>
  <c r="HS37" i="48"/>
  <c r="HR37" i="48"/>
  <c r="HP36" i="48"/>
  <c r="HW4" i="48"/>
  <c r="HW61" i="48" s="1"/>
  <c r="HV36" i="48"/>
  <c r="HR4" i="48"/>
  <c r="HR59" i="48" s="1"/>
  <c r="HQ36" i="48"/>
  <c r="HP5" i="48"/>
  <c r="HQ5" i="48"/>
  <c r="HT12" i="44" s="1"/>
  <c r="HV4" i="48"/>
  <c r="HV61" i="48" s="1"/>
  <c r="HW5" i="48"/>
  <c r="HU4" i="48"/>
  <c r="HU59" i="48" s="1"/>
  <c r="HW36" i="48"/>
  <c r="HT4" i="48"/>
  <c r="HT53" i="48" s="1"/>
  <c r="HV5" i="48"/>
  <c r="HU5" i="48"/>
  <c r="HS4" i="48"/>
  <c r="HS62" i="48" s="1"/>
  <c r="HV11" i="44" s="1"/>
  <c r="HU36" i="48"/>
  <c r="HT5" i="48"/>
  <c r="HT36" i="48"/>
  <c r="HS5" i="48"/>
  <c r="HQ4" i="48"/>
  <c r="HQ60" i="48" s="1"/>
  <c r="HR5" i="48"/>
  <c r="HU12" i="44" s="1"/>
  <c r="HP4" i="48"/>
  <c r="HP61" i="48" s="1"/>
  <c r="HH5" i="48"/>
  <c r="HH41" i="48" s="1"/>
  <c r="HM36" i="48"/>
  <c r="HK37" i="48"/>
  <c r="HI36" i="48"/>
  <c r="HK5" i="48"/>
  <c r="HK42" i="48" s="1"/>
  <c r="HI5" i="48"/>
  <c r="HI41" i="48" s="1"/>
  <c r="HJ5" i="48"/>
  <c r="HJ37" i="48"/>
  <c r="HH36" i="48"/>
  <c r="HO36" i="48"/>
  <c r="HH37" i="48"/>
  <c r="HN36" i="48"/>
  <c r="HO5" i="48"/>
  <c r="HN5" i="48"/>
  <c r="HL36" i="48"/>
  <c r="HM5" i="48"/>
  <c r="HL5" i="48"/>
  <c r="HG36" i="48"/>
  <c r="GC5" i="48"/>
  <c r="GC48" i="48" s="1"/>
  <c r="GF17" i="44" s="1"/>
  <c r="GA37" i="48"/>
  <c r="GC36" i="48"/>
  <c r="GB36" i="48"/>
  <c r="A38" i="48"/>
  <c r="FW37" i="48"/>
  <c r="FZ37" i="48"/>
  <c r="FZ36" i="48"/>
  <c r="FY37" i="48"/>
  <c r="FV37" i="48"/>
  <c r="FX36" i="48"/>
  <c r="FU37" i="48"/>
  <c r="FT36" i="48"/>
  <c r="FS36" i="48"/>
  <c r="FR36" i="48"/>
  <c r="FQ36" i="48"/>
  <c r="FP36" i="48"/>
  <c r="FO36" i="48"/>
  <c r="FN36" i="48"/>
  <c r="FK37" i="48"/>
  <c r="FM36" i="48"/>
  <c r="FL36" i="48"/>
  <c r="FJ37" i="48"/>
  <c r="FI37" i="48"/>
  <c r="FH37" i="48"/>
  <c r="FG36" i="48"/>
  <c r="FF36" i="48"/>
  <c r="FE36" i="48"/>
  <c r="FC36" i="48"/>
  <c r="FC37" i="48"/>
  <c r="FD36" i="48"/>
  <c r="FB36" i="48"/>
  <c r="FA37" i="48"/>
  <c r="EZ37" i="48"/>
  <c r="EV37" i="48"/>
  <c r="EW36" i="48"/>
  <c r="EU37" i="48"/>
  <c r="ET37" i="48"/>
  <c r="ES36" i="48"/>
  <c r="ER37" i="48"/>
  <c r="ER36" i="48"/>
  <c r="EQ37" i="48"/>
  <c r="EN37" i="48"/>
  <c r="EM37" i="48"/>
  <c r="EP36" i="48"/>
  <c r="EO36" i="48"/>
  <c r="EL37" i="48"/>
  <c r="EK37" i="48"/>
  <c r="EJ36" i="48"/>
  <c r="EG36" i="48"/>
  <c r="EI37" i="48"/>
  <c r="EH36" i="48"/>
  <c r="EF37" i="48"/>
  <c r="EE37" i="48"/>
  <c r="ED37" i="48"/>
  <c r="DZ36" i="48"/>
  <c r="EB36" i="48"/>
  <c r="EC37" i="48"/>
  <c r="EC36" i="48"/>
  <c r="EA36" i="48"/>
  <c r="DY36" i="48"/>
  <c r="DX36" i="48"/>
  <c r="OL24" i="44"/>
  <c r="OT25" i="44"/>
  <c r="OH25" i="44"/>
  <c r="NV25" i="44"/>
  <c r="NJ25" i="44"/>
  <c r="OW24" i="44"/>
  <c r="OK24" i="44"/>
  <c r="NY24" i="44"/>
  <c r="NM24" i="44"/>
  <c r="OU24" i="44"/>
  <c r="OI24" i="44"/>
  <c r="NW24" i="44"/>
  <c r="NK24" i="44"/>
  <c r="OV25" i="44"/>
  <c r="OJ25" i="44"/>
  <c r="NX25" i="44"/>
  <c r="NL25" i="44"/>
  <c r="OQ24" i="44"/>
  <c r="OE24" i="44"/>
  <c r="NS24" i="44"/>
  <c r="OP24" i="44"/>
  <c r="OD24" i="44"/>
  <c r="NR24" i="44"/>
  <c r="OP25" i="44"/>
  <c r="OD25" i="44"/>
  <c r="NR25" i="44"/>
  <c r="NH24" i="44"/>
  <c r="OQ25" i="44"/>
  <c r="OE25" i="44"/>
  <c r="NS25" i="44"/>
  <c r="NG25" i="44"/>
  <c r="OO24" i="44"/>
  <c r="OC24" i="44"/>
  <c r="NQ24" i="44"/>
  <c r="OZ24" i="44"/>
  <c r="ON24" i="44"/>
  <c r="OB24" i="44"/>
  <c r="NP24" i="44"/>
  <c r="OZ25" i="44"/>
  <c r="ON25" i="44"/>
  <c r="OB25" i="44"/>
  <c r="NP25" i="44"/>
  <c r="OY25" i="44"/>
  <c r="OM25" i="44"/>
  <c r="OA25" i="44"/>
  <c r="NO25" i="44"/>
  <c r="OV24" i="44"/>
  <c r="OJ24" i="44"/>
  <c r="NX24" i="44"/>
  <c r="NL24" i="44"/>
  <c r="OU25" i="44"/>
  <c r="OI25" i="44"/>
  <c r="NW25" i="44"/>
  <c r="NK25" i="44"/>
  <c r="IB75" i="48"/>
  <c r="IB76" i="48" s="1"/>
  <c r="HP75" i="48"/>
  <c r="HP76" i="48" s="1"/>
  <c r="NS76" i="48"/>
  <c r="NV22" i="44" s="1"/>
  <c r="PG75" i="48"/>
  <c r="PG76" i="48" s="1"/>
  <c r="OU75" i="48"/>
  <c r="OU76" i="48" s="1"/>
  <c r="QY75" i="48"/>
  <c r="SU75" i="48"/>
  <c r="SU76" i="48" s="1"/>
  <c r="RW75" i="48"/>
  <c r="HE75" i="48"/>
  <c r="HE76" i="48" s="1"/>
  <c r="GS75" i="48"/>
  <c r="GS76" i="48" s="1"/>
  <c r="GG75" i="48"/>
  <c r="GJ13" i="44" s="1"/>
  <c r="IU76" i="48"/>
  <c r="IX22" i="44" s="1"/>
  <c r="JO75" i="48"/>
  <c r="JO76" i="48" s="1"/>
  <c r="JC75" i="48"/>
  <c r="JC76" i="48" s="1"/>
  <c r="IQ75" i="48"/>
  <c r="IQ76" i="48" s="1"/>
  <c r="KJ75" i="48"/>
  <c r="JX75" i="48"/>
  <c r="KY75" i="48"/>
  <c r="LB13" i="44" s="1"/>
  <c r="LU75" i="48"/>
  <c r="LI75" i="48"/>
  <c r="LL13" i="44" s="1"/>
  <c r="KW75" i="48"/>
  <c r="NF75" i="48"/>
  <c r="NI13" i="44" s="1"/>
  <c r="NX75" i="48"/>
  <c r="NX76" i="48" s="1"/>
  <c r="NL75" i="48"/>
  <c r="NL76" i="48" s="1"/>
  <c r="OQ75" i="48"/>
  <c r="OQ76" i="48" s="1"/>
  <c r="QK75" i="48"/>
  <c r="QK76" i="48" s="1"/>
  <c r="PY75" i="48"/>
  <c r="PY76" i="48" s="1"/>
  <c r="PM75" i="48"/>
  <c r="PM76" i="48" s="1"/>
  <c r="QW75" i="48"/>
  <c r="QW76" i="48" s="1"/>
  <c r="RJ75" i="48"/>
  <c r="QX75" i="48"/>
  <c r="SS75" i="48"/>
  <c r="RU75" i="48"/>
  <c r="RU76" i="48" s="1"/>
  <c r="ST75" i="48"/>
  <c r="ST76" i="48" s="1"/>
  <c r="SH75" i="48"/>
  <c r="SH76" i="48" s="1"/>
  <c r="RV75" i="48"/>
  <c r="RV76" i="48" s="1"/>
  <c r="OX25" i="44"/>
  <c r="OL25" i="44"/>
  <c r="NZ25" i="44"/>
  <c r="NN25" i="44"/>
  <c r="HD75" i="48"/>
  <c r="HD76" i="48" s="1"/>
  <c r="GR75" i="48"/>
  <c r="GR76" i="48" s="1"/>
  <c r="GF75" i="48"/>
  <c r="GF76" i="48" s="1"/>
  <c r="HG75" i="48"/>
  <c r="JN75" i="48"/>
  <c r="JQ13" i="44" s="1"/>
  <c r="JB75" i="48"/>
  <c r="JB76" i="48" s="1"/>
  <c r="IP75" i="48"/>
  <c r="IP76" i="48" s="1"/>
  <c r="LJ75" i="48"/>
  <c r="KX75" i="48"/>
  <c r="LA13" i="44" s="1"/>
  <c r="LT75" i="48"/>
  <c r="LW13" i="44" s="1"/>
  <c r="LH75" i="48"/>
  <c r="LH76" i="48" s="1"/>
  <c r="KV75" i="48"/>
  <c r="KY13" i="44" s="1"/>
  <c r="NW75" i="48"/>
  <c r="NW76" i="48" s="1"/>
  <c r="NK75" i="48"/>
  <c r="NK76" i="48" s="1"/>
  <c r="PB75" i="48"/>
  <c r="PB76" i="48" s="1"/>
  <c r="QJ75" i="48"/>
  <c r="QJ76" i="48" s="1"/>
  <c r="PX75" i="48"/>
  <c r="PX76" i="48" s="1"/>
  <c r="PL75" i="48"/>
  <c r="PL76" i="48" s="1"/>
  <c r="RD76" i="48"/>
  <c r="RI75" i="48"/>
  <c r="RI76" i="48" s="1"/>
  <c r="SG75" i="48"/>
  <c r="SG76" i="48" s="1"/>
  <c r="GB75" i="48"/>
  <c r="GB76" i="48" s="1"/>
  <c r="JA75" i="48"/>
  <c r="JD13" i="44" s="1"/>
  <c r="MH76" i="48"/>
  <c r="MK22" i="44" s="1"/>
  <c r="MZ75" i="48"/>
  <c r="MN75" i="48"/>
  <c r="MN76" i="48" s="1"/>
  <c r="MB75" i="48"/>
  <c r="MB76" i="48" s="1"/>
  <c r="RH75" i="48"/>
  <c r="RH76" i="48" s="1"/>
  <c r="QV75" i="48"/>
  <c r="QV76" i="48" s="1"/>
  <c r="SR75" i="48"/>
  <c r="SR76" i="48" s="1"/>
  <c r="SF75" i="48"/>
  <c r="SF76" i="48" s="1"/>
  <c r="ID76" i="48"/>
  <c r="IJ75" i="48"/>
  <c r="HX75" i="48"/>
  <c r="HX76" i="48" s="1"/>
  <c r="HL75" i="48"/>
  <c r="JL75" i="48"/>
  <c r="JL76" i="48" s="1"/>
  <c r="IZ75" i="48"/>
  <c r="JC13" i="44" s="1"/>
  <c r="IN75" i="48"/>
  <c r="IN76" i="48" s="1"/>
  <c r="MY75" i="48"/>
  <c r="MM75" i="48"/>
  <c r="MM76" i="48" s="1"/>
  <c r="MA75" i="48"/>
  <c r="MA76" i="48" s="1"/>
  <c r="PC75" i="48"/>
  <c r="PC76" i="48" s="1"/>
  <c r="II75" i="48"/>
  <c r="IL13" i="44" s="1"/>
  <c r="HW75" i="48"/>
  <c r="HK75" i="48"/>
  <c r="HN13" i="44" s="1"/>
  <c r="KR75" i="48"/>
  <c r="KR76" i="48" s="1"/>
  <c r="KF75" i="48"/>
  <c r="JT75" i="48"/>
  <c r="QM76" i="48"/>
  <c r="PO76" i="48"/>
  <c r="NJ24" i="44"/>
  <c r="GT76" i="48"/>
  <c r="GZ75" i="48"/>
  <c r="GZ76" i="48" s="1"/>
  <c r="GN75" i="48"/>
  <c r="GN76" i="48" s="1"/>
  <c r="KQ75" i="48"/>
  <c r="KE75" i="48"/>
  <c r="JS75" i="48"/>
  <c r="JV13" i="44" s="1"/>
  <c r="LP75" i="48"/>
  <c r="LS12" i="44" s="1"/>
  <c r="LD75" i="48"/>
  <c r="LG12" i="44" s="1"/>
  <c r="ND75" i="48"/>
  <c r="ND76" i="48" s="1"/>
  <c r="OE75" i="48"/>
  <c r="OH13" i="44" s="1"/>
  <c r="NG75" i="48"/>
  <c r="NG76" i="48" s="1"/>
  <c r="QL76" i="48"/>
  <c r="QF75" i="48"/>
  <c r="QF76" i="48" s="1"/>
  <c r="PT75" i="48"/>
  <c r="PT76" i="48" s="1"/>
  <c r="ON75" i="48"/>
  <c r="QE75" i="48"/>
  <c r="QE76" i="48" s="1"/>
  <c r="JH75" i="48"/>
  <c r="JH76" i="48" s="1"/>
  <c r="IV75" i="48"/>
  <c r="LN75" i="48"/>
  <c r="LN76" i="48" s="1"/>
  <c r="LB75" i="48"/>
  <c r="LB76" i="48" s="1"/>
  <c r="MU75" i="48"/>
  <c r="MX12" i="44" s="1"/>
  <c r="MI75" i="48"/>
  <c r="MI76" i="48" s="1"/>
  <c r="NQ75" i="48"/>
  <c r="NT12" i="44" s="1"/>
  <c r="RO75" i="48"/>
  <c r="RO76" i="48" s="1"/>
  <c r="RC75" i="48"/>
  <c r="RC76" i="48" s="1"/>
  <c r="QQ75" i="48"/>
  <c r="QQ76" i="48" s="1"/>
  <c r="SM75" i="48"/>
  <c r="SA75" i="48"/>
  <c r="SA76" i="48" s="1"/>
  <c r="GY75" i="48"/>
  <c r="HB13" i="44" s="1"/>
  <c r="OZ75" i="48"/>
  <c r="OZ76" i="48" s="1"/>
  <c r="IE75" i="48"/>
  <c r="IE76" i="48" s="1"/>
  <c r="HS75" i="48"/>
  <c r="HS76" i="48" s="1"/>
  <c r="OB75" i="48"/>
  <c r="OE12" i="44" s="1"/>
  <c r="NP75" i="48"/>
  <c r="NS13" i="44" s="1"/>
  <c r="OO75" i="48"/>
  <c r="OO76" i="48" s="1"/>
  <c r="KM75" i="48"/>
  <c r="KM76" i="48" s="1"/>
  <c r="GM75" i="48"/>
  <c r="GM76" i="48" s="1"/>
  <c r="GU75" i="48"/>
  <c r="LK75" i="48"/>
  <c r="LK76" i="48" s="1"/>
  <c r="MR75" i="48"/>
  <c r="MR76" i="48" s="1"/>
  <c r="MF75" i="48"/>
  <c r="MF76" i="48" s="1"/>
  <c r="PH75" i="48"/>
  <c r="PH76" i="48" s="1"/>
  <c r="OV75" i="48"/>
  <c r="OY12" i="44" s="1"/>
  <c r="OJ75" i="48"/>
  <c r="OM12" i="44" s="1"/>
  <c r="QA75" i="48"/>
  <c r="QA76" i="48" s="1"/>
  <c r="NC13" i="44"/>
  <c r="LD76" i="48"/>
  <c r="OH12" i="44"/>
  <c r="SO76" i="48"/>
  <c r="KC22" i="44"/>
  <c r="LR12" i="44"/>
  <c r="LR13" i="44"/>
  <c r="LC76" i="48"/>
  <c r="LF12" i="44"/>
  <c r="LF13" i="44"/>
  <c r="ON76" i="48"/>
  <c r="OQ13" i="44"/>
  <c r="OQ12" i="44"/>
  <c r="RW76" i="48"/>
  <c r="MX13" i="44"/>
  <c r="ML13" i="44"/>
  <c r="ML12" i="44"/>
  <c r="NT13" i="44"/>
  <c r="JG76" i="48"/>
  <c r="JJ13" i="44"/>
  <c r="IX13" i="44"/>
  <c r="OB76" i="48"/>
  <c r="OE13" i="44"/>
  <c r="NP76" i="48"/>
  <c r="NS12" i="44"/>
  <c r="OR13" i="44"/>
  <c r="NV21" i="44"/>
  <c r="OV76" i="48"/>
  <c r="OY13" i="44"/>
  <c r="KT75" i="48"/>
  <c r="KH75" i="48"/>
  <c r="KH76" i="48" s="1"/>
  <c r="JV75" i="48"/>
  <c r="JV76" i="48" s="1"/>
  <c r="LS75" i="48"/>
  <c r="LG75" i="48"/>
  <c r="LY75" i="48"/>
  <c r="MT76" i="48"/>
  <c r="OH75" i="48"/>
  <c r="OH76" i="48" s="1"/>
  <c r="NV75" i="48"/>
  <c r="NJ75" i="48"/>
  <c r="PD75" i="48"/>
  <c r="PD76" i="48" s="1"/>
  <c r="OR75" i="48"/>
  <c r="QI75" i="48"/>
  <c r="QI76" i="48" s="1"/>
  <c r="PW75" i="48"/>
  <c r="PW76" i="48" s="1"/>
  <c r="QP75" i="48"/>
  <c r="QP76" i="48" s="1"/>
  <c r="SM76" i="48"/>
  <c r="A24" i="48"/>
  <c r="HN75" i="48"/>
  <c r="KI75" i="48"/>
  <c r="LO76" i="48"/>
  <c r="NA75" i="48"/>
  <c r="PE75" i="48"/>
  <c r="PE76" i="48" s="1"/>
  <c r="SN76" i="48"/>
  <c r="NM25" i="44"/>
  <c r="GQ75" i="48"/>
  <c r="HY75" i="48"/>
  <c r="HY76" i="48" s="1"/>
  <c r="HB75" i="48"/>
  <c r="HB76" i="48" s="1"/>
  <c r="GP75" i="48"/>
  <c r="GD75" i="48"/>
  <c r="GD76" i="48" s="1"/>
  <c r="KS75" i="48"/>
  <c r="KG75" i="48"/>
  <c r="JU75" i="48"/>
  <c r="LR75" i="48"/>
  <c r="LR76" i="48" s="1"/>
  <c r="LF75" i="48"/>
  <c r="MG76" i="48"/>
  <c r="OG75" i="48"/>
  <c r="NU75" i="48"/>
  <c r="NI75" i="48"/>
  <c r="QH75" i="48"/>
  <c r="QH76" i="48" s="1"/>
  <c r="PV75" i="48"/>
  <c r="PV76" i="48" s="1"/>
  <c r="RS75" i="48"/>
  <c r="RS76" i="48" s="1"/>
  <c r="RG75" i="48"/>
  <c r="RG76" i="48" s="1"/>
  <c r="QU75" i="48"/>
  <c r="QU76" i="48" s="1"/>
  <c r="SQ75" i="48"/>
  <c r="SQ76" i="48" s="1"/>
  <c r="SE75" i="48"/>
  <c r="SE76" i="48" s="1"/>
  <c r="RK76" i="48"/>
  <c r="HO75" i="48"/>
  <c r="PF75" i="48"/>
  <c r="PF76" i="48" s="1"/>
  <c r="HZ75" i="48"/>
  <c r="HZ76" i="48" s="1"/>
  <c r="MO75" i="48"/>
  <c r="OS75" i="48"/>
  <c r="OK25" i="44"/>
  <c r="GW13" i="44"/>
  <c r="KO13" i="44"/>
  <c r="GE75" i="48"/>
  <c r="IK75" i="48"/>
  <c r="GI76" i="48"/>
  <c r="HA75" i="48"/>
  <c r="GO75" i="48"/>
  <c r="GC75" i="48"/>
  <c r="GC76" i="48" s="1"/>
  <c r="IC76" i="48"/>
  <c r="JK75" i="48"/>
  <c r="IY75" i="48"/>
  <c r="IM75" i="48"/>
  <c r="KL76" i="48"/>
  <c r="LQ75" i="48"/>
  <c r="LQ76" i="48" s="1"/>
  <c r="LE75" i="48"/>
  <c r="MX75" i="48"/>
  <c r="ML75" i="48"/>
  <c r="LZ75" i="48"/>
  <c r="OF75" i="48"/>
  <c r="NT75" i="48"/>
  <c r="NH75" i="48"/>
  <c r="QG75" i="48"/>
  <c r="QG76" i="48" s="1"/>
  <c r="PU75" i="48"/>
  <c r="PU76" i="48" s="1"/>
  <c r="RR75" i="48"/>
  <c r="RF75" i="48"/>
  <c r="RF76" i="48" s="1"/>
  <c r="QT75" i="48"/>
  <c r="QT76" i="48" s="1"/>
  <c r="SP75" i="48"/>
  <c r="SP76" i="48" s="1"/>
  <c r="SD75" i="48"/>
  <c r="SD76" i="48" s="1"/>
  <c r="OT24" i="44"/>
  <c r="OH24" i="44"/>
  <c r="NV24" i="44"/>
  <c r="HT13" i="44"/>
  <c r="NH13" i="44"/>
  <c r="NH12" i="44"/>
  <c r="JW75" i="48"/>
  <c r="MC75" i="48"/>
  <c r="NE76" i="48"/>
  <c r="OW25" i="44"/>
  <c r="NY25" i="44"/>
  <c r="HU13" i="44"/>
  <c r="MK12" i="44"/>
  <c r="MK13" i="44"/>
  <c r="OD75" i="48"/>
  <c r="HC75" i="48"/>
  <c r="HM75" i="48"/>
  <c r="HF76" i="48"/>
  <c r="GH76" i="48"/>
  <c r="IH75" i="48"/>
  <c r="HV75" i="48"/>
  <c r="HJ75" i="48"/>
  <c r="JJ75" i="48"/>
  <c r="IX75" i="48"/>
  <c r="IX76" i="48" s="1"/>
  <c r="JP75" i="48"/>
  <c r="KK76" i="48"/>
  <c r="MW75" i="48"/>
  <c r="MK75" i="48"/>
  <c r="PN76" i="48"/>
  <c r="RQ75" i="48"/>
  <c r="RQ76" i="48" s="1"/>
  <c r="RE75" i="48"/>
  <c r="RE76" i="48" s="1"/>
  <c r="QS75" i="48"/>
  <c r="QS76" i="48" s="1"/>
  <c r="SO75" i="48"/>
  <c r="SC75" i="48"/>
  <c r="SC76" i="48" s="1"/>
  <c r="OS24" i="44"/>
  <c r="OG24" i="44"/>
  <c r="NU24" i="44"/>
  <c r="NI24" i="44"/>
  <c r="OS25" i="44"/>
  <c r="OG25" i="44"/>
  <c r="NU25" i="44"/>
  <c r="NI25" i="44"/>
  <c r="MD75" i="48"/>
  <c r="MD76" i="48" s="1"/>
  <c r="JP13" i="44"/>
  <c r="OC76" i="48"/>
  <c r="OF13" i="44"/>
  <c r="OF12" i="44"/>
  <c r="IG75" i="48"/>
  <c r="HU75" i="48"/>
  <c r="HI75" i="48"/>
  <c r="JI75" i="48"/>
  <c r="JI76" i="48" s="1"/>
  <c r="IW75" i="48"/>
  <c r="IW76" i="48" s="1"/>
  <c r="KP75" i="48"/>
  <c r="KD75" i="48"/>
  <c r="KD76" i="48" s="1"/>
  <c r="JR75" i="48"/>
  <c r="MV75" i="48"/>
  <c r="MJ75" i="48"/>
  <c r="QY76" i="48"/>
  <c r="OR24" i="44"/>
  <c r="OF24" i="44"/>
  <c r="NT24" i="44"/>
  <c r="OR25" i="44"/>
  <c r="OF25" i="44"/>
  <c r="NT25" i="44"/>
  <c r="NH25" i="44"/>
  <c r="IF13" i="44"/>
  <c r="JY76" i="48"/>
  <c r="KB13" i="44"/>
  <c r="MS76" i="48"/>
  <c r="MV13" i="44"/>
  <c r="HQ76" i="48"/>
  <c r="MJ12" i="44"/>
  <c r="HI13" i="44"/>
  <c r="IG13" i="44"/>
  <c r="LV75" i="48"/>
  <c r="LV76" i="48" s="1"/>
  <c r="NR75" i="48"/>
  <c r="NR76" i="48" s="1"/>
  <c r="HU22" i="44"/>
  <c r="KB75" i="48"/>
  <c r="PJ75" i="48"/>
  <c r="PJ76" i="48" s="1"/>
  <c r="PQ75" i="48"/>
  <c r="PQ76" i="48" s="1"/>
  <c r="GL13" i="44"/>
  <c r="KD13" i="44"/>
  <c r="LW75" i="48"/>
  <c r="LW76" i="48" s="1"/>
  <c r="NV13" i="44"/>
  <c r="NV12" i="44"/>
  <c r="SI75" i="48"/>
  <c r="SI76" i="48" s="1"/>
  <c r="KA76" i="48"/>
  <c r="MP75" i="48"/>
  <c r="MP76" i="48" s="1"/>
  <c r="OT75" i="48"/>
  <c r="GL75" i="48"/>
  <c r="HT75" i="48"/>
  <c r="KC75" i="48"/>
  <c r="OM75" i="48"/>
  <c r="RJ76" i="48"/>
  <c r="GK75" i="48"/>
  <c r="KN75" i="48"/>
  <c r="OL75" i="48"/>
  <c r="OL76" i="48" s="1"/>
  <c r="QC75" i="48"/>
  <c r="QC76" i="48" s="1"/>
  <c r="RN75" i="48"/>
  <c r="RN76" i="48" s="1"/>
  <c r="SL75" i="48"/>
  <c r="SL76" i="48" s="1"/>
  <c r="GV75" i="48"/>
  <c r="GJ75" i="48"/>
  <c r="JM76" i="48"/>
  <c r="JF75" i="48"/>
  <c r="IT75" i="48"/>
  <c r="IT76" i="48" s="1"/>
  <c r="LX75" i="48"/>
  <c r="LL75" i="48"/>
  <c r="KZ75" i="48"/>
  <c r="OA75" i="48"/>
  <c r="NO75" i="48"/>
  <c r="PI75" i="48"/>
  <c r="PI76" i="48" s="1"/>
  <c r="OW75" i="48"/>
  <c r="OK75" i="48"/>
  <c r="QN75" i="48"/>
  <c r="QN76" i="48" s="1"/>
  <c r="QB75" i="48"/>
  <c r="QB76" i="48" s="1"/>
  <c r="PP75" i="48"/>
  <c r="PP76" i="48" s="1"/>
  <c r="RM75" i="48"/>
  <c r="RM76" i="48" s="1"/>
  <c r="RA75" i="48"/>
  <c r="RA76" i="48" s="1"/>
  <c r="SW75" i="48"/>
  <c r="SW76" i="48" s="1"/>
  <c r="SK75" i="48"/>
  <c r="SK76" i="48" s="1"/>
  <c r="RY75" i="48"/>
  <c r="RY76" i="48" s="1"/>
  <c r="IA75" i="48"/>
  <c r="NB75" i="48"/>
  <c r="NB76" i="48" s="1"/>
  <c r="PS76" i="48"/>
  <c r="IO76" i="48"/>
  <c r="IR13" i="44"/>
  <c r="KN13" i="44"/>
  <c r="GX75" i="48"/>
  <c r="IF75" i="48"/>
  <c r="JQ75" i="48"/>
  <c r="OY75" i="48"/>
  <c r="OY76" i="48" s="1"/>
  <c r="PR75" i="48"/>
  <c r="PR76" i="48" s="1"/>
  <c r="GK13" i="44"/>
  <c r="MW12" i="44"/>
  <c r="MW13" i="44"/>
  <c r="OP75" i="48"/>
  <c r="GW75" i="48"/>
  <c r="LA75" i="48"/>
  <c r="OX75" i="48"/>
  <c r="OX76" i="48" s="1"/>
  <c r="QO75" i="48"/>
  <c r="QO76" i="48" s="1"/>
  <c r="RB75" i="48"/>
  <c r="RB76" i="48" s="1"/>
  <c r="RZ75" i="48"/>
  <c r="RZ76" i="48" s="1"/>
  <c r="JE75" i="48"/>
  <c r="IS75" i="48"/>
  <c r="NZ75" i="48"/>
  <c r="NN75" i="48"/>
  <c r="NN76" i="48" s="1"/>
  <c r="RL75" i="48"/>
  <c r="RL76" i="48" s="1"/>
  <c r="QZ75" i="48"/>
  <c r="QZ76" i="48" s="1"/>
  <c r="SV75" i="48"/>
  <c r="SV76" i="48" s="1"/>
  <c r="SJ75" i="48"/>
  <c r="SJ76" i="48" s="1"/>
  <c r="RX75" i="48"/>
  <c r="RX76" i="48" s="1"/>
  <c r="HH75" i="48"/>
  <c r="KO75" i="48"/>
  <c r="QD75" i="48"/>
  <c r="QD76" i="48" s="1"/>
  <c r="QX76" i="48"/>
  <c r="KC13" i="44"/>
  <c r="KU75" i="48"/>
  <c r="LM75" i="48"/>
  <c r="SS76" i="48"/>
  <c r="JD75" i="48"/>
  <c r="IR75" i="48"/>
  <c r="NC75" i="48"/>
  <c r="MQ75" i="48"/>
  <c r="ME75" i="48"/>
  <c r="NY75" i="48"/>
  <c r="NM75" i="48"/>
  <c r="NM76" i="48" s="1"/>
  <c r="PK75" i="48"/>
  <c r="PK76" i="48" s="1"/>
  <c r="RR76" i="48"/>
  <c r="OY24" i="44"/>
  <c r="OM24" i="44"/>
  <c r="OA24" i="44"/>
  <c r="NO24" i="44"/>
  <c r="A91" i="48"/>
  <c r="A51" i="48"/>
  <c r="OO25" i="44"/>
  <c r="OC25" i="44"/>
  <c r="NQ25" i="44"/>
  <c r="A77" i="48"/>
  <c r="W23" i="48"/>
  <c r="V22" i="48"/>
  <c r="AA23" i="48"/>
  <c r="BQ22" i="48"/>
  <c r="EN75" i="48"/>
  <c r="EB75" i="48"/>
  <c r="AC23" i="48"/>
  <c r="AD23" i="48"/>
  <c r="D22" i="48"/>
  <c r="O22" i="48"/>
  <c r="C22" i="48"/>
  <c r="Q23" i="48"/>
  <c r="Q22" i="48"/>
  <c r="E22" i="48"/>
  <c r="E23" i="48"/>
  <c r="EV75" i="48"/>
  <c r="QG90" i="48"/>
  <c r="QZ89" i="48"/>
  <c r="RL89" i="48"/>
  <c r="QT90" i="48"/>
  <c r="RF89" i="48"/>
  <c r="EL75" i="48"/>
  <c r="NO90" i="48"/>
  <c r="EA75" i="48"/>
  <c r="EW75" i="48"/>
  <c r="DM22" i="48"/>
  <c r="DM23" i="48"/>
  <c r="DQ22" i="48"/>
  <c r="DQ23" i="48"/>
  <c r="DL22" i="48"/>
  <c r="DL23" i="48"/>
  <c r="CC22" i="48"/>
  <c r="CC23" i="48"/>
  <c r="BE22" i="48"/>
  <c r="BE23" i="48"/>
  <c r="BI22" i="48"/>
  <c r="BI23" i="48"/>
  <c r="CB22" i="48"/>
  <c r="CB23" i="48"/>
  <c r="DA22" i="48"/>
  <c r="DA23" i="48"/>
  <c r="EK75" i="48"/>
  <c r="DE22" i="48"/>
  <c r="DE23" i="48"/>
  <c r="AK22" i="48"/>
  <c r="AK23" i="48"/>
  <c r="CZ22" i="48"/>
  <c r="CZ23" i="48"/>
  <c r="BD22" i="48"/>
  <c r="BD23" i="48"/>
  <c r="DB22" i="48"/>
  <c r="DB23" i="48"/>
  <c r="BF22" i="48"/>
  <c r="BF23" i="48"/>
  <c r="AH22" i="48"/>
  <c r="AH23" i="48"/>
  <c r="DD23" i="48"/>
  <c r="DD22" i="48"/>
  <c r="CF22" i="48"/>
  <c r="CF23" i="48"/>
  <c r="BH23" i="48"/>
  <c r="BH22" i="48"/>
  <c r="AJ22" i="48"/>
  <c r="AJ23" i="48"/>
  <c r="CY23" i="48"/>
  <c r="CY22" i="48"/>
  <c r="AQ23" i="48"/>
  <c r="EU75" i="48"/>
  <c r="BB23" i="48"/>
  <c r="ET75" i="48"/>
  <c r="EH75" i="48"/>
  <c r="AS23" i="48"/>
  <c r="DZ75" i="48"/>
  <c r="DX75" i="48"/>
  <c r="DN22" i="48"/>
  <c r="DN23" i="48"/>
  <c r="CD22" i="48"/>
  <c r="CD23" i="48"/>
  <c r="AT22" i="48"/>
  <c r="DP22" i="48"/>
  <c r="DP23" i="48"/>
  <c r="CR23" i="48"/>
  <c r="CR22" i="48"/>
  <c r="BT23" i="48"/>
  <c r="BT22" i="48"/>
  <c r="AV23" i="48"/>
  <c r="AV22" i="48"/>
  <c r="DK23" i="48"/>
  <c r="DK22" i="48"/>
  <c r="BC23" i="48"/>
  <c r="EO75" i="48"/>
  <c r="EC75" i="48"/>
  <c r="EQ75" i="48"/>
  <c r="EE75" i="48"/>
  <c r="EI75" i="48"/>
  <c r="AR23" i="48"/>
  <c r="CN23" i="48"/>
  <c r="PG90" i="48"/>
  <c r="DY75" i="48"/>
  <c r="CG22" i="48"/>
  <c r="CG23" i="48"/>
  <c r="BU22" i="48"/>
  <c r="BU23" i="48"/>
  <c r="AW22" i="48"/>
  <c r="AW23" i="48"/>
  <c r="CS23" i="48"/>
  <c r="CS22" i="48"/>
  <c r="CP22" i="48"/>
  <c r="BO23" i="48"/>
  <c r="CO23" i="48"/>
  <c r="CM23" i="48"/>
  <c r="EJ75" i="48"/>
  <c r="BP22" i="48"/>
  <c r="BP23" i="48"/>
  <c r="BR22" i="48"/>
  <c r="BR23" i="48"/>
  <c r="CA23" i="48"/>
  <c r="CA22" i="48"/>
  <c r="CP23" i="48"/>
  <c r="EM75" i="48"/>
  <c r="DO22" i="48"/>
  <c r="DC22" i="48"/>
  <c r="CQ22" i="48"/>
  <c r="CE22" i="48"/>
  <c r="BS22" i="48"/>
  <c r="BG22" i="48"/>
  <c r="AU22" i="48"/>
  <c r="AI22" i="48"/>
  <c r="DJ23" i="48"/>
  <c r="CX23" i="48"/>
  <c r="CL23" i="48"/>
  <c r="BZ23" i="48"/>
  <c r="BN23" i="48"/>
  <c r="AP23" i="48"/>
  <c r="ES75" i="48"/>
  <c r="EG75" i="48"/>
  <c r="DS23" i="48"/>
  <c r="DG23" i="48"/>
  <c r="CU23" i="48"/>
  <c r="CI23" i="48"/>
  <c r="BW23" i="48"/>
  <c r="BK23" i="48"/>
  <c r="AY23" i="48"/>
  <c r="AM23" i="48"/>
  <c r="DI22" i="48"/>
  <c r="CW22" i="48"/>
  <c r="CK22" i="48"/>
  <c r="BY22" i="48"/>
  <c r="BM22" i="48"/>
  <c r="AO22" i="48"/>
  <c r="ED75" i="48"/>
  <c r="ER75" i="48"/>
  <c r="EF75" i="48"/>
  <c r="DJ22" i="48"/>
  <c r="DT23" i="48"/>
  <c r="DH22" i="48"/>
  <c r="CV23" i="48"/>
  <c r="CJ22" i="48"/>
  <c r="BX23" i="48"/>
  <c r="BL23" i="48"/>
  <c r="AZ22" i="48"/>
  <c r="AN23" i="48"/>
  <c r="OU90" i="48"/>
  <c r="DS22" i="48"/>
  <c r="DG22" i="48"/>
  <c r="CU22" i="48"/>
  <c r="CI22" i="48"/>
  <c r="BW22" i="48"/>
  <c r="BK22" i="48"/>
  <c r="AY22" i="48"/>
  <c r="AM22" i="48"/>
  <c r="BA22" i="48"/>
  <c r="DR22" i="48"/>
  <c r="DF22" i="48"/>
  <c r="CT22" i="48"/>
  <c r="CH22" i="48"/>
  <c r="BV22" i="48"/>
  <c r="BJ22" i="48"/>
  <c r="AX22" i="48"/>
  <c r="AL22" i="48"/>
  <c r="EP75" i="48"/>
  <c r="AL23" i="48"/>
  <c r="AX23" i="48"/>
  <c r="BJ23" i="48"/>
  <c r="BV23" i="48"/>
  <c r="CH23" i="48"/>
  <c r="CT23" i="48"/>
  <c r="DF23" i="48"/>
  <c r="DR23" i="48"/>
  <c r="IJ90" i="48"/>
  <c r="KT90" i="48"/>
  <c r="IL90" i="48"/>
  <c r="QO90" i="48"/>
  <c r="CJ23" i="48"/>
  <c r="AO23" i="48"/>
  <c r="BA23" i="48"/>
  <c r="BM23" i="48"/>
  <c r="BY23" i="48"/>
  <c r="CK23" i="48"/>
  <c r="CW23" i="48"/>
  <c r="DI23" i="48"/>
  <c r="ET90" i="48"/>
  <c r="PJ90" i="48"/>
  <c r="JJ90" i="48"/>
  <c r="RA90" i="48"/>
  <c r="AZ23" i="48"/>
  <c r="DH23" i="48"/>
  <c r="AN22" i="48"/>
  <c r="BL22" i="48"/>
  <c r="BX22" i="48"/>
  <c r="CV22" i="48"/>
  <c r="DT22" i="48"/>
  <c r="FU89" i="48"/>
  <c r="RM90" i="48"/>
  <c r="MG90" i="48"/>
  <c r="IC89" i="48"/>
  <c r="PP89" i="48"/>
  <c r="QX89" i="48"/>
  <c r="RJ89" i="48"/>
  <c r="O23" i="48"/>
  <c r="OL89" i="48"/>
  <c r="ET89" i="48"/>
  <c r="EK89" i="48"/>
  <c r="AG23" i="48"/>
  <c r="U22" i="48"/>
  <c r="AF22" i="48"/>
  <c r="T22" i="48"/>
  <c r="AE22" i="48"/>
  <c r="AE23" i="48"/>
  <c r="X23" i="48"/>
  <c r="AF23" i="48"/>
  <c r="R22" i="48"/>
  <c r="II90" i="48"/>
  <c r="RG90" i="48"/>
  <c r="S22" i="48"/>
  <c r="AG22" i="48"/>
  <c r="QF89" i="48"/>
  <c r="PT89" i="48"/>
  <c r="QM89" i="48"/>
  <c r="SR89" i="48"/>
  <c r="RT89" i="48"/>
  <c r="QL89" i="48"/>
  <c r="QW89" i="48"/>
  <c r="QW90" i="48"/>
  <c r="MA90" i="48"/>
  <c r="QK89" i="48"/>
  <c r="SP89" i="48"/>
  <c r="QF90" i="48"/>
  <c r="PV89" i="48"/>
  <c r="U23" i="48"/>
  <c r="RT90" i="48"/>
  <c r="QO89" i="48"/>
  <c r="RM89" i="48"/>
  <c r="RG89" i="48"/>
  <c r="QK90" i="48"/>
  <c r="RS90" i="48"/>
  <c r="PW90" i="48"/>
  <c r="QJ90" i="48"/>
  <c r="RC90" i="48"/>
  <c r="Y23" i="48"/>
  <c r="PA90" i="48"/>
  <c r="KW90" i="48"/>
  <c r="FU90" i="48"/>
  <c r="QI90" i="48"/>
  <c r="RJ90" i="48"/>
  <c r="RP90" i="48"/>
  <c r="IM89" i="48"/>
  <c r="OX89" i="48"/>
  <c r="KT89" i="48"/>
  <c r="RA89" i="48"/>
  <c r="RB90" i="48"/>
  <c r="RN90" i="48"/>
  <c r="SD90" i="48"/>
  <c r="SQ90" i="48"/>
  <c r="SE89" i="48"/>
  <c r="RO90" i="48"/>
  <c r="NQ90" i="48"/>
  <c r="QX90" i="48"/>
  <c r="RD90" i="48"/>
  <c r="Z23" i="48"/>
  <c r="KS89" i="48"/>
  <c r="JU90" i="48"/>
  <c r="IK89" i="48"/>
  <c r="HM90" i="48"/>
  <c r="ES90" i="48"/>
  <c r="KV89" i="48"/>
  <c r="JR90" i="48"/>
  <c r="IH90" i="48"/>
  <c r="HJ90" i="48"/>
  <c r="FZ90" i="48"/>
  <c r="FB90" i="48"/>
  <c r="NM90" i="48"/>
  <c r="QE90" i="48"/>
  <c r="PS90" i="48"/>
  <c r="PU90" i="48"/>
  <c r="PW89" i="48"/>
  <c r="QH90" i="48"/>
  <c r="QI89" i="48"/>
  <c r="QS89" i="48"/>
  <c r="RE89" i="48"/>
  <c r="RQ89" i="48"/>
  <c r="QY90" i="48"/>
  <c r="RK90" i="48"/>
  <c r="SA90" i="48"/>
  <c r="SQ89" i="48"/>
  <c r="SE90" i="48"/>
  <c r="SL90" i="48"/>
  <c r="SG90" i="48"/>
  <c r="RU90" i="48"/>
  <c r="SU89" i="48"/>
  <c r="SI89" i="48"/>
  <c r="RW89" i="48"/>
  <c r="KU90" i="48"/>
  <c r="QZ90" i="48"/>
  <c r="RL90" i="48"/>
  <c r="RR90" i="48"/>
  <c r="JX90" i="48"/>
  <c r="DX90" i="48"/>
  <c r="PL90" i="48"/>
  <c r="EV90" i="48"/>
  <c r="FW90" i="48"/>
  <c r="PP90" i="48"/>
  <c r="SN90" i="48"/>
  <c r="MR90" i="48"/>
  <c r="HD90" i="48"/>
  <c r="QB90" i="48"/>
  <c r="OZ90" i="48"/>
  <c r="MF90" i="48"/>
  <c r="FT90" i="48"/>
  <c r="SB90" i="48"/>
  <c r="SK90" i="48"/>
  <c r="GP90" i="48"/>
  <c r="FR90" i="48"/>
  <c r="JA90" i="48"/>
  <c r="IC90" i="48"/>
  <c r="QR90" i="48"/>
  <c r="NP90" i="48"/>
  <c r="HP90" i="48"/>
  <c r="PR90" i="48"/>
  <c r="QP90" i="48"/>
  <c r="RY90" i="48"/>
  <c r="QA90" i="48"/>
  <c r="PO90" i="48"/>
  <c r="RE90" i="48"/>
  <c r="SF90" i="48"/>
  <c r="SM90" i="48"/>
  <c r="QD90" i="48"/>
  <c r="PY90" i="48"/>
  <c r="SW90" i="48"/>
  <c r="RZ90" i="48"/>
  <c r="SS90" i="48"/>
  <c r="QQ90" i="48"/>
  <c r="NN90" i="48"/>
  <c r="MP90" i="48"/>
  <c r="IX90" i="48"/>
  <c r="HN90" i="48"/>
  <c r="FF90" i="48"/>
  <c r="PM90" i="48"/>
  <c r="OC90" i="48"/>
  <c r="MS90" i="48"/>
  <c r="LI90" i="48"/>
  <c r="JY90" i="48"/>
  <c r="HQ90" i="48"/>
  <c r="HE90" i="48"/>
  <c r="EK90" i="48"/>
  <c r="DY90" i="48"/>
  <c r="MM90" i="48"/>
  <c r="JS90" i="48"/>
  <c r="GY90" i="48"/>
  <c r="GA90" i="48"/>
  <c r="PT90" i="48"/>
  <c r="QU90" i="48"/>
  <c r="KA90" i="48"/>
  <c r="EA90" i="48"/>
  <c r="OH90" i="48"/>
  <c r="GL90" i="48"/>
  <c r="OW90" i="48"/>
  <c r="OW89" i="48"/>
  <c r="NY90" i="48"/>
  <c r="NA90" i="48"/>
  <c r="LQ90" i="48"/>
  <c r="JI90" i="48"/>
  <c r="GO90" i="48"/>
  <c r="EG90" i="48"/>
  <c r="KS90" i="48"/>
  <c r="IZ90" i="48"/>
  <c r="OT90" i="48"/>
  <c r="MX90" i="48"/>
  <c r="KP90" i="48"/>
  <c r="ED90" i="48"/>
  <c r="IK90" i="48"/>
  <c r="IB90" i="48"/>
  <c r="EJ90" i="48"/>
  <c r="IE90" i="48"/>
  <c r="OV90" i="48"/>
  <c r="LP90" i="48"/>
  <c r="KF90" i="48"/>
  <c r="GN90" i="48"/>
  <c r="MQ90" i="48"/>
  <c r="IY90" i="48"/>
  <c r="FS90" i="48"/>
  <c r="FS89" i="48"/>
  <c r="PN90" i="48"/>
  <c r="OD90" i="48"/>
  <c r="MT90" i="48"/>
  <c r="LJ90" i="48"/>
  <c r="JN90" i="48"/>
  <c r="ID90" i="48"/>
  <c r="GH90" i="48"/>
  <c r="EX90" i="48"/>
  <c r="PE89" i="48"/>
  <c r="NU89" i="48"/>
  <c r="MK89" i="48"/>
  <c r="LA89" i="48"/>
  <c r="JQ89" i="48"/>
  <c r="IG89" i="48"/>
  <c r="HI89" i="48"/>
  <c r="GK89" i="48"/>
  <c r="FM89" i="48"/>
  <c r="EC89" i="48"/>
  <c r="OI90" i="48"/>
  <c r="NK90" i="48"/>
  <c r="LC90" i="48"/>
  <c r="KE90" i="48"/>
  <c r="JG90" i="48"/>
  <c r="HK90" i="48"/>
  <c r="FO90" i="48"/>
  <c r="FC90" i="48"/>
  <c r="EE90" i="48"/>
  <c r="OX90" i="48"/>
  <c r="NZ90" i="48"/>
  <c r="MD90" i="48"/>
  <c r="LF90" i="48"/>
  <c r="KH90" i="48"/>
  <c r="HB90" i="48"/>
  <c r="LU89" i="48"/>
  <c r="GG90" i="48"/>
  <c r="FI90" i="48"/>
  <c r="OB90" i="48"/>
  <c r="LH90" i="48"/>
  <c r="KJ90" i="48"/>
  <c r="JL90" i="48"/>
  <c r="HD89" i="48"/>
  <c r="GF90" i="48"/>
  <c r="FH90" i="48"/>
  <c r="OJ90" i="48"/>
  <c r="MB90" i="48"/>
  <c r="GZ90" i="48"/>
  <c r="FD90" i="48"/>
  <c r="PK90" i="48"/>
  <c r="OM90" i="48"/>
  <c r="OM89" i="48"/>
  <c r="KU89" i="48"/>
  <c r="OP90" i="48"/>
  <c r="NF90" i="48"/>
  <c r="LV90" i="48"/>
  <c r="KX90" i="48"/>
  <c r="JZ90" i="48"/>
  <c r="IP90" i="48"/>
  <c r="HF90" i="48"/>
  <c r="GT90" i="48"/>
  <c r="FJ90" i="48"/>
  <c r="DZ90" i="48"/>
  <c r="OS89" i="48"/>
  <c r="NI89" i="48"/>
  <c r="LY89" i="48"/>
  <c r="KO89" i="48"/>
  <c r="IS89" i="48"/>
  <c r="FA89" i="48"/>
  <c r="GM90" i="48"/>
  <c r="MZ90" i="48"/>
  <c r="IV90" i="48"/>
  <c r="ER90" i="48"/>
  <c r="OY90" i="48"/>
  <c r="OA90" i="48"/>
  <c r="LG90" i="48"/>
  <c r="HC90" i="48"/>
  <c r="LN90" i="48"/>
  <c r="KD90" i="48"/>
  <c r="PI90" i="48"/>
  <c r="OK89" i="48"/>
  <c r="OK90" i="48"/>
  <c r="NM89" i="48"/>
  <c r="MO90" i="48"/>
  <c r="MO89" i="48"/>
  <c r="LE89" i="48"/>
  <c r="FQ90" i="48"/>
  <c r="NJ90" i="48"/>
  <c r="LZ90" i="48"/>
  <c r="JF90" i="48"/>
  <c r="GX90" i="48"/>
  <c r="KV90" i="48"/>
  <c r="GR90" i="48"/>
  <c r="NL90" i="48"/>
  <c r="KR90" i="48"/>
  <c r="LS90" i="48"/>
  <c r="JK90" i="48"/>
  <c r="HO90" i="48"/>
  <c r="FG90" i="48"/>
  <c r="PB90" i="48"/>
  <c r="NR90" i="48"/>
  <c r="MH90" i="48"/>
  <c r="KL90" i="48"/>
  <c r="JB90" i="48"/>
  <c r="HR90" i="48"/>
  <c r="FV90" i="48"/>
  <c r="EL90" i="48"/>
  <c r="OG89" i="48"/>
  <c r="MW89" i="48"/>
  <c r="LM89" i="48"/>
  <c r="KC89" i="48"/>
  <c r="JE89" i="48"/>
  <c r="HU89" i="48"/>
  <c r="GW89" i="48"/>
  <c r="FY89" i="48"/>
  <c r="EO89" i="48"/>
  <c r="NW90" i="48"/>
  <c r="MY90" i="48"/>
  <c r="LO90" i="48"/>
  <c r="KQ90" i="48"/>
  <c r="IU90" i="48"/>
  <c r="HW90" i="48"/>
  <c r="EQ90" i="48"/>
  <c r="MC90" i="48"/>
  <c r="MC89" i="48"/>
  <c r="JU89" i="48"/>
  <c r="OZ89" i="48"/>
  <c r="ND89" i="48"/>
  <c r="LH89" i="48"/>
  <c r="IZ89" i="48"/>
  <c r="HP89" i="48"/>
  <c r="DX89" i="48"/>
  <c r="KG90" i="48"/>
  <c r="HY90" i="48"/>
  <c r="ES89" i="48"/>
  <c r="ON89" i="48"/>
  <c r="MR89" i="48"/>
  <c r="KJ89" i="48"/>
  <c r="IB89" i="48"/>
  <c r="GF89" i="48"/>
  <c r="EV89" i="48"/>
  <c r="PZ90" i="48"/>
  <c r="LQ89" i="48"/>
  <c r="GO89" i="48"/>
  <c r="EG89" i="48"/>
  <c r="OS90" i="48"/>
  <c r="NU90" i="48"/>
  <c r="MK90" i="48"/>
  <c r="LM90" i="48"/>
  <c r="KO90" i="48"/>
  <c r="JE90" i="48"/>
  <c r="IG90" i="48"/>
  <c r="GW90" i="48"/>
  <c r="FY90" i="48"/>
  <c r="EO90" i="48"/>
  <c r="PH89" i="48"/>
  <c r="NX89" i="48"/>
  <c r="MN89" i="48"/>
  <c r="LP89" i="48"/>
  <c r="KF89" i="48"/>
  <c r="IV89" i="48"/>
  <c r="HL89" i="48"/>
  <c r="GB89" i="48"/>
  <c r="FD89" i="48"/>
  <c r="EF89" i="48"/>
  <c r="PX90" i="48"/>
  <c r="PS89" i="48"/>
  <c r="SO90" i="48"/>
  <c r="SC90" i="48"/>
  <c r="SV90" i="48"/>
  <c r="SJ90" i="48"/>
  <c r="RX90" i="48"/>
  <c r="RS89" i="48"/>
  <c r="IW89" i="48"/>
  <c r="HA89" i="48"/>
  <c r="HA90" i="48"/>
  <c r="FE89" i="48"/>
  <c r="PL89" i="48"/>
  <c r="NP89" i="48"/>
  <c r="MF89" i="48"/>
  <c r="JL89" i="48"/>
  <c r="FH89" i="48"/>
  <c r="PF90" i="48"/>
  <c r="NV90" i="48"/>
  <c r="ML90" i="48"/>
  <c r="IT90" i="48"/>
  <c r="FN90" i="48"/>
  <c r="EP90" i="48"/>
  <c r="NY89" i="48"/>
  <c r="JI89" i="48"/>
  <c r="PE90" i="48"/>
  <c r="OG90" i="48"/>
  <c r="NI90" i="48"/>
  <c r="MW90" i="48"/>
  <c r="LY90" i="48"/>
  <c r="LA90" i="48"/>
  <c r="KC90" i="48"/>
  <c r="JQ90" i="48"/>
  <c r="IS90" i="48"/>
  <c r="HU90" i="48"/>
  <c r="HI90" i="48"/>
  <c r="GK90" i="48"/>
  <c r="FM90" i="48"/>
  <c r="FA90" i="48"/>
  <c r="EC90" i="48"/>
  <c r="OV89" i="48"/>
  <c r="OJ89" i="48"/>
  <c r="NL89" i="48"/>
  <c r="MZ89" i="48"/>
  <c r="MB89" i="48"/>
  <c r="LD89" i="48"/>
  <c r="KR89" i="48"/>
  <c r="JT89" i="48"/>
  <c r="JH89" i="48"/>
  <c r="IJ89" i="48"/>
  <c r="HX89" i="48"/>
  <c r="GZ89" i="48"/>
  <c r="GN89" i="48"/>
  <c r="FP89" i="48"/>
  <c r="ER89" i="48"/>
  <c r="QE89" i="48"/>
  <c r="PD90" i="48"/>
  <c r="OR90" i="48"/>
  <c r="OF90" i="48"/>
  <c r="NT90" i="48"/>
  <c r="NH90" i="48"/>
  <c r="LE90" i="48"/>
  <c r="HM89" i="48"/>
  <c r="GC89" i="48"/>
  <c r="GC90" i="48"/>
  <c r="OB89" i="48"/>
  <c r="LT89" i="48"/>
  <c r="JX89" i="48"/>
  <c r="IN89" i="48"/>
  <c r="GR89" i="48"/>
  <c r="FT89" i="48"/>
  <c r="EJ89" i="48"/>
  <c r="IW90" i="48"/>
  <c r="FE90" i="48"/>
  <c r="LB90" i="48"/>
  <c r="HV90" i="48"/>
  <c r="PI89" i="48"/>
  <c r="NA89" i="48"/>
  <c r="KG89" i="48"/>
  <c r="HY89" i="48"/>
  <c r="FQ89" i="48"/>
  <c r="IN90" i="48"/>
  <c r="PC90" i="48"/>
  <c r="OQ90" i="48"/>
  <c r="OE90" i="48"/>
  <c r="NS90" i="48"/>
  <c r="NG90" i="48"/>
  <c r="MU90" i="48"/>
  <c r="MI90" i="48"/>
  <c r="LW90" i="48"/>
  <c r="LK90" i="48"/>
  <c r="KY90" i="48"/>
  <c r="KM90" i="48"/>
  <c r="JO90" i="48"/>
  <c r="JC90" i="48"/>
  <c r="IQ90" i="48"/>
  <c r="HS90" i="48"/>
  <c r="HG90" i="48"/>
  <c r="GU90" i="48"/>
  <c r="GI90" i="48"/>
  <c r="FK90" i="48"/>
  <c r="EY90" i="48"/>
  <c r="EM90" i="48"/>
  <c r="PF89" i="48"/>
  <c r="OT89" i="48"/>
  <c r="OH89" i="48"/>
  <c r="NV89" i="48"/>
  <c r="NJ89" i="48"/>
  <c r="MX89" i="48"/>
  <c r="ML89" i="48"/>
  <c r="LZ89" i="48"/>
  <c r="LN89" i="48"/>
  <c r="LB89" i="48"/>
  <c r="KP89" i="48"/>
  <c r="KD89" i="48"/>
  <c r="JR89" i="48"/>
  <c r="JF89" i="48"/>
  <c r="IT89" i="48"/>
  <c r="IH89" i="48"/>
  <c r="HV89" i="48"/>
  <c r="HJ89" i="48"/>
  <c r="GX89" i="48"/>
  <c r="GL89" i="48"/>
  <c r="FZ89" i="48"/>
  <c r="FN89" i="48"/>
  <c r="FB89" i="48"/>
  <c r="EP89" i="48"/>
  <c r="ED89" i="48"/>
  <c r="PV90" i="48"/>
  <c r="QC89" i="48"/>
  <c r="PQ89" i="48"/>
  <c r="QJ89" i="48"/>
  <c r="QY89" i="48"/>
  <c r="RK89" i="48"/>
  <c r="QS90" i="48"/>
  <c r="RQ90" i="48"/>
  <c r="ST90" i="48"/>
  <c r="SH90" i="48"/>
  <c r="RV90" i="48"/>
  <c r="SO89" i="48"/>
  <c r="SC89" i="48"/>
  <c r="NB90" i="48"/>
  <c r="IL89" i="48"/>
  <c r="GD90" i="48"/>
  <c r="KK90" i="48"/>
  <c r="IO90" i="48"/>
  <c r="MV89" i="48"/>
  <c r="LL89" i="48"/>
  <c r="JP89" i="48"/>
  <c r="IF89" i="48"/>
  <c r="GJ89" i="48"/>
  <c r="EN89" i="48"/>
  <c r="QM90" i="48"/>
  <c r="SR90" i="48"/>
  <c r="PC89" i="48"/>
  <c r="OQ89" i="48"/>
  <c r="OE89" i="48"/>
  <c r="NS89" i="48"/>
  <c r="NG89" i="48"/>
  <c r="MU89" i="48"/>
  <c r="MI89" i="48"/>
  <c r="LW89" i="48"/>
  <c r="LK89" i="48"/>
  <c r="KY89" i="48"/>
  <c r="KM89" i="48"/>
  <c r="KA89" i="48"/>
  <c r="JO89" i="48"/>
  <c r="JC89" i="48"/>
  <c r="IQ89" i="48"/>
  <c r="IE89" i="48"/>
  <c r="HS89" i="48"/>
  <c r="HG89" i="48"/>
  <c r="GU89" i="48"/>
  <c r="FW89" i="48"/>
  <c r="EY89" i="48"/>
  <c r="EM89" i="48"/>
  <c r="EA89" i="48"/>
  <c r="PZ89" i="48"/>
  <c r="QL90" i="48"/>
  <c r="QP89" i="48"/>
  <c r="RB89" i="48"/>
  <c r="RN89" i="48"/>
  <c r="QV89" i="48"/>
  <c r="RH90" i="48"/>
  <c r="SL89" i="48"/>
  <c r="RZ89" i="48"/>
  <c r="HC89" i="48"/>
  <c r="RH89" i="48"/>
  <c r="OL90" i="48"/>
  <c r="NN89" i="48"/>
  <c r="EH90" i="48"/>
  <c r="OO90" i="48"/>
  <c r="NE89" i="48"/>
  <c r="NE90" i="48"/>
  <c r="LU90" i="48"/>
  <c r="JM89" i="48"/>
  <c r="GS90" i="48"/>
  <c r="EW90" i="48"/>
  <c r="PD89" i="48"/>
  <c r="OF89" i="48"/>
  <c r="NH89" i="48"/>
  <c r="LX89" i="48"/>
  <c r="KZ89" i="48"/>
  <c r="KB89" i="48"/>
  <c r="IR89" i="48"/>
  <c r="HT89" i="48"/>
  <c r="GV89" i="48"/>
  <c r="FL89" i="48"/>
  <c r="EZ89" i="48"/>
  <c r="PO89" i="48"/>
  <c r="QH89" i="48"/>
  <c r="ON90" i="48"/>
  <c r="ND90" i="48"/>
  <c r="LT90" i="48"/>
  <c r="FK89" i="48"/>
  <c r="PH90" i="48"/>
  <c r="JH90" i="48"/>
  <c r="HL90" i="48"/>
  <c r="GB90" i="48"/>
  <c r="KI90" i="48"/>
  <c r="JW90" i="48"/>
  <c r="IM90" i="48"/>
  <c r="GE90" i="48"/>
  <c r="EI90" i="48"/>
  <c r="PB89" i="48"/>
  <c r="OD89" i="48"/>
  <c r="NR89" i="48"/>
  <c r="MT89" i="48"/>
  <c r="LV89" i="48"/>
  <c r="KX89" i="48"/>
  <c r="JZ89" i="48"/>
  <c r="JB89" i="48"/>
  <c r="IP89" i="48"/>
  <c r="HR89" i="48"/>
  <c r="GT89" i="48"/>
  <c r="FV89" i="48"/>
  <c r="FJ89" i="48"/>
  <c r="EL89" i="48"/>
  <c r="QQ89" i="48"/>
  <c r="RC89" i="48"/>
  <c r="RO89" i="48"/>
  <c r="RI90" i="48"/>
  <c r="SP90" i="48"/>
  <c r="SD89" i="48"/>
  <c r="SW89" i="48"/>
  <c r="SK89" i="48"/>
  <c r="RY89" i="48"/>
  <c r="MD89" i="48"/>
  <c r="RI89" i="48"/>
  <c r="JM90" i="48"/>
  <c r="LR90" i="48"/>
  <c r="JV90" i="48"/>
  <c r="HZ90" i="48"/>
  <c r="OR89" i="48"/>
  <c r="NT89" i="48"/>
  <c r="MJ89" i="48"/>
  <c r="KN89" i="48"/>
  <c r="JD89" i="48"/>
  <c r="HH89" i="48"/>
  <c r="FX89" i="48"/>
  <c r="EB89" i="48"/>
  <c r="QA89" i="48"/>
  <c r="GD89" i="48"/>
  <c r="GI89" i="48"/>
  <c r="NX90" i="48"/>
  <c r="MN90" i="48"/>
  <c r="LD90" i="48"/>
  <c r="JT90" i="48"/>
  <c r="HX90" i="48"/>
  <c r="FP90" i="48"/>
  <c r="EF90" i="48"/>
  <c r="NC89" i="48"/>
  <c r="ME89" i="48"/>
  <c r="JK89" i="48"/>
  <c r="IA90" i="48"/>
  <c r="GQ90" i="48"/>
  <c r="EU89" i="48"/>
  <c r="EU90" i="48"/>
  <c r="PN89" i="48"/>
  <c r="OP89" i="48"/>
  <c r="NF89" i="48"/>
  <c r="MH89" i="48"/>
  <c r="LJ89" i="48"/>
  <c r="KL89" i="48"/>
  <c r="JN89" i="48"/>
  <c r="ID89" i="48"/>
  <c r="HF89" i="48"/>
  <c r="GH89" i="48"/>
  <c r="EX89" i="48"/>
  <c r="DZ89" i="48"/>
  <c r="PY89" i="48"/>
  <c r="JV89" i="48"/>
  <c r="HB89" i="48"/>
  <c r="QC90" i="48"/>
  <c r="PQ90" i="48"/>
  <c r="ME90" i="48"/>
  <c r="NC90" i="48"/>
  <c r="QV90" i="48"/>
  <c r="MV90" i="48"/>
  <c r="MJ90" i="48"/>
  <c r="LX90" i="48"/>
  <c r="LL90" i="48"/>
  <c r="KZ90" i="48"/>
  <c r="KN90" i="48"/>
  <c r="KB90" i="48"/>
  <c r="JP90" i="48"/>
  <c r="JD90" i="48"/>
  <c r="IR90" i="48"/>
  <c r="IF90" i="48"/>
  <c r="HT90" i="48"/>
  <c r="HH90" i="48"/>
  <c r="GV90" i="48"/>
  <c r="GJ90" i="48"/>
  <c r="FX90" i="48"/>
  <c r="FL90" i="48"/>
  <c r="EZ90" i="48"/>
  <c r="EN90" i="48"/>
  <c r="EB90" i="48"/>
  <c r="PG89" i="48"/>
  <c r="OU89" i="48"/>
  <c r="OI89" i="48"/>
  <c r="NW89" i="48"/>
  <c r="NK89" i="48"/>
  <c r="MY89" i="48"/>
  <c r="MM89" i="48"/>
  <c r="MA89" i="48"/>
  <c r="LO89" i="48"/>
  <c r="LC89" i="48"/>
  <c r="KQ89" i="48"/>
  <c r="KE89" i="48"/>
  <c r="JS89" i="48"/>
  <c r="JG89" i="48"/>
  <c r="IU89" i="48"/>
  <c r="II89" i="48"/>
  <c r="HW89" i="48"/>
  <c r="HK89" i="48"/>
  <c r="GY89" i="48"/>
  <c r="GM89" i="48"/>
  <c r="GA89" i="48"/>
  <c r="FO89" i="48"/>
  <c r="FC89" i="48"/>
  <c r="EQ89" i="48"/>
  <c r="EE89" i="48"/>
  <c r="QD89" i="48"/>
  <c r="PR89" i="48"/>
  <c r="SU90" i="48"/>
  <c r="SI90" i="48"/>
  <c r="RW90" i="48"/>
  <c r="RF90" i="48"/>
  <c r="QG89" i="48"/>
  <c r="PU89" i="48"/>
  <c r="QB89" i="48"/>
  <c r="QN90" i="48"/>
  <c r="SG89" i="48"/>
  <c r="SN89" i="48"/>
  <c r="SB89" i="48"/>
  <c r="SF89" i="48"/>
  <c r="SM89" i="48"/>
  <c r="SA89" i="48"/>
  <c r="PM89" i="48"/>
  <c r="PA89" i="48"/>
  <c r="OO89" i="48"/>
  <c r="OC89" i="48"/>
  <c r="NQ89" i="48"/>
  <c r="MS89" i="48"/>
  <c r="MG89" i="48"/>
  <c r="LI89" i="48"/>
  <c r="KW89" i="48"/>
  <c r="KK89" i="48"/>
  <c r="JY89" i="48"/>
  <c r="JA89" i="48"/>
  <c r="IO89" i="48"/>
  <c r="HQ89" i="48"/>
  <c r="HE89" i="48"/>
  <c r="GS89" i="48"/>
  <c r="GG89" i="48"/>
  <c r="FI89" i="48"/>
  <c r="EW89" i="48"/>
  <c r="DY89" i="48"/>
  <c r="PX89" i="48"/>
  <c r="QR89" i="48"/>
  <c r="RD89" i="48"/>
  <c r="RP89" i="48"/>
  <c r="SV89" i="48"/>
  <c r="SJ89" i="48"/>
  <c r="RX89" i="48"/>
  <c r="PK89" i="48"/>
  <c r="OY89" i="48"/>
  <c r="OA89" i="48"/>
  <c r="NO89" i="48"/>
  <c r="MQ89" i="48"/>
  <c r="LS89" i="48"/>
  <c r="LG89" i="48"/>
  <c r="KI89" i="48"/>
  <c r="JW89" i="48"/>
  <c r="IY89" i="48"/>
  <c r="IA89" i="48"/>
  <c r="HO89" i="48"/>
  <c r="GQ89" i="48"/>
  <c r="GE89" i="48"/>
  <c r="FG89" i="48"/>
  <c r="EI89" i="48"/>
  <c r="QT89" i="48"/>
  <c r="RR89" i="48"/>
  <c r="ST89" i="48"/>
  <c r="SH89" i="48"/>
  <c r="RV89" i="48"/>
  <c r="PJ89" i="48"/>
  <c r="NZ89" i="48"/>
  <c r="NB89" i="48"/>
  <c r="MP89" i="48"/>
  <c r="LR89" i="48"/>
  <c r="LF89" i="48"/>
  <c r="KH89" i="48"/>
  <c r="JJ89" i="48"/>
  <c r="IX89" i="48"/>
  <c r="HZ89" i="48"/>
  <c r="HN89" i="48"/>
  <c r="GP89" i="48"/>
  <c r="FR89" i="48"/>
  <c r="FF89" i="48"/>
  <c r="EH89" i="48"/>
  <c r="QN89" i="48"/>
  <c r="QU89" i="48"/>
  <c r="SS89" i="48"/>
  <c r="RU89" i="48"/>
  <c r="H2" i="44"/>
  <c r="G2" i="44"/>
  <c r="D87" i="48"/>
  <c r="C88" i="48"/>
  <c r="C34" i="48"/>
  <c r="C9" i="48"/>
  <c r="C87" i="48"/>
  <c r="C33" i="48"/>
  <c r="C32" i="48"/>
  <c r="C31" i="48"/>
  <c r="C85" i="48"/>
  <c r="C29" i="48"/>
  <c r="C83" i="48"/>
  <c r="C28" i="48"/>
  <c r="C74" i="48"/>
  <c r="D6" i="48"/>
  <c r="D36" i="48" s="1"/>
  <c r="C27" i="48"/>
  <c r="C81" i="48"/>
  <c r="C73" i="48"/>
  <c r="C66" i="48"/>
  <c r="C80" i="48"/>
  <c r="C67" i="48"/>
  <c r="C86" i="48"/>
  <c r="C30" i="48"/>
  <c r="C84" i="48"/>
  <c r="C82" i="48"/>
  <c r="C72" i="48"/>
  <c r="C70" i="48"/>
  <c r="C6" i="48"/>
  <c r="C35" i="48"/>
  <c r="D67" i="48"/>
  <c r="D85" i="48"/>
  <c r="D27" i="48"/>
  <c r="D29" i="48"/>
  <c r="D80" i="48"/>
  <c r="D33" i="48"/>
  <c r="D81" i="48"/>
  <c r="D28" i="48"/>
  <c r="D84" i="48"/>
  <c r="D35" i="48"/>
  <c r="D34" i="48"/>
  <c r="D82" i="48"/>
  <c r="D83" i="48"/>
  <c r="D73" i="48"/>
  <c r="D72" i="48"/>
  <c r="D66" i="48"/>
  <c r="D32" i="48"/>
  <c r="D31" i="48"/>
  <c r="D88" i="48"/>
  <c r="D68" i="48"/>
  <c r="D30" i="48"/>
  <c r="D86" i="48"/>
  <c r="E86" i="48"/>
  <c r="D74" i="48"/>
  <c r="D71" i="48"/>
  <c r="C69" i="48"/>
  <c r="D70" i="48"/>
  <c r="C71" i="48"/>
  <c r="E70" i="48"/>
  <c r="D69" i="48"/>
  <c r="E72" i="48"/>
  <c r="C68" i="48"/>
  <c r="J3" i="44"/>
  <c r="J2" i="44" s="1"/>
  <c r="CR3" i="48"/>
  <c r="BO3" i="48"/>
  <c r="MU76" i="48" l="1"/>
  <c r="MG50" i="48"/>
  <c r="MJ19" i="44" s="1"/>
  <c r="NB12" i="44"/>
  <c r="LX12" i="44"/>
  <c r="NC12" i="44"/>
  <c r="MJ10" i="44"/>
  <c r="MJ24" i="44" s="1"/>
  <c r="LM12" i="44"/>
  <c r="MC41" i="48"/>
  <c r="MC40" i="48"/>
  <c r="MC42" i="48"/>
  <c r="MC50" i="48"/>
  <c r="MF19" i="44" s="1"/>
  <c r="MC43" i="48"/>
  <c r="MC47" i="48"/>
  <c r="MF16" i="44" s="1"/>
  <c r="MC48" i="48"/>
  <c r="MF17" i="44" s="1"/>
  <c r="MC44" i="48"/>
  <c r="MC49" i="48"/>
  <c r="MG10" i="44" s="1"/>
  <c r="MC46" i="48"/>
  <c r="MF15" i="44" s="1"/>
  <c r="MC45" i="48"/>
  <c r="MF14" i="44" s="1"/>
  <c r="MM41" i="48"/>
  <c r="MM43" i="48"/>
  <c r="MM45" i="48"/>
  <c r="MP14" i="44" s="1"/>
  <c r="MM40" i="48"/>
  <c r="MM42" i="48"/>
  <c r="MM44" i="48"/>
  <c r="MM46" i="48"/>
  <c r="MP15" i="44" s="1"/>
  <c r="MM47" i="48"/>
  <c r="MP16" i="44" s="1"/>
  <c r="MM49" i="48"/>
  <c r="MM50" i="48"/>
  <c r="MP19" i="44" s="1"/>
  <c r="MM48" i="48"/>
  <c r="MP17" i="44" s="1"/>
  <c r="KZ40" i="48"/>
  <c r="KZ41" i="48"/>
  <c r="KZ42" i="48"/>
  <c r="KZ43" i="48"/>
  <c r="KZ49" i="48"/>
  <c r="KZ45" i="48"/>
  <c r="LC14" i="44" s="1"/>
  <c r="KZ46" i="48"/>
  <c r="LC15" i="44" s="1"/>
  <c r="KZ48" i="48"/>
  <c r="LC17" i="44" s="1"/>
  <c r="KZ47" i="48"/>
  <c r="LC16" i="44" s="1"/>
  <c r="KZ50" i="48"/>
  <c r="LC19" i="44" s="1"/>
  <c r="KZ44" i="48"/>
  <c r="LL49" i="48"/>
  <c r="LL44" i="48"/>
  <c r="LL47" i="48"/>
  <c r="LO16" i="44" s="1"/>
  <c r="LL48" i="48"/>
  <c r="LO17" i="44" s="1"/>
  <c r="LL40" i="48"/>
  <c r="LL41" i="48"/>
  <c r="LL42" i="48"/>
  <c r="LL43" i="48"/>
  <c r="LL50" i="48"/>
  <c r="LO19" i="44" s="1"/>
  <c r="LL45" i="48"/>
  <c r="LO14" i="44" s="1"/>
  <c r="LL46" i="48"/>
  <c r="LO15" i="44" s="1"/>
  <c r="KW40" i="48"/>
  <c r="KW42" i="48"/>
  <c r="KW44" i="48"/>
  <c r="KW46" i="48"/>
  <c r="KZ15" i="44" s="1"/>
  <c r="KW41" i="48"/>
  <c r="KW43" i="48"/>
  <c r="KW45" i="48"/>
  <c r="KZ14" i="44" s="1"/>
  <c r="KW47" i="48"/>
  <c r="KZ16" i="44" s="1"/>
  <c r="KW50" i="48"/>
  <c r="KZ19" i="44" s="1"/>
  <c r="KW48" i="48"/>
  <c r="KZ17" i="44" s="1"/>
  <c r="KW49" i="48"/>
  <c r="NC50" i="48"/>
  <c r="NF19" i="44" s="1"/>
  <c r="NC45" i="48"/>
  <c r="NF14" i="44" s="1"/>
  <c r="NC47" i="48"/>
  <c r="NF16" i="44" s="1"/>
  <c r="NC46" i="48"/>
  <c r="NF15" i="44" s="1"/>
  <c r="NC43" i="48"/>
  <c r="NC49" i="48"/>
  <c r="NG10" i="44" s="1"/>
  <c r="NG24" i="44" s="1"/>
  <c r="NC40" i="48"/>
  <c r="NC42" i="48"/>
  <c r="NC41" i="48"/>
  <c r="NC48" i="48"/>
  <c r="NF17" i="44" s="1"/>
  <c r="NC44" i="48"/>
  <c r="LZ44" i="48"/>
  <c r="LZ47" i="48"/>
  <c r="MC16" i="44" s="1"/>
  <c r="LZ40" i="48"/>
  <c r="LZ41" i="48"/>
  <c r="LZ42" i="48"/>
  <c r="LZ43" i="48"/>
  <c r="LZ49" i="48"/>
  <c r="LZ45" i="48"/>
  <c r="MC14" i="44" s="1"/>
  <c r="LZ50" i="48"/>
  <c r="MC19" i="44" s="1"/>
  <c r="LZ46" i="48"/>
  <c r="MC15" i="44" s="1"/>
  <c r="LZ48" i="48"/>
  <c r="MC17" i="44" s="1"/>
  <c r="MH40" i="48"/>
  <c r="MH42" i="48"/>
  <c r="MH41" i="48"/>
  <c r="MH43" i="48"/>
  <c r="MH45" i="48"/>
  <c r="MK14" i="44" s="1"/>
  <c r="MH47" i="48"/>
  <c r="MK16" i="44" s="1"/>
  <c r="MH48" i="48"/>
  <c r="MK17" i="44" s="1"/>
  <c r="MH46" i="48"/>
  <c r="MK15" i="44" s="1"/>
  <c r="MH44" i="48"/>
  <c r="MH49" i="48"/>
  <c r="MH50" i="48"/>
  <c r="MK19" i="44" s="1"/>
  <c r="LQ41" i="48"/>
  <c r="LQ43" i="48"/>
  <c r="LQ40" i="48"/>
  <c r="LQ42" i="48"/>
  <c r="LQ50" i="48"/>
  <c r="LT19" i="44" s="1"/>
  <c r="LQ45" i="48"/>
  <c r="LT14" i="44" s="1"/>
  <c r="LQ46" i="48"/>
  <c r="LT15" i="44" s="1"/>
  <c r="LQ44" i="48"/>
  <c r="LQ48" i="48"/>
  <c r="LT17" i="44" s="1"/>
  <c r="LQ49" i="48"/>
  <c r="LQ47" i="48"/>
  <c r="LT16" i="44" s="1"/>
  <c r="LS50" i="48"/>
  <c r="LV19" i="44" s="1"/>
  <c r="LS45" i="48"/>
  <c r="LV14" i="44" s="1"/>
  <c r="LS46" i="48"/>
  <c r="LV15" i="44" s="1"/>
  <c r="LS47" i="48"/>
  <c r="LV16" i="44" s="1"/>
  <c r="LS49" i="48"/>
  <c r="LS41" i="48"/>
  <c r="LS43" i="48"/>
  <c r="LS48" i="48"/>
  <c r="LV17" i="44" s="1"/>
  <c r="LS40" i="48"/>
  <c r="LS42" i="48"/>
  <c r="LS44" i="48"/>
  <c r="MK10" i="44"/>
  <c r="LG50" i="48"/>
  <c r="LJ19" i="44" s="1"/>
  <c r="LG46" i="48"/>
  <c r="LJ15" i="44" s="1"/>
  <c r="LG45" i="48"/>
  <c r="LJ14" i="44" s="1"/>
  <c r="LG49" i="48"/>
  <c r="LG44" i="48"/>
  <c r="LG48" i="48"/>
  <c r="LJ17" i="44" s="1"/>
  <c r="LG47" i="48"/>
  <c r="LJ16" i="44" s="1"/>
  <c r="LG40" i="48"/>
  <c r="LG41" i="48"/>
  <c r="LG42" i="48"/>
  <c r="LG43" i="48"/>
  <c r="LN44" i="48"/>
  <c r="LN46" i="48"/>
  <c r="LQ15" i="44" s="1"/>
  <c r="LN49" i="48"/>
  <c r="LN47" i="48"/>
  <c r="LQ16" i="44" s="1"/>
  <c r="LN40" i="48"/>
  <c r="LN41" i="48"/>
  <c r="LN42" i="48"/>
  <c r="LN43" i="48"/>
  <c r="LN45" i="48"/>
  <c r="LQ14" i="44" s="1"/>
  <c r="LN50" i="48"/>
  <c r="LQ19" i="44" s="1"/>
  <c r="LN48" i="48"/>
  <c r="LQ17" i="44" s="1"/>
  <c r="KV44" i="48"/>
  <c r="KV45" i="48"/>
  <c r="KY14" i="44" s="1"/>
  <c r="KV47" i="48"/>
  <c r="KY16" i="44" s="1"/>
  <c r="KV50" i="48"/>
  <c r="KY19" i="44" s="1"/>
  <c r="KV49" i="48"/>
  <c r="KV46" i="48"/>
  <c r="KY15" i="44" s="1"/>
  <c r="KV40" i="48"/>
  <c r="KV41" i="48"/>
  <c r="KV42" i="48"/>
  <c r="KV43" i="48"/>
  <c r="KV48" i="48"/>
  <c r="KY17" i="44" s="1"/>
  <c r="LB44" i="48"/>
  <c r="LB40" i="48"/>
  <c r="LB41" i="48"/>
  <c r="LB42" i="48"/>
  <c r="LB43" i="48"/>
  <c r="LB49" i="48"/>
  <c r="LB45" i="48"/>
  <c r="LE14" i="44" s="1"/>
  <c r="LB46" i="48"/>
  <c r="LE15" i="44" s="1"/>
  <c r="LB48" i="48"/>
  <c r="LE17" i="44" s="1"/>
  <c r="LB47" i="48"/>
  <c r="LE16" i="44" s="1"/>
  <c r="LB50" i="48"/>
  <c r="LE19" i="44" s="1"/>
  <c r="MD44" i="48"/>
  <c r="MD50" i="48"/>
  <c r="MG19" i="44" s="1"/>
  <c r="MD40" i="48"/>
  <c r="MD41" i="48"/>
  <c r="MD42" i="48"/>
  <c r="MD49" i="48"/>
  <c r="MD48" i="48"/>
  <c r="MG17" i="44" s="1"/>
  <c r="MD45" i="48"/>
  <c r="MG14" i="44" s="1"/>
  <c r="MD46" i="48"/>
  <c r="MG15" i="44" s="1"/>
  <c r="MD47" i="48"/>
  <c r="MG16" i="44" s="1"/>
  <c r="MD43" i="48"/>
  <c r="ME46" i="48"/>
  <c r="MH15" i="44" s="1"/>
  <c r="ME44" i="48"/>
  <c r="ME50" i="48"/>
  <c r="MH19" i="44" s="1"/>
  <c r="ME49" i="48"/>
  <c r="MI10" i="44" s="1"/>
  <c r="MI24" i="44" s="1"/>
  <c r="ME45" i="48"/>
  <c r="MH14" i="44" s="1"/>
  <c r="ME47" i="48"/>
  <c r="MH16" i="44" s="1"/>
  <c r="ME48" i="48"/>
  <c r="MH17" i="44" s="1"/>
  <c r="ME43" i="48"/>
  <c r="ME40" i="48"/>
  <c r="ME41" i="48"/>
  <c r="ME42" i="48"/>
  <c r="KX40" i="48"/>
  <c r="KX42" i="48"/>
  <c r="KX41" i="48"/>
  <c r="KX43" i="48"/>
  <c r="KX45" i="48"/>
  <c r="LA14" i="44" s="1"/>
  <c r="KX47" i="48"/>
  <c r="LA16" i="44" s="1"/>
  <c r="KX48" i="48"/>
  <c r="LA17" i="44" s="1"/>
  <c r="KX44" i="48"/>
  <c r="KX46" i="48"/>
  <c r="LA15" i="44" s="1"/>
  <c r="KX50" i="48"/>
  <c r="LA19" i="44" s="1"/>
  <c r="KX49" i="48"/>
  <c r="MR45" i="48"/>
  <c r="MU14" i="44" s="1"/>
  <c r="MR43" i="48"/>
  <c r="MR50" i="48"/>
  <c r="MU19" i="44" s="1"/>
  <c r="MR49" i="48"/>
  <c r="MV10" i="44" s="1"/>
  <c r="MR48" i="48"/>
  <c r="MU17" i="44" s="1"/>
  <c r="MR40" i="48"/>
  <c r="MR42" i="48"/>
  <c r="MR44" i="48"/>
  <c r="MR47" i="48"/>
  <c r="MU16" i="44" s="1"/>
  <c r="MR41" i="48"/>
  <c r="MR46" i="48"/>
  <c r="MU15" i="44" s="1"/>
  <c r="MS40" i="48"/>
  <c r="MS42" i="48"/>
  <c r="MS44" i="48"/>
  <c r="MS46" i="48"/>
  <c r="MV15" i="44" s="1"/>
  <c r="MS41" i="48"/>
  <c r="MS43" i="48"/>
  <c r="MS45" i="48"/>
  <c r="MV14" i="44" s="1"/>
  <c r="MS47" i="48"/>
  <c r="MV16" i="44" s="1"/>
  <c r="MS48" i="48"/>
  <c r="MV17" i="44" s="1"/>
  <c r="MS49" i="48"/>
  <c r="MS50" i="48"/>
  <c r="MV19" i="44" s="1"/>
  <c r="MA41" i="48"/>
  <c r="MA43" i="48"/>
  <c r="MA45" i="48"/>
  <c r="MD14" i="44" s="1"/>
  <c r="MA47" i="48"/>
  <c r="MD16" i="44" s="1"/>
  <c r="MA40" i="48"/>
  <c r="MA42" i="48"/>
  <c r="MA44" i="48"/>
  <c r="MA46" i="48"/>
  <c r="MD15" i="44" s="1"/>
  <c r="MA49" i="48"/>
  <c r="MA50" i="48"/>
  <c r="MD19" i="44" s="1"/>
  <c r="MA48" i="48"/>
  <c r="MD17" i="44" s="1"/>
  <c r="MN41" i="48"/>
  <c r="MN43" i="48"/>
  <c r="MN40" i="48"/>
  <c r="MN42" i="48"/>
  <c r="MN44" i="48"/>
  <c r="MN46" i="48"/>
  <c r="MQ15" i="44" s="1"/>
  <c r="MN47" i="48"/>
  <c r="MQ16" i="44" s="1"/>
  <c r="MN48" i="48"/>
  <c r="MQ17" i="44" s="1"/>
  <c r="MN45" i="48"/>
  <c r="MQ14" i="44" s="1"/>
  <c r="MN50" i="48"/>
  <c r="MQ19" i="44" s="1"/>
  <c r="MN49" i="48"/>
  <c r="LF50" i="48"/>
  <c r="LI19" i="44" s="1"/>
  <c r="LF40" i="48"/>
  <c r="LF41" i="48"/>
  <c r="LF42" i="48"/>
  <c r="LF43" i="48"/>
  <c r="LF45" i="48"/>
  <c r="LI14" i="44" s="1"/>
  <c r="LF49" i="48"/>
  <c r="LJ10" i="44" s="1"/>
  <c r="LF44" i="48"/>
  <c r="LF47" i="48"/>
  <c r="LI16" i="44" s="1"/>
  <c r="LF48" i="48"/>
  <c r="LI17" i="44" s="1"/>
  <c r="LF46" i="48"/>
  <c r="LI15" i="44" s="1"/>
  <c r="LW40" i="48"/>
  <c r="LW42" i="48"/>
  <c r="LW41" i="48"/>
  <c r="LW43" i="48"/>
  <c r="LW48" i="48"/>
  <c r="LZ17" i="44" s="1"/>
  <c r="LW46" i="48"/>
  <c r="LZ15" i="44" s="1"/>
  <c r="LW50" i="48"/>
  <c r="LZ19" i="44" s="1"/>
  <c r="LW44" i="48"/>
  <c r="LW47" i="48"/>
  <c r="LZ16" i="44" s="1"/>
  <c r="LW45" i="48"/>
  <c r="LZ14" i="44" s="1"/>
  <c r="LW49" i="48"/>
  <c r="NB13" i="44"/>
  <c r="MQ43" i="48"/>
  <c r="MQ50" i="48"/>
  <c r="MT19" i="44" s="1"/>
  <c r="MQ45" i="48"/>
  <c r="MT14" i="44" s="1"/>
  <c r="MQ49" i="48"/>
  <c r="MQ40" i="48"/>
  <c r="MQ42" i="48"/>
  <c r="MQ41" i="48"/>
  <c r="MQ48" i="48"/>
  <c r="MT17" i="44" s="1"/>
  <c r="MQ46" i="48"/>
  <c r="MT15" i="44" s="1"/>
  <c r="MQ47" i="48"/>
  <c r="MT16" i="44" s="1"/>
  <c r="MQ44" i="48"/>
  <c r="MW40" i="48"/>
  <c r="MW41" i="48"/>
  <c r="MW42" i="48"/>
  <c r="MW49" i="48"/>
  <c r="MZ10" i="44" s="1"/>
  <c r="MW44" i="48"/>
  <c r="MW46" i="48"/>
  <c r="MZ15" i="44" s="1"/>
  <c r="MW43" i="48"/>
  <c r="MW48" i="48"/>
  <c r="MZ17" i="44" s="1"/>
  <c r="MW50" i="48"/>
  <c r="MZ19" i="44" s="1"/>
  <c r="MW47" i="48"/>
  <c r="MZ16" i="44" s="1"/>
  <c r="MW45" i="48"/>
  <c r="MZ14" i="44" s="1"/>
  <c r="MP50" i="48"/>
  <c r="MS19" i="44" s="1"/>
  <c r="MP47" i="48"/>
  <c r="MS16" i="44" s="1"/>
  <c r="MP45" i="48"/>
  <c r="MS14" i="44" s="1"/>
  <c r="MP49" i="48"/>
  <c r="MP44" i="48"/>
  <c r="MP46" i="48"/>
  <c r="MS15" i="44" s="1"/>
  <c r="MP48" i="48"/>
  <c r="MS17" i="44" s="1"/>
  <c r="MP43" i="48"/>
  <c r="MP40" i="48"/>
  <c r="MP41" i="48"/>
  <c r="MP42" i="48"/>
  <c r="MT40" i="48"/>
  <c r="MT42" i="48"/>
  <c r="MT41" i="48"/>
  <c r="MT43" i="48"/>
  <c r="MT45" i="48"/>
  <c r="MW14" i="44" s="1"/>
  <c r="MT47" i="48"/>
  <c r="MW16" i="44" s="1"/>
  <c r="MT48" i="48"/>
  <c r="MW17" i="44" s="1"/>
  <c r="MT49" i="48"/>
  <c r="MT44" i="48"/>
  <c r="MT46" i="48"/>
  <c r="MW15" i="44" s="1"/>
  <c r="MT50" i="48"/>
  <c r="MW19" i="44" s="1"/>
  <c r="LE41" i="48"/>
  <c r="LE43" i="48"/>
  <c r="LE40" i="48"/>
  <c r="LE42" i="48"/>
  <c r="LE50" i="48"/>
  <c r="LH19" i="44" s="1"/>
  <c r="LE44" i="48"/>
  <c r="LE47" i="48"/>
  <c r="LH16" i="44" s="1"/>
  <c r="LE48" i="48"/>
  <c r="LH17" i="44" s="1"/>
  <c r="LE45" i="48"/>
  <c r="LH14" i="44" s="1"/>
  <c r="LE49" i="48"/>
  <c r="LI10" i="44" s="1"/>
  <c r="LE46" i="48"/>
  <c r="LH15" i="44" s="1"/>
  <c r="KY40" i="48"/>
  <c r="KY42" i="48"/>
  <c r="KY41" i="48"/>
  <c r="KY43" i="48"/>
  <c r="KY45" i="48"/>
  <c r="LB14" i="44" s="1"/>
  <c r="KY46" i="48"/>
  <c r="LB15" i="44" s="1"/>
  <c r="KY48" i="48"/>
  <c r="LB17" i="44" s="1"/>
  <c r="KY47" i="48"/>
  <c r="LB16" i="44" s="1"/>
  <c r="KY50" i="48"/>
  <c r="LB19" i="44" s="1"/>
  <c r="KY49" i="48"/>
  <c r="LC10" i="44" s="1"/>
  <c r="KY44" i="48"/>
  <c r="LK40" i="48"/>
  <c r="LK42" i="48"/>
  <c r="LK41" i="48"/>
  <c r="LK43" i="48"/>
  <c r="LK44" i="48"/>
  <c r="LK47" i="48"/>
  <c r="LN16" i="44" s="1"/>
  <c r="LK48" i="48"/>
  <c r="LN17" i="44" s="1"/>
  <c r="LK50" i="48"/>
  <c r="LN19" i="44" s="1"/>
  <c r="LK45" i="48"/>
  <c r="LN14" i="44" s="1"/>
  <c r="LK49" i="48"/>
  <c r="LK46" i="48"/>
  <c r="LN15" i="44" s="1"/>
  <c r="LT45" i="48"/>
  <c r="LW14" i="44" s="1"/>
  <c r="LT50" i="48"/>
  <c r="LW19" i="44" s="1"/>
  <c r="LT44" i="48"/>
  <c r="LT47" i="48"/>
  <c r="LW16" i="44" s="1"/>
  <c r="LT49" i="48"/>
  <c r="LT41" i="48"/>
  <c r="LT43" i="48"/>
  <c r="LT48" i="48"/>
  <c r="LW17" i="44" s="1"/>
  <c r="LT40" i="48"/>
  <c r="LT42" i="48"/>
  <c r="LT46" i="48"/>
  <c r="LW15" i="44" s="1"/>
  <c r="KZ12" i="44"/>
  <c r="MK49" i="48"/>
  <c r="MK45" i="48"/>
  <c r="MN14" i="44" s="1"/>
  <c r="MK48" i="48"/>
  <c r="MN17" i="44" s="1"/>
  <c r="MK44" i="48"/>
  <c r="MK40" i="48"/>
  <c r="MK41" i="48"/>
  <c r="MK42" i="48"/>
  <c r="MK43" i="48"/>
  <c r="MK50" i="48"/>
  <c r="MN19" i="44" s="1"/>
  <c r="MK46" i="48"/>
  <c r="MN15" i="44" s="1"/>
  <c r="MK47" i="48"/>
  <c r="MN16" i="44" s="1"/>
  <c r="ML44" i="48"/>
  <c r="ML49" i="48"/>
  <c r="MP10" i="44" s="1"/>
  <c r="ML45" i="48"/>
  <c r="MO14" i="44" s="1"/>
  <c r="ML46" i="48"/>
  <c r="MO15" i="44" s="1"/>
  <c r="ML40" i="48"/>
  <c r="ML41" i="48"/>
  <c r="ML42" i="48"/>
  <c r="ML50" i="48"/>
  <c r="MO19" i="44" s="1"/>
  <c r="ML48" i="48"/>
  <c r="MO17" i="44" s="1"/>
  <c r="ML47" i="48"/>
  <c r="MO16" i="44" s="1"/>
  <c r="ML43" i="48"/>
  <c r="MU40" i="48"/>
  <c r="MU42" i="48"/>
  <c r="MU41" i="48"/>
  <c r="MU43" i="48"/>
  <c r="MU44" i="48"/>
  <c r="MU46" i="48"/>
  <c r="MX15" i="44" s="1"/>
  <c r="MU48" i="48"/>
  <c r="MX17" i="44" s="1"/>
  <c r="MU50" i="48"/>
  <c r="MX19" i="44" s="1"/>
  <c r="MU47" i="48"/>
  <c r="MX16" i="44" s="1"/>
  <c r="MU45" i="48"/>
  <c r="MX14" i="44" s="1"/>
  <c r="MU49" i="48"/>
  <c r="MY10" i="44" s="1"/>
  <c r="MY24" i="44" s="1"/>
  <c r="MB41" i="48"/>
  <c r="MB43" i="48"/>
  <c r="MB40" i="48"/>
  <c r="MB42" i="48"/>
  <c r="MB44" i="48"/>
  <c r="MB46" i="48"/>
  <c r="ME15" i="44" s="1"/>
  <c r="MB47" i="48"/>
  <c r="ME16" i="44" s="1"/>
  <c r="MB48" i="48"/>
  <c r="ME17" i="44" s="1"/>
  <c r="MB45" i="48"/>
  <c r="ME14" i="44" s="1"/>
  <c r="MB49" i="48"/>
  <c r="MB50" i="48"/>
  <c r="ME19" i="44" s="1"/>
  <c r="NB50" i="48"/>
  <c r="NE19" i="44" s="1"/>
  <c r="NB45" i="48"/>
  <c r="NE14" i="44" s="1"/>
  <c r="NB47" i="48"/>
  <c r="NE16" i="44" s="1"/>
  <c r="NB40" i="48"/>
  <c r="NB41" i="48"/>
  <c r="NB42" i="48"/>
  <c r="NB43" i="48"/>
  <c r="NB49" i="48"/>
  <c r="NF10" i="44" s="1"/>
  <c r="NB48" i="48"/>
  <c r="NE17" i="44" s="1"/>
  <c r="NB46" i="48"/>
  <c r="NE15" i="44" s="1"/>
  <c r="NB44" i="48"/>
  <c r="LV40" i="48"/>
  <c r="LV42" i="48"/>
  <c r="LV41" i="48"/>
  <c r="LV43" i="48"/>
  <c r="LV45" i="48"/>
  <c r="LY14" i="44" s="1"/>
  <c r="LV47" i="48"/>
  <c r="LY16" i="44" s="1"/>
  <c r="LV48" i="48"/>
  <c r="LY17" i="44" s="1"/>
  <c r="LV44" i="48"/>
  <c r="LV50" i="48"/>
  <c r="LY19" i="44" s="1"/>
  <c r="LV46" i="48"/>
  <c r="LY15" i="44" s="1"/>
  <c r="LV49" i="48"/>
  <c r="LP41" i="48"/>
  <c r="LP43" i="48"/>
  <c r="LP40" i="48"/>
  <c r="LP42" i="48"/>
  <c r="LP44" i="48"/>
  <c r="LP46" i="48"/>
  <c r="LS15" i="44" s="1"/>
  <c r="LP45" i="48"/>
  <c r="LS14" i="44" s="1"/>
  <c r="LP48" i="48"/>
  <c r="LS17" i="44" s="1"/>
  <c r="LP49" i="48"/>
  <c r="LT10" i="44" s="1"/>
  <c r="LP47" i="48"/>
  <c r="LS16" i="44" s="1"/>
  <c r="LP50" i="48"/>
  <c r="LS19" i="44" s="1"/>
  <c r="LH45" i="48"/>
  <c r="LK14" i="44" s="1"/>
  <c r="LH50" i="48"/>
  <c r="LK19" i="44" s="1"/>
  <c r="LH46" i="48"/>
  <c r="LK15" i="44" s="1"/>
  <c r="LH49" i="48"/>
  <c r="LH44" i="48"/>
  <c r="LH47" i="48"/>
  <c r="LK16" i="44" s="1"/>
  <c r="LH40" i="48"/>
  <c r="LH41" i="48"/>
  <c r="LH42" i="48"/>
  <c r="LH43" i="48"/>
  <c r="LH48" i="48"/>
  <c r="LK17" i="44" s="1"/>
  <c r="MJ49" i="48"/>
  <c r="MN10" i="44" s="1"/>
  <c r="MJ45" i="48"/>
  <c r="MM14" i="44" s="1"/>
  <c r="MJ48" i="48"/>
  <c r="MM17" i="44" s="1"/>
  <c r="MJ40" i="48"/>
  <c r="MJ41" i="48"/>
  <c r="MJ42" i="48"/>
  <c r="MJ43" i="48"/>
  <c r="MJ50" i="48"/>
  <c r="MM19" i="44" s="1"/>
  <c r="MJ46" i="48"/>
  <c r="MM15" i="44" s="1"/>
  <c r="MJ47" i="48"/>
  <c r="MM16" i="44" s="1"/>
  <c r="MJ44" i="48"/>
  <c r="MY41" i="48"/>
  <c r="MY43" i="48"/>
  <c r="MY45" i="48"/>
  <c r="NB14" i="44" s="1"/>
  <c r="MY40" i="48"/>
  <c r="MY42" i="48"/>
  <c r="MY44" i="48"/>
  <c r="MY46" i="48"/>
  <c r="NB15" i="44" s="1"/>
  <c r="MY49" i="48"/>
  <c r="MY50" i="48"/>
  <c r="NB19" i="44" s="1"/>
  <c r="MY48" i="48"/>
  <c r="NB17" i="44" s="1"/>
  <c r="MY47" i="48"/>
  <c r="NB16" i="44" s="1"/>
  <c r="MZ41" i="48"/>
  <c r="MZ43" i="48"/>
  <c r="MZ40" i="48"/>
  <c r="MZ42" i="48"/>
  <c r="MZ44" i="48"/>
  <c r="MZ46" i="48"/>
  <c r="NC15" i="44" s="1"/>
  <c r="MZ45" i="48"/>
  <c r="NC14" i="44" s="1"/>
  <c r="MZ47" i="48"/>
  <c r="NC16" i="44" s="1"/>
  <c r="MZ48" i="48"/>
  <c r="NC17" i="44" s="1"/>
  <c r="MZ50" i="48"/>
  <c r="NC19" i="44" s="1"/>
  <c r="MZ49" i="48"/>
  <c r="MI40" i="48"/>
  <c r="MI42" i="48"/>
  <c r="MI41" i="48"/>
  <c r="MI43" i="48"/>
  <c r="MI45" i="48"/>
  <c r="ML14" i="44" s="1"/>
  <c r="MI48" i="48"/>
  <c r="ML17" i="44" s="1"/>
  <c r="MI46" i="48"/>
  <c r="ML15" i="44" s="1"/>
  <c r="MI50" i="48"/>
  <c r="ML19" i="44" s="1"/>
  <c r="MI47" i="48"/>
  <c r="ML16" i="44" s="1"/>
  <c r="MI49" i="48"/>
  <c r="MI44" i="48"/>
  <c r="LX40" i="48"/>
  <c r="LX41" i="48"/>
  <c r="LX42" i="48"/>
  <c r="LX43" i="48"/>
  <c r="LX49" i="48"/>
  <c r="LX48" i="48"/>
  <c r="MA17" i="44" s="1"/>
  <c r="LX46" i="48"/>
  <c r="MA15" i="44" s="1"/>
  <c r="LX50" i="48"/>
  <c r="MA19" i="44" s="1"/>
  <c r="LX44" i="48"/>
  <c r="LX47" i="48"/>
  <c r="MA16" i="44" s="1"/>
  <c r="LX45" i="48"/>
  <c r="MA14" i="44" s="1"/>
  <c r="LO41" i="48"/>
  <c r="LO43" i="48"/>
  <c r="LO45" i="48"/>
  <c r="LR14" i="44" s="1"/>
  <c r="LO47" i="48"/>
  <c r="LR16" i="44" s="1"/>
  <c r="LO40" i="48"/>
  <c r="LO42" i="48"/>
  <c r="LO44" i="48"/>
  <c r="LO46" i="48"/>
  <c r="LR15" i="44" s="1"/>
  <c r="LO49" i="48"/>
  <c r="LO48" i="48"/>
  <c r="LR17" i="44" s="1"/>
  <c r="LO50" i="48"/>
  <c r="LR19" i="44" s="1"/>
  <c r="MX44" i="48"/>
  <c r="MX40" i="48"/>
  <c r="MX41" i="48"/>
  <c r="MX42" i="48"/>
  <c r="MX49" i="48"/>
  <c r="MX46" i="48"/>
  <c r="NA15" i="44" s="1"/>
  <c r="MX48" i="48"/>
  <c r="NA17" i="44" s="1"/>
  <c r="MX45" i="48"/>
  <c r="NA14" i="44" s="1"/>
  <c r="MX43" i="48"/>
  <c r="MX47" i="48"/>
  <c r="NA16" i="44" s="1"/>
  <c r="MX50" i="48"/>
  <c r="NA19" i="44" s="1"/>
  <c r="LD41" i="48"/>
  <c r="LD43" i="48"/>
  <c r="LD40" i="48"/>
  <c r="LD42" i="48"/>
  <c r="LD44" i="48"/>
  <c r="LD46" i="48"/>
  <c r="LG15" i="44" s="1"/>
  <c r="LD47" i="48"/>
  <c r="LG16" i="44" s="1"/>
  <c r="LD48" i="48"/>
  <c r="LG17" i="44" s="1"/>
  <c r="LD49" i="48"/>
  <c r="LD50" i="48"/>
  <c r="LG19" i="44" s="1"/>
  <c r="LD45" i="48"/>
  <c r="LG14" i="44" s="1"/>
  <c r="LR50" i="48"/>
  <c r="LU19" i="44" s="1"/>
  <c r="LR45" i="48"/>
  <c r="LU14" i="44" s="1"/>
  <c r="LR46" i="48"/>
  <c r="LU15" i="44" s="1"/>
  <c r="LR47" i="48"/>
  <c r="LU16" i="44" s="1"/>
  <c r="LR49" i="48"/>
  <c r="LV10" i="44" s="1"/>
  <c r="LR48" i="48"/>
  <c r="LU17" i="44" s="1"/>
  <c r="LR41" i="48"/>
  <c r="LR43" i="48"/>
  <c r="LR40" i="48"/>
  <c r="LR42" i="48"/>
  <c r="LR44" i="48"/>
  <c r="LC41" i="48"/>
  <c r="LC43" i="48"/>
  <c r="LC45" i="48"/>
  <c r="LF14" i="44" s="1"/>
  <c r="LC47" i="48"/>
  <c r="LF16" i="44" s="1"/>
  <c r="LC40" i="48"/>
  <c r="LC42" i="48"/>
  <c r="LC44" i="48"/>
  <c r="LC46" i="48"/>
  <c r="LF15" i="44" s="1"/>
  <c r="LC49" i="48"/>
  <c r="LC48" i="48"/>
  <c r="LF17" i="44" s="1"/>
  <c r="LC50" i="48"/>
  <c r="LF19" i="44" s="1"/>
  <c r="LM49" i="48"/>
  <c r="LQ10" i="44" s="1"/>
  <c r="LM44" i="48"/>
  <c r="LM47" i="48"/>
  <c r="LP16" i="44" s="1"/>
  <c r="LM48" i="48"/>
  <c r="LP17" i="44" s="1"/>
  <c r="LM40" i="48"/>
  <c r="LM41" i="48"/>
  <c r="LM42" i="48"/>
  <c r="LM43" i="48"/>
  <c r="LM50" i="48"/>
  <c r="LP19" i="44" s="1"/>
  <c r="LM45" i="48"/>
  <c r="LP14" i="44" s="1"/>
  <c r="LM46" i="48"/>
  <c r="LP15" i="44" s="1"/>
  <c r="NA41" i="48"/>
  <c r="NA40" i="48"/>
  <c r="NA42" i="48"/>
  <c r="NA50" i="48"/>
  <c r="ND19" i="44" s="1"/>
  <c r="NA45" i="48"/>
  <c r="ND14" i="44" s="1"/>
  <c r="NA47" i="48"/>
  <c r="ND16" i="44" s="1"/>
  <c r="NA44" i="48"/>
  <c r="NA48" i="48"/>
  <c r="ND17" i="44" s="1"/>
  <c r="NA46" i="48"/>
  <c r="ND15" i="44" s="1"/>
  <c r="NA49" i="48"/>
  <c r="NA43" i="48"/>
  <c r="LU40" i="48"/>
  <c r="LU42" i="48"/>
  <c r="LU44" i="48"/>
  <c r="LU46" i="48"/>
  <c r="LX15" i="44" s="1"/>
  <c r="LU41" i="48"/>
  <c r="LU43" i="48"/>
  <c r="LU45" i="48"/>
  <c r="LX14" i="44" s="1"/>
  <c r="LU47" i="48"/>
  <c r="LX16" i="44" s="1"/>
  <c r="LU50" i="48"/>
  <c r="LX19" i="44" s="1"/>
  <c r="LU48" i="48"/>
  <c r="LX17" i="44" s="1"/>
  <c r="LU49" i="48"/>
  <c r="LA40" i="48"/>
  <c r="LA41" i="48"/>
  <c r="LA42" i="48"/>
  <c r="LA43" i="48"/>
  <c r="LA49" i="48"/>
  <c r="LA45" i="48"/>
  <c r="LD14" i="44" s="1"/>
  <c r="LA46" i="48"/>
  <c r="LD15" i="44" s="1"/>
  <c r="LA48" i="48"/>
  <c r="LD17" i="44" s="1"/>
  <c r="LA44" i="48"/>
  <c r="LA50" i="48"/>
  <c r="LD19" i="44" s="1"/>
  <c r="LA47" i="48"/>
  <c r="LD16" i="44" s="1"/>
  <c r="MO41" i="48"/>
  <c r="MO40" i="48"/>
  <c r="MO42" i="48"/>
  <c r="MO50" i="48"/>
  <c r="MR19" i="44" s="1"/>
  <c r="MO47" i="48"/>
  <c r="MR16" i="44" s="1"/>
  <c r="MO44" i="48"/>
  <c r="MO46" i="48"/>
  <c r="MR15" i="44" s="1"/>
  <c r="MO48" i="48"/>
  <c r="MR17" i="44" s="1"/>
  <c r="MO49" i="48"/>
  <c r="MS10" i="44" s="1"/>
  <c r="MO43" i="48"/>
  <c r="MO45" i="48"/>
  <c r="MR14" i="44" s="1"/>
  <c r="LI40" i="48"/>
  <c r="LI42" i="48"/>
  <c r="LI44" i="48"/>
  <c r="LI46" i="48"/>
  <c r="LL15" i="44" s="1"/>
  <c r="LI41" i="48"/>
  <c r="LI43" i="48"/>
  <c r="LI45" i="48"/>
  <c r="LL14" i="44" s="1"/>
  <c r="LI47" i="48"/>
  <c r="LL16" i="44" s="1"/>
  <c r="LI50" i="48"/>
  <c r="LL19" i="44" s="1"/>
  <c r="LI48" i="48"/>
  <c r="LL17" i="44" s="1"/>
  <c r="LI49" i="48"/>
  <c r="LM10" i="44" s="1"/>
  <c r="LJ40" i="48"/>
  <c r="LJ42" i="48"/>
  <c r="LJ41" i="48"/>
  <c r="LJ43" i="48"/>
  <c r="LJ45" i="48"/>
  <c r="LM14" i="44" s="1"/>
  <c r="LJ47" i="48"/>
  <c r="LM16" i="44" s="1"/>
  <c r="LJ48" i="48"/>
  <c r="LM17" i="44" s="1"/>
  <c r="LJ46" i="48"/>
  <c r="LM15" i="44" s="1"/>
  <c r="LJ50" i="48"/>
  <c r="LM19" i="44" s="1"/>
  <c r="LJ49" i="48"/>
  <c r="LN10" i="44" s="1"/>
  <c r="LJ44" i="48"/>
  <c r="LG13" i="44"/>
  <c r="KV76" i="48"/>
  <c r="KY21" i="44" s="1"/>
  <c r="LU76" i="48"/>
  <c r="LX21" i="44" s="1"/>
  <c r="LX26" i="44" s="1"/>
  <c r="LK13" i="44"/>
  <c r="LP76" i="48"/>
  <c r="LS22" i="44" s="1"/>
  <c r="KY12" i="44"/>
  <c r="LE13" i="44"/>
  <c r="LE12" i="44"/>
  <c r="LK12" i="44"/>
  <c r="LT76" i="48"/>
  <c r="LW21" i="44" s="1"/>
  <c r="LQ13" i="44"/>
  <c r="KZ13" i="44"/>
  <c r="LQ12" i="44"/>
  <c r="JW50" i="48"/>
  <c r="JZ19" i="44" s="1"/>
  <c r="JY48" i="48"/>
  <c r="KB17" i="44" s="1"/>
  <c r="JW41" i="48"/>
  <c r="JW49" i="48"/>
  <c r="JY42" i="48"/>
  <c r="JY41" i="48"/>
  <c r="KM50" i="48"/>
  <c r="KP19" i="44" s="1"/>
  <c r="JY40" i="48"/>
  <c r="JY46" i="48"/>
  <c r="KB15" i="44" s="1"/>
  <c r="JY50" i="48"/>
  <c r="KB19" i="44" s="1"/>
  <c r="JY44" i="48"/>
  <c r="KB12" i="44"/>
  <c r="KM49" i="48"/>
  <c r="JZ47" i="48"/>
  <c r="KC16" i="44" s="1"/>
  <c r="JX41" i="48"/>
  <c r="JZ49" i="48"/>
  <c r="KC10" i="44" s="1"/>
  <c r="KA44" i="48"/>
  <c r="KC21" i="44"/>
  <c r="KA43" i="48"/>
  <c r="JZ40" i="48"/>
  <c r="KA42" i="48"/>
  <c r="JZ48" i="48"/>
  <c r="KC17" i="44" s="1"/>
  <c r="JX43" i="48"/>
  <c r="JZ44" i="48"/>
  <c r="KC12" i="44"/>
  <c r="JZ41" i="48"/>
  <c r="JZ46" i="48"/>
  <c r="KC15" i="44" s="1"/>
  <c r="KM47" i="48"/>
  <c r="KP16" i="44" s="1"/>
  <c r="JX42" i="48"/>
  <c r="JX44" i="48"/>
  <c r="KA49" i="48"/>
  <c r="KB47" i="48"/>
  <c r="KE16" i="44" s="1"/>
  <c r="JX46" i="48"/>
  <c r="KA15" i="44" s="1"/>
  <c r="KA50" i="48"/>
  <c r="KD19" i="44" s="1"/>
  <c r="KB48" i="48"/>
  <c r="KE17" i="44" s="1"/>
  <c r="JX48" i="48"/>
  <c r="KA17" i="44" s="1"/>
  <c r="JX49" i="48"/>
  <c r="KM45" i="48"/>
  <c r="KP14" i="44" s="1"/>
  <c r="KB49" i="48"/>
  <c r="KB44" i="48"/>
  <c r="KA47" i="48"/>
  <c r="KD16" i="44" s="1"/>
  <c r="KA45" i="48"/>
  <c r="KD14" i="44" s="1"/>
  <c r="KM48" i="48"/>
  <c r="KP17" i="44" s="1"/>
  <c r="JX50" i="48"/>
  <c r="KA19" i="44" s="1"/>
  <c r="KB50" i="48"/>
  <c r="KE19" i="44" s="1"/>
  <c r="JX47" i="48"/>
  <c r="KA16" i="44" s="1"/>
  <c r="KA41" i="48"/>
  <c r="KM46" i="48"/>
  <c r="KP15" i="44" s="1"/>
  <c r="KB46" i="48"/>
  <c r="KE15" i="44" s="1"/>
  <c r="KB40" i="48"/>
  <c r="KD12" i="44"/>
  <c r="KA48" i="48"/>
  <c r="KD17" i="44" s="1"/>
  <c r="KM43" i="48"/>
  <c r="JX45" i="48"/>
  <c r="KA14" i="44" s="1"/>
  <c r="KB42" i="48"/>
  <c r="KA40" i="48"/>
  <c r="KB43" i="48"/>
  <c r="KM41" i="48"/>
  <c r="KB41" i="48"/>
  <c r="KM44" i="48"/>
  <c r="JZ42" i="48"/>
  <c r="KM42" i="48"/>
  <c r="JY43" i="48"/>
  <c r="JY45" i="48"/>
  <c r="KB14" i="44" s="1"/>
  <c r="JY47" i="48"/>
  <c r="KB16" i="44" s="1"/>
  <c r="JW46" i="48"/>
  <c r="JZ15" i="44" s="1"/>
  <c r="JW42" i="48"/>
  <c r="JW44" i="48"/>
  <c r="JW47" i="48"/>
  <c r="JZ16" i="44" s="1"/>
  <c r="JW48" i="48"/>
  <c r="JZ17" i="44" s="1"/>
  <c r="JW43" i="48"/>
  <c r="JZ50" i="48"/>
  <c r="KC19" i="44" s="1"/>
  <c r="JZ45" i="48"/>
  <c r="KC14" i="44" s="1"/>
  <c r="JW45" i="48"/>
  <c r="JZ14" i="44" s="1"/>
  <c r="KQ41" i="48"/>
  <c r="KQ43" i="48"/>
  <c r="KQ45" i="48"/>
  <c r="KT14" i="44" s="1"/>
  <c r="KQ47" i="48"/>
  <c r="KT16" i="44" s="1"/>
  <c r="KQ48" i="48"/>
  <c r="KT17" i="44" s="1"/>
  <c r="KQ50" i="48"/>
  <c r="KT19" i="44" s="1"/>
  <c r="KQ40" i="48"/>
  <c r="KQ42" i="48"/>
  <c r="KQ44" i="48"/>
  <c r="KQ46" i="48"/>
  <c r="KT15" i="44" s="1"/>
  <c r="KQ49" i="48"/>
  <c r="KT44" i="48"/>
  <c r="KT46" i="48"/>
  <c r="KW15" i="44" s="1"/>
  <c r="KT48" i="48"/>
  <c r="KW17" i="44" s="1"/>
  <c r="KT49" i="48"/>
  <c r="KT41" i="48"/>
  <c r="KT43" i="48"/>
  <c r="KT45" i="48"/>
  <c r="KW14" i="44" s="1"/>
  <c r="KT47" i="48"/>
  <c r="KW16" i="44" s="1"/>
  <c r="KT50" i="48"/>
  <c r="KW19" i="44" s="1"/>
  <c r="KT40" i="48"/>
  <c r="KT42" i="48"/>
  <c r="KK41" i="48"/>
  <c r="KK40" i="48"/>
  <c r="KK45" i="48"/>
  <c r="KN14" i="44" s="1"/>
  <c r="KK42" i="48"/>
  <c r="KK44" i="48"/>
  <c r="KK46" i="48"/>
  <c r="KN15" i="44" s="1"/>
  <c r="KK43" i="48"/>
  <c r="KK48" i="48"/>
  <c r="KN17" i="44" s="1"/>
  <c r="KK49" i="48"/>
  <c r="KK50" i="48"/>
  <c r="KN19" i="44" s="1"/>
  <c r="KK47" i="48"/>
  <c r="KN16" i="44" s="1"/>
  <c r="KN12" i="44"/>
  <c r="KE41" i="48"/>
  <c r="KE48" i="48"/>
  <c r="KH17" i="44" s="1"/>
  <c r="KE43" i="48"/>
  <c r="KE45" i="48"/>
  <c r="KH14" i="44" s="1"/>
  <c r="KE47" i="48"/>
  <c r="KH16" i="44" s="1"/>
  <c r="KE40" i="48"/>
  <c r="KE50" i="48"/>
  <c r="KH19" i="44" s="1"/>
  <c r="KE46" i="48"/>
  <c r="KH15" i="44" s="1"/>
  <c r="KE44" i="48"/>
  <c r="KE49" i="48"/>
  <c r="KE42" i="48"/>
  <c r="KJ40" i="48"/>
  <c r="KJ43" i="48"/>
  <c r="KJ42" i="48"/>
  <c r="KJ47" i="48"/>
  <c r="KM16" i="44" s="1"/>
  <c r="KJ44" i="48"/>
  <c r="KJ46" i="48"/>
  <c r="KM15" i="44" s="1"/>
  <c r="KJ48" i="48"/>
  <c r="KM17" i="44" s="1"/>
  <c r="KJ49" i="48"/>
  <c r="KJ41" i="48"/>
  <c r="KJ45" i="48"/>
  <c r="KM14" i="44" s="1"/>
  <c r="KJ50" i="48"/>
  <c r="KM19" i="44" s="1"/>
  <c r="KF49" i="48"/>
  <c r="KF42" i="48"/>
  <c r="KF46" i="48"/>
  <c r="KI15" i="44" s="1"/>
  <c r="KF41" i="48"/>
  <c r="KF43" i="48"/>
  <c r="KF44" i="48"/>
  <c r="KF45" i="48"/>
  <c r="KI14" i="44" s="1"/>
  <c r="KF47" i="48"/>
  <c r="KI16" i="44" s="1"/>
  <c r="KF40" i="48"/>
  <c r="KF50" i="48"/>
  <c r="KI19" i="44" s="1"/>
  <c r="KF48" i="48"/>
  <c r="KI17" i="44" s="1"/>
  <c r="KR49" i="48"/>
  <c r="KR44" i="48"/>
  <c r="KR41" i="48"/>
  <c r="KR43" i="48"/>
  <c r="KR40" i="48"/>
  <c r="KR45" i="48"/>
  <c r="KU14" i="44" s="1"/>
  <c r="KR46" i="48"/>
  <c r="KU15" i="44" s="1"/>
  <c r="KR47" i="48"/>
  <c r="KU16" i="44" s="1"/>
  <c r="KR50" i="48"/>
  <c r="KU19" i="44" s="1"/>
  <c r="KR42" i="48"/>
  <c r="KR48" i="48"/>
  <c r="KU17" i="44" s="1"/>
  <c r="KT12" i="44"/>
  <c r="KI42" i="48"/>
  <c r="KI44" i="48"/>
  <c r="KI46" i="48"/>
  <c r="KL15" i="44" s="1"/>
  <c r="KI48" i="48"/>
  <c r="KL17" i="44" s="1"/>
  <c r="KI49" i="48"/>
  <c r="KI45" i="48"/>
  <c r="KL14" i="44" s="1"/>
  <c r="KI41" i="48"/>
  <c r="KI47" i="48"/>
  <c r="KL16" i="44" s="1"/>
  <c r="KI43" i="48"/>
  <c r="KI50" i="48"/>
  <c r="KL19" i="44" s="1"/>
  <c r="KI40" i="48"/>
  <c r="KD41" i="48"/>
  <c r="KD43" i="48"/>
  <c r="KD42" i="48"/>
  <c r="KD48" i="48"/>
  <c r="KG17" i="44" s="1"/>
  <c r="KD45" i="48"/>
  <c r="KG14" i="44" s="1"/>
  <c r="KD47" i="48"/>
  <c r="KG16" i="44" s="1"/>
  <c r="KD50" i="48"/>
  <c r="KG19" i="44" s="1"/>
  <c r="KD44" i="48"/>
  <c r="KD46" i="48"/>
  <c r="KG15" i="44" s="1"/>
  <c r="KD40" i="48"/>
  <c r="KD49" i="48"/>
  <c r="KC43" i="48"/>
  <c r="KC45" i="48"/>
  <c r="KF14" i="44" s="1"/>
  <c r="KC44" i="48"/>
  <c r="KC47" i="48"/>
  <c r="KF16" i="44" s="1"/>
  <c r="KC46" i="48"/>
  <c r="KF15" i="44" s="1"/>
  <c r="KC48" i="48"/>
  <c r="KF17" i="44" s="1"/>
  <c r="KC50" i="48"/>
  <c r="KF19" i="44" s="1"/>
  <c r="KC40" i="48"/>
  <c r="KC42" i="48"/>
  <c r="KC49" i="48"/>
  <c r="KC41" i="48"/>
  <c r="KP41" i="48"/>
  <c r="KP43" i="48"/>
  <c r="KP44" i="48"/>
  <c r="KP48" i="48"/>
  <c r="KS17" i="44" s="1"/>
  <c r="KP45" i="48"/>
  <c r="KS14" i="44" s="1"/>
  <c r="KP47" i="48"/>
  <c r="KS16" i="44" s="1"/>
  <c r="KP50" i="48"/>
  <c r="KS19" i="44" s="1"/>
  <c r="KP42" i="48"/>
  <c r="KP40" i="48"/>
  <c r="KP46" i="48"/>
  <c r="KS15" i="44" s="1"/>
  <c r="KP49" i="48"/>
  <c r="KH44" i="48"/>
  <c r="KH46" i="48"/>
  <c r="KK15" i="44" s="1"/>
  <c r="KH48" i="48"/>
  <c r="KK17" i="44" s="1"/>
  <c r="KH47" i="48"/>
  <c r="KK16" i="44" s="1"/>
  <c r="KH49" i="48"/>
  <c r="KH40" i="48"/>
  <c r="KH41" i="48"/>
  <c r="KH43" i="48"/>
  <c r="KH50" i="48"/>
  <c r="KK19" i="44" s="1"/>
  <c r="KH45" i="48"/>
  <c r="KK14" i="44" s="1"/>
  <c r="KH42" i="48"/>
  <c r="KL50" i="48"/>
  <c r="KO19" i="44" s="1"/>
  <c r="KL41" i="48"/>
  <c r="KL43" i="48"/>
  <c r="KL40" i="48"/>
  <c r="KL42" i="48"/>
  <c r="KL45" i="48"/>
  <c r="KO14" i="44" s="1"/>
  <c r="KL44" i="48"/>
  <c r="KL46" i="48"/>
  <c r="KO15" i="44" s="1"/>
  <c r="KL48" i="48"/>
  <c r="KO17" i="44" s="1"/>
  <c r="KL49" i="48"/>
  <c r="KL47" i="48"/>
  <c r="KO16" i="44" s="1"/>
  <c r="KO43" i="48"/>
  <c r="KO45" i="48"/>
  <c r="KR14" i="44" s="1"/>
  <c r="KO46" i="48"/>
  <c r="KR15" i="44" s="1"/>
  <c r="KO47" i="48"/>
  <c r="KR16" i="44" s="1"/>
  <c r="KO50" i="48"/>
  <c r="KR19" i="44" s="1"/>
  <c r="KO44" i="48"/>
  <c r="KO49" i="48"/>
  <c r="KO40" i="48"/>
  <c r="KO42" i="48"/>
  <c r="KO41" i="48"/>
  <c r="KO48" i="48"/>
  <c r="KR17" i="44" s="1"/>
  <c r="KG48" i="48"/>
  <c r="KJ17" i="44" s="1"/>
  <c r="KG50" i="48"/>
  <c r="KJ19" i="44" s="1"/>
  <c r="KG49" i="48"/>
  <c r="KG41" i="48"/>
  <c r="KG42" i="48"/>
  <c r="KG43" i="48"/>
  <c r="KG45" i="48"/>
  <c r="KJ14" i="44" s="1"/>
  <c r="KG47" i="48"/>
  <c r="KJ16" i="44" s="1"/>
  <c r="KG40" i="48"/>
  <c r="KG44" i="48"/>
  <c r="KG46" i="48"/>
  <c r="KJ15" i="44" s="1"/>
  <c r="KS48" i="48"/>
  <c r="KV17" i="44" s="1"/>
  <c r="KS49" i="48"/>
  <c r="KS41" i="48"/>
  <c r="KS43" i="48"/>
  <c r="KS45" i="48"/>
  <c r="KV14" i="44" s="1"/>
  <c r="KS47" i="48"/>
  <c r="KV16" i="44" s="1"/>
  <c r="KS50" i="48"/>
  <c r="KV19" i="44" s="1"/>
  <c r="KS40" i="48"/>
  <c r="KS42" i="48"/>
  <c r="KS44" i="48"/>
  <c r="KS46" i="48"/>
  <c r="KV15" i="44" s="1"/>
  <c r="KN45" i="48"/>
  <c r="KQ14" i="44" s="1"/>
  <c r="KN48" i="48"/>
  <c r="KQ17" i="44" s="1"/>
  <c r="KN47" i="48"/>
  <c r="KQ16" i="44" s="1"/>
  <c r="KN50" i="48"/>
  <c r="KQ19" i="44" s="1"/>
  <c r="KN49" i="48"/>
  <c r="KN40" i="48"/>
  <c r="KN41" i="48"/>
  <c r="KN42" i="48"/>
  <c r="KN44" i="48"/>
  <c r="KN46" i="48"/>
  <c r="KQ15" i="44" s="1"/>
  <c r="KN43" i="48"/>
  <c r="JV41" i="48"/>
  <c r="JV44" i="48"/>
  <c r="JV47" i="48"/>
  <c r="JY16" i="44" s="1"/>
  <c r="JV43" i="48"/>
  <c r="JV40" i="48"/>
  <c r="JV49" i="48"/>
  <c r="JV46" i="48"/>
  <c r="JY15" i="44" s="1"/>
  <c r="JV42" i="48"/>
  <c r="JV45" i="48"/>
  <c r="JY14" i="44" s="1"/>
  <c r="JV48" i="48"/>
  <c r="JY17" i="44" s="1"/>
  <c r="JV50" i="48"/>
  <c r="JY19" i="44" s="1"/>
  <c r="JU45" i="48"/>
  <c r="JX14" i="44" s="1"/>
  <c r="JU40" i="48"/>
  <c r="JU44" i="48"/>
  <c r="JU48" i="48"/>
  <c r="JX17" i="44" s="1"/>
  <c r="JU50" i="48"/>
  <c r="JX19" i="44" s="1"/>
  <c r="JU49" i="48"/>
  <c r="JU43" i="48"/>
  <c r="JU47" i="48"/>
  <c r="JX16" i="44" s="1"/>
  <c r="JU42" i="48"/>
  <c r="JU46" i="48"/>
  <c r="JX15" i="44" s="1"/>
  <c r="JU41" i="48"/>
  <c r="JT45" i="48"/>
  <c r="JW14" i="44" s="1"/>
  <c r="JT44" i="48"/>
  <c r="JT43" i="48"/>
  <c r="JT50" i="48"/>
  <c r="JW19" i="44" s="1"/>
  <c r="JT42" i="48"/>
  <c r="JT49" i="48"/>
  <c r="JT41" i="48"/>
  <c r="JT48" i="48"/>
  <c r="JW17" i="44" s="1"/>
  <c r="JT47" i="48"/>
  <c r="JW16" i="44" s="1"/>
  <c r="JT40" i="48"/>
  <c r="JT46" i="48"/>
  <c r="JW15" i="44" s="1"/>
  <c r="KT13" i="44"/>
  <c r="KQ76" i="48"/>
  <c r="KT21" i="44" s="1"/>
  <c r="JS50" i="48"/>
  <c r="JV19" i="44" s="1"/>
  <c r="JS45" i="48"/>
  <c r="JV14" i="44" s="1"/>
  <c r="JS44" i="48"/>
  <c r="JS43" i="48"/>
  <c r="JS42" i="48"/>
  <c r="JS40" i="48"/>
  <c r="JS41" i="48"/>
  <c r="JS49" i="48"/>
  <c r="JS48" i="48"/>
  <c r="JV17" i="44" s="1"/>
  <c r="JS47" i="48"/>
  <c r="JV16" i="44" s="1"/>
  <c r="JS46" i="48"/>
  <c r="JV15" i="44" s="1"/>
  <c r="JS76" i="48"/>
  <c r="JV12" i="44"/>
  <c r="JR45" i="48"/>
  <c r="JU14" i="44" s="1"/>
  <c r="JR42" i="48"/>
  <c r="JR40" i="48"/>
  <c r="JR50" i="48"/>
  <c r="JU19" i="44" s="1"/>
  <c r="JR49" i="48"/>
  <c r="JR48" i="48"/>
  <c r="JU17" i="44" s="1"/>
  <c r="JR47" i="48"/>
  <c r="JU16" i="44" s="1"/>
  <c r="JR46" i="48"/>
  <c r="JU15" i="44" s="1"/>
  <c r="JR44" i="48"/>
  <c r="JR43" i="48"/>
  <c r="JR41" i="48"/>
  <c r="JQ50" i="48"/>
  <c r="JT19" i="44" s="1"/>
  <c r="JQ40" i="48"/>
  <c r="JQ49" i="48"/>
  <c r="JQ48" i="48"/>
  <c r="JT17" i="44" s="1"/>
  <c r="JQ47" i="48"/>
  <c r="JT16" i="44" s="1"/>
  <c r="JQ46" i="48"/>
  <c r="JT15" i="44" s="1"/>
  <c r="JQ43" i="48"/>
  <c r="JQ42" i="48"/>
  <c r="JQ41" i="48"/>
  <c r="JQ44" i="48"/>
  <c r="JQ45" i="48"/>
  <c r="JT14" i="44" s="1"/>
  <c r="JT76" i="48"/>
  <c r="JW12" i="44"/>
  <c r="KJ76" i="48"/>
  <c r="KM13" i="44"/>
  <c r="KM12" i="44"/>
  <c r="KA13" i="44"/>
  <c r="JX76" i="48"/>
  <c r="KA12" i="44"/>
  <c r="KI12" i="44"/>
  <c r="KF76" i="48"/>
  <c r="KH13" i="44"/>
  <c r="KE76" i="48"/>
  <c r="JK7" i="48"/>
  <c r="JL7" i="48" s="1"/>
  <c r="JM7" i="48" s="1"/>
  <c r="JD7" i="48"/>
  <c r="JE7" i="48" s="1"/>
  <c r="IZ76" i="48"/>
  <c r="JC22" i="44" s="1"/>
  <c r="JC27" i="44" s="1"/>
  <c r="IH62" i="48"/>
  <c r="IK11" i="44" s="1"/>
  <c r="IK25" i="44" s="1"/>
  <c r="IE62" i="48"/>
  <c r="IH11" i="44" s="1"/>
  <c r="IV76" i="48"/>
  <c r="IY22" i="44" s="1"/>
  <c r="JA76" i="48"/>
  <c r="JO13" i="44"/>
  <c r="JE13" i="44"/>
  <c r="IY13" i="44"/>
  <c r="IS13" i="44"/>
  <c r="IJ62" i="48"/>
  <c r="IM11" i="44" s="1"/>
  <c r="IM25" i="44" s="1"/>
  <c r="IJ58" i="48"/>
  <c r="IJ54" i="48"/>
  <c r="IJ61" i="48"/>
  <c r="IG12" i="44"/>
  <c r="IG21" i="44"/>
  <c r="IG26" i="44" s="1"/>
  <c r="IH53" i="48"/>
  <c r="ID47" i="48"/>
  <c r="IG16" i="44" s="1"/>
  <c r="IG55" i="48"/>
  <c r="IH54" i="48"/>
  <c r="IG63" i="48"/>
  <c r="IJ20" i="44" s="1"/>
  <c r="IG62" i="48"/>
  <c r="IJ11" i="44" s="1"/>
  <c r="IE63" i="48"/>
  <c r="IH20" i="44" s="1"/>
  <c r="IH25" i="44" s="1"/>
  <c r="IE59" i="48"/>
  <c r="IE56" i="48"/>
  <c r="IH58" i="48"/>
  <c r="IH59" i="48"/>
  <c r="IH55" i="48"/>
  <c r="IF60" i="48"/>
  <c r="IG56" i="48"/>
  <c r="IJ59" i="48"/>
  <c r="IH57" i="48"/>
  <c r="IF59" i="48"/>
  <c r="IH61" i="48"/>
  <c r="IH56" i="48"/>
  <c r="IJ55" i="48"/>
  <c r="IF58" i="48"/>
  <c r="IJ53" i="48"/>
  <c r="IJ56" i="48"/>
  <c r="IG54" i="48"/>
  <c r="IJ57" i="48"/>
  <c r="II63" i="48"/>
  <c r="IL20" i="44" s="1"/>
  <c r="II61" i="48"/>
  <c r="II59" i="48"/>
  <c r="IF62" i="48"/>
  <c r="II11" i="44" s="1"/>
  <c r="IE54" i="48"/>
  <c r="IG58" i="48"/>
  <c r="IE61" i="48"/>
  <c r="IM12" i="44"/>
  <c r="II62" i="48"/>
  <c r="IL11" i="44" s="1"/>
  <c r="IK56" i="48"/>
  <c r="IK53" i="48"/>
  <c r="IG59" i="48"/>
  <c r="IE53" i="48"/>
  <c r="IH41" i="48"/>
  <c r="IH45" i="48"/>
  <c r="IK14" i="44" s="1"/>
  <c r="IH49" i="48"/>
  <c r="IH42" i="48"/>
  <c r="IH46" i="48"/>
  <c r="IK15" i="44" s="1"/>
  <c r="IH50" i="48"/>
  <c r="IK19" i="44" s="1"/>
  <c r="IH43" i="48"/>
  <c r="IH47" i="48"/>
  <c r="IK16" i="44" s="1"/>
  <c r="IH40" i="48"/>
  <c r="IH44" i="48"/>
  <c r="IH48" i="48"/>
  <c r="IK17" i="44" s="1"/>
  <c r="IE58" i="48"/>
  <c r="IE55" i="48"/>
  <c r="IF57" i="48"/>
  <c r="IK55" i="48"/>
  <c r="IK40" i="48"/>
  <c r="IK44" i="48"/>
  <c r="IK48" i="48"/>
  <c r="IN17" i="44" s="1"/>
  <c r="IK41" i="48"/>
  <c r="IK45" i="48"/>
  <c r="IN14" i="44" s="1"/>
  <c r="IK49" i="48"/>
  <c r="IK42" i="48"/>
  <c r="IK46" i="48"/>
  <c r="IN15" i="44" s="1"/>
  <c r="IK50" i="48"/>
  <c r="IN19" i="44" s="1"/>
  <c r="IK43" i="48"/>
  <c r="IK47" i="48"/>
  <c r="IN16" i="44" s="1"/>
  <c r="IK60" i="48"/>
  <c r="IK57" i="48"/>
  <c r="IK54" i="48"/>
  <c r="IE57" i="48"/>
  <c r="IF53" i="48"/>
  <c r="IK59" i="48"/>
  <c r="IK63" i="48"/>
  <c r="IN20" i="44" s="1"/>
  <c r="IN25" i="44" s="1"/>
  <c r="II41" i="48"/>
  <c r="II45" i="48"/>
  <c r="IL14" i="44" s="1"/>
  <c r="II49" i="48"/>
  <c r="II42" i="48"/>
  <c r="II46" i="48"/>
  <c r="IL15" i="44" s="1"/>
  <c r="II50" i="48"/>
  <c r="IL19" i="44" s="1"/>
  <c r="II43" i="48"/>
  <c r="II47" i="48"/>
  <c r="IL16" i="44" s="1"/>
  <c r="II40" i="48"/>
  <c r="II44" i="48"/>
  <c r="II48" i="48"/>
  <c r="IL17" i="44" s="1"/>
  <c r="II60" i="48"/>
  <c r="IK61" i="48"/>
  <c r="IK58" i="48"/>
  <c r="II56" i="48"/>
  <c r="II53" i="48"/>
  <c r="II54" i="48"/>
  <c r="IG53" i="48"/>
  <c r="IJ40" i="48"/>
  <c r="IJ44" i="48"/>
  <c r="IJ48" i="48"/>
  <c r="IM17" i="44" s="1"/>
  <c r="IJ41" i="48"/>
  <c r="IJ45" i="48"/>
  <c r="IM14" i="44" s="1"/>
  <c r="IJ49" i="48"/>
  <c r="IJ42" i="48"/>
  <c r="IJ46" i="48"/>
  <c r="IM15" i="44" s="1"/>
  <c r="IJ50" i="48"/>
  <c r="IM19" i="44" s="1"/>
  <c r="IJ43" i="48"/>
  <c r="IJ47" i="48"/>
  <c r="IM16" i="44" s="1"/>
  <c r="ID49" i="48"/>
  <c r="IH10" i="44" s="1"/>
  <c r="IH24" i="44" s="1"/>
  <c r="IF42" i="48"/>
  <c r="IF46" i="48"/>
  <c r="II15" i="44" s="1"/>
  <c r="IF50" i="48"/>
  <c r="II19" i="44" s="1"/>
  <c r="IF43" i="48"/>
  <c r="IF47" i="48"/>
  <c r="II16" i="44" s="1"/>
  <c r="IF40" i="48"/>
  <c r="IF44" i="48"/>
  <c r="IF48" i="48"/>
  <c r="II17" i="44" s="1"/>
  <c r="IF41" i="48"/>
  <c r="IF45" i="48"/>
  <c r="II14" i="44" s="1"/>
  <c r="IF49" i="48"/>
  <c r="II10" i="44" s="1"/>
  <c r="IF54" i="48"/>
  <c r="IF55" i="48"/>
  <c r="IG60" i="48"/>
  <c r="IG57" i="48"/>
  <c r="IG41" i="48"/>
  <c r="IG45" i="48"/>
  <c r="IJ14" i="44" s="1"/>
  <c r="IG49" i="48"/>
  <c r="IG42" i="48"/>
  <c r="IG46" i="48"/>
  <c r="IJ15" i="44" s="1"/>
  <c r="IG50" i="48"/>
  <c r="IJ19" i="44" s="1"/>
  <c r="IG43" i="48"/>
  <c r="IG47" i="48"/>
  <c r="IJ16" i="44" s="1"/>
  <c r="IG40" i="48"/>
  <c r="IG44" i="48"/>
  <c r="IG48" i="48"/>
  <c r="IJ17" i="44" s="1"/>
  <c r="II57" i="48"/>
  <c r="II58" i="48"/>
  <c r="IF63" i="48"/>
  <c r="II20" i="44" s="1"/>
  <c r="IF56" i="48"/>
  <c r="ID44" i="48"/>
  <c r="ID48" i="48"/>
  <c r="IG17" i="44" s="1"/>
  <c r="IA53" i="48"/>
  <c r="ID46" i="48"/>
  <c r="IG15" i="44" s="1"/>
  <c r="ID43" i="48"/>
  <c r="ID40" i="48"/>
  <c r="ID45" i="48"/>
  <c r="IG14" i="44" s="1"/>
  <c r="ID42" i="48"/>
  <c r="HZ63" i="48"/>
  <c r="IC20" i="44" s="1"/>
  <c r="HZ62" i="48"/>
  <c r="IC11" i="44" s="1"/>
  <c r="HZ57" i="48"/>
  <c r="HZ53" i="48"/>
  <c r="IB55" i="48"/>
  <c r="IB61" i="48"/>
  <c r="HZ55" i="48"/>
  <c r="ID25" i="44"/>
  <c r="HX63" i="48"/>
  <c r="IA20" i="44" s="1"/>
  <c r="IA54" i="48"/>
  <c r="HZ61" i="48"/>
  <c r="HX62" i="48"/>
  <c r="IA11" i="44" s="1"/>
  <c r="HZ58" i="48"/>
  <c r="IC58" i="48"/>
  <c r="IA55" i="48"/>
  <c r="HZ12" i="44"/>
  <c r="HX45" i="48"/>
  <c r="IA14" i="44" s="1"/>
  <c r="IA59" i="48"/>
  <c r="HX50" i="48"/>
  <c r="IA19" i="44" s="1"/>
  <c r="ID61" i="48"/>
  <c r="HZ60" i="48"/>
  <c r="IA58" i="48"/>
  <c r="HX48" i="48"/>
  <c r="IA17" i="44" s="1"/>
  <c r="IA61" i="48"/>
  <c r="HZ56" i="48"/>
  <c r="HX49" i="48"/>
  <c r="HZ59" i="48"/>
  <c r="IA57" i="48"/>
  <c r="IA60" i="48"/>
  <c r="HX46" i="48"/>
  <c r="IA15" i="44" s="1"/>
  <c r="IA56" i="48"/>
  <c r="IB58" i="48"/>
  <c r="IC41" i="48"/>
  <c r="IC45" i="48"/>
  <c r="IF14" i="44" s="1"/>
  <c r="IC50" i="48"/>
  <c r="IF19" i="44" s="1"/>
  <c r="IC47" i="48"/>
  <c r="IF16" i="44" s="1"/>
  <c r="IC40" i="48"/>
  <c r="IC42" i="48"/>
  <c r="IC44" i="48"/>
  <c r="IC46" i="48"/>
  <c r="IF15" i="44" s="1"/>
  <c r="IC48" i="48"/>
  <c r="IF17" i="44" s="1"/>
  <c r="IC43" i="48"/>
  <c r="IC49" i="48"/>
  <c r="ID55" i="48"/>
  <c r="IC59" i="48"/>
  <c r="IC61" i="48"/>
  <c r="IC57" i="48"/>
  <c r="IC55" i="48"/>
  <c r="IC53" i="48"/>
  <c r="IB53" i="48"/>
  <c r="IC56" i="48"/>
  <c r="IB56" i="48"/>
  <c r="IB63" i="48"/>
  <c r="IE20" i="44" s="1"/>
  <c r="IB50" i="48"/>
  <c r="IE19" i="44" s="1"/>
  <c r="IB40" i="48"/>
  <c r="IB42" i="48"/>
  <c r="IB44" i="48"/>
  <c r="IB46" i="48"/>
  <c r="IE15" i="44" s="1"/>
  <c r="IB48" i="48"/>
  <c r="IE17" i="44" s="1"/>
  <c r="IB49" i="48"/>
  <c r="IB41" i="48"/>
  <c r="IB43" i="48"/>
  <c r="IB45" i="48"/>
  <c r="IE14" i="44" s="1"/>
  <c r="IB47" i="48"/>
  <c r="IE16" i="44" s="1"/>
  <c r="ID62" i="48"/>
  <c r="IG11" i="44" s="1"/>
  <c r="IG25" i="44" s="1"/>
  <c r="ID57" i="48"/>
  <c r="IC62" i="48"/>
  <c r="IF11" i="44" s="1"/>
  <c r="ID60" i="48"/>
  <c r="IB54" i="48"/>
  <c r="ID54" i="48"/>
  <c r="IB57" i="48"/>
  <c r="HZ40" i="48"/>
  <c r="HZ42" i="48"/>
  <c r="HZ44" i="48"/>
  <c r="HZ46" i="48"/>
  <c r="IC15" i="44" s="1"/>
  <c r="HZ48" i="48"/>
  <c r="IC17" i="44" s="1"/>
  <c r="HZ49" i="48"/>
  <c r="HZ41" i="48"/>
  <c r="HZ43" i="48"/>
  <c r="HZ45" i="48"/>
  <c r="IC14" i="44" s="1"/>
  <c r="HZ47" i="48"/>
  <c r="IC16" i="44" s="1"/>
  <c r="HZ50" i="48"/>
  <c r="IC19" i="44" s="1"/>
  <c r="ID56" i="48"/>
  <c r="IB60" i="48"/>
  <c r="IC63" i="48"/>
  <c r="IF20" i="44" s="1"/>
  <c r="HX44" i="48"/>
  <c r="HX55" i="48"/>
  <c r="IA40" i="48"/>
  <c r="IA42" i="48"/>
  <c r="IA44" i="48"/>
  <c r="IA46" i="48"/>
  <c r="ID15" i="44" s="1"/>
  <c r="IA48" i="48"/>
  <c r="ID17" i="44" s="1"/>
  <c r="IA49" i="48"/>
  <c r="IA41" i="48"/>
  <c r="IA43" i="48"/>
  <c r="IA45" i="48"/>
  <c r="ID14" i="44" s="1"/>
  <c r="IA47" i="48"/>
  <c r="ID16" i="44" s="1"/>
  <c r="IA50" i="48"/>
  <c r="ID19" i="44" s="1"/>
  <c r="IB62" i="48"/>
  <c r="IE11" i="44" s="1"/>
  <c r="ID53" i="48"/>
  <c r="ID59" i="48"/>
  <c r="ID58" i="48"/>
  <c r="IC54" i="48"/>
  <c r="HX56" i="48"/>
  <c r="HW63" i="48"/>
  <c r="HZ20" i="44" s="1"/>
  <c r="HX54" i="48"/>
  <c r="HV62" i="48"/>
  <c r="HY11" i="44" s="1"/>
  <c r="HX40" i="48"/>
  <c r="HX42" i="48"/>
  <c r="HX60" i="48"/>
  <c r="HX53" i="48"/>
  <c r="HX43" i="48"/>
  <c r="HX58" i="48"/>
  <c r="HX47" i="48"/>
  <c r="IA16" i="44" s="1"/>
  <c r="HX57" i="48"/>
  <c r="HY48" i="48"/>
  <c r="IB17" i="44" s="1"/>
  <c r="HX61" i="48"/>
  <c r="HU21" i="44"/>
  <c r="HY45" i="48"/>
  <c r="IB14" i="44" s="1"/>
  <c r="HY42" i="48"/>
  <c r="HY47" i="48"/>
  <c r="IB16" i="44" s="1"/>
  <c r="HY50" i="48"/>
  <c r="IB19" i="44" s="1"/>
  <c r="HY40" i="48"/>
  <c r="HY46" i="48"/>
  <c r="IB15" i="44" s="1"/>
  <c r="HY57" i="48"/>
  <c r="HY44" i="48"/>
  <c r="HY41" i="48"/>
  <c r="HY49" i="48"/>
  <c r="HY62" i="48"/>
  <c r="IB11" i="44" s="1"/>
  <c r="HY56" i="48"/>
  <c r="HY58" i="48"/>
  <c r="HY55" i="48"/>
  <c r="HY59" i="48"/>
  <c r="HY61" i="48"/>
  <c r="HY53" i="48"/>
  <c r="HY60" i="48"/>
  <c r="HY63" i="48"/>
  <c r="IB20" i="44" s="1"/>
  <c r="HW62" i="48"/>
  <c r="HZ11" i="44" s="1"/>
  <c r="HW54" i="48"/>
  <c r="HU63" i="48"/>
  <c r="HX20" i="44" s="1"/>
  <c r="HT58" i="48"/>
  <c r="HU62" i="48"/>
  <c r="HX11" i="44" s="1"/>
  <c r="HQ63" i="48"/>
  <c r="HT20" i="44" s="1"/>
  <c r="HS54" i="48"/>
  <c r="HU55" i="48"/>
  <c r="HR62" i="48"/>
  <c r="HU11" i="44" s="1"/>
  <c r="HW60" i="48"/>
  <c r="HW58" i="48"/>
  <c r="HR61" i="48"/>
  <c r="HR63" i="48"/>
  <c r="HU20" i="44" s="1"/>
  <c r="HW57" i="48"/>
  <c r="HR56" i="48"/>
  <c r="HV56" i="48"/>
  <c r="HR60" i="48"/>
  <c r="HR55" i="48"/>
  <c r="HR58" i="48"/>
  <c r="HR53" i="48"/>
  <c r="HR54" i="48"/>
  <c r="HR57" i="48"/>
  <c r="HP62" i="48"/>
  <c r="HS11" i="44" s="1"/>
  <c r="HV55" i="48"/>
  <c r="HP57" i="48"/>
  <c r="HS55" i="48"/>
  <c r="HW56" i="48"/>
  <c r="HW59" i="48"/>
  <c r="HP54" i="48"/>
  <c r="HU58" i="48"/>
  <c r="HU53" i="48"/>
  <c r="HT56" i="48"/>
  <c r="HV63" i="48"/>
  <c r="HY20" i="44" s="1"/>
  <c r="HY25" i="44" s="1"/>
  <c r="HP56" i="48"/>
  <c r="HW55" i="48"/>
  <c r="HW53" i="48"/>
  <c r="HT55" i="48"/>
  <c r="HP55" i="48"/>
  <c r="HP53" i="48"/>
  <c r="HR42" i="48"/>
  <c r="HR46" i="48"/>
  <c r="HU15" i="44" s="1"/>
  <c r="HR41" i="48"/>
  <c r="HR45" i="48"/>
  <c r="HU14" i="44" s="1"/>
  <c r="HR50" i="48"/>
  <c r="HU19" i="44" s="1"/>
  <c r="HR40" i="48"/>
  <c r="HR44" i="48"/>
  <c r="HR48" i="48"/>
  <c r="HU17" i="44" s="1"/>
  <c r="HR49" i="48"/>
  <c r="HR43" i="48"/>
  <c r="HR47" i="48"/>
  <c r="HU16" i="44" s="1"/>
  <c r="HT54" i="48"/>
  <c r="HU54" i="48"/>
  <c r="HV54" i="48"/>
  <c r="HV53" i="48"/>
  <c r="HV60" i="48"/>
  <c r="HS42" i="48"/>
  <c r="HS46" i="48"/>
  <c r="HV15" i="44" s="1"/>
  <c r="HS41" i="48"/>
  <c r="HS45" i="48"/>
  <c r="HV14" i="44" s="1"/>
  <c r="HS50" i="48"/>
  <c r="HV19" i="44" s="1"/>
  <c r="HS40" i="48"/>
  <c r="HS44" i="48"/>
  <c r="HS48" i="48"/>
  <c r="HV17" i="44" s="1"/>
  <c r="HS49" i="48"/>
  <c r="HS43" i="48"/>
  <c r="HS47" i="48"/>
  <c r="HV16" i="44" s="1"/>
  <c r="HQ57" i="48"/>
  <c r="HQ56" i="48"/>
  <c r="HT62" i="48"/>
  <c r="HW11" i="44" s="1"/>
  <c r="HU43" i="48"/>
  <c r="HU47" i="48"/>
  <c r="HX16" i="44" s="1"/>
  <c r="HU42" i="48"/>
  <c r="HU46" i="48"/>
  <c r="HX15" i="44" s="1"/>
  <c r="HU41" i="48"/>
  <c r="HU45" i="48"/>
  <c r="HX14" i="44" s="1"/>
  <c r="HU50" i="48"/>
  <c r="HX19" i="44" s="1"/>
  <c r="HU40" i="48"/>
  <c r="HU44" i="48"/>
  <c r="HU48" i="48"/>
  <c r="HX17" i="44" s="1"/>
  <c r="HU49" i="48"/>
  <c r="HP41" i="48"/>
  <c r="HP45" i="48"/>
  <c r="HS14" i="44" s="1"/>
  <c r="HP50" i="48"/>
  <c r="HS19" i="44" s="1"/>
  <c r="HP40" i="48"/>
  <c r="HP44" i="48"/>
  <c r="HP48" i="48"/>
  <c r="HS17" i="44" s="1"/>
  <c r="HP49" i="48"/>
  <c r="HP43" i="48"/>
  <c r="HP47" i="48"/>
  <c r="HS16" i="44" s="1"/>
  <c r="HP42" i="48"/>
  <c r="HP46" i="48"/>
  <c r="HS15" i="44" s="1"/>
  <c r="HU56" i="48"/>
  <c r="HP58" i="48"/>
  <c r="HQ58" i="48"/>
  <c r="HS59" i="48"/>
  <c r="HS58" i="48"/>
  <c r="HQ55" i="48"/>
  <c r="HU57" i="48"/>
  <c r="HV40" i="48"/>
  <c r="HV44" i="48"/>
  <c r="HV48" i="48"/>
  <c r="HY17" i="44" s="1"/>
  <c r="HV49" i="48"/>
  <c r="HV43" i="48"/>
  <c r="HV47" i="48"/>
  <c r="HY16" i="44" s="1"/>
  <c r="HV42" i="48"/>
  <c r="HV46" i="48"/>
  <c r="HY15" i="44" s="1"/>
  <c r="HV41" i="48"/>
  <c r="HV45" i="48"/>
  <c r="HY14" i="44" s="1"/>
  <c r="HV50" i="48"/>
  <c r="HY19" i="44" s="1"/>
  <c r="HW40" i="48"/>
  <c r="HW44" i="48"/>
  <c r="HW48" i="48"/>
  <c r="HZ17" i="44" s="1"/>
  <c r="HW49" i="48"/>
  <c r="IA10" i="44" s="1"/>
  <c r="HW43" i="48"/>
  <c r="HW47" i="48"/>
  <c r="HZ16" i="44" s="1"/>
  <c r="HW42" i="48"/>
  <c r="HW46" i="48"/>
  <c r="HZ15" i="44" s="1"/>
  <c r="HW41" i="48"/>
  <c r="HW45" i="48"/>
  <c r="HZ14" i="44" s="1"/>
  <c r="HW50" i="48"/>
  <c r="HZ19" i="44" s="1"/>
  <c r="HS53" i="48"/>
  <c r="HV57" i="48"/>
  <c r="HQ59" i="48"/>
  <c r="HS60" i="48"/>
  <c r="HT60" i="48"/>
  <c r="HT59" i="48"/>
  <c r="HS57" i="48"/>
  <c r="HV58" i="48"/>
  <c r="HP59" i="48"/>
  <c r="HS61" i="48"/>
  <c r="HT61" i="48"/>
  <c r="HU61" i="48"/>
  <c r="HU60" i="48"/>
  <c r="HT63" i="48"/>
  <c r="HW20" i="44" s="1"/>
  <c r="HP60" i="48"/>
  <c r="HT43" i="48"/>
  <c r="HT47" i="48"/>
  <c r="HW16" i="44" s="1"/>
  <c r="HT42" i="48"/>
  <c r="HT46" i="48"/>
  <c r="HW15" i="44" s="1"/>
  <c r="HT41" i="48"/>
  <c r="HT45" i="48"/>
  <c r="HW14" i="44" s="1"/>
  <c r="HT50" i="48"/>
  <c r="HW19" i="44" s="1"/>
  <c r="HT49" i="48"/>
  <c r="HT40" i="48"/>
  <c r="HT44" i="48"/>
  <c r="HT48" i="48"/>
  <c r="HW17" i="44" s="1"/>
  <c r="HP63" i="48"/>
  <c r="HS20" i="44" s="1"/>
  <c r="HQ62" i="48"/>
  <c r="HT11" i="44" s="1"/>
  <c r="HT57" i="48"/>
  <c r="HV59" i="48"/>
  <c r="HQ54" i="48"/>
  <c r="HS56" i="48"/>
  <c r="HQ61" i="48"/>
  <c r="HQ41" i="48"/>
  <c r="HQ45" i="48"/>
  <c r="HT14" i="44" s="1"/>
  <c r="HQ50" i="48"/>
  <c r="HT19" i="44" s="1"/>
  <c r="HQ40" i="48"/>
  <c r="HQ44" i="48"/>
  <c r="HQ48" i="48"/>
  <c r="HT17" i="44" s="1"/>
  <c r="HQ49" i="48"/>
  <c r="HU10" i="44" s="1"/>
  <c r="HQ43" i="48"/>
  <c r="HQ47" i="48"/>
  <c r="HT16" i="44" s="1"/>
  <c r="HQ42" i="48"/>
  <c r="HQ46" i="48"/>
  <c r="HT15" i="44" s="1"/>
  <c r="HS63" i="48"/>
  <c r="HV20" i="44" s="1"/>
  <c r="HV25" i="44" s="1"/>
  <c r="HQ53" i="48"/>
  <c r="HH49" i="48"/>
  <c r="HH45" i="48"/>
  <c r="HK14" i="44" s="1"/>
  <c r="HH40" i="48"/>
  <c r="HH42" i="48"/>
  <c r="HH44" i="48"/>
  <c r="HH46" i="48"/>
  <c r="HK15" i="44" s="1"/>
  <c r="HH48" i="48"/>
  <c r="HK17" i="44" s="1"/>
  <c r="HH43" i="48"/>
  <c r="HH50" i="48"/>
  <c r="HK19" i="44" s="1"/>
  <c r="HH47" i="48"/>
  <c r="HK16" i="44" s="1"/>
  <c r="HI49" i="48"/>
  <c r="HK40" i="48"/>
  <c r="II76" i="48"/>
  <c r="IL22" i="44" s="1"/>
  <c r="IL27" i="44" s="1"/>
  <c r="HI47" i="48"/>
  <c r="HL16" i="44" s="1"/>
  <c r="HI40" i="48"/>
  <c r="HK47" i="48"/>
  <c r="HN16" i="44" s="1"/>
  <c r="HK41" i="48"/>
  <c r="HK44" i="48"/>
  <c r="HK45" i="48"/>
  <c r="HN14" i="44" s="1"/>
  <c r="HK48" i="48"/>
  <c r="HN17" i="44" s="1"/>
  <c r="HK46" i="48"/>
  <c r="HN15" i="44" s="1"/>
  <c r="HK50" i="48"/>
  <c r="HN19" i="44" s="1"/>
  <c r="HK49" i="48"/>
  <c r="HK43" i="48"/>
  <c r="HI45" i="48"/>
  <c r="HL14" i="44" s="1"/>
  <c r="HI44" i="48"/>
  <c r="HI43" i="48"/>
  <c r="HI50" i="48"/>
  <c r="HL19" i="44" s="1"/>
  <c r="HI48" i="48"/>
  <c r="HL17" i="44" s="1"/>
  <c r="HI42" i="48"/>
  <c r="HI46" i="48"/>
  <c r="HL15" i="44" s="1"/>
  <c r="HN40" i="48"/>
  <c r="HN44" i="48"/>
  <c r="HN48" i="48"/>
  <c r="HQ17" i="44" s="1"/>
  <c r="HN49" i="48"/>
  <c r="HN43" i="48"/>
  <c r="HN47" i="48"/>
  <c r="HQ16" i="44" s="1"/>
  <c r="HN42" i="48"/>
  <c r="HN46" i="48"/>
  <c r="HQ15" i="44" s="1"/>
  <c r="HN41" i="48"/>
  <c r="HN45" i="48"/>
  <c r="HQ14" i="44" s="1"/>
  <c r="HN50" i="48"/>
  <c r="HQ19" i="44" s="1"/>
  <c r="HL43" i="48"/>
  <c r="HL47" i="48"/>
  <c r="HO16" i="44" s="1"/>
  <c r="HL42" i="48"/>
  <c r="HL46" i="48"/>
  <c r="HO15" i="44" s="1"/>
  <c r="HL41" i="48"/>
  <c r="HL45" i="48"/>
  <c r="HO14" i="44" s="1"/>
  <c r="HL50" i="48"/>
  <c r="HO19" i="44" s="1"/>
  <c r="HL40" i="48"/>
  <c r="HL44" i="48"/>
  <c r="HL48" i="48"/>
  <c r="HO17" i="44" s="1"/>
  <c r="HL49" i="48"/>
  <c r="HO12" i="44"/>
  <c r="HO40" i="48"/>
  <c r="HO44" i="48"/>
  <c r="HO48" i="48"/>
  <c r="HR17" i="44" s="1"/>
  <c r="HO49" i="48"/>
  <c r="HO43" i="48"/>
  <c r="HO47" i="48"/>
  <c r="HR16" i="44" s="1"/>
  <c r="HO42" i="48"/>
  <c r="HO46" i="48"/>
  <c r="HR15" i="44" s="1"/>
  <c r="HO50" i="48"/>
  <c r="HR19" i="44" s="1"/>
  <c r="HO41" i="48"/>
  <c r="HO45" i="48"/>
  <c r="HR14" i="44" s="1"/>
  <c r="HM43" i="48"/>
  <c r="HM47" i="48"/>
  <c r="HP16" i="44" s="1"/>
  <c r="HM42" i="48"/>
  <c r="HM46" i="48"/>
  <c r="HP15" i="44" s="1"/>
  <c r="HM41" i="48"/>
  <c r="HM45" i="48"/>
  <c r="HP14" i="44" s="1"/>
  <c r="HM50" i="48"/>
  <c r="HP19" i="44" s="1"/>
  <c r="HM49" i="48"/>
  <c r="HM40" i="48"/>
  <c r="HM44" i="48"/>
  <c r="HM48" i="48"/>
  <c r="HP17" i="44" s="1"/>
  <c r="HJ42" i="48"/>
  <c r="HJ46" i="48"/>
  <c r="HM15" i="44" s="1"/>
  <c r="HJ41" i="48"/>
  <c r="HJ45" i="48"/>
  <c r="HM14" i="44" s="1"/>
  <c r="HJ50" i="48"/>
  <c r="HM19" i="44" s="1"/>
  <c r="HJ40" i="48"/>
  <c r="HJ44" i="48"/>
  <c r="HJ48" i="48"/>
  <c r="HM17" i="44" s="1"/>
  <c r="HJ49" i="48"/>
  <c r="HJ43" i="48"/>
  <c r="HJ47" i="48"/>
  <c r="HM16" i="44" s="1"/>
  <c r="HS13" i="44"/>
  <c r="HS12" i="44"/>
  <c r="HW76" i="48"/>
  <c r="HZ21" i="44" s="1"/>
  <c r="HZ26" i="44" s="1"/>
  <c r="IL12" i="44"/>
  <c r="IG22" i="44"/>
  <c r="IG27" i="44" s="1"/>
  <c r="GC47" i="48"/>
  <c r="GF16" i="44" s="1"/>
  <c r="GC45" i="48"/>
  <c r="GF14" i="44" s="1"/>
  <c r="GC44" i="48"/>
  <c r="GC43" i="48"/>
  <c r="GC42" i="48"/>
  <c r="GC40" i="48"/>
  <c r="GC41" i="48"/>
  <c r="GC46" i="48"/>
  <c r="GF15" i="44" s="1"/>
  <c r="GC50" i="48"/>
  <c r="GF19" i="44" s="1"/>
  <c r="GC49" i="48"/>
  <c r="GQ13" i="44"/>
  <c r="OT12" i="44"/>
  <c r="OT13" i="44"/>
  <c r="NO12" i="44"/>
  <c r="LS13" i="44"/>
  <c r="IM13" i="44"/>
  <c r="HK76" i="48"/>
  <c r="HN21" i="44" s="1"/>
  <c r="KW76" i="48"/>
  <c r="KZ21" i="44" s="1"/>
  <c r="LW12" i="44"/>
  <c r="NO13" i="44"/>
  <c r="HZ13" i="44"/>
  <c r="IJ76" i="48"/>
  <c r="IM22" i="44" s="1"/>
  <c r="OA13" i="44"/>
  <c r="OA12" i="44"/>
  <c r="NN13" i="44"/>
  <c r="NJ13" i="44"/>
  <c r="KH12" i="44"/>
  <c r="LN12" i="44"/>
  <c r="JK13" i="44"/>
  <c r="NN12" i="44"/>
  <c r="OE76" i="48"/>
  <c r="OH21" i="44" s="1"/>
  <c r="OH26" i="44" s="1"/>
  <c r="GE13" i="44"/>
  <c r="GX13" i="44"/>
  <c r="GY76" i="48"/>
  <c r="GI13" i="44"/>
  <c r="OX12" i="44"/>
  <c r="OM13" i="44"/>
  <c r="OX13" i="44"/>
  <c r="OJ76" i="48"/>
  <c r="OR12" i="44"/>
  <c r="NZ13" i="44"/>
  <c r="NZ12" i="44"/>
  <c r="NJ12" i="44"/>
  <c r="NQ76" i="48"/>
  <c r="MI13" i="44"/>
  <c r="MI12" i="44"/>
  <c r="ME12" i="44"/>
  <c r="MU12" i="44"/>
  <c r="ME13" i="44"/>
  <c r="MU13" i="44"/>
  <c r="NG12" i="44"/>
  <c r="MK21" i="44"/>
  <c r="MK26" i="44" s="1"/>
  <c r="KY76" i="48"/>
  <c r="LB21" i="44" s="1"/>
  <c r="LI76" i="48"/>
  <c r="LL21" i="44" s="1"/>
  <c r="LN13" i="44"/>
  <c r="LX13" i="44"/>
  <c r="LB12" i="44"/>
  <c r="LL12" i="44"/>
  <c r="LM13" i="44"/>
  <c r="KI13" i="44"/>
  <c r="KP12" i="44"/>
  <c r="KU12" i="44"/>
  <c r="JW13" i="44"/>
  <c r="KU13" i="44"/>
  <c r="IT13" i="44"/>
  <c r="JF13" i="44"/>
  <c r="JN76" i="48"/>
  <c r="JR13" i="44"/>
  <c r="IQ13" i="44"/>
  <c r="IE12" i="44"/>
  <c r="IE13" i="44"/>
  <c r="HV12" i="44"/>
  <c r="HV13" i="44"/>
  <c r="IH12" i="44"/>
  <c r="HO13" i="44"/>
  <c r="HL76" i="48"/>
  <c r="HO22" i="44" s="1"/>
  <c r="IH13" i="44"/>
  <c r="IA13" i="44"/>
  <c r="HN12" i="44"/>
  <c r="IA12" i="44"/>
  <c r="HJ13" i="44"/>
  <c r="HG76" i="48"/>
  <c r="GU13" i="44"/>
  <c r="GP13" i="44"/>
  <c r="GG76" i="48"/>
  <c r="GU76" i="48"/>
  <c r="HG13" i="44"/>
  <c r="GV13" i="44"/>
  <c r="HU27" i="44"/>
  <c r="KC27" i="44"/>
  <c r="NV26" i="44"/>
  <c r="HU26" i="44"/>
  <c r="NV27" i="44"/>
  <c r="LN21" i="44"/>
  <c r="LN22" i="44"/>
  <c r="GV22" i="44"/>
  <c r="IH22" i="44"/>
  <c r="IH21" i="44"/>
  <c r="LQ21" i="44"/>
  <c r="LQ22" i="44"/>
  <c r="NJ21" i="44"/>
  <c r="NJ22" i="44"/>
  <c r="NJ27" i="44" s="1"/>
  <c r="ML21" i="44"/>
  <c r="ML26" i="44" s="1"/>
  <c r="ML22" i="44"/>
  <c r="ML27" i="44" s="1"/>
  <c r="HV21" i="44"/>
  <c r="HV22" i="44"/>
  <c r="KP13" i="44"/>
  <c r="MD12" i="44"/>
  <c r="HH13" i="44"/>
  <c r="MD13" i="44"/>
  <c r="LJ76" i="48"/>
  <c r="LM21" i="44" s="1"/>
  <c r="LM26" i="44" s="1"/>
  <c r="HC13" i="44"/>
  <c r="MP12" i="44"/>
  <c r="MK27" i="44"/>
  <c r="GW22" i="44"/>
  <c r="GW27" i="44" s="1"/>
  <c r="MP13" i="44"/>
  <c r="MQ12" i="44"/>
  <c r="NG13" i="44"/>
  <c r="MQ13" i="44"/>
  <c r="NF76" i="48"/>
  <c r="NI22" i="44" s="1"/>
  <c r="NI27" i="44" s="1"/>
  <c r="MZ76" i="48"/>
  <c r="NC22" i="44" s="1"/>
  <c r="NC27" i="44" s="1"/>
  <c r="MY76" i="48"/>
  <c r="NB21" i="44" s="1"/>
  <c r="NB26" i="44" s="1"/>
  <c r="KX76" i="48"/>
  <c r="LA21" i="44" s="1"/>
  <c r="LA12" i="44"/>
  <c r="NI12" i="44"/>
  <c r="IW22" i="44"/>
  <c r="MS22" i="44"/>
  <c r="MS21" i="44"/>
  <c r="JY22" i="44"/>
  <c r="JY21" i="44"/>
  <c r="LY22" i="44"/>
  <c r="LY21" i="44"/>
  <c r="GR13" i="44"/>
  <c r="EU76" i="48"/>
  <c r="EX13" i="44"/>
  <c r="IH76" i="48"/>
  <c r="IK13" i="44"/>
  <c r="IK12" i="44"/>
  <c r="LI12" i="44"/>
  <c r="LI13" i="44"/>
  <c r="EK76" i="48"/>
  <c r="EN13" i="44"/>
  <c r="EB76" i="48"/>
  <c r="EE13" i="44"/>
  <c r="JP22" i="44"/>
  <c r="JP27" i="44" s="1"/>
  <c r="NA13" i="44"/>
  <c r="NA12" i="44"/>
  <c r="OX22" i="44"/>
  <c r="OX21" i="44"/>
  <c r="EN76" i="48"/>
  <c r="EQ13" i="44"/>
  <c r="LM76" i="48"/>
  <c r="LP13" i="44"/>
  <c r="LP12" i="44"/>
  <c r="OT22" i="44"/>
  <c r="OT27" i="44" s="1"/>
  <c r="OT21" i="44"/>
  <c r="ON13" i="44"/>
  <c r="ON12" i="44"/>
  <c r="OM76" i="48"/>
  <c r="OP13" i="44"/>
  <c r="OP12" i="44"/>
  <c r="KD21" i="44"/>
  <c r="KD22" i="44"/>
  <c r="KD27" i="44" s="1"/>
  <c r="KB76" i="48"/>
  <c r="KE12" i="44"/>
  <c r="KE13" i="44"/>
  <c r="HT21" i="44"/>
  <c r="HT26" i="44" s="1"/>
  <c r="HT22" i="44"/>
  <c r="HT27" i="44" s="1"/>
  <c r="OF21" i="44"/>
  <c r="OF26" i="44" s="1"/>
  <c r="OF22" i="44"/>
  <c r="OF27" i="44" s="1"/>
  <c r="MK76" i="48"/>
  <c r="MN13" i="44"/>
  <c r="MN12" i="44"/>
  <c r="HP13" i="44"/>
  <c r="HP12" i="44"/>
  <c r="LE76" i="48"/>
  <c r="LH12" i="44"/>
  <c r="LH13" i="44"/>
  <c r="IK76" i="48"/>
  <c r="IN13" i="44"/>
  <c r="IN12" i="44"/>
  <c r="JU76" i="48"/>
  <c r="JX13" i="44"/>
  <c r="JX12" i="44"/>
  <c r="LY76" i="48"/>
  <c r="MB13" i="44"/>
  <c r="GO76" i="48"/>
  <c r="OE22" i="44"/>
  <c r="OE27" i="44" s="1"/>
  <c r="OE21" i="44"/>
  <c r="OE26" i="44" s="1"/>
  <c r="OQ22" i="44"/>
  <c r="OQ27" i="44" s="1"/>
  <c r="OQ21" i="44"/>
  <c r="OQ26" i="44" s="1"/>
  <c r="LZ21" i="44"/>
  <c r="LZ22" i="44"/>
  <c r="NG22" i="44"/>
  <c r="NG21" i="44"/>
  <c r="KU22" i="44"/>
  <c r="KU21" i="44"/>
  <c r="ME22" i="44"/>
  <c r="ME21" i="44"/>
  <c r="OM22" i="44"/>
  <c r="OM21" i="44"/>
  <c r="OM26" i="44" s="1"/>
  <c r="OT76" i="48"/>
  <c r="OW12" i="44"/>
  <c r="OW13" i="44"/>
  <c r="IG76" i="48"/>
  <c r="IJ13" i="44"/>
  <c r="IJ12" i="44"/>
  <c r="MF12" i="44"/>
  <c r="MF13" i="44"/>
  <c r="KI76" i="48"/>
  <c r="KL12" i="44"/>
  <c r="KL13" i="44"/>
  <c r="NQ13" i="44"/>
  <c r="NQ12" i="44"/>
  <c r="GK76" i="48"/>
  <c r="GN13" i="44"/>
  <c r="OY22" i="44"/>
  <c r="OY27" i="44" s="1"/>
  <c r="OY21" i="44"/>
  <c r="OY26" i="44" s="1"/>
  <c r="LF76" i="48"/>
  <c r="JA22" i="44"/>
  <c r="HI22" i="44"/>
  <c r="HI27" i="44" s="1"/>
  <c r="MW22" i="44"/>
  <c r="MW27" i="44" s="1"/>
  <c r="MW21" i="44"/>
  <c r="MW26" i="44" s="1"/>
  <c r="GP22" i="44"/>
  <c r="EG76" i="48"/>
  <c r="EJ13" i="44"/>
  <c r="EJ76" i="48"/>
  <c r="EM13" i="44"/>
  <c r="EV76" i="48"/>
  <c r="EY13" i="44"/>
  <c r="KU76" i="48"/>
  <c r="KX13" i="44"/>
  <c r="KG21" i="44"/>
  <c r="KG22" i="44"/>
  <c r="IS76" i="48"/>
  <c r="IV13" i="44"/>
  <c r="IB21" i="44"/>
  <c r="IB22" i="44"/>
  <c r="NE12" i="44"/>
  <c r="NE13" i="44"/>
  <c r="OZ13" i="44"/>
  <c r="OZ12" i="44"/>
  <c r="GJ76" i="48"/>
  <c r="GM13" i="44"/>
  <c r="MC76" i="48"/>
  <c r="JE22" i="44"/>
  <c r="JR76" i="48"/>
  <c r="JU12" i="44"/>
  <c r="JU13" i="44"/>
  <c r="MW76" i="48"/>
  <c r="MZ13" i="44"/>
  <c r="MZ12" i="44"/>
  <c r="HC76" i="48"/>
  <c r="HF13" i="44"/>
  <c r="LT12" i="44"/>
  <c r="LT13" i="44"/>
  <c r="GE76" i="48"/>
  <c r="GH13" i="44"/>
  <c r="OS76" i="48"/>
  <c r="OV13" i="44"/>
  <c r="OV12" i="44"/>
  <c r="KJ13" i="44"/>
  <c r="KJ12" i="44"/>
  <c r="LG76" i="48"/>
  <c r="LJ13" i="44"/>
  <c r="LJ12" i="44"/>
  <c r="MI22" i="44"/>
  <c r="MI21" i="44"/>
  <c r="OK76" i="48"/>
  <c r="MP22" i="44"/>
  <c r="MP21" i="44"/>
  <c r="JO22" i="44"/>
  <c r="OG76" i="48"/>
  <c r="OJ13" i="44"/>
  <c r="OJ12" i="44"/>
  <c r="JF76" i="48"/>
  <c r="JI13" i="44"/>
  <c r="NV76" i="48"/>
  <c r="NY12" i="44"/>
  <c r="NY13" i="44"/>
  <c r="JW76" i="48"/>
  <c r="JZ13" i="44"/>
  <c r="JZ12" i="44"/>
  <c r="OK12" i="44"/>
  <c r="OK13" i="44"/>
  <c r="HH76" i="48"/>
  <c r="HK12" i="44"/>
  <c r="HK13" i="44"/>
  <c r="IS22" i="44"/>
  <c r="IS27" i="44" s="1"/>
  <c r="NE22" i="44"/>
  <c r="NE21" i="44"/>
  <c r="LU12" i="44"/>
  <c r="LU13" i="44"/>
  <c r="GF21" i="44"/>
  <c r="GF22" i="44"/>
  <c r="OA22" i="44"/>
  <c r="OA27" i="44" s="1"/>
  <c r="OA21" i="44"/>
  <c r="OA26" i="44" s="1"/>
  <c r="ES76" i="48"/>
  <c r="EV13" i="44"/>
  <c r="DY76" i="48"/>
  <c r="EB13" i="44"/>
  <c r="NP12" i="44"/>
  <c r="NP13" i="44"/>
  <c r="JE76" i="48"/>
  <c r="JH13" i="44"/>
  <c r="GW76" i="48"/>
  <c r="GZ13" i="44"/>
  <c r="LE21" i="44"/>
  <c r="LE22" i="44"/>
  <c r="LE27" i="44" s="1"/>
  <c r="IA76" i="48"/>
  <c r="ID13" i="44"/>
  <c r="ID12" i="44"/>
  <c r="GV76" i="48"/>
  <c r="GY13" i="44"/>
  <c r="HM76" i="48"/>
  <c r="KG13" i="44"/>
  <c r="KG12" i="44"/>
  <c r="OG12" i="44"/>
  <c r="OG13" i="44"/>
  <c r="KO22" i="44"/>
  <c r="KO27" i="44" s="1"/>
  <c r="KO21" i="44"/>
  <c r="KO26" i="44" s="1"/>
  <c r="NT21" i="44"/>
  <c r="NT26" i="44" s="1"/>
  <c r="NT22" i="44"/>
  <c r="NT27" i="44" s="1"/>
  <c r="KV13" i="44"/>
  <c r="KV12" i="44"/>
  <c r="LS76" i="48"/>
  <c r="LV13" i="44"/>
  <c r="LV12" i="44"/>
  <c r="KK22" i="44"/>
  <c r="KK21" i="44"/>
  <c r="JK22" i="44"/>
  <c r="OW76" i="48"/>
  <c r="KY22" i="44"/>
  <c r="KY27" i="44" s="1"/>
  <c r="OD76" i="48"/>
  <c r="IX27" i="44"/>
  <c r="HS22" i="44"/>
  <c r="HS21" i="44"/>
  <c r="NB22" i="44"/>
  <c r="MQ22" i="44"/>
  <c r="MQ21" i="44"/>
  <c r="EQ76" i="48"/>
  <c r="ET13" i="44"/>
  <c r="IW13" i="44"/>
  <c r="MV76" i="48"/>
  <c r="MY13" i="44"/>
  <c r="MY12" i="44"/>
  <c r="HV76" i="48"/>
  <c r="HY13" i="44"/>
  <c r="HY12" i="44"/>
  <c r="GQ76" i="48"/>
  <c r="GT13" i="44"/>
  <c r="GG22" i="44"/>
  <c r="IZ22" i="44"/>
  <c r="NO22" i="44"/>
  <c r="NO27" i="44" s="1"/>
  <c r="NO21" i="44"/>
  <c r="NO26" i="44" s="1"/>
  <c r="HQ13" i="44"/>
  <c r="HQ12" i="44"/>
  <c r="NS22" i="44"/>
  <c r="NS27" i="44" s="1"/>
  <c r="NS21" i="44"/>
  <c r="NS26" i="44" s="1"/>
  <c r="NZ22" i="44"/>
  <c r="NZ21" i="44"/>
  <c r="NZ26" i="44" s="1"/>
  <c r="HH22" i="44"/>
  <c r="NP21" i="44"/>
  <c r="NP22" i="44"/>
  <c r="EO76" i="48"/>
  <c r="ER13" i="44"/>
  <c r="IT22" i="44"/>
  <c r="OC13" i="44"/>
  <c r="OC12" i="44"/>
  <c r="NZ76" i="48"/>
  <c r="LS21" i="44"/>
  <c r="LS26" i="44" s="1"/>
  <c r="GL22" i="44"/>
  <c r="GL27" i="44" s="1"/>
  <c r="HG22" i="44"/>
  <c r="NY76" i="48"/>
  <c r="OB13" i="44"/>
  <c r="OB12" i="44"/>
  <c r="MV21" i="44"/>
  <c r="MV26" i="44" s="1"/>
  <c r="MV22" i="44"/>
  <c r="MV27" i="44" s="1"/>
  <c r="KP76" i="48"/>
  <c r="KS12" i="44"/>
  <c r="KS13" i="44"/>
  <c r="KN21" i="44"/>
  <c r="KN22" i="44"/>
  <c r="KN27" i="44" s="1"/>
  <c r="IM76" i="48"/>
  <c r="IP13" i="44"/>
  <c r="MO76" i="48"/>
  <c r="MR13" i="44"/>
  <c r="MR12" i="44"/>
  <c r="KP21" i="44"/>
  <c r="KP22" i="44"/>
  <c r="JY13" i="44"/>
  <c r="JY12" i="44"/>
  <c r="OO22" i="44"/>
  <c r="OO21" i="44"/>
  <c r="LG22" i="44"/>
  <c r="LG21" i="44"/>
  <c r="LG26" i="44" s="1"/>
  <c r="EP76" i="48"/>
  <c r="ES13" i="44"/>
  <c r="DZ76" i="48"/>
  <c r="EC13" i="44"/>
  <c r="EW76" i="48"/>
  <c r="EZ13" i="44"/>
  <c r="ME76" i="48"/>
  <c r="MH13" i="44"/>
  <c r="MH12" i="44"/>
  <c r="GE22" i="44"/>
  <c r="IF76" i="48"/>
  <c r="II12" i="44"/>
  <c r="II13" i="44"/>
  <c r="OA76" i="48"/>
  <c r="OD13" i="44"/>
  <c r="OD12" i="44"/>
  <c r="KC76" i="48"/>
  <c r="KF12" i="44"/>
  <c r="KF13" i="44"/>
  <c r="LZ13" i="44"/>
  <c r="LZ12" i="44"/>
  <c r="IZ13" i="44"/>
  <c r="MG13" i="44"/>
  <c r="MG12" i="44"/>
  <c r="JP76" i="48"/>
  <c r="JS13" i="44"/>
  <c r="IY76" i="48"/>
  <c r="JB13" i="44"/>
  <c r="IC13" i="44"/>
  <c r="IC12" i="44"/>
  <c r="GG13" i="44"/>
  <c r="KK13" i="44"/>
  <c r="KK12" i="44"/>
  <c r="MU22" i="44"/>
  <c r="MU21" i="44"/>
  <c r="IE22" i="44"/>
  <c r="IE21" i="44"/>
  <c r="JR22" i="44"/>
  <c r="GI22" i="44"/>
  <c r="EF76" i="48"/>
  <c r="EI13" i="44"/>
  <c r="ER76" i="48"/>
  <c r="EU13" i="44"/>
  <c r="EC76" i="48"/>
  <c r="EF13" i="44"/>
  <c r="KO76" i="48"/>
  <c r="KR12" i="44"/>
  <c r="KR13" i="44"/>
  <c r="HA76" i="48"/>
  <c r="HD13" i="44"/>
  <c r="JL22" i="44"/>
  <c r="ED76" i="48"/>
  <c r="EG13" i="44"/>
  <c r="JD76" i="48"/>
  <c r="JG13" i="44"/>
  <c r="GK22" i="44"/>
  <c r="GK27" i="44" s="1"/>
  <c r="DX76" i="48"/>
  <c r="EA13" i="44"/>
  <c r="HE22" i="44"/>
  <c r="EM76" i="48"/>
  <c r="EP13" i="44"/>
  <c r="EA76" i="48"/>
  <c r="ED13" i="44"/>
  <c r="MQ76" i="48"/>
  <c r="MT13" i="44"/>
  <c r="MT12" i="44"/>
  <c r="GX76" i="48"/>
  <c r="HA13" i="44"/>
  <c r="KZ76" i="48"/>
  <c r="LC13" i="44"/>
  <c r="LC12" i="44"/>
  <c r="HT76" i="48"/>
  <c r="HW13" i="44"/>
  <c r="HW12" i="44"/>
  <c r="NU13" i="44"/>
  <c r="NU12" i="44"/>
  <c r="JL13" i="44"/>
  <c r="JA13" i="44"/>
  <c r="NH76" i="48"/>
  <c r="NK13" i="44"/>
  <c r="NK12" i="44"/>
  <c r="JK76" i="48"/>
  <c r="JN13" i="44"/>
  <c r="GS13" i="44"/>
  <c r="GP76" i="48"/>
  <c r="OR76" i="48"/>
  <c r="OU12" i="44"/>
  <c r="OU13" i="44"/>
  <c r="KW13" i="44"/>
  <c r="KW12" i="44"/>
  <c r="KT76" i="48"/>
  <c r="MX76" i="48"/>
  <c r="HN76" i="48"/>
  <c r="LF22" i="44"/>
  <c r="LF27" i="44" s="1"/>
  <c r="LF21" i="44"/>
  <c r="LF26" i="44" s="1"/>
  <c r="LK22" i="44"/>
  <c r="LK21" i="44"/>
  <c r="OK21" i="44"/>
  <c r="OK22" i="44"/>
  <c r="LU22" i="44"/>
  <c r="LU21" i="44"/>
  <c r="KN76" i="48"/>
  <c r="KQ13" i="44"/>
  <c r="KQ12" i="44"/>
  <c r="MG22" i="44"/>
  <c r="MG21" i="44"/>
  <c r="MX21" i="44"/>
  <c r="MX26" i="44" s="1"/>
  <c r="MX22" i="44"/>
  <c r="MX27" i="44" s="1"/>
  <c r="MJ21" i="44"/>
  <c r="MJ26" i="44" s="1"/>
  <c r="MJ22" i="44"/>
  <c r="MJ27" i="44" s="1"/>
  <c r="HC22" i="44"/>
  <c r="LA76" i="48"/>
  <c r="LD13" i="44"/>
  <c r="LD12" i="44"/>
  <c r="OS12" i="44"/>
  <c r="OS13" i="44"/>
  <c r="NO76" i="48"/>
  <c r="NR13" i="44"/>
  <c r="NR12" i="44"/>
  <c r="EI76" i="48"/>
  <c r="EL13" i="44"/>
  <c r="EH76" i="48"/>
  <c r="EK13" i="44"/>
  <c r="NC76" i="48"/>
  <c r="NF13" i="44"/>
  <c r="NF12" i="44"/>
  <c r="LL76" i="48"/>
  <c r="LO12" i="44"/>
  <c r="LO13" i="44"/>
  <c r="IC21" i="44"/>
  <c r="IC22" i="44"/>
  <c r="LY13" i="44"/>
  <c r="LY12" i="44"/>
  <c r="KB21" i="44"/>
  <c r="KB22" i="44"/>
  <c r="KB27" i="44" s="1"/>
  <c r="HI76" i="48"/>
  <c r="HL12" i="44"/>
  <c r="HL13" i="44"/>
  <c r="JM13" i="44"/>
  <c r="OP76" i="48"/>
  <c r="NT76" i="48"/>
  <c r="NW13" i="44"/>
  <c r="NW12" i="44"/>
  <c r="IF21" i="44"/>
  <c r="IF26" i="44" s="1"/>
  <c r="IF22" i="44"/>
  <c r="IF27" i="44" s="1"/>
  <c r="JJ76" i="48"/>
  <c r="NI76" i="48"/>
  <c r="NL13" i="44"/>
  <c r="NL12" i="44"/>
  <c r="HE13" i="44"/>
  <c r="ND12" i="44"/>
  <c r="ND13" i="44"/>
  <c r="KG76" i="48"/>
  <c r="NN22" i="44"/>
  <c r="NN27" i="44" s="1"/>
  <c r="NN21" i="44"/>
  <c r="GQ22" i="44"/>
  <c r="IA22" i="44"/>
  <c r="IA21" i="44"/>
  <c r="NQ22" i="44"/>
  <c r="NQ21" i="44"/>
  <c r="NJ76" i="48"/>
  <c r="NM12" i="44"/>
  <c r="NM13" i="44"/>
  <c r="IR76" i="48"/>
  <c r="IU13" i="44"/>
  <c r="MS13" i="44"/>
  <c r="MS12" i="44"/>
  <c r="MS26" i="44" s="1"/>
  <c r="LZ76" i="48"/>
  <c r="MC12" i="44"/>
  <c r="MC13" i="44"/>
  <c r="IR22" i="44"/>
  <c r="IR27" i="44" s="1"/>
  <c r="ML76" i="48"/>
  <c r="MO12" i="44"/>
  <c r="MO13" i="44"/>
  <c r="MD22" i="44"/>
  <c r="MD21" i="44"/>
  <c r="JQ76" i="48"/>
  <c r="JT12" i="44"/>
  <c r="JT13" i="44"/>
  <c r="NU22" i="44"/>
  <c r="NU21" i="44"/>
  <c r="JF22" i="44"/>
  <c r="EE76" i="48"/>
  <c r="EH13" i="44"/>
  <c r="ET76" i="48"/>
  <c r="EW13" i="44"/>
  <c r="EL76" i="48"/>
  <c r="EO13" i="44"/>
  <c r="LT21" i="44"/>
  <c r="LT22" i="44"/>
  <c r="LX76" i="48"/>
  <c r="MA13" i="44"/>
  <c r="MA12" i="44"/>
  <c r="OO13" i="44"/>
  <c r="OO12" i="44"/>
  <c r="GL76" i="48"/>
  <c r="GO13" i="44"/>
  <c r="MJ76" i="48"/>
  <c r="MM12" i="44"/>
  <c r="MM13" i="44"/>
  <c r="HU76" i="48"/>
  <c r="HX12" i="44"/>
  <c r="HX13" i="44"/>
  <c r="HM13" i="44"/>
  <c r="HM12" i="44"/>
  <c r="NH21" i="44"/>
  <c r="NH26" i="44" s="1"/>
  <c r="NH22" i="44"/>
  <c r="NH27" i="44" s="1"/>
  <c r="OF76" i="48"/>
  <c r="OI13" i="44"/>
  <c r="OI12" i="44"/>
  <c r="GF13" i="44"/>
  <c r="GF12" i="44"/>
  <c r="HO76" i="48"/>
  <c r="HR12" i="44"/>
  <c r="HR13" i="44"/>
  <c r="NU76" i="48"/>
  <c r="NX13" i="44"/>
  <c r="NX12" i="44"/>
  <c r="IB13" i="44"/>
  <c r="IB12" i="44"/>
  <c r="LR22" i="44"/>
  <c r="LR27" i="44" s="1"/>
  <c r="LR21" i="44"/>
  <c r="LR26" i="44" s="1"/>
  <c r="OR21" i="44"/>
  <c r="OR22" i="44"/>
  <c r="OR27" i="44" s="1"/>
  <c r="KS76" i="48"/>
  <c r="JJ22" i="44"/>
  <c r="JJ27" i="44" s="1"/>
  <c r="NA76" i="48"/>
  <c r="GU22" i="44"/>
  <c r="IQ22" i="44"/>
  <c r="HJ76" i="48"/>
  <c r="C4" i="48"/>
  <c r="C61" i="48" s="1"/>
  <c r="F17" i="44" s="1"/>
  <c r="C36" i="48"/>
  <c r="F22" i="48"/>
  <c r="F23" i="48"/>
  <c r="D89" i="48"/>
  <c r="D75" i="48"/>
  <c r="D90" i="48"/>
  <c r="C75" i="48"/>
  <c r="C89" i="48"/>
  <c r="C90" i="48"/>
  <c r="C37" i="48"/>
  <c r="D4" i="48"/>
  <c r="D5" i="48"/>
  <c r="D50" i="48" s="1"/>
  <c r="G19" i="44" s="1"/>
  <c r="D37" i="48"/>
  <c r="C62" i="48"/>
  <c r="F11" i="44" s="1"/>
  <c r="C63" i="48"/>
  <c r="F20" i="44" s="1"/>
  <c r="E74" i="48"/>
  <c r="E88" i="48"/>
  <c r="E30" i="48"/>
  <c r="E84" i="48"/>
  <c r="E68" i="48"/>
  <c r="E69" i="48"/>
  <c r="E32" i="48"/>
  <c r="E81" i="48"/>
  <c r="E28" i="48"/>
  <c r="E29" i="48"/>
  <c r="E85" i="48"/>
  <c r="E27" i="48"/>
  <c r="E82" i="48"/>
  <c r="E33" i="48"/>
  <c r="E6" i="48"/>
  <c r="E36" i="48" s="1"/>
  <c r="E66" i="48"/>
  <c r="E83" i="48"/>
  <c r="E34" i="48"/>
  <c r="E31" i="48"/>
  <c r="E73" i="48"/>
  <c r="E35" i="48"/>
  <c r="E87" i="48"/>
  <c r="E71" i="48"/>
  <c r="E80" i="48"/>
  <c r="E67" i="48"/>
  <c r="F6" i="48"/>
  <c r="F36" i="48" s="1"/>
  <c r="F68" i="48"/>
  <c r="F71" i="48"/>
  <c r="F33" i="48"/>
  <c r="F86" i="48"/>
  <c r="F67" i="48"/>
  <c r="F70" i="48"/>
  <c r="F83" i="48"/>
  <c r="F69" i="48"/>
  <c r="F88" i="48"/>
  <c r="F73" i="48"/>
  <c r="F31" i="48"/>
  <c r="F34" i="48"/>
  <c r="F80" i="48"/>
  <c r="F85" i="48"/>
  <c r="F84" i="48"/>
  <c r="F32" i="48"/>
  <c r="F81" i="48"/>
  <c r="F29" i="48"/>
  <c r="K3" i="44"/>
  <c r="CS3" i="48"/>
  <c r="BP3" i="48"/>
  <c r="AN36" i="52"/>
  <c r="AN32" i="52"/>
  <c r="AN34" i="52"/>
  <c r="MN24" i="44" l="1"/>
  <c r="NB27" i="44"/>
  <c r="MH10" i="44"/>
  <c r="MF10" i="44"/>
  <c r="MR10" i="44"/>
  <c r="MR24" i="44" s="1"/>
  <c r="NE10" i="44"/>
  <c r="NE24" i="44" s="1"/>
  <c r="NB10" i="44"/>
  <c r="MM10" i="44"/>
  <c r="MM24" i="44" s="1"/>
  <c r="NF24" i="44"/>
  <c r="LO10" i="44"/>
  <c r="LO24" i="44" s="1"/>
  <c r="KZ26" i="44"/>
  <c r="LA10" i="44"/>
  <c r="LA24" i="44" s="1"/>
  <c r="LM24" i="44"/>
  <c r="LL10" i="44"/>
  <c r="LL24" i="44" s="1"/>
  <c r="LE10" i="44"/>
  <c r="LS10" i="44"/>
  <c r="LS24" i="44" s="1"/>
  <c r="LH10" i="44"/>
  <c r="LH24" i="44" s="1"/>
  <c r="LG27" i="44"/>
  <c r="MA10" i="44"/>
  <c r="MA24" i="44" s="1"/>
  <c r="LE26" i="44"/>
  <c r="LX10" i="44"/>
  <c r="LX24" i="44" s="1"/>
  <c r="KB26" i="44"/>
  <c r="LE24" i="44"/>
  <c r="MP24" i="44"/>
  <c r="ND10" i="44"/>
  <c r="ND24" i="44" s="1"/>
  <c r="MZ24" i="44"/>
  <c r="LV24" i="44"/>
  <c r="MK24" i="44"/>
  <c r="LC24" i="44"/>
  <c r="MQ10" i="44"/>
  <c r="MQ24" i="44" s="1"/>
  <c r="LZ10" i="44"/>
  <c r="LZ24" i="44" s="1"/>
  <c r="LK10" i="44"/>
  <c r="LK24" i="44" s="1"/>
  <c r="ML10" i="44"/>
  <c r="ML24" i="44" s="1"/>
  <c r="NB24" i="44"/>
  <c r="LU10" i="44"/>
  <c r="LU24" i="44" s="1"/>
  <c r="NC10" i="44"/>
  <c r="NC24" i="44" s="1"/>
  <c r="MX10" i="44"/>
  <c r="MX24" i="44" s="1"/>
  <c r="LR10" i="44"/>
  <c r="LG10" i="44"/>
  <c r="LG24" i="44" s="1"/>
  <c r="LF10" i="44"/>
  <c r="LF24" i="44" s="1"/>
  <c r="KZ10" i="44"/>
  <c r="KZ24" i="44" s="1"/>
  <c r="LJ24" i="44"/>
  <c r="MF24" i="44"/>
  <c r="LX22" i="44"/>
  <c r="LX27" i="44" s="1"/>
  <c r="LY10" i="44"/>
  <c r="LY24" i="44" s="1"/>
  <c r="LP24" i="44"/>
  <c r="LN24" i="44"/>
  <c r="NA10" i="44"/>
  <c r="NA24" i="44" s="1"/>
  <c r="MV24" i="44"/>
  <c r="MD10" i="44"/>
  <c r="MD24" i="44" s="1"/>
  <c r="LD10" i="44"/>
  <c r="LD24" i="44" s="1"/>
  <c r="MT10" i="44"/>
  <c r="MT24" i="44" s="1"/>
  <c r="MW10" i="44"/>
  <c r="MW24" i="44" s="1"/>
  <c r="LR24" i="44"/>
  <c r="MO10" i="44"/>
  <c r="MO24" i="44" s="1"/>
  <c r="LI24" i="44"/>
  <c r="ME10" i="44"/>
  <c r="ME24" i="44" s="1"/>
  <c r="MH24" i="44"/>
  <c r="MG24" i="44"/>
  <c r="LT24" i="44"/>
  <c r="LQ24" i="44"/>
  <c r="LW10" i="44"/>
  <c r="LW24" i="44" s="1"/>
  <c r="LP10" i="44"/>
  <c r="MS24" i="44"/>
  <c r="MU10" i="44"/>
  <c r="MU24" i="44" s="1"/>
  <c r="LB10" i="44"/>
  <c r="LB24" i="44" s="1"/>
  <c r="LK27" i="44"/>
  <c r="LQ27" i="44"/>
  <c r="LW22" i="44"/>
  <c r="LW27" i="44" s="1"/>
  <c r="LQ26" i="44"/>
  <c r="LK26" i="44"/>
  <c r="KY26" i="44"/>
  <c r="LB26" i="44"/>
  <c r="LM22" i="44"/>
  <c r="LM27" i="44" s="1"/>
  <c r="LA22" i="44"/>
  <c r="LA27" i="44" s="1"/>
  <c r="KZ22" i="44"/>
  <c r="KZ27" i="44" s="1"/>
  <c r="LL22" i="44"/>
  <c r="LL27" i="44" s="1"/>
  <c r="LN27" i="44"/>
  <c r="LB22" i="44"/>
  <c r="LB27" i="44" s="1"/>
  <c r="LN26" i="44"/>
  <c r="LW26" i="44"/>
  <c r="KP10" i="44"/>
  <c r="KP24" i="44" s="1"/>
  <c r="KA10" i="44"/>
  <c r="KA24" i="44" s="1"/>
  <c r="JZ10" i="44"/>
  <c r="JZ24" i="44" s="1"/>
  <c r="KD26" i="44"/>
  <c r="KD10" i="44"/>
  <c r="KD24" i="44" s="1"/>
  <c r="KC26" i="44"/>
  <c r="KB10" i="44"/>
  <c r="KB24" i="44" s="1"/>
  <c r="KE10" i="44"/>
  <c r="KE24" i="44" s="1"/>
  <c r="KS10" i="44"/>
  <c r="KS24" i="44" s="1"/>
  <c r="KT26" i="44"/>
  <c r="KM10" i="44"/>
  <c r="KM24" i="44" s="1"/>
  <c r="KL10" i="44"/>
  <c r="KL24" i="44" s="1"/>
  <c r="KW10" i="44"/>
  <c r="KW24" i="44" s="1"/>
  <c r="KC24" i="44"/>
  <c r="KT10" i="44"/>
  <c r="KT24" i="44" s="1"/>
  <c r="KO10" i="44"/>
  <c r="KO24" i="44" s="1"/>
  <c r="KI10" i="44"/>
  <c r="KI24" i="44" s="1"/>
  <c r="KK10" i="44"/>
  <c r="KK24" i="44" s="1"/>
  <c r="KN26" i="44"/>
  <c r="KG10" i="44"/>
  <c r="KG24" i="44" s="1"/>
  <c r="KF10" i="44"/>
  <c r="KF24" i="44" s="1"/>
  <c r="KR10" i="44"/>
  <c r="KR24" i="44" s="1"/>
  <c r="KQ10" i="44"/>
  <c r="KQ24" i="44" s="1"/>
  <c r="KU10" i="44"/>
  <c r="KU24" i="44" s="1"/>
  <c r="KH10" i="44"/>
  <c r="KH24" i="44" s="1"/>
  <c r="KV10" i="44"/>
  <c r="KV24" i="44" s="1"/>
  <c r="KJ10" i="44"/>
  <c r="KJ24" i="44" s="1"/>
  <c r="KN10" i="44"/>
  <c r="KN24" i="44" s="1"/>
  <c r="JX10" i="44"/>
  <c r="JX24" i="44" s="1"/>
  <c r="JY10" i="44"/>
  <c r="JY24" i="44" s="1"/>
  <c r="KT22" i="44"/>
  <c r="KT27" i="44" s="1"/>
  <c r="JW10" i="44"/>
  <c r="JW24" i="44" s="1"/>
  <c r="JV10" i="44"/>
  <c r="JV24" i="44" s="1"/>
  <c r="JV22" i="44"/>
  <c r="JV27" i="44" s="1"/>
  <c r="JV21" i="44"/>
  <c r="JV26" i="44" s="1"/>
  <c r="JU10" i="44"/>
  <c r="JU24" i="44" s="1"/>
  <c r="JW21" i="44"/>
  <c r="JW26" i="44" s="1"/>
  <c r="JW22" i="44"/>
  <c r="JW27" i="44" s="1"/>
  <c r="KM22" i="44"/>
  <c r="KM27" i="44" s="1"/>
  <c r="KM21" i="44"/>
  <c r="KM26" i="44" s="1"/>
  <c r="KA22" i="44"/>
  <c r="KA27" i="44" s="1"/>
  <c r="KA21" i="44"/>
  <c r="KA26" i="44" s="1"/>
  <c r="KI22" i="44"/>
  <c r="KI27" i="44" s="1"/>
  <c r="KI21" i="44"/>
  <c r="KI26" i="44" s="1"/>
  <c r="KH22" i="44"/>
  <c r="KH27" i="44" s="1"/>
  <c r="KH21" i="44"/>
  <c r="KH26" i="44" s="1"/>
  <c r="JN7" i="48"/>
  <c r="JO7" i="48" s="1"/>
  <c r="JF7" i="48"/>
  <c r="JD22" i="44"/>
  <c r="JD27" i="44" s="1"/>
  <c r="IQ27" i="44"/>
  <c r="IY27" i="44"/>
  <c r="JO27" i="44"/>
  <c r="JE27" i="44"/>
  <c r="IT27" i="44"/>
  <c r="JF27" i="44"/>
  <c r="JQ22" i="44"/>
  <c r="JQ27" i="44" s="1"/>
  <c r="IN10" i="44"/>
  <c r="IN24" i="44" s="1"/>
  <c r="II25" i="44"/>
  <c r="IK10" i="44"/>
  <c r="IK24" i="44" s="1"/>
  <c r="IJ25" i="44"/>
  <c r="IJ10" i="44"/>
  <c r="IH18" i="44"/>
  <c r="IG10" i="44"/>
  <c r="IG24" i="44" s="1"/>
  <c r="IJ24" i="44"/>
  <c r="IK18" i="44"/>
  <c r="IL18" i="44"/>
  <c r="IJ18" i="44"/>
  <c r="II24" i="44"/>
  <c r="IM18" i="44"/>
  <c r="IN18" i="44"/>
  <c r="IL10" i="44"/>
  <c r="IL24" i="44" s="1"/>
  <c r="IM10" i="44"/>
  <c r="IM24" i="44" s="1"/>
  <c r="II18" i="44"/>
  <c r="IL25" i="44"/>
  <c r="IA24" i="44"/>
  <c r="IC25" i="44"/>
  <c r="IE10" i="44"/>
  <c r="IE24" i="44" s="1"/>
  <c r="IA25" i="44"/>
  <c r="HZ25" i="44"/>
  <c r="IF25" i="44"/>
  <c r="IE25" i="44"/>
  <c r="ID10" i="44"/>
  <c r="ID24" i="44" s="1"/>
  <c r="IF10" i="44"/>
  <c r="IF24" i="44" s="1"/>
  <c r="IC10" i="44"/>
  <c r="IC24" i="44" s="1"/>
  <c r="HU25" i="44"/>
  <c r="HX25" i="44"/>
  <c r="HT25" i="44"/>
  <c r="IB10" i="44"/>
  <c r="IB24" i="44" s="1"/>
  <c r="IB25" i="44"/>
  <c r="HS10" i="44"/>
  <c r="HS24" i="44" s="1"/>
  <c r="HX10" i="44"/>
  <c r="HX24" i="44" s="1"/>
  <c r="HS25" i="44"/>
  <c r="HY10" i="44"/>
  <c r="HY24" i="44" s="1"/>
  <c r="HW25" i="44"/>
  <c r="HZ10" i="44"/>
  <c r="HZ24" i="44" s="1"/>
  <c r="HU24" i="44"/>
  <c r="HW10" i="44"/>
  <c r="HW24" i="44" s="1"/>
  <c r="HV10" i="44"/>
  <c r="HV24" i="44" s="1"/>
  <c r="HT10" i="44"/>
  <c r="HT24" i="44" s="1"/>
  <c r="HN10" i="44"/>
  <c r="HN24" i="44" s="1"/>
  <c r="HL10" i="44"/>
  <c r="HL24" i="44" s="1"/>
  <c r="HQ10" i="44"/>
  <c r="HQ24" i="44" s="1"/>
  <c r="HZ22" i="44"/>
  <c r="HZ27" i="44" s="1"/>
  <c r="IL21" i="44"/>
  <c r="IL26" i="44" s="1"/>
  <c r="HP10" i="44"/>
  <c r="HP24" i="44" s="1"/>
  <c r="HN22" i="44"/>
  <c r="HN27" i="44" s="1"/>
  <c r="IM21" i="44"/>
  <c r="IM26" i="44" s="1"/>
  <c r="HO21" i="44"/>
  <c r="HO26" i="44" s="1"/>
  <c r="HM10" i="44"/>
  <c r="HM24" i="44" s="1"/>
  <c r="HO10" i="44"/>
  <c r="HO24" i="44" s="1"/>
  <c r="HR10" i="44"/>
  <c r="HR24" i="44" s="1"/>
  <c r="HS26" i="44"/>
  <c r="HS27" i="44"/>
  <c r="HV26" i="44"/>
  <c r="IM27" i="44"/>
  <c r="GQ27" i="44"/>
  <c r="GP27" i="44"/>
  <c r="GJ22" i="44"/>
  <c r="GJ27" i="44" s="1"/>
  <c r="HB22" i="44"/>
  <c r="HB27" i="44" s="1"/>
  <c r="GU27" i="44"/>
  <c r="GE27" i="44"/>
  <c r="GI27" i="44"/>
  <c r="MD27" i="44"/>
  <c r="JK27" i="44"/>
  <c r="OM27" i="44"/>
  <c r="OH22" i="44"/>
  <c r="OH27" i="44" s="1"/>
  <c r="IE27" i="44"/>
  <c r="LS27" i="44"/>
  <c r="OT26" i="44"/>
  <c r="NN26" i="44"/>
  <c r="KP26" i="44"/>
  <c r="IH27" i="44"/>
  <c r="NZ27" i="44"/>
  <c r="HV27" i="44"/>
  <c r="IA26" i="44"/>
  <c r="HG27" i="44"/>
  <c r="OX26" i="44"/>
  <c r="HN26" i="44"/>
  <c r="KU26" i="44"/>
  <c r="GV27" i="44"/>
  <c r="MI27" i="44"/>
  <c r="KU27" i="44"/>
  <c r="LL26" i="44"/>
  <c r="IA27" i="44"/>
  <c r="OX27" i="44"/>
  <c r="HO27" i="44"/>
  <c r="JR27" i="44"/>
  <c r="IE26" i="44"/>
  <c r="NJ26" i="44"/>
  <c r="OR26" i="44"/>
  <c r="OK26" i="44"/>
  <c r="NG26" i="44"/>
  <c r="MD26" i="44"/>
  <c r="ME26" i="44"/>
  <c r="MU26" i="44"/>
  <c r="ME27" i="44"/>
  <c r="MU27" i="44"/>
  <c r="MI26" i="44"/>
  <c r="KK26" i="44"/>
  <c r="IH26" i="44"/>
  <c r="HJ22" i="44"/>
  <c r="HJ27" i="44" s="1"/>
  <c r="GX22" i="44"/>
  <c r="GX27" i="44" s="1"/>
  <c r="LA26" i="44"/>
  <c r="MP26" i="44"/>
  <c r="JY26" i="44"/>
  <c r="MQ27" i="44"/>
  <c r="HE27" i="44"/>
  <c r="F25" i="44"/>
  <c r="KP27" i="44"/>
  <c r="MP27" i="44"/>
  <c r="K2" i="44"/>
  <c r="MG27" i="44"/>
  <c r="LT27" i="44"/>
  <c r="NU26" i="44"/>
  <c r="HH27" i="44"/>
  <c r="MQ26" i="44"/>
  <c r="LT26" i="44"/>
  <c r="NQ27" i="44"/>
  <c r="IC27" i="44"/>
  <c r="IC26" i="44"/>
  <c r="NI21" i="44"/>
  <c r="NI26" i="44" s="1"/>
  <c r="NP27" i="44"/>
  <c r="NC21" i="44"/>
  <c r="NC26" i="44" s="1"/>
  <c r="NU27" i="44"/>
  <c r="NP26" i="44"/>
  <c r="HC27" i="44"/>
  <c r="LU27" i="44"/>
  <c r="NG27" i="44"/>
  <c r="OK27" i="44"/>
  <c r="NE26" i="44"/>
  <c r="OO26" i="44"/>
  <c r="EK22" i="44"/>
  <c r="EK27" i="44" s="1"/>
  <c r="MC21" i="44"/>
  <c r="MC26" i="44" s="1"/>
  <c r="MC22" i="44"/>
  <c r="MC27" i="44" s="1"/>
  <c r="KX22" i="44"/>
  <c r="KX27" i="44" s="1"/>
  <c r="EO22" i="44"/>
  <c r="EO27" i="44" s="1"/>
  <c r="GZ22" i="44"/>
  <c r="GZ27" i="44" s="1"/>
  <c r="JT21" i="44"/>
  <c r="JT26" i="44" s="1"/>
  <c r="JT22" i="44"/>
  <c r="JT27" i="44" s="1"/>
  <c r="GO22" i="44"/>
  <c r="GO27" i="44" s="1"/>
  <c r="OS22" i="44"/>
  <c r="OS27" i="44" s="1"/>
  <c r="OS21" i="44"/>
  <c r="OS26" i="44" s="1"/>
  <c r="GF27" i="44"/>
  <c r="HK21" i="44"/>
  <c r="HK26" i="44" s="1"/>
  <c r="HK22" i="44"/>
  <c r="HK27" i="44" s="1"/>
  <c r="IB27" i="44"/>
  <c r="EY22" i="44"/>
  <c r="EY27" i="44" s="1"/>
  <c r="NQ26" i="44"/>
  <c r="OW22" i="44"/>
  <c r="OW27" i="44" s="1"/>
  <c r="OW21" i="44"/>
  <c r="OW26" i="44" s="1"/>
  <c r="LZ26" i="44"/>
  <c r="OP22" i="44"/>
  <c r="OP27" i="44" s="1"/>
  <c r="OP21" i="44"/>
  <c r="OP26" i="44" s="1"/>
  <c r="LY26" i="44"/>
  <c r="HW22" i="44"/>
  <c r="HW27" i="44" s="1"/>
  <c r="HW21" i="44"/>
  <c r="HW26" i="44" s="1"/>
  <c r="C76" i="48"/>
  <c r="F13" i="44"/>
  <c r="NK22" i="44"/>
  <c r="NK27" i="44" s="1"/>
  <c r="NK21" i="44"/>
  <c r="NK26" i="44" s="1"/>
  <c r="JX21" i="44"/>
  <c r="JX26" i="44" s="1"/>
  <c r="JX22" i="44"/>
  <c r="JX27" i="44" s="1"/>
  <c r="EW22" i="44"/>
  <c r="EW27" i="44" s="1"/>
  <c r="EF22" i="44"/>
  <c r="EF27" i="44" s="1"/>
  <c r="MH22" i="44"/>
  <c r="MH27" i="44" s="1"/>
  <c r="MH21" i="44"/>
  <c r="MH26" i="44" s="1"/>
  <c r="MR21" i="44"/>
  <c r="MR26" i="44" s="1"/>
  <c r="MR22" i="44"/>
  <c r="MR27" i="44" s="1"/>
  <c r="JH22" i="44"/>
  <c r="JH27" i="44" s="1"/>
  <c r="GF26" i="44"/>
  <c r="ON21" i="44"/>
  <c r="ON26" i="44" s="1"/>
  <c r="ON22" i="44"/>
  <c r="ON27" i="44" s="1"/>
  <c r="JU21" i="44"/>
  <c r="JU26" i="44" s="1"/>
  <c r="JU22" i="44"/>
  <c r="JU27" i="44" s="1"/>
  <c r="IB26" i="44"/>
  <c r="LY27" i="44"/>
  <c r="KQ22" i="44"/>
  <c r="KQ27" i="44" s="1"/>
  <c r="KQ21" i="44"/>
  <c r="KQ26" i="44" s="1"/>
  <c r="KW22" i="44"/>
  <c r="KW27" i="44" s="1"/>
  <c r="KW21" i="44"/>
  <c r="KW26" i="44" s="1"/>
  <c r="MY22" i="44"/>
  <c r="MY27" i="44" s="1"/>
  <c r="MY21" i="44"/>
  <c r="MY26" i="44" s="1"/>
  <c r="ES22" i="44"/>
  <c r="ES27" i="44" s="1"/>
  <c r="MN22" i="44"/>
  <c r="MN27" i="44" s="1"/>
  <c r="MN21" i="44"/>
  <c r="MN26" i="44" s="1"/>
  <c r="LC21" i="44"/>
  <c r="LC26" i="44" s="1"/>
  <c r="LC22" i="44"/>
  <c r="LC27" i="44" s="1"/>
  <c r="GG27" i="44"/>
  <c r="IU22" i="44"/>
  <c r="IU27" i="44" s="1"/>
  <c r="LO22" i="44"/>
  <c r="LO27" i="44" s="1"/>
  <c r="LO21" i="44"/>
  <c r="LO26" i="44" s="1"/>
  <c r="NR22" i="44"/>
  <c r="NR27" i="44" s="1"/>
  <c r="NR21" i="44"/>
  <c r="NR26" i="44" s="1"/>
  <c r="OU22" i="44"/>
  <c r="OU27" i="44" s="1"/>
  <c r="OU21" i="44"/>
  <c r="OU26" i="44" s="1"/>
  <c r="HA22" i="44"/>
  <c r="HA27" i="44" s="1"/>
  <c r="EG22" i="44"/>
  <c r="EG27" i="44" s="1"/>
  <c r="JB22" i="44"/>
  <c r="JB27" i="44" s="1"/>
  <c r="KF21" i="44"/>
  <c r="KF26" i="44" s="1"/>
  <c r="KF22" i="44"/>
  <c r="KF27" i="44" s="1"/>
  <c r="OB21" i="44"/>
  <c r="OB26" i="44" s="1"/>
  <c r="OB22" i="44"/>
  <c r="OB27" i="44" s="1"/>
  <c r="ET22" i="44"/>
  <c r="ET27" i="44" s="1"/>
  <c r="GY22" i="44"/>
  <c r="GY27" i="44" s="1"/>
  <c r="NY22" i="44"/>
  <c r="NY27" i="44" s="1"/>
  <c r="NY21" i="44"/>
  <c r="NY26" i="44" s="1"/>
  <c r="GH22" i="44"/>
  <c r="GH27" i="44" s="1"/>
  <c r="IN21" i="44"/>
  <c r="IN26" i="44" s="1"/>
  <c r="IN22" i="44"/>
  <c r="IN27" i="44" s="1"/>
  <c r="II21" i="44"/>
  <c r="II26" i="44" s="1"/>
  <c r="II22" i="44"/>
  <c r="II27" i="44" s="1"/>
  <c r="OJ21" i="44"/>
  <c r="OJ26" i="44" s="1"/>
  <c r="OJ22" i="44"/>
  <c r="OJ27" i="44" s="1"/>
  <c r="KS22" i="44"/>
  <c r="KS27" i="44" s="1"/>
  <c r="KS21" i="44"/>
  <c r="KS26" i="44" s="1"/>
  <c r="GN22" i="44"/>
  <c r="GN27" i="44" s="1"/>
  <c r="IJ22" i="44"/>
  <c r="IJ27" i="44" s="1"/>
  <c r="IJ21" i="44"/>
  <c r="IJ26" i="44" s="1"/>
  <c r="KJ21" i="44"/>
  <c r="KJ26" i="44" s="1"/>
  <c r="KJ22" i="44"/>
  <c r="KJ27" i="44" s="1"/>
  <c r="KR21" i="44"/>
  <c r="KR26" i="44" s="1"/>
  <c r="KR22" i="44"/>
  <c r="KR27" i="44" s="1"/>
  <c r="MZ21" i="44"/>
  <c r="MZ26" i="44" s="1"/>
  <c r="MZ22" i="44"/>
  <c r="MZ27" i="44" s="1"/>
  <c r="OI22" i="44"/>
  <c r="OI27" i="44" s="1"/>
  <c r="OI21" i="44"/>
  <c r="OI26" i="44" s="1"/>
  <c r="EL22" i="44"/>
  <c r="EL27" i="44" s="1"/>
  <c r="OV22" i="44"/>
  <c r="OV27" i="44" s="1"/>
  <c r="OV21" i="44"/>
  <c r="OV26" i="44" s="1"/>
  <c r="LZ27" i="44"/>
  <c r="ND21" i="44"/>
  <c r="ND26" i="44" s="1"/>
  <c r="ND22" i="44"/>
  <c r="ND27" i="44" s="1"/>
  <c r="NX22" i="44"/>
  <c r="NX27" i="44" s="1"/>
  <c r="NX21" i="44"/>
  <c r="NX26" i="44" s="1"/>
  <c r="GS22" i="44"/>
  <c r="GS27" i="44" s="1"/>
  <c r="JL27" i="44"/>
  <c r="GT22" i="44"/>
  <c r="GT27" i="44" s="1"/>
  <c r="OZ22" i="44"/>
  <c r="OZ27" i="44" s="1"/>
  <c r="OZ21" i="44"/>
  <c r="OZ26" i="44" s="1"/>
  <c r="LU26" i="44"/>
  <c r="EM22" i="44"/>
  <c r="EM27" i="44" s="1"/>
  <c r="JA27" i="44"/>
  <c r="JY27" i="44"/>
  <c r="JN22" i="44"/>
  <c r="JN27" i="44" s="1"/>
  <c r="MB22" i="44"/>
  <c r="MB27" i="44" s="1"/>
  <c r="EV22" i="44"/>
  <c r="EV27" i="44" s="1"/>
  <c r="OG22" i="44"/>
  <c r="OG27" i="44" s="1"/>
  <c r="OG21" i="44"/>
  <c r="OG26" i="44" s="1"/>
  <c r="NW21" i="44"/>
  <c r="NW26" i="44" s="1"/>
  <c r="NW22" i="44"/>
  <c r="NW27" i="44" s="1"/>
  <c r="EH22" i="44"/>
  <c r="EH27" i="44" s="1"/>
  <c r="MO21" i="44"/>
  <c r="MO26" i="44" s="1"/>
  <c r="MO22" i="44"/>
  <c r="MO27" i="44" s="1"/>
  <c r="EU22" i="44"/>
  <c r="EU27" i="44" s="1"/>
  <c r="EZ22" i="44"/>
  <c r="EZ27" i="44" s="1"/>
  <c r="OO27" i="44"/>
  <c r="IP22" i="44"/>
  <c r="IP27" i="44" s="1"/>
  <c r="ER22" i="44"/>
  <c r="ER27" i="44" s="1"/>
  <c r="MF21" i="44"/>
  <c r="MF26" i="44" s="1"/>
  <c r="MF22" i="44"/>
  <c r="MF27" i="44" s="1"/>
  <c r="IV22" i="44"/>
  <c r="IV27" i="44" s="1"/>
  <c r="LI22" i="44"/>
  <c r="LI27" i="44" s="1"/>
  <c r="LI21" i="44"/>
  <c r="LI26" i="44" s="1"/>
  <c r="KL22" i="44"/>
  <c r="KL27" i="44" s="1"/>
  <c r="KL21" i="44"/>
  <c r="KL26" i="44" s="1"/>
  <c r="LP22" i="44"/>
  <c r="LP27" i="44" s="1"/>
  <c r="LP21" i="44"/>
  <c r="LP26" i="44" s="1"/>
  <c r="EE22" i="44"/>
  <c r="EE27" i="44" s="1"/>
  <c r="IK22" i="44"/>
  <c r="IK27" i="44" s="1"/>
  <c r="IK21" i="44"/>
  <c r="IK26" i="44" s="1"/>
  <c r="NA21" i="44"/>
  <c r="NA26" i="44" s="1"/>
  <c r="NA22" i="44"/>
  <c r="NA27" i="44" s="1"/>
  <c r="MM22" i="44"/>
  <c r="MM27" i="44" s="1"/>
  <c r="MM21" i="44"/>
  <c r="MM26" i="44" s="1"/>
  <c r="EP22" i="44"/>
  <c r="EP27" i="44" s="1"/>
  <c r="D76" i="48"/>
  <c r="G13" i="44"/>
  <c r="G12" i="44"/>
  <c r="MA21" i="44"/>
  <c r="MA26" i="44" s="1"/>
  <c r="MA22" i="44"/>
  <c r="MA27" i="44" s="1"/>
  <c r="NL21" i="44"/>
  <c r="NL26" i="44" s="1"/>
  <c r="NL22" i="44"/>
  <c r="NL27" i="44" s="1"/>
  <c r="HL22" i="44"/>
  <c r="HL27" i="44" s="1"/>
  <c r="HL21" i="44"/>
  <c r="HL26" i="44" s="1"/>
  <c r="NF22" i="44"/>
  <c r="NF27" i="44" s="1"/>
  <c r="NF21" i="44"/>
  <c r="NF26" i="44" s="1"/>
  <c r="MT22" i="44"/>
  <c r="MT27" i="44" s="1"/>
  <c r="MT21" i="44"/>
  <c r="MT26" i="44" s="1"/>
  <c r="JS22" i="44"/>
  <c r="JS27" i="44" s="1"/>
  <c r="OD22" i="44"/>
  <c r="OD27" i="44" s="1"/>
  <c r="OD21" i="44"/>
  <c r="OD26" i="44" s="1"/>
  <c r="ID22" i="44"/>
  <c r="ID27" i="44" s="1"/>
  <c r="ID21" i="44"/>
  <c r="ID26" i="44" s="1"/>
  <c r="JI22" i="44"/>
  <c r="JI27" i="44" s="1"/>
  <c r="KG27" i="44"/>
  <c r="GR22" i="44"/>
  <c r="GR27" i="44" s="1"/>
  <c r="LH21" i="44"/>
  <c r="LH26" i="44" s="1"/>
  <c r="LH22" i="44"/>
  <c r="LH27" i="44" s="1"/>
  <c r="MS27" i="44"/>
  <c r="JG22" i="44"/>
  <c r="JG27" i="44" s="1"/>
  <c r="C5" i="48"/>
  <c r="C41" i="48" s="1"/>
  <c r="F5" i="44" s="1"/>
  <c r="HM21" i="44"/>
  <c r="HM26" i="44" s="1"/>
  <c r="HM22" i="44"/>
  <c r="HM27" i="44" s="1"/>
  <c r="KV21" i="44"/>
  <c r="KV26" i="44" s="1"/>
  <c r="KV22" i="44"/>
  <c r="KV27" i="44" s="1"/>
  <c r="HR22" i="44"/>
  <c r="HR27" i="44" s="1"/>
  <c r="HR21" i="44"/>
  <c r="HR26" i="44" s="1"/>
  <c r="HX21" i="44"/>
  <c r="HX26" i="44" s="1"/>
  <c r="HX22" i="44"/>
  <c r="HX27" i="44" s="1"/>
  <c r="JM22" i="44"/>
  <c r="JM27" i="44" s="1"/>
  <c r="EA22" i="44"/>
  <c r="EA27" i="44" s="1"/>
  <c r="MG26" i="44"/>
  <c r="HY22" i="44"/>
  <c r="HY27" i="44" s="1"/>
  <c r="HY21" i="44"/>
  <c r="HY26" i="44" s="1"/>
  <c r="EB22" i="44"/>
  <c r="EB27" i="44" s="1"/>
  <c r="LJ22" i="44"/>
  <c r="LJ27" i="44" s="1"/>
  <c r="LJ21" i="44"/>
  <c r="LJ26" i="44" s="1"/>
  <c r="KG26" i="44"/>
  <c r="EJ22" i="44"/>
  <c r="EJ27" i="44" s="1"/>
  <c r="IW27" i="44"/>
  <c r="ED22" i="44"/>
  <c r="ED27" i="44" s="1"/>
  <c r="OC22" i="44"/>
  <c r="OC27" i="44" s="1"/>
  <c r="OC21" i="44"/>
  <c r="OC26" i="44" s="1"/>
  <c r="LV22" i="44"/>
  <c r="LV27" i="44" s="1"/>
  <c r="LV21" i="44"/>
  <c r="LV26" i="44" s="1"/>
  <c r="HP21" i="44"/>
  <c r="HP26" i="44" s="1"/>
  <c r="HP22" i="44"/>
  <c r="HP27" i="44" s="1"/>
  <c r="C56" i="48"/>
  <c r="NM21" i="44"/>
  <c r="NM26" i="44" s="1"/>
  <c r="NM22" i="44"/>
  <c r="NM27" i="44" s="1"/>
  <c r="LD21" i="44"/>
  <c r="LD26" i="44" s="1"/>
  <c r="LD22" i="44"/>
  <c r="LD27" i="44" s="1"/>
  <c r="HQ21" i="44"/>
  <c r="HQ26" i="44" s="1"/>
  <c r="HQ22" i="44"/>
  <c r="HQ27" i="44" s="1"/>
  <c r="HD22" i="44"/>
  <c r="HD27" i="44" s="1"/>
  <c r="EI22" i="44"/>
  <c r="EI27" i="44" s="1"/>
  <c r="EC22" i="44"/>
  <c r="EC27" i="44" s="1"/>
  <c r="IZ27" i="44"/>
  <c r="KK27" i="44"/>
  <c r="NE27" i="44"/>
  <c r="JZ22" i="44"/>
  <c r="JZ27" i="44" s="1"/>
  <c r="JZ21" i="44"/>
  <c r="JZ26" i="44" s="1"/>
  <c r="HF22" i="44"/>
  <c r="HF27" i="44" s="1"/>
  <c r="GM22" i="44"/>
  <c r="GM27" i="44" s="1"/>
  <c r="KE22" i="44"/>
  <c r="KE27" i="44" s="1"/>
  <c r="KE21" i="44"/>
  <c r="KE26" i="44" s="1"/>
  <c r="EQ22" i="44"/>
  <c r="EQ27" i="44" s="1"/>
  <c r="EN22" i="44"/>
  <c r="EN27" i="44" s="1"/>
  <c r="EX22" i="44"/>
  <c r="EX27" i="44" s="1"/>
  <c r="C55" i="48"/>
  <c r="C57" i="48"/>
  <c r="C59" i="48"/>
  <c r="F15" i="44" s="1"/>
  <c r="C54" i="48"/>
  <c r="C58" i="48"/>
  <c r="F14" i="44" s="1"/>
  <c r="C60" i="48"/>
  <c r="F16" i="44" s="1"/>
  <c r="C53" i="48"/>
  <c r="G22" i="48"/>
  <c r="G23" i="48"/>
  <c r="E75" i="48"/>
  <c r="E89" i="48"/>
  <c r="E90" i="48"/>
  <c r="C40" i="48"/>
  <c r="F4" i="44" s="1"/>
  <c r="C45" i="48"/>
  <c r="D49" i="48"/>
  <c r="D57" i="48"/>
  <c r="C47" i="48"/>
  <c r="C43" i="48"/>
  <c r="F7" i="44" s="1"/>
  <c r="C48" i="48"/>
  <c r="D44" i="48"/>
  <c r="G8" i="44" s="1"/>
  <c r="C49" i="48"/>
  <c r="F10" i="44" s="1"/>
  <c r="D48" i="48"/>
  <c r="D43" i="48"/>
  <c r="G7" i="44" s="1"/>
  <c r="D40" i="48"/>
  <c r="G4" i="44" s="1"/>
  <c r="D61" i="48"/>
  <c r="G17" i="44" s="1"/>
  <c r="D46" i="48"/>
  <c r="D41" i="48"/>
  <c r="G5" i="44" s="1"/>
  <c r="D42" i="48"/>
  <c r="G6" i="44" s="1"/>
  <c r="C50" i="48"/>
  <c r="F19" i="44" s="1"/>
  <c r="D47" i="48"/>
  <c r="D45" i="48"/>
  <c r="C46" i="48"/>
  <c r="D58" i="48"/>
  <c r="G14" i="44" s="1"/>
  <c r="D63" i="48"/>
  <c r="G20" i="44" s="1"/>
  <c r="D59" i="48"/>
  <c r="G15" i="44" s="1"/>
  <c r="D56" i="48"/>
  <c r="D53" i="48"/>
  <c r="D62" i="48"/>
  <c r="G11" i="44" s="1"/>
  <c r="D60" i="48"/>
  <c r="G16" i="44" s="1"/>
  <c r="D54" i="48"/>
  <c r="D55" i="48"/>
  <c r="E37" i="48"/>
  <c r="E5" i="48"/>
  <c r="E4" i="48"/>
  <c r="E60" i="48" s="1"/>
  <c r="H16" i="44" s="1"/>
  <c r="F4" i="48"/>
  <c r="F35" i="48"/>
  <c r="F5" i="48"/>
  <c r="F42" i="48" s="1"/>
  <c r="I6" i="44" s="1"/>
  <c r="F37" i="48"/>
  <c r="F66" i="48"/>
  <c r="F87" i="48"/>
  <c r="F28" i="48"/>
  <c r="F30" i="48"/>
  <c r="F72" i="48"/>
  <c r="F27" i="48"/>
  <c r="F82" i="48"/>
  <c r="F74" i="48"/>
  <c r="G69" i="48"/>
  <c r="G72" i="48"/>
  <c r="L3" i="44"/>
  <c r="BQ3" i="48"/>
  <c r="CT3" i="48"/>
  <c r="AN30" i="52"/>
  <c r="C42" i="48" l="1"/>
  <c r="F6" i="44" s="1"/>
  <c r="C44" i="48"/>
  <c r="F8" i="44" s="1"/>
  <c r="L2" i="44"/>
  <c r="G25" i="44"/>
  <c r="F12" i="44"/>
  <c r="F24" i="44"/>
  <c r="E76" i="48"/>
  <c r="H13" i="44"/>
  <c r="H12" i="44"/>
  <c r="G22" i="44"/>
  <c r="G27" i="44" s="1"/>
  <c r="G21" i="44"/>
  <c r="G26" i="44" s="1"/>
  <c r="F22" i="44"/>
  <c r="F27" i="44" s="1"/>
  <c r="F21" i="44"/>
  <c r="H22" i="48"/>
  <c r="H23" i="48"/>
  <c r="F90" i="48"/>
  <c r="F89" i="48"/>
  <c r="F75" i="48"/>
  <c r="F48" i="48"/>
  <c r="G10" i="44"/>
  <c r="G24" i="44" s="1"/>
  <c r="F45" i="48"/>
  <c r="F41" i="48"/>
  <c r="I5" i="44" s="1"/>
  <c r="E53" i="48"/>
  <c r="E43" i="48"/>
  <c r="H7" i="44" s="1"/>
  <c r="E49" i="48"/>
  <c r="H10" i="44" s="1"/>
  <c r="F62" i="48"/>
  <c r="I11" i="44" s="1"/>
  <c r="E62" i="48"/>
  <c r="H11" i="44" s="1"/>
  <c r="E50" i="48"/>
  <c r="H19" i="44" s="1"/>
  <c r="F47" i="48"/>
  <c r="E42" i="48"/>
  <c r="H6" i="44" s="1"/>
  <c r="F55" i="48"/>
  <c r="F53" i="48"/>
  <c r="F54" i="48"/>
  <c r="F56" i="48"/>
  <c r="F57" i="48"/>
  <c r="F50" i="48"/>
  <c r="I19" i="44" s="1"/>
  <c r="F40" i="48"/>
  <c r="I4" i="44" s="1"/>
  <c r="F49" i="48"/>
  <c r="F59" i="48"/>
  <c r="I15" i="44" s="1"/>
  <c r="F63" i="48"/>
  <c r="I20" i="44" s="1"/>
  <c r="E48" i="48"/>
  <c r="F43" i="48"/>
  <c r="I7" i="44" s="1"/>
  <c r="F44" i="48"/>
  <c r="I8" i="44" s="1"/>
  <c r="E56" i="48"/>
  <c r="E55" i="48"/>
  <c r="E57" i="48"/>
  <c r="E61" i="48"/>
  <c r="H17" i="44" s="1"/>
  <c r="E54" i="48"/>
  <c r="E59" i="48"/>
  <c r="H15" i="44" s="1"/>
  <c r="E58" i="48"/>
  <c r="H14" i="44" s="1"/>
  <c r="E63" i="48"/>
  <c r="H20" i="44" s="1"/>
  <c r="F60" i="48"/>
  <c r="I16" i="44" s="1"/>
  <c r="F46" i="48"/>
  <c r="E44" i="48"/>
  <c r="H8" i="44" s="1"/>
  <c r="E41" i="48"/>
  <c r="H5" i="44" s="1"/>
  <c r="E45" i="48"/>
  <c r="E40" i="48"/>
  <c r="H4" i="44" s="1"/>
  <c r="E46" i="48"/>
  <c r="E47" i="48"/>
  <c r="F61" i="48"/>
  <c r="I17" i="44" s="1"/>
  <c r="F58" i="48"/>
  <c r="I14" i="44" s="1"/>
  <c r="G34" i="48"/>
  <c r="G66" i="48"/>
  <c r="G27" i="48"/>
  <c r="G6" i="48"/>
  <c r="G87" i="48"/>
  <c r="G68" i="48"/>
  <c r="G80" i="48"/>
  <c r="G84" i="48"/>
  <c r="G81" i="48"/>
  <c r="G71" i="48"/>
  <c r="G29" i="48"/>
  <c r="G82" i="48"/>
  <c r="G31" i="48"/>
  <c r="G28" i="48"/>
  <c r="G30" i="48"/>
  <c r="G33" i="48"/>
  <c r="G67" i="48"/>
  <c r="G73" i="48"/>
  <c r="G88" i="48"/>
  <c r="G70" i="48"/>
  <c r="G85" i="48"/>
  <c r="G86" i="48"/>
  <c r="G83" i="48"/>
  <c r="G35" i="48"/>
  <c r="G74" i="48"/>
  <c r="G32" i="48"/>
  <c r="M3" i="44"/>
  <c r="CU3" i="48"/>
  <c r="BR3" i="48"/>
  <c r="AN38" i="52"/>
  <c r="G36" i="48" l="1"/>
  <c r="H25" i="44"/>
  <c r="F18" i="44"/>
  <c r="I9" i="44"/>
  <c r="G9" i="44"/>
  <c r="G18" i="44"/>
  <c r="H9" i="44"/>
  <c r="I18" i="44"/>
  <c r="I23" i="44" s="1"/>
  <c r="F9" i="44"/>
  <c r="F23" i="44" s="1"/>
  <c r="H18" i="44"/>
  <c r="I25" i="44"/>
  <c r="H24" i="44"/>
  <c r="M2" i="44"/>
  <c r="F26" i="44"/>
  <c r="H21" i="44"/>
  <c r="H26" i="44" s="1"/>
  <c r="H22" i="44"/>
  <c r="H27" i="44" s="1"/>
  <c r="F76" i="48"/>
  <c r="I12" i="44"/>
  <c r="I13" i="44"/>
  <c r="G75" i="48"/>
  <c r="I23" i="48"/>
  <c r="I22" i="48"/>
  <c r="G89" i="48"/>
  <c r="G90" i="48"/>
  <c r="G5" i="48"/>
  <c r="I10" i="44"/>
  <c r="I24" i="44" s="1"/>
  <c r="G37" i="48"/>
  <c r="G4" i="48"/>
  <c r="G60" i="48" s="1"/>
  <c r="J16" i="44" s="1"/>
  <c r="H6" i="48"/>
  <c r="H74" i="48"/>
  <c r="H69" i="48"/>
  <c r="H27" i="48"/>
  <c r="H28" i="48"/>
  <c r="H66" i="48"/>
  <c r="H86" i="48"/>
  <c r="H70" i="48"/>
  <c r="H30" i="48"/>
  <c r="H88" i="48"/>
  <c r="H32" i="48"/>
  <c r="H35" i="48"/>
  <c r="H31" i="48"/>
  <c r="H34" i="48"/>
  <c r="H73" i="48"/>
  <c r="H67" i="48"/>
  <c r="H82" i="48"/>
  <c r="H84" i="48"/>
  <c r="H71" i="48"/>
  <c r="H83" i="48"/>
  <c r="H72" i="48"/>
  <c r="H68" i="48"/>
  <c r="H33" i="48"/>
  <c r="H85" i="48"/>
  <c r="H87" i="48"/>
  <c r="H29" i="48"/>
  <c r="H81" i="48"/>
  <c r="H80" i="48"/>
  <c r="I84" i="48"/>
  <c r="I82" i="48"/>
  <c r="I70" i="48"/>
  <c r="I73" i="48"/>
  <c r="I32" i="48"/>
  <c r="N3" i="44"/>
  <c r="BS3" i="48"/>
  <c r="CV3" i="48"/>
  <c r="AN40" i="52"/>
  <c r="AN42" i="52"/>
  <c r="OI75" i="48"/>
  <c r="IL75" i="48"/>
  <c r="GA75" i="48"/>
  <c r="FZ75" i="48"/>
  <c r="FY75" i="48"/>
  <c r="FX75" i="48"/>
  <c r="FW75" i="48"/>
  <c r="FV75" i="48"/>
  <c r="FU75" i="48"/>
  <c r="FT75" i="48"/>
  <c r="FS75" i="48"/>
  <c r="FR75" i="48"/>
  <c r="FQ75" i="48"/>
  <c r="FP75" i="48"/>
  <c r="FO75" i="48"/>
  <c r="FN75" i="48"/>
  <c r="FM75" i="48"/>
  <c r="FL75" i="48"/>
  <c r="FK75" i="48"/>
  <c r="FJ75" i="48"/>
  <c r="FI75" i="48"/>
  <c r="FH75" i="48"/>
  <c r="FG75" i="48"/>
  <c r="FF75" i="48"/>
  <c r="FE75" i="48"/>
  <c r="FD75" i="48"/>
  <c r="FC75" i="48"/>
  <c r="FB75" i="48"/>
  <c r="GF5" i="44"/>
  <c r="HK5" i="44"/>
  <c r="HL5" i="44"/>
  <c r="HM5" i="44"/>
  <c r="HN5" i="44"/>
  <c r="HO5" i="44"/>
  <c r="HP5" i="44"/>
  <c r="HQ5" i="44"/>
  <c r="HR5" i="44"/>
  <c r="HS5" i="44"/>
  <c r="HT5" i="44"/>
  <c r="HU5" i="44"/>
  <c r="HV5" i="44"/>
  <c r="HW5" i="44"/>
  <c r="HX5" i="44"/>
  <c r="HY5" i="44"/>
  <c r="HZ5" i="44"/>
  <c r="IA5" i="44"/>
  <c r="IB5" i="44"/>
  <c r="IC5" i="44"/>
  <c r="ID5" i="44"/>
  <c r="IE5" i="44"/>
  <c r="IF5" i="44"/>
  <c r="IG5" i="44"/>
  <c r="IH5" i="44"/>
  <c r="II5" i="44"/>
  <c r="IJ5" i="44"/>
  <c r="IK5" i="44"/>
  <c r="IL5" i="44"/>
  <c r="IM5" i="44"/>
  <c r="IN5" i="44"/>
  <c r="JT5" i="44"/>
  <c r="JU5" i="44"/>
  <c r="JV5" i="44"/>
  <c r="JW5" i="44"/>
  <c r="JX5" i="44"/>
  <c r="JY5" i="44"/>
  <c r="JZ5" i="44"/>
  <c r="KA5" i="44"/>
  <c r="KB5" i="44"/>
  <c r="KC5" i="44"/>
  <c r="KD5" i="44"/>
  <c r="KE5" i="44"/>
  <c r="KF5" i="44"/>
  <c r="KG5" i="44"/>
  <c r="KH5" i="44"/>
  <c r="KI5" i="44"/>
  <c r="KJ5" i="44"/>
  <c r="KK5" i="44"/>
  <c r="KL5" i="44"/>
  <c r="KM5" i="44"/>
  <c r="KN5" i="44"/>
  <c r="KO5" i="44"/>
  <c r="KP5" i="44"/>
  <c r="KQ5" i="44"/>
  <c r="KR5" i="44"/>
  <c r="KS5" i="44"/>
  <c r="KT5" i="44"/>
  <c r="KU5" i="44"/>
  <c r="KV5" i="44"/>
  <c r="KW5" i="44"/>
  <c r="KY5" i="44"/>
  <c r="KZ5" i="44"/>
  <c r="LA5" i="44"/>
  <c r="LB5" i="44"/>
  <c r="LC5" i="44"/>
  <c r="LD5" i="44"/>
  <c r="LE5" i="44"/>
  <c r="LF5" i="44"/>
  <c r="LG5" i="44"/>
  <c r="LH5" i="44"/>
  <c r="LI5" i="44"/>
  <c r="LJ5" i="44"/>
  <c r="LK5" i="44"/>
  <c r="LL5" i="44"/>
  <c r="LM5" i="44"/>
  <c r="LN5" i="44"/>
  <c r="LO5" i="44"/>
  <c r="LP5" i="44"/>
  <c r="LQ5" i="44"/>
  <c r="LR5" i="44"/>
  <c r="LS5" i="44"/>
  <c r="LT5" i="44"/>
  <c r="LU5" i="44"/>
  <c r="LV5" i="44"/>
  <c r="LW5" i="44"/>
  <c r="LX5" i="44"/>
  <c r="LY5" i="44"/>
  <c r="LZ5" i="44"/>
  <c r="MA5" i="44"/>
  <c r="MC5" i="44"/>
  <c r="MD5" i="44"/>
  <c r="ME5" i="44"/>
  <c r="MF5" i="44"/>
  <c r="MG5" i="44"/>
  <c r="MH5" i="44"/>
  <c r="MI5" i="44"/>
  <c r="MJ5" i="44"/>
  <c r="MK5" i="44"/>
  <c r="ML5" i="44"/>
  <c r="MM5" i="44"/>
  <c r="MN5" i="44"/>
  <c r="MO5" i="44"/>
  <c r="MP5" i="44"/>
  <c r="MQ5" i="44"/>
  <c r="MR5" i="44"/>
  <c r="MS5" i="44"/>
  <c r="MT5" i="44"/>
  <c r="MU5" i="44"/>
  <c r="MV5" i="44"/>
  <c r="MW5" i="44"/>
  <c r="MX5" i="44"/>
  <c r="MY5" i="44"/>
  <c r="MZ5" i="44"/>
  <c r="NA5" i="44"/>
  <c r="NB5" i="44"/>
  <c r="NC5" i="44"/>
  <c r="ND5" i="44"/>
  <c r="NE5" i="44"/>
  <c r="NF5" i="44"/>
  <c r="NG5" i="44"/>
  <c r="NH5" i="44"/>
  <c r="NI5" i="44"/>
  <c r="NJ5" i="44"/>
  <c r="NK5" i="44"/>
  <c r="NL5" i="44"/>
  <c r="NM5" i="44"/>
  <c r="NN5" i="44"/>
  <c r="NO5" i="44"/>
  <c r="NP5" i="44"/>
  <c r="NQ5" i="44"/>
  <c r="NR5" i="44"/>
  <c r="NS5" i="44"/>
  <c r="NT5" i="44"/>
  <c r="NU5" i="44"/>
  <c r="NV5" i="44"/>
  <c r="NW5" i="44"/>
  <c r="NX5" i="44"/>
  <c r="NY5" i="44"/>
  <c r="NZ5" i="44"/>
  <c r="OA5" i="44"/>
  <c r="OB5" i="44"/>
  <c r="OC5" i="44"/>
  <c r="OD5" i="44"/>
  <c r="OE5" i="44"/>
  <c r="OF5" i="44"/>
  <c r="OG5" i="44"/>
  <c r="OH5" i="44"/>
  <c r="OI5" i="44"/>
  <c r="OJ5" i="44"/>
  <c r="OK5" i="44"/>
  <c r="OL5" i="44"/>
  <c r="OM5" i="44"/>
  <c r="ON5" i="44"/>
  <c r="OO5" i="44"/>
  <c r="OP5" i="44"/>
  <c r="OQ5" i="44"/>
  <c r="OR5" i="44"/>
  <c r="OS5" i="44"/>
  <c r="OT5" i="44"/>
  <c r="OU5" i="44"/>
  <c r="OV5" i="44"/>
  <c r="OW5" i="44"/>
  <c r="OX5" i="44"/>
  <c r="OY5" i="44"/>
  <c r="OZ5" i="44"/>
  <c r="GF6" i="44"/>
  <c r="HK6" i="44"/>
  <c r="HL6" i="44"/>
  <c r="HM6" i="44"/>
  <c r="HN6" i="44"/>
  <c r="HO6" i="44"/>
  <c r="HP6" i="44"/>
  <c r="HQ6" i="44"/>
  <c r="HR6" i="44"/>
  <c r="HS6" i="44"/>
  <c r="HT6" i="44"/>
  <c r="HU6" i="44"/>
  <c r="HV6" i="44"/>
  <c r="HW6" i="44"/>
  <c r="HX6" i="44"/>
  <c r="HY6" i="44"/>
  <c r="HZ6" i="44"/>
  <c r="IA6" i="44"/>
  <c r="IB6" i="44"/>
  <c r="IC6" i="44"/>
  <c r="ID6" i="44"/>
  <c r="IE6" i="44"/>
  <c r="IF6" i="44"/>
  <c r="IG6" i="44"/>
  <c r="IH6" i="44"/>
  <c r="II6" i="44"/>
  <c r="IJ6" i="44"/>
  <c r="IK6" i="44"/>
  <c r="IL6" i="44"/>
  <c r="IM6" i="44"/>
  <c r="IN6" i="44"/>
  <c r="JT6" i="44"/>
  <c r="JU6" i="44"/>
  <c r="JV6" i="44"/>
  <c r="JW6" i="44"/>
  <c r="JX6" i="44"/>
  <c r="JY6" i="44"/>
  <c r="JZ6" i="44"/>
  <c r="KA6" i="44"/>
  <c r="KB6" i="44"/>
  <c r="KC6" i="44"/>
  <c r="KD6" i="44"/>
  <c r="KE6" i="44"/>
  <c r="KF6" i="44"/>
  <c r="KG6" i="44"/>
  <c r="KH6" i="44"/>
  <c r="KI6" i="44"/>
  <c r="KJ6" i="44"/>
  <c r="KK6" i="44"/>
  <c r="KL6" i="44"/>
  <c r="KM6" i="44"/>
  <c r="KN6" i="44"/>
  <c r="KO6" i="44"/>
  <c r="KP6" i="44"/>
  <c r="KQ6" i="44"/>
  <c r="KR6" i="44"/>
  <c r="KS6" i="44"/>
  <c r="KT6" i="44"/>
  <c r="KU6" i="44"/>
  <c r="KV6" i="44"/>
  <c r="KW6" i="44"/>
  <c r="KY6" i="44"/>
  <c r="KZ6" i="44"/>
  <c r="LA6" i="44"/>
  <c r="LB6" i="44"/>
  <c r="LC6" i="44"/>
  <c r="LD6" i="44"/>
  <c r="LE6" i="44"/>
  <c r="LF6" i="44"/>
  <c r="LG6" i="44"/>
  <c r="LH6" i="44"/>
  <c r="LI6" i="44"/>
  <c r="LJ6" i="44"/>
  <c r="LK6" i="44"/>
  <c r="LL6" i="44"/>
  <c r="LM6" i="44"/>
  <c r="LN6" i="44"/>
  <c r="LO6" i="44"/>
  <c r="LP6" i="44"/>
  <c r="LQ6" i="44"/>
  <c r="LR6" i="44"/>
  <c r="LS6" i="44"/>
  <c r="LT6" i="44"/>
  <c r="LU6" i="44"/>
  <c r="LV6" i="44"/>
  <c r="LW6" i="44"/>
  <c r="LX6" i="44"/>
  <c r="LY6" i="44"/>
  <c r="LZ6" i="44"/>
  <c r="MA6" i="44"/>
  <c r="MC6" i="44"/>
  <c r="MD6" i="44"/>
  <c r="ME6" i="44"/>
  <c r="MF6" i="44"/>
  <c r="MG6" i="44"/>
  <c r="MH6" i="44"/>
  <c r="MI6" i="44"/>
  <c r="MJ6" i="44"/>
  <c r="MK6" i="44"/>
  <c r="ML6" i="44"/>
  <c r="MM6" i="44"/>
  <c r="MN6" i="44"/>
  <c r="MO6" i="44"/>
  <c r="MP6" i="44"/>
  <c r="MQ6" i="44"/>
  <c r="MR6" i="44"/>
  <c r="MS6" i="44"/>
  <c r="MT6" i="44"/>
  <c r="MU6" i="44"/>
  <c r="MV6" i="44"/>
  <c r="MW6" i="44"/>
  <c r="MX6" i="44"/>
  <c r="MY6" i="44"/>
  <c r="MZ6" i="44"/>
  <c r="NA6" i="44"/>
  <c r="NB6" i="44"/>
  <c r="NC6" i="44"/>
  <c r="ND6" i="44"/>
  <c r="NE6" i="44"/>
  <c r="NF6" i="44"/>
  <c r="NG6" i="44"/>
  <c r="NH6" i="44"/>
  <c r="NI6" i="44"/>
  <c r="NJ6" i="44"/>
  <c r="NK6" i="44"/>
  <c r="NL6" i="44"/>
  <c r="NM6" i="44"/>
  <c r="NN6" i="44"/>
  <c r="NO6" i="44"/>
  <c r="NP6" i="44"/>
  <c r="NQ6" i="44"/>
  <c r="NR6" i="44"/>
  <c r="NS6" i="44"/>
  <c r="NT6" i="44"/>
  <c r="NU6" i="44"/>
  <c r="NV6" i="44"/>
  <c r="NW6" i="44"/>
  <c r="NX6" i="44"/>
  <c r="NY6" i="44"/>
  <c r="NZ6" i="44"/>
  <c r="OA6" i="44"/>
  <c r="OB6" i="44"/>
  <c r="OC6" i="44"/>
  <c r="OD6" i="44"/>
  <c r="OE6" i="44"/>
  <c r="OF6" i="44"/>
  <c r="OG6" i="44"/>
  <c r="OH6" i="44"/>
  <c r="OI6" i="44"/>
  <c r="OJ6" i="44"/>
  <c r="OK6" i="44"/>
  <c r="OL6" i="44"/>
  <c r="OM6" i="44"/>
  <c r="ON6" i="44"/>
  <c r="OO6" i="44"/>
  <c r="OP6" i="44"/>
  <c r="OQ6" i="44"/>
  <c r="OR6" i="44"/>
  <c r="OS6" i="44"/>
  <c r="OT6" i="44"/>
  <c r="OU6" i="44"/>
  <c r="OV6" i="44"/>
  <c r="OW6" i="44"/>
  <c r="OX6" i="44"/>
  <c r="OY6" i="44"/>
  <c r="OZ6" i="44"/>
  <c r="GF7" i="44"/>
  <c r="HK7" i="44"/>
  <c r="HL7" i="44"/>
  <c r="HM7" i="44"/>
  <c r="HN7" i="44"/>
  <c r="HO7" i="44"/>
  <c r="HP7" i="44"/>
  <c r="HQ7" i="44"/>
  <c r="HR7" i="44"/>
  <c r="HS7" i="44"/>
  <c r="HT7" i="44"/>
  <c r="HU7" i="44"/>
  <c r="HV7" i="44"/>
  <c r="HW7" i="44"/>
  <c r="HX7" i="44"/>
  <c r="HY7" i="44"/>
  <c r="HZ7" i="44"/>
  <c r="IA7" i="44"/>
  <c r="IB7" i="44"/>
  <c r="IC7" i="44"/>
  <c r="ID7" i="44"/>
  <c r="IE7" i="44"/>
  <c r="IF7" i="44"/>
  <c r="IG7" i="44"/>
  <c r="IH7" i="44"/>
  <c r="II7" i="44"/>
  <c r="IJ7" i="44"/>
  <c r="IK7" i="44"/>
  <c r="IL7" i="44"/>
  <c r="IM7" i="44"/>
  <c r="IN7" i="44"/>
  <c r="JT7" i="44"/>
  <c r="JU7" i="44"/>
  <c r="JV7" i="44"/>
  <c r="JW7" i="44"/>
  <c r="JX7" i="44"/>
  <c r="JY7" i="44"/>
  <c r="JZ7" i="44"/>
  <c r="KA7" i="44"/>
  <c r="KB7" i="44"/>
  <c r="KC7" i="44"/>
  <c r="KD7" i="44"/>
  <c r="KE7" i="44"/>
  <c r="KF7" i="44"/>
  <c r="KG7" i="44"/>
  <c r="KH7" i="44"/>
  <c r="KI7" i="44"/>
  <c r="KJ7" i="44"/>
  <c r="KK7" i="44"/>
  <c r="KL7" i="44"/>
  <c r="KM7" i="44"/>
  <c r="KN7" i="44"/>
  <c r="KO7" i="44"/>
  <c r="KP7" i="44"/>
  <c r="KQ7" i="44"/>
  <c r="KR7" i="44"/>
  <c r="KS7" i="44"/>
  <c r="KT7" i="44"/>
  <c r="KU7" i="44"/>
  <c r="KV7" i="44"/>
  <c r="KW7" i="44"/>
  <c r="KY7" i="44"/>
  <c r="KZ7" i="44"/>
  <c r="LA7" i="44"/>
  <c r="LB7" i="44"/>
  <c r="LC7" i="44"/>
  <c r="LD7" i="44"/>
  <c r="LE7" i="44"/>
  <c r="LF7" i="44"/>
  <c r="LG7" i="44"/>
  <c r="LH7" i="44"/>
  <c r="LI7" i="44"/>
  <c r="LJ7" i="44"/>
  <c r="LK7" i="44"/>
  <c r="LL7" i="44"/>
  <c r="LM7" i="44"/>
  <c r="LN7" i="44"/>
  <c r="LO7" i="44"/>
  <c r="LP7" i="44"/>
  <c r="LQ7" i="44"/>
  <c r="LR7" i="44"/>
  <c r="LS7" i="44"/>
  <c r="LT7" i="44"/>
  <c r="LU7" i="44"/>
  <c r="LV7" i="44"/>
  <c r="LW7" i="44"/>
  <c r="LX7" i="44"/>
  <c r="LY7" i="44"/>
  <c r="LZ7" i="44"/>
  <c r="MA7" i="44"/>
  <c r="MC7" i="44"/>
  <c r="MD7" i="44"/>
  <c r="ME7" i="44"/>
  <c r="MF7" i="44"/>
  <c r="MG7" i="44"/>
  <c r="MH7" i="44"/>
  <c r="MI7" i="44"/>
  <c r="MJ7" i="44"/>
  <c r="MK7" i="44"/>
  <c r="ML7" i="44"/>
  <c r="MM7" i="44"/>
  <c r="MN7" i="44"/>
  <c r="MO7" i="44"/>
  <c r="MP7" i="44"/>
  <c r="MQ7" i="44"/>
  <c r="MR7" i="44"/>
  <c r="MS7" i="44"/>
  <c r="MT7" i="44"/>
  <c r="MU7" i="44"/>
  <c r="MV7" i="44"/>
  <c r="MW7" i="44"/>
  <c r="MX7" i="44"/>
  <c r="MY7" i="44"/>
  <c r="MZ7" i="44"/>
  <c r="NA7" i="44"/>
  <c r="NB7" i="44"/>
  <c r="NC7" i="44"/>
  <c r="ND7" i="44"/>
  <c r="NE7" i="44"/>
  <c r="NF7" i="44"/>
  <c r="NG7" i="44"/>
  <c r="NH7" i="44"/>
  <c r="NI7" i="44"/>
  <c r="NJ7" i="44"/>
  <c r="NK7" i="44"/>
  <c r="NL7" i="44"/>
  <c r="NM7" i="44"/>
  <c r="NN7" i="44"/>
  <c r="NO7" i="44"/>
  <c r="NP7" i="44"/>
  <c r="NQ7" i="44"/>
  <c r="NR7" i="44"/>
  <c r="NS7" i="44"/>
  <c r="NT7" i="44"/>
  <c r="NU7" i="44"/>
  <c r="NV7" i="44"/>
  <c r="NW7" i="44"/>
  <c r="NX7" i="44"/>
  <c r="NY7" i="44"/>
  <c r="NZ7" i="44"/>
  <c r="OA7" i="44"/>
  <c r="OB7" i="44"/>
  <c r="OC7" i="44"/>
  <c r="OD7" i="44"/>
  <c r="OE7" i="44"/>
  <c r="OF7" i="44"/>
  <c r="OG7" i="44"/>
  <c r="OH7" i="44"/>
  <c r="OI7" i="44"/>
  <c r="OJ7" i="44"/>
  <c r="OK7" i="44"/>
  <c r="OL7" i="44"/>
  <c r="OM7" i="44"/>
  <c r="ON7" i="44"/>
  <c r="OO7" i="44"/>
  <c r="OP7" i="44"/>
  <c r="OQ7" i="44"/>
  <c r="OR7" i="44"/>
  <c r="OS7" i="44"/>
  <c r="OT7" i="44"/>
  <c r="OU7" i="44"/>
  <c r="OV7" i="44"/>
  <c r="OW7" i="44"/>
  <c r="OX7" i="44"/>
  <c r="OY7" i="44"/>
  <c r="OZ7" i="44"/>
  <c r="GF8" i="44"/>
  <c r="HK8" i="44"/>
  <c r="HL8" i="44"/>
  <c r="HM8" i="44"/>
  <c r="HN8" i="44"/>
  <c r="HO8" i="44"/>
  <c r="HP8" i="44"/>
  <c r="HQ8" i="44"/>
  <c r="HR8" i="44"/>
  <c r="HS8" i="44"/>
  <c r="HT8" i="44"/>
  <c r="HU8" i="44"/>
  <c r="HV8" i="44"/>
  <c r="HW8" i="44"/>
  <c r="HX8" i="44"/>
  <c r="HY8" i="44"/>
  <c r="HZ8" i="44"/>
  <c r="IA8" i="44"/>
  <c r="IB8" i="44"/>
  <c r="IC8" i="44"/>
  <c r="ID8" i="44"/>
  <c r="IE8" i="44"/>
  <c r="IF8" i="44"/>
  <c r="IG8" i="44"/>
  <c r="IH8" i="44"/>
  <c r="II8" i="44"/>
  <c r="IJ8" i="44"/>
  <c r="IK8" i="44"/>
  <c r="IL8" i="44"/>
  <c r="IM8" i="44"/>
  <c r="IN8" i="44"/>
  <c r="JT8" i="44"/>
  <c r="JU8" i="44"/>
  <c r="JV8" i="44"/>
  <c r="JW8" i="44"/>
  <c r="JX8" i="44"/>
  <c r="JY8" i="44"/>
  <c r="JZ8" i="44"/>
  <c r="KA8" i="44"/>
  <c r="KB8" i="44"/>
  <c r="KC8" i="44"/>
  <c r="KD8" i="44"/>
  <c r="KE8" i="44"/>
  <c r="KF8" i="44"/>
  <c r="KG8" i="44"/>
  <c r="KH8" i="44"/>
  <c r="KI8" i="44"/>
  <c r="KJ8" i="44"/>
  <c r="KK8" i="44"/>
  <c r="KL8" i="44"/>
  <c r="KM8" i="44"/>
  <c r="KN8" i="44"/>
  <c r="KO8" i="44"/>
  <c r="KP8" i="44"/>
  <c r="KQ8" i="44"/>
  <c r="KR8" i="44"/>
  <c r="KS8" i="44"/>
  <c r="KT8" i="44"/>
  <c r="KU8" i="44"/>
  <c r="KV8" i="44"/>
  <c r="KW8" i="44"/>
  <c r="KY8" i="44"/>
  <c r="KZ8" i="44"/>
  <c r="LA8" i="44"/>
  <c r="LB8" i="44"/>
  <c r="LC8" i="44"/>
  <c r="LD8" i="44"/>
  <c r="LE8" i="44"/>
  <c r="LF8" i="44"/>
  <c r="LG8" i="44"/>
  <c r="LH8" i="44"/>
  <c r="LI8" i="44"/>
  <c r="LJ8" i="44"/>
  <c r="LK8" i="44"/>
  <c r="LL8" i="44"/>
  <c r="LM8" i="44"/>
  <c r="LN8" i="44"/>
  <c r="LO8" i="44"/>
  <c r="LP8" i="44"/>
  <c r="LQ8" i="44"/>
  <c r="LR8" i="44"/>
  <c r="LS8" i="44"/>
  <c r="LT8" i="44"/>
  <c r="LU8" i="44"/>
  <c r="LV8" i="44"/>
  <c r="LW8" i="44"/>
  <c r="LX8" i="44"/>
  <c r="LY8" i="44"/>
  <c r="LZ8" i="44"/>
  <c r="MA8" i="44"/>
  <c r="MC8" i="44"/>
  <c r="MD8" i="44"/>
  <c r="ME8" i="44"/>
  <c r="MF8" i="44"/>
  <c r="MG8" i="44"/>
  <c r="MH8" i="44"/>
  <c r="MI8" i="44"/>
  <c r="MJ8" i="44"/>
  <c r="MK8" i="44"/>
  <c r="ML8" i="44"/>
  <c r="MM8" i="44"/>
  <c r="MN8" i="44"/>
  <c r="MO8" i="44"/>
  <c r="MP8" i="44"/>
  <c r="MQ8" i="44"/>
  <c r="MR8" i="44"/>
  <c r="MS8" i="44"/>
  <c r="MT8" i="44"/>
  <c r="MU8" i="44"/>
  <c r="MV8" i="44"/>
  <c r="MW8" i="44"/>
  <c r="MX8" i="44"/>
  <c r="MY8" i="44"/>
  <c r="MZ8" i="44"/>
  <c r="NA8" i="44"/>
  <c r="NB8" i="44"/>
  <c r="NC8" i="44"/>
  <c r="ND8" i="44"/>
  <c r="NE8" i="44"/>
  <c r="NF8" i="44"/>
  <c r="NG8" i="44"/>
  <c r="NH8" i="44"/>
  <c r="NI8" i="44"/>
  <c r="NJ8" i="44"/>
  <c r="NK8" i="44"/>
  <c r="NL8" i="44"/>
  <c r="NM8" i="44"/>
  <c r="NN8" i="44"/>
  <c r="NO8" i="44"/>
  <c r="NP8" i="44"/>
  <c r="NQ8" i="44"/>
  <c r="NR8" i="44"/>
  <c r="NS8" i="44"/>
  <c r="NT8" i="44"/>
  <c r="NU8" i="44"/>
  <c r="NV8" i="44"/>
  <c r="NW8" i="44"/>
  <c r="NX8" i="44"/>
  <c r="NY8" i="44"/>
  <c r="NZ8" i="44"/>
  <c r="OA8" i="44"/>
  <c r="OB8" i="44"/>
  <c r="OC8" i="44"/>
  <c r="OD8" i="44"/>
  <c r="OE8" i="44"/>
  <c r="OF8" i="44"/>
  <c r="OG8" i="44"/>
  <c r="OH8" i="44"/>
  <c r="OI8" i="44"/>
  <c r="OJ8" i="44"/>
  <c r="OK8" i="44"/>
  <c r="OL8" i="44"/>
  <c r="OM8" i="44"/>
  <c r="ON8" i="44"/>
  <c r="OO8" i="44"/>
  <c r="OP8" i="44"/>
  <c r="OQ8" i="44"/>
  <c r="OR8" i="44"/>
  <c r="OS8" i="44"/>
  <c r="OT8" i="44"/>
  <c r="OU8" i="44"/>
  <c r="OV8" i="44"/>
  <c r="OW8" i="44"/>
  <c r="OX8" i="44"/>
  <c r="OY8" i="44"/>
  <c r="OY9" i="44" s="1"/>
  <c r="OY23" i="44" s="1"/>
  <c r="OZ8" i="44"/>
  <c r="OZ9" i="44" s="1"/>
  <c r="OZ23" i="44" s="1"/>
  <c r="OZ4" i="44"/>
  <c r="OY4" i="44"/>
  <c r="OX4" i="44"/>
  <c r="OW4" i="44"/>
  <c r="OV4" i="44"/>
  <c r="OU4" i="44"/>
  <c r="OT4" i="44"/>
  <c r="OS4" i="44"/>
  <c r="OR4" i="44"/>
  <c r="OQ4" i="44"/>
  <c r="OP4" i="44"/>
  <c r="OO4" i="44"/>
  <c r="ON4" i="44"/>
  <c r="OM4" i="44"/>
  <c r="OL4" i="44"/>
  <c r="OK4" i="44"/>
  <c r="OJ4" i="44"/>
  <c r="OI4" i="44"/>
  <c r="OH4" i="44"/>
  <c r="OG4" i="44"/>
  <c r="OF4" i="44"/>
  <c r="OE4" i="44"/>
  <c r="OD4" i="44"/>
  <c r="OC4" i="44"/>
  <c r="OB4" i="44"/>
  <c r="OA4" i="44"/>
  <c r="NZ4" i="44"/>
  <c r="NY4" i="44"/>
  <c r="NX4" i="44"/>
  <c r="NW4" i="44"/>
  <c r="NV4" i="44"/>
  <c r="NU4" i="44"/>
  <c r="NT4" i="44"/>
  <c r="NS4" i="44"/>
  <c r="NR4" i="44"/>
  <c r="NQ4" i="44"/>
  <c r="NP4" i="44"/>
  <c r="NO4" i="44"/>
  <c r="NN4" i="44"/>
  <c r="NM4" i="44"/>
  <c r="NL4" i="44"/>
  <c r="NK4" i="44"/>
  <c r="NJ4" i="44"/>
  <c r="NI4" i="44"/>
  <c r="NH4" i="44"/>
  <c r="NG4" i="44"/>
  <c r="NF4" i="44"/>
  <c r="NE4" i="44"/>
  <c r="ND4" i="44"/>
  <c r="NC4" i="44"/>
  <c r="NB4" i="44"/>
  <c r="NA4" i="44"/>
  <c r="MZ4" i="44"/>
  <c r="MY4" i="44"/>
  <c r="MX4" i="44"/>
  <c r="MW4" i="44"/>
  <c r="MV4" i="44"/>
  <c r="MU4" i="44"/>
  <c r="MT4" i="44"/>
  <c r="MS4" i="44"/>
  <c r="MR4" i="44"/>
  <c r="MQ4" i="44"/>
  <c r="MP4" i="44"/>
  <c r="MO4" i="44"/>
  <c r="MN4" i="44"/>
  <c r="MM4" i="44"/>
  <c r="ML4" i="44"/>
  <c r="MK4" i="44"/>
  <c r="MJ4" i="44"/>
  <c r="MI4" i="44"/>
  <c r="MH4" i="44"/>
  <c r="MG4" i="44"/>
  <c r="MF4" i="44"/>
  <c r="ME4" i="44"/>
  <c r="MD4" i="44"/>
  <c r="MC4" i="44"/>
  <c r="MA4" i="44"/>
  <c r="LZ4" i="44"/>
  <c r="LY4" i="44"/>
  <c r="LX4" i="44"/>
  <c r="LW4" i="44"/>
  <c r="LV4" i="44"/>
  <c r="LU4" i="44"/>
  <c r="LT4" i="44"/>
  <c r="LS4" i="44"/>
  <c r="LR4" i="44"/>
  <c r="LQ4" i="44"/>
  <c r="LP4" i="44"/>
  <c r="LO4" i="44"/>
  <c r="LN4" i="44"/>
  <c r="LM4" i="44"/>
  <c r="LL4" i="44"/>
  <c r="LK4" i="44"/>
  <c r="LJ4" i="44"/>
  <c r="LI4" i="44"/>
  <c r="LH4" i="44"/>
  <c r="LG4" i="44"/>
  <c r="LF4" i="44"/>
  <c r="LE4" i="44"/>
  <c r="LD4" i="44"/>
  <c r="LC4" i="44"/>
  <c r="LB4" i="44"/>
  <c r="LA4" i="44"/>
  <c r="KZ4" i="44"/>
  <c r="KY4" i="44"/>
  <c r="KW4" i="44"/>
  <c r="KV4" i="44"/>
  <c r="KU4" i="44"/>
  <c r="KT4" i="44"/>
  <c r="KS4" i="44"/>
  <c r="KR4" i="44"/>
  <c r="KQ4" i="44"/>
  <c r="KP4" i="44"/>
  <c r="KO4" i="44"/>
  <c r="KN4" i="44"/>
  <c r="KM4" i="44"/>
  <c r="KL4" i="44"/>
  <c r="KK4" i="44"/>
  <c r="KJ4" i="44"/>
  <c r="KI4" i="44"/>
  <c r="KH4" i="44"/>
  <c r="KG4" i="44"/>
  <c r="KF4" i="44"/>
  <c r="KE4" i="44"/>
  <c r="KD4" i="44"/>
  <c r="KC4" i="44"/>
  <c r="KB4" i="44"/>
  <c r="KA4" i="44"/>
  <c r="JZ4" i="44"/>
  <c r="JY4" i="44"/>
  <c r="JX4" i="44"/>
  <c r="JW4" i="44"/>
  <c r="JV4" i="44"/>
  <c r="JU4" i="44"/>
  <c r="JT4" i="44"/>
  <c r="IN4" i="44"/>
  <c r="IM4" i="44"/>
  <c r="IL4" i="44"/>
  <c r="IK4" i="44"/>
  <c r="IJ4" i="44"/>
  <c r="II4" i="44"/>
  <c r="IH4" i="44"/>
  <c r="IG4" i="44"/>
  <c r="IF4" i="44"/>
  <c r="IE4" i="44"/>
  <c r="ID4" i="44"/>
  <c r="IC4" i="44"/>
  <c r="IB4" i="44"/>
  <c r="IA4" i="44"/>
  <c r="HZ4" i="44"/>
  <c r="HY4" i="44"/>
  <c r="HX4" i="44"/>
  <c r="HW4" i="44"/>
  <c r="HV4" i="44"/>
  <c r="HU4" i="44"/>
  <c r="HT4" i="44"/>
  <c r="HS4" i="44"/>
  <c r="HR4" i="44"/>
  <c r="HQ4" i="44"/>
  <c r="HP4" i="44"/>
  <c r="HO4" i="44"/>
  <c r="HN4" i="44"/>
  <c r="HM4" i="44"/>
  <c r="HL4" i="44"/>
  <c r="HK4" i="44"/>
  <c r="GF4" i="44"/>
  <c r="DX27" i="48"/>
  <c r="DY27" i="48"/>
  <c r="DZ27" i="48"/>
  <c r="EA27" i="48"/>
  <c r="EB27" i="48"/>
  <c r="EC27" i="48"/>
  <c r="ED27" i="48"/>
  <c r="EE27" i="48"/>
  <c r="EF27" i="48"/>
  <c r="EG27" i="48"/>
  <c r="EH27" i="48"/>
  <c r="EI27" i="48"/>
  <c r="EJ27" i="48"/>
  <c r="EK27" i="48"/>
  <c r="EL27" i="48"/>
  <c r="EM27" i="48"/>
  <c r="EN27" i="48"/>
  <c r="EO27" i="48"/>
  <c r="EP27" i="48"/>
  <c r="EQ27" i="48"/>
  <c r="ER27" i="48"/>
  <c r="ES27" i="48"/>
  <c r="ET27" i="48"/>
  <c r="EU27" i="48"/>
  <c r="EV27" i="48"/>
  <c r="EW27" i="48"/>
  <c r="EX27" i="48"/>
  <c r="EY27" i="48"/>
  <c r="EZ27" i="48"/>
  <c r="FA27" i="48"/>
  <c r="FB27" i="48"/>
  <c r="FC27" i="48"/>
  <c r="FD27" i="48"/>
  <c r="FE27" i="48"/>
  <c r="FF27" i="48"/>
  <c r="FG27" i="48"/>
  <c r="FH27" i="48"/>
  <c r="FI27" i="48"/>
  <c r="FJ27" i="48"/>
  <c r="FK27" i="48"/>
  <c r="FL27" i="48"/>
  <c r="FM27" i="48"/>
  <c r="FN27" i="48"/>
  <c r="FO27" i="48"/>
  <c r="FP27" i="48"/>
  <c r="FQ27" i="48"/>
  <c r="FR27" i="48"/>
  <c r="FS27" i="48"/>
  <c r="FT27" i="48"/>
  <c r="FU27" i="48"/>
  <c r="FV27" i="48"/>
  <c r="FW27" i="48"/>
  <c r="FX27" i="48"/>
  <c r="FY27" i="48"/>
  <c r="FZ27" i="48"/>
  <c r="GA27" i="48"/>
  <c r="GB27" i="48"/>
  <c r="GC27" i="48"/>
  <c r="GD27" i="48"/>
  <c r="GE27" i="48"/>
  <c r="GF27" i="48"/>
  <c r="GG27" i="48"/>
  <c r="GH27" i="48"/>
  <c r="GI27" i="48"/>
  <c r="GJ27" i="48"/>
  <c r="GK27" i="48"/>
  <c r="GL27" i="48"/>
  <c r="GM27" i="48"/>
  <c r="GN27" i="48"/>
  <c r="GO27" i="48"/>
  <c r="GP27" i="48"/>
  <c r="GQ27" i="48"/>
  <c r="GR27" i="48"/>
  <c r="GS27" i="48"/>
  <c r="GT27" i="48"/>
  <c r="GU27" i="48"/>
  <c r="GV27" i="48"/>
  <c r="GW27" i="48"/>
  <c r="GX27" i="48"/>
  <c r="GY27" i="48"/>
  <c r="GZ27" i="48"/>
  <c r="HA27" i="48"/>
  <c r="HB27" i="48"/>
  <c r="HC27" i="48"/>
  <c r="HD27" i="48"/>
  <c r="HE27" i="48"/>
  <c r="HF27" i="48"/>
  <c r="HG27" i="48"/>
  <c r="HH27" i="48"/>
  <c r="HI27" i="48"/>
  <c r="HJ27" i="48"/>
  <c r="HK27" i="48"/>
  <c r="HL27" i="48"/>
  <c r="HM27" i="48"/>
  <c r="HN27" i="48"/>
  <c r="HO27" i="48"/>
  <c r="HP27" i="48"/>
  <c r="HQ27" i="48"/>
  <c r="HR27" i="48"/>
  <c r="HS27" i="48"/>
  <c r="HT27" i="48"/>
  <c r="HU27" i="48"/>
  <c r="HV27" i="48"/>
  <c r="HW27" i="48"/>
  <c r="HX27" i="48"/>
  <c r="HY27" i="48"/>
  <c r="HZ27" i="48"/>
  <c r="IA27" i="48"/>
  <c r="IB27" i="48"/>
  <c r="IC27" i="48"/>
  <c r="ID27" i="48"/>
  <c r="IE27" i="48"/>
  <c r="IF27" i="48"/>
  <c r="IG27" i="48"/>
  <c r="IH27" i="48"/>
  <c r="II27" i="48"/>
  <c r="IJ27" i="48"/>
  <c r="IK27" i="48"/>
  <c r="IL27" i="48"/>
  <c r="IM27" i="48"/>
  <c r="IN27" i="48"/>
  <c r="IO27" i="48"/>
  <c r="IP27" i="48"/>
  <c r="IQ27" i="48"/>
  <c r="IR27" i="48"/>
  <c r="IS27" i="48"/>
  <c r="IT27" i="48"/>
  <c r="IU27" i="48"/>
  <c r="IV27" i="48"/>
  <c r="IW27" i="48"/>
  <c r="IX27" i="48"/>
  <c r="IY27" i="48"/>
  <c r="IZ27" i="48"/>
  <c r="JA27" i="48"/>
  <c r="JB27" i="48"/>
  <c r="JC27" i="48"/>
  <c r="JD27" i="48"/>
  <c r="JE27" i="48"/>
  <c r="JF27" i="48"/>
  <c r="JG27" i="48"/>
  <c r="JH27" i="48"/>
  <c r="JI27" i="48"/>
  <c r="JJ27" i="48"/>
  <c r="JK27" i="48"/>
  <c r="JL27" i="48"/>
  <c r="JM27" i="48"/>
  <c r="JN27" i="48"/>
  <c r="JO27" i="48"/>
  <c r="JP27" i="48"/>
  <c r="JQ27" i="48"/>
  <c r="JR27" i="48"/>
  <c r="JS27" i="48"/>
  <c r="JT27" i="48"/>
  <c r="JU27" i="48"/>
  <c r="JV27" i="48"/>
  <c r="JW27" i="48"/>
  <c r="JX27" i="48"/>
  <c r="JY27" i="48"/>
  <c r="JZ27" i="48"/>
  <c r="KA27" i="48"/>
  <c r="KB27" i="48"/>
  <c r="KC27" i="48"/>
  <c r="KD27" i="48"/>
  <c r="KE27" i="48"/>
  <c r="KF27" i="48"/>
  <c r="KG27" i="48"/>
  <c r="KH27" i="48"/>
  <c r="KI27" i="48"/>
  <c r="KJ27" i="48"/>
  <c r="KK27" i="48"/>
  <c r="KL27" i="48"/>
  <c r="KM27" i="48"/>
  <c r="KN27" i="48"/>
  <c r="KO27" i="48"/>
  <c r="KP27" i="48"/>
  <c r="KQ27" i="48"/>
  <c r="KR27" i="48"/>
  <c r="KS27" i="48"/>
  <c r="KT27" i="48"/>
  <c r="KU27" i="48"/>
  <c r="KV27" i="48"/>
  <c r="KW27" i="48"/>
  <c r="KX27" i="48"/>
  <c r="KY27" i="48"/>
  <c r="KZ27" i="48"/>
  <c r="LA27" i="48"/>
  <c r="LB27" i="48"/>
  <c r="LC27" i="48"/>
  <c r="LD27" i="48"/>
  <c r="LE27" i="48"/>
  <c r="LF27" i="48"/>
  <c r="LG27" i="48"/>
  <c r="LH27" i="48"/>
  <c r="LI27" i="48"/>
  <c r="LJ27" i="48"/>
  <c r="LK27" i="48"/>
  <c r="LL27" i="48"/>
  <c r="LM27" i="48"/>
  <c r="LN27" i="48"/>
  <c r="LO27" i="48"/>
  <c r="LP27" i="48"/>
  <c r="LQ27" i="48"/>
  <c r="LR27" i="48"/>
  <c r="LS27" i="48"/>
  <c r="LT27" i="48"/>
  <c r="LU27" i="48"/>
  <c r="LV27" i="48"/>
  <c r="LW27" i="48"/>
  <c r="LX27" i="48"/>
  <c r="LY27" i="48"/>
  <c r="LZ27" i="48"/>
  <c r="MA27" i="48"/>
  <c r="MB27" i="48"/>
  <c r="MC27" i="48"/>
  <c r="MD27" i="48"/>
  <c r="ME27" i="48"/>
  <c r="MF27" i="48"/>
  <c r="MG27" i="48"/>
  <c r="MH27" i="48"/>
  <c r="MI27" i="48"/>
  <c r="MJ27" i="48"/>
  <c r="MK27" i="48"/>
  <c r="ML27" i="48"/>
  <c r="MM27" i="48"/>
  <c r="MN27" i="48"/>
  <c r="MO27" i="48"/>
  <c r="MP27" i="48"/>
  <c r="MQ27" i="48"/>
  <c r="MR27" i="48"/>
  <c r="MS27" i="48"/>
  <c r="MT27" i="48"/>
  <c r="MU27" i="48"/>
  <c r="MV27" i="48"/>
  <c r="MW27" i="48"/>
  <c r="MX27" i="48"/>
  <c r="MY27" i="48"/>
  <c r="MZ27" i="48"/>
  <c r="NA27" i="48"/>
  <c r="NB27" i="48"/>
  <c r="NC27" i="48"/>
  <c r="ND27" i="48"/>
  <c r="NE27" i="48"/>
  <c r="NF27" i="48"/>
  <c r="NG27" i="48"/>
  <c r="NH27" i="48"/>
  <c r="NI27" i="48"/>
  <c r="NJ27" i="48"/>
  <c r="NK27" i="48"/>
  <c r="NL27" i="48"/>
  <c r="NM27" i="48"/>
  <c r="NN27" i="48"/>
  <c r="NO27" i="48"/>
  <c r="NP27" i="48"/>
  <c r="NQ27" i="48"/>
  <c r="NR27" i="48"/>
  <c r="NS27" i="48"/>
  <c r="NT27" i="48"/>
  <c r="NU27" i="48"/>
  <c r="NV27" i="48"/>
  <c r="NW27" i="48"/>
  <c r="NX27" i="48"/>
  <c r="NY27" i="48"/>
  <c r="NZ27" i="48"/>
  <c r="OA27" i="48"/>
  <c r="OB27" i="48"/>
  <c r="OC27" i="48"/>
  <c r="OD27" i="48"/>
  <c r="OE27" i="48"/>
  <c r="OF27" i="48"/>
  <c r="OG27" i="48"/>
  <c r="OH27" i="48"/>
  <c r="OI27" i="48"/>
  <c r="OJ27" i="48"/>
  <c r="OK27" i="48"/>
  <c r="OL27" i="48"/>
  <c r="OM27" i="48"/>
  <c r="ON27" i="48"/>
  <c r="OO27" i="48"/>
  <c r="OP27" i="48"/>
  <c r="OQ27" i="48"/>
  <c r="OR27" i="48"/>
  <c r="OS27" i="48"/>
  <c r="OT27" i="48"/>
  <c r="OU27" i="48"/>
  <c r="OV27" i="48"/>
  <c r="OW27" i="48"/>
  <c r="OX27" i="48"/>
  <c r="OY27" i="48"/>
  <c r="OZ27" i="48"/>
  <c r="PA27" i="48"/>
  <c r="PB27" i="48"/>
  <c r="PC27" i="48"/>
  <c r="PD27" i="48"/>
  <c r="PE27" i="48"/>
  <c r="PF27" i="48"/>
  <c r="PG27" i="48"/>
  <c r="PH27" i="48"/>
  <c r="PI27" i="48"/>
  <c r="PJ27" i="48"/>
  <c r="PK27" i="48"/>
  <c r="PL27" i="48"/>
  <c r="PM27" i="48"/>
  <c r="PN27" i="48"/>
  <c r="DX28" i="48"/>
  <c r="DY28" i="48"/>
  <c r="DZ28" i="48"/>
  <c r="EA28" i="48"/>
  <c r="EB28" i="48"/>
  <c r="EC28" i="48"/>
  <c r="ED28" i="48"/>
  <c r="EE28" i="48"/>
  <c r="EF28" i="48"/>
  <c r="EG28" i="48"/>
  <c r="EH28" i="48"/>
  <c r="EI28" i="48"/>
  <c r="EJ28" i="48"/>
  <c r="EK28" i="48"/>
  <c r="EL28" i="48"/>
  <c r="EM28" i="48"/>
  <c r="EN28" i="48"/>
  <c r="EO28" i="48"/>
  <c r="EP28" i="48"/>
  <c r="EQ28" i="48"/>
  <c r="ER28" i="48"/>
  <c r="ES28" i="48"/>
  <c r="ET28" i="48"/>
  <c r="EU28" i="48"/>
  <c r="EV28" i="48"/>
  <c r="EW28" i="48"/>
  <c r="EX28" i="48"/>
  <c r="EY28" i="48"/>
  <c r="EZ28" i="48"/>
  <c r="FA28" i="48"/>
  <c r="FB28" i="48"/>
  <c r="FC28" i="48"/>
  <c r="FD28" i="48"/>
  <c r="FE28" i="48"/>
  <c r="FF28" i="48"/>
  <c r="FG28" i="48"/>
  <c r="FH28" i="48"/>
  <c r="FI28" i="48"/>
  <c r="FJ28" i="48"/>
  <c r="FK28" i="48"/>
  <c r="FL28" i="48"/>
  <c r="FM28" i="48"/>
  <c r="FN28" i="48"/>
  <c r="FO28" i="48"/>
  <c r="FP28" i="48"/>
  <c r="FQ28" i="48"/>
  <c r="FR28" i="48"/>
  <c r="FS28" i="48"/>
  <c r="FT28" i="48"/>
  <c r="FU28" i="48"/>
  <c r="FV28" i="48"/>
  <c r="FW28" i="48"/>
  <c r="FX28" i="48"/>
  <c r="FY28" i="48"/>
  <c r="FZ28" i="48"/>
  <c r="GA28" i="48"/>
  <c r="GB28" i="48"/>
  <c r="GC28" i="48"/>
  <c r="GD28" i="48"/>
  <c r="GE28" i="48"/>
  <c r="GF28" i="48"/>
  <c r="GG28" i="48"/>
  <c r="GH28" i="48"/>
  <c r="GI28" i="48"/>
  <c r="GJ28" i="48"/>
  <c r="GK28" i="48"/>
  <c r="GL28" i="48"/>
  <c r="GM28" i="48"/>
  <c r="GN28" i="48"/>
  <c r="GO28" i="48"/>
  <c r="GP28" i="48"/>
  <c r="GQ28" i="48"/>
  <c r="GR28" i="48"/>
  <c r="GS28" i="48"/>
  <c r="GT28" i="48"/>
  <c r="GU28" i="48"/>
  <c r="GV28" i="48"/>
  <c r="GW28" i="48"/>
  <c r="GX28" i="48"/>
  <c r="GY28" i="48"/>
  <c r="GZ28" i="48"/>
  <c r="HA28" i="48"/>
  <c r="HB28" i="48"/>
  <c r="HC28" i="48"/>
  <c r="HD28" i="48"/>
  <c r="HE28" i="48"/>
  <c r="HF28" i="48"/>
  <c r="HG28" i="48"/>
  <c r="HH28" i="48"/>
  <c r="HI28" i="48"/>
  <c r="HJ28" i="48"/>
  <c r="HK28" i="48"/>
  <c r="HL28" i="48"/>
  <c r="HM28" i="48"/>
  <c r="HN28" i="48"/>
  <c r="HO28" i="48"/>
  <c r="HP28" i="48"/>
  <c r="HQ28" i="48"/>
  <c r="HR28" i="48"/>
  <c r="HS28" i="48"/>
  <c r="HT28" i="48"/>
  <c r="HU28" i="48"/>
  <c r="HV28" i="48"/>
  <c r="HW28" i="48"/>
  <c r="HX28" i="48"/>
  <c r="HY28" i="48"/>
  <c r="HZ28" i="48"/>
  <c r="IA28" i="48"/>
  <c r="IB28" i="48"/>
  <c r="IC28" i="48"/>
  <c r="ID28" i="48"/>
  <c r="IE28" i="48"/>
  <c r="IF28" i="48"/>
  <c r="IG28" i="48"/>
  <c r="IH28" i="48"/>
  <c r="II28" i="48"/>
  <c r="IJ28" i="48"/>
  <c r="IK28" i="48"/>
  <c r="IL28" i="48"/>
  <c r="IM28" i="48"/>
  <c r="IN28" i="48"/>
  <c r="IO28" i="48"/>
  <c r="IP28" i="48"/>
  <c r="IQ28" i="48"/>
  <c r="IR28" i="48"/>
  <c r="IS28" i="48"/>
  <c r="IT28" i="48"/>
  <c r="IU28" i="48"/>
  <c r="IV28" i="48"/>
  <c r="IW28" i="48"/>
  <c r="IX28" i="48"/>
  <c r="IY28" i="48"/>
  <c r="IZ28" i="48"/>
  <c r="JA28" i="48"/>
  <c r="JB28" i="48"/>
  <c r="JC28" i="48"/>
  <c r="JD28" i="48"/>
  <c r="JE28" i="48"/>
  <c r="JF28" i="48"/>
  <c r="JG28" i="48"/>
  <c r="JH28" i="48"/>
  <c r="JI28" i="48"/>
  <c r="JJ28" i="48"/>
  <c r="JK28" i="48"/>
  <c r="JL28" i="48"/>
  <c r="JM28" i="48"/>
  <c r="JN28" i="48"/>
  <c r="JO28" i="48"/>
  <c r="JP28" i="48"/>
  <c r="JQ28" i="48"/>
  <c r="JR28" i="48"/>
  <c r="JS28" i="48"/>
  <c r="JT28" i="48"/>
  <c r="JU28" i="48"/>
  <c r="JV28" i="48"/>
  <c r="JW28" i="48"/>
  <c r="JX28" i="48"/>
  <c r="JY28" i="48"/>
  <c r="JZ28" i="48"/>
  <c r="KA28" i="48"/>
  <c r="KB28" i="48"/>
  <c r="KC28" i="48"/>
  <c r="KD28" i="48"/>
  <c r="KE28" i="48"/>
  <c r="KF28" i="48"/>
  <c r="KG28" i="48"/>
  <c r="KH28" i="48"/>
  <c r="KI28" i="48"/>
  <c r="KJ28" i="48"/>
  <c r="KK28" i="48"/>
  <c r="KL28" i="48"/>
  <c r="KM28" i="48"/>
  <c r="KN28" i="48"/>
  <c r="KO28" i="48"/>
  <c r="KP28" i="48"/>
  <c r="KQ28" i="48"/>
  <c r="KR28" i="48"/>
  <c r="KS28" i="48"/>
  <c r="KT28" i="48"/>
  <c r="KU28" i="48"/>
  <c r="KV28" i="48"/>
  <c r="KW28" i="48"/>
  <c r="KX28" i="48"/>
  <c r="KY28" i="48"/>
  <c r="KZ28" i="48"/>
  <c r="LA28" i="48"/>
  <c r="LB28" i="48"/>
  <c r="LC28" i="48"/>
  <c r="LD28" i="48"/>
  <c r="LE28" i="48"/>
  <c r="LF28" i="48"/>
  <c r="LG28" i="48"/>
  <c r="LH28" i="48"/>
  <c r="LI28" i="48"/>
  <c r="LJ28" i="48"/>
  <c r="LK28" i="48"/>
  <c r="LL28" i="48"/>
  <c r="LM28" i="48"/>
  <c r="LN28" i="48"/>
  <c r="LO28" i="48"/>
  <c r="LP28" i="48"/>
  <c r="LQ28" i="48"/>
  <c r="LR28" i="48"/>
  <c r="LS28" i="48"/>
  <c r="LT28" i="48"/>
  <c r="LU28" i="48"/>
  <c r="LV28" i="48"/>
  <c r="LW28" i="48"/>
  <c r="LX28" i="48"/>
  <c r="LY28" i="48"/>
  <c r="LZ28" i="48"/>
  <c r="MA28" i="48"/>
  <c r="MB28" i="48"/>
  <c r="MC28" i="48"/>
  <c r="MD28" i="48"/>
  <c r="ME28" i="48"/>
  <c r="MF28" i="48"/>
  <c r="MG28" i="48"/>
  <c r="MH28" i="48"/>
  <c r="MI28" i="48"/>
  <c r="MJ28" i="48"/>
  <c r="MK28" i="48"/>
  <c r="ML28" i="48"/>
  <c r="MM28" i="48"/>
  <c r="MN28" i="48"/>
  <c r="MO28" i="48"/>
  <c r="MP28" i="48"/>
  <c r="MQ28" i="48"/>
  <c r="MR28" i="48"/>
  <c r="MS28" i="48"/>
  <c r="MT28" i="48"/>
  <c r="MU28" i="48"/>
  <c r="MV28" i="48"/>
  <c r="MW28" i="48"/>
  <c r="MX28" i="48"/>
  <c r="MY28" i="48"/>
  <c r="MZ28" i="48"/>
  <c r="NA28" i="48"/>
  <c r="NB28" i="48"/>
  <c r="NC28" i="48"/>
  <c r="ND28" i="48"/>
  <c r="NE28" i="48"/>
  <c r="NF28" i="48"/>
  <c r="NG28" i="48"/>
  <c r="NH28" i="48"/>
  <c r="NI28" i="48"/>
  <c r="NJ28" i="48"/>
  <c r="NK28" i="48"/>
  <c r="NL28" i="48"/>
  <c r="NM28" i="48"/>
  <c r="NN28" i="48"/>
  <c r="NO28" i="48"/>
  <c r="NP28" i="48"/>
  <c r="NQ28" i="48"/>
  <c r="NR28" i="48"/>
  <c r="NS28" i="48"/>
  <c r="NT28" i="48"/>
  <c r="NU28" i="48"/>
  <c r="NV28" i="48"/>
  <c r="NW28" i="48"/>
  <c r="NX28" i="48"/>
  <c r="NY28" i="48"/>
  <c r="NZ28" i="48"/>
  <c r="OA28" i="48"/>
  <c r="OB28" i="48"/>
  <c r="OC28" i="48"/>
  <c r="OD28" i="48"/>
  <c r="OE28" i="48"/>
  <c r="OF28" i="48"/>
  <c r="OG28" i="48"/>
  <c r="OH28" i="48"/>
  <c r="OI28" i="48"/>
  <c r="OJ28" i="48"/>
  <c r="OK28" i="48"/>
  <c r="OL28" i="48"/>
  <c r="OM28" i="48"/>
  <c r="ON28" i="48"/>
  <c r="OO28" i="48"/>
  <c r="OP28" i="48"/>
  <c r="OQ28" i="48"/>
  <c r="OR28" i="48"/>
  <c r="OS28" i="48"/>
  <c r="OT28" i="48"/>
  <c r="OU28" i="48"/>
  <c r="OV28" i="48"/>
  <c r="OW28" i="48"/>
  <c r="OX28" i="48"/>
  <c r="OY28" i="48"/>
  <c r="OZ28" i="48"/>
  <c r="PA28" i="48"/>
  <c r="PB28" i="48"/>
  <c r="PC28" i="48"/>
  <c r="PD28" i="48"/>
  <c r="PE28" i="48"/>
  <c r="PF28" i="48"/>
  <c r="PG28" i="48"/>
  <c r="PH28" i="48"/>
  <c r="PI28" i="48"/>
  <c r="PJ28" i="48"/>
  <c r="PK28" i="48"/>
  <c r="PL28" i="48"/>
  <c r="PM28" i="48"/>
  <c r="PN28" i="48"/>
  <c r="DX29" i="48"/>
  <c r="DY29" i="48"/>
  <c r="DZ29" i="48"/>
  <c r="EA29" i="48"/>
  <c r="EB29" i="48"/>
  <c r="EC29" i="48"/>
  <c r="ED29" i="48"/>
  <c r="EE29" i="48"/>
  <c r="EF29" i="48"/>
  <c r="EG29" i="48"/>
  <c r="EH29" i="48"/>
  <c r="EI29" i="48"/>
  <c r="EJ29" i="48"/>
  <c r="EK29" i="48"/>
  <c r="EL29" i="48"/>
  <c r="EM29" i="48"/>
  <c r="EN29" i="48"/>
  <c r="EO29" i="48"/>
  <c r="EP29" i="48"/>
  <c r="EQ29" i="48"/>
  <c r="ER29" i="48"/>
  <c r="ES29" i="48"/>
  <c r="ET29" i="48"/>
  <c r="EU29" i="48"/>
  <c r="EV29" i="48"/>
  <c r="EW29" i="48"/>
  <c r="EX29" i="48"/>
  <c r="EY29" i="48"/>
  <c r="EZ29" i="48"/>
  <c r="FA29" i="48"/>
  <c r="FB29" i="48"/>
  <c r="FC29" i="48"/>
  <c r="FD29" i="48"/>
  <c r="FE29" i="48"/>
  <c r="FF29" i="48"/>
  <c r="FG29" i="48"/>
  <c r="FH29" i="48"/>
  <c r="FI29" i="48"/>
  <c r="FJ29" i="48"/>
  <c r="FK29" i="48"/>
  <c r="FL29" i="48"/>
  <c r="FM29" i="48"/>
  <c r="FN29" i="48"/>
  <c r="FO29" i="48"/>
  <c r="FP29" i="48"/>
  <c r="FQ29" i="48"/>
  <c r="FR29" i="48"/>
  <c r="FS29" i="48"/>
  <c r="FT29" i="48"/>
  <c r="FU29" i="48"/>
  <c r="FV29" i="48"/>
  <c r="FW29" i="48"/>
  <c r="FX29" i="48"/>
  <c r="FY29" i="48"/>
  <c r="FZ29" i="48"/>
  <c r="GA29" i="48"/>
  <c r="GB29" i="48"/>
  <c r="GC29" i="48"/>
  <c r="GD29" i="48"/>
  <c r="GE29" i="48"/>
  <c r="GF29" i="48"/>
  <c r="GG29" i="48"/>
  <c r="GH29" i="48"/>
  <c r="GI29" i="48"/>
  <c r="GJ29" i="48"/>
  <c r="GK29" i="48"/>
  <c r="GL29" i="48"/>
  <c r="GM29" i="48"/>
  <c r="GN29" i="48"/>
  <c r="GO29" i="48"/>
  <c r="GP29" i="48"/>
  <c r="GQ29" i="48"/>
  <c r="GR29" i="48"/>
  <c r="GS29" i="48"/>
  <c r="GT29" i="48"/>
  <c r="GU29" i="48"/>
  <c r="GV29" i="48"/>
  <c r="GW29" i="48"/>
  <c r="GX29" i="48"/>
  <c r="GY29" i="48"/>
  <c r="GZ29" i="48"/>
  <c r="HA29" i="48"/>
  <c r="HB29" i="48"/>
  <c r="HC29" i="48"/>
  <c r="HD29" i="48"/>
  <c r="HE29" i="48"/>
  <c r="HF29" i="48"/>
  <c r="HG29" i="48"/>
  <c r="HH29" i="48"/>
  <c r="HI29" i="48"/>
  <c r="HJ29" i="48"/>
  <c r="HK29" i="48"/>
  <c r="HL29" i="48"/>
  <c r="HM29" i="48"/>
  <c r="HN29" i="48"/>
  <c r="HO29" i="48"/>
  <c r="HP29" i="48"/>
  <c r="HQ29" i="48"/>
  <c r="HR29" i="48"/>
  <c r="HS29" i="48"/>
  <c r="HT29" i="48"/>
  <c r="HU29" i="48"/>
  <c r="HV29" i="48"/>
  <c r="HW29" i="48"/>
  <c r="HX29" i="48"/>
  <c r="HY29" i="48"/>
  <c r="HZ29" i="48"/>
  <c r="IA29" i="48"/>
  <c r="IB29" i="48"/>
  <c r="IC29" i="48"/>
  <c r="ID29" i="48"/>
  <c r="IE29" i="48"/>
  <c r="IF29" i="48"/>
  <c r="IG29" i="48"/>
  <c r="IH29" i="48"/>
  <c r="II29" i="48"/>
  <c r="IJ29" i="48"/>
  <c r="IK29" i="48"/>
  <c r="IL29" i="48"/>
  <c r="IM29" i="48"/>
  <c r="IN29" i="48"/>
  <c r="IO29" i="48"/>
  <c r="IP29" i="48"/>
  <c r="IQ29" i="48"/>
  <c r="IR29" i="48"/>
  <c r="IS29" i="48"/>
  <c r="IT29" i="48"/>
  <c r="IU29" i="48"/>
  <c r="IV29" i="48"/>
  <c r="IW29" i="48"/>
  <c r="IX29" i="48"/>
  <c r="IY29" i="48"/>
  <c r="IZ29" i="48"/>
  <c r="JA29" i="48"/>
  <c r="JB29" i="48"/>
  <c r="JC29" i="48"/>
  <c r="JD29" i="48"/>
  <c r="JE29" i="48"/>
  <c r="JF29" i="48"/>
  <c r="JG29" i="48"/>
  <c r="JH29" i="48"/>
  <c r="JI29" i="48"/>
  <c r="JJ29" i="48"/>
  <c r="JK29" i="48"/>
  <c r="JL29" i="48"/>
  <c r="JM29" i="48"/>
  <c r="JN29" i="48"/>
  <c r="JO29" i="48"/>
  <c r="JP29" i="48"/>
  <c r="JQ29" i="48"/>
  <c r="JR29" i="48"/>
  <c r="JS29" i="48"/>
  <c r="JT29" i="48"/>
  <c r="JU29" i="48"/>
  <c r="JV29" i="48"/>
  <c r="JW29" i="48"/>
  <c r="JX29" i="48"/>
  <c r="JY29" i="48"/>
  <c r="JZ29" i="48"/>
  <c r="KA29" i="48"/>
  <c r="KB29" i="48"/>
  <c r="KC29" i="48"/>
  <c r="KD29" i="48"/>
  <c r="KE29" i="48"/>
  <c r="KF29" i="48"/>
  <c r="KG29" i="48"/>
  <c r="KH29" i="48"/>
  <c r="KI29" i="48"/>
  <c r="KJ29" i="48"/>
  <c r="KK29" i="48"/>
  <c r="KL29" i="48"/>
  <c r="KM29" i="48"/>
  <c r="KN29" i="48"/>
  <c r="KO29" i="48"/>
  <c r="KP29" i="48"/>
  <c r="KQ29" i="48"/>
  <c r="KR29" i="48"/>
  <c r="KS29" i="48"/>
  <c r="KT29" i="48"/>
  <c r="KU29" i="48"/>
  <c r="KV29" i="48"/>
  <c r="KW29" i="48"/>
  <c r="KX29" i="48"/>
  <c r="KY29" i="48"/>
  <c r="KZ29" i="48"/>
  <c r="LA29" i="48"/>
  <c r="LB29" i="48"/>
  <c r="LC29" i="48"/>
  <c r="LD29" i="48"/>
  <c r="LE29" i="48"/>
  <c r="LF29" i="48"/>
  <c r="LG29" i="48"/>
  <c r="LH29" i="48"/>
  <c r="LI29" i="48"/>
  <c r="LJ29" i="48"/>
  <c r="LK29" i="48"/>
  <c r="LL29" i="48"/>
  <c r="LM29" i="48"/>
  <c r="LN29" i="48"/>
  <c r="LO29" i="48"/>
  <c r="LP29" i="48"/>
  <c r="LQ29" i="48"/>
  <c r="LR29" i="48"/>
  <c r="LS29" i="48"/>
  <c r="LT29" i="48"/>
  <c r="LU29" i="48"/>
  <c r="LV29" i="48"/>
  <c r="LW29" i="48"/>
  <c r="LX29" i="48"/>
  <c r="LY29" i="48"/>
  <c r="LZ29" i="48"/>
  <c r="MA29" i="48"/>
  <c r="MB29" i="48"/>
  <c r="MC29" i="48"/>
  <c r="MD29" i="48"/>
  <c r="ME29" i="48"/>
  <c r="MF29" i="48"/>
  <c r="MG29" i="48"/>
  <c r="MH29" i="48"/>
  <c r="MI29" i="48"/>
  <c r="MJ29" i="48"/>
  <c r="MK29" i="48"/>
  <c r="ML29" i="48"/>
  <c r="MM29" i="48"/>
  <c r="MN29" i="48"/>
  <c r="MO29" i="48"/>
  <c r="MP29" i="48"/>
  <c r="MQ29" i="48"/>
  <c r="MR29" i="48"/>
  <c r="MS29" i="48"/>
  <c r="MT29" i="48"/>
  <c r="MU29" i="48"/>
  <c r="MV29" i="48"/>
  <c r="MW29" i="48"/>
  <c r="MX29" i="48"/>
  <c r="MY29" i="48"/>
  <c r="MZ29" i="48"/>
  <c r="NA29" i="48"/>
  <c r="NB29" i="48"/>
  <c r="NC29" i="48"/>
  <c r="ND29" i="48"/>
  <c r="NE29" i="48"/>
  <c r="NF29" i="48"/>
  <c r="NG29" i="48"/>
  <c r="NH29" i="48"/>
  <c r="NI29" i="48"/>
  <c r="NJ29" i="48"/>
  <c r="NK29" i="48"/>
  <c r="NL29" i="48"/>
  <c r="NM29" i="48"/>
  <c r="NN29" i="48"/>
  <c r="NO29" i="48"/>
  <c r="NP29" i="48"/>
  <c r="NQ29" i="48"/>
  <c r="NR29" i="48"/>
  <c r="NS29" i="48"/>
  <c r="NT29" i="48"/>
  <c r="NU29" i="48"/>
  <c r="NV29" i="48"/>
  <c r="NW29" i="48"/>
  <c r="NX29" i="48"/>
  <c r="NY29" i="48"/>
  <c r="NZ29" i="48"/>
  <c r="OA29" i="48"/>
  <c r="OB29" i="48"/>
  <c r="OC29" i="48"/>
  <c r="OD29" i="48"/>
  <c r="OE29" i="48"/>
  <c r="OF29" i="48"/>
  <c r="OG29" i="48"/>
  <c r="OH29" i="48"/>
  <c r="OI29" i="48"/>
  <c r="OJ29" i="48"/>
  <c r="OK29" i="48"/>
  <c r="OL29" i="48"/>
  <c r="OM29" i="48"/>
  <c r="ON29" i="48"/>
  <c r="OO29" i="48"/>
  <c r="OP29" i="48"/>
  <c r="OQ29" i="48"/>
  <c r="OR29" i="48"/>
  <c r="OS29" i="48"/>
  <c r="OT29" i="48"/>
  <c r="OU29" i="48"/>
  <c r="OV29" i="48"/>
  <c r="OW29" i="48"/>
  <c r="OX29" i="48"/>
  <c r="OY29" i="48"/>
  <c r="OZ29" i="48"/>
  <c r="PA29" i="48"/>
  <c r="PB29" i="48"/>
  <c r="PC29" i="48"/>
  <c r="PD29" i="48"/>
  <c r="PE29" i="48"/>
  <c r="PF29" i="48"/>
  <c r="PG29" i="48"/>
  <c r="PH29" i="48"/>
  <c r="PI29" i="48"/>
  <c r="PJ29" i="48"/>
  <c r="PK29" i="48"/>
  <c r="PL29" i="48"/>
  <c r="PM29" i="48"/>
  <c r="PN29" i="48"/>
  <c r="DX30" i="48"/>
  <c r="DY30" i="48"/>
  <c r="DZ30" i="48"/>
  <c r="EA30" i="48"/>
  <c r="EB30" i="48"/>
  <c r="EC30" i="48"/>
  <c r="ED30" i="48"/>
  <c r="EE30" i="48"/>
  <c r="EF30" i="48"/>
  <c r="EG30" i="48"/>
  <c r="EH30" i="48"/>
  <c r="EI30" i="48"/>
  <c r="EJ30" i="48"/>
  <c r="EK30" i="48"/>
  <c r="EL30" i="48"/>
  <c r="EM30" i="48"/>
  <c r="EN30" i="48"/>
  <c r="EO30" i="48"/>
  <c r="EP30" i="48"/>
  <c r="EQ30" i="48"/>
  <c r="ER30" i="48"/>
  <c r="ES30" i="48"/>
  <c r="ET30" i="48"/>
  <c r="EU30" i="48"/>
  <c r="EV30" i="48"/>
  <c r="EW30" i="48"/>
  <c r="EX30" i="48"/>
  <c r="EY30" i="48"/>
  <c r="EZ30" i="48"/>
  <c r="FA30" i="48"/>
  <c r="FB30" i="48"/>
  <c r="FC30" i="48"/>
  <c r="FD30" i="48"/>
  <c r="FE30" i="48"/>
  <c r="FF30" i="48"/>
  <c r="FG30" i="48"/>
  <c r="FH30" i="48"/>
  <c r="FI30" i="48"/>
  <c r="FJ30" i="48"/>
  <c r="FK30" i="48"/>
  <c r="FL30" i="48"/>
  <c r="FM30" i="48"/>
  <c r="FN30" i="48"/>
  <c r="FO30" i="48"/>
  <c r="FP30" i="48"/>
  <c r="FQ30" i="48"/>
  <c r="FR30" i="48"/>
  <c r="FS30" i="48"/>
  <c r="FT30" i="48"/>
  <c r="FU30" i="48"/>
  <c r="FV30" i="48"/>
  <c r="FW30" i="48"/>
  <c r="FX30" i="48"/>
  <c r="FY30" i="48"/>
  <c r="FZ30" i="48"/>
  <c r="GA30" i="48"/>
  <c r="GB30" i="48"/>
  <c r="GC30" i="48"/>
  <c r="GD30" i="48"/>
  <c r="GE30" i="48"/>
  <c r="GF30" i="48"/>
  <c r="GG30" i="48"/>
  <c r="GH30" i="48"/>
  <c r="GI30" i="48"/>
  <c r="GJ30" i="48"/>
  <c r="GK30" i="48"/>
  <c r="GL30" i="48"/>
  <c r="GM30" i="48"/>
  <c r="GN30" i="48"/>
  <c r="GO30" i="48"/>
  <c r="GP30" i="48"/>
  <c r="GQ30" i="48"/>
  <c r="GR30" i="48"/>
  <c r="GS30" i="48"/>
  <c r="GT30" i="48"/>
  <c r="GU30" i="48"/>
  <c r="GV30" i="48"/>
  <c r="GW30" i="48"/>
  <c r="GX30" i="48"/>
  <c r="GY30" i="48"/>
  <c r="GZ30" i="48"/>
  <c r="HA30" i="48"/>
  <c r="HB30" i="48"/>
  <c r="HC30" i="48"/>
  <c r="HD30" i="48"/>
  <c r="HE30" i="48"/>
  <c r="HF30" i="48"/>
  <c r="HG30" i="48"/>
  <c r="HH30" i="48"/>
  <c r="HI30" i="48"/>
  <c r="HJ30" i="48"/>
  <c r="HK30" i="48"/>
  <c r="HL30" i="48"/>
  <c r="HM30" i="48"/>
  <c r="HN30" i="48"/>
  <c r="HO30" i="48"/>
  <c r="HP30" i="48"/>
  <c r="HQ30" i="48"/>
  <c r="HR30" i="48"/>
  <c r="HS30" i="48"/>
  <c r="HT30" i="48"/>
  <c r="HU30" i="48"/>
  <c r="HV30" i="48"/>
  <c r="HW30" i="48"/>
  <c r="HX30" i="48"/>
  <c r="HY30" i="48"/>
  <c r="HZ30" i="48"/>
  <c r="IA30" i="48"/>
  <c r="IB30" i="48"/>
  <c r="IC30" i="48"/>
  <c r="ID30" i="48"/>
  <c r="IE30" i="48"/>
  <c r="IF30" i="48"/>
  <c r="IG30" i="48"/>
  <c r="IH30" i="48"/>
  <c r="II30" i="48"/>
  <c r="IJ30" i="48"/>
  <c r="IK30" i="48"/>
  <c r="IL30" i="48"/>
  <c r="IM30" i="48"/>
  <c r="IN30" i="48"/>
  <c r="IO30" i="48"/>
  <c r="IP30" i="48"/>
  <c r="IQ30" i="48"/>
  <c r="IR30" i="48"/>
  <c r="IS30" i="48"/>
  <c r="IT30" i="48"/>
  <c r="IU30" i="48"/>
  <c r="IV30" i="48"/>
  <c r="IW30" i="48"/>
  <c r="IX30" i="48"/>
  <c r="IY30" i="48"/>
  <c r="IZ30" i="48"/>
  <c r="JA30" i="48"/>
  <c r="JB30" i="48"/>
  <c r="JC30" i="48"/>
  <c r="JD30" i="48"/>
  <c r="JE30" i="48"/>
  <c r="JF30" i="48"/>
  <c r="JG30" i="48"/>
  <c r="JH30" i="48"/>
  <c r="JI30" i="48"/>
  <c r="JJ30" i="48"/>
  <c r="JK30" i="48"/>
  <c r="JL30" i="48"/>
  <c r="JM30" i="48"/>
  <c r="JN30" i="48"/>
  <c r="JO30" i="48"/>
  <c r="JP30" i="48"/>
  <c r="JQ30" i="48"/>
  <c r="JR30" i="48"/>
  <c r="JS30" i="48"/>
  <c r="JT30" i="48"/>
  <c r="JU30" i="48"/>
  <c r="JV30" i="48"/>
  <c r="JW30" i="48"/>
  <c r="JX30" i="48"/>
  <c r="JY30" i="48"/>
  <c r="JZ30" i="48"/>
  <c r="KA30" i="48"/>
  <c r="KB30" i="48"/>
  <c r="KC30" i="48"/>
  <c r="KD30" i="48"/>
  <c r="KE30" i="48"/>
  <c r="KF30" i="48"/>
  <c r="KG30" i="48"/>
  <c r="KH30" i="48"/>
  <c r="KI30" i="48"/>
  <c r="KJ30" i="48"/>
  <c r="KK30" i="48"/>
  <c r="KL30" i="48"/>
  <c r="KM30" i="48"/>
  <c r="KN30" i="48"/>
  <c r="KO30" i="48"/>
  <c r="KP30" i="48"/>
  <c r="KQ30" i="48"/>
  <c r="KR30" i="48"/>
  <c r="KS30" i="48"/>
  <c r="KT30" i="48"/>
  <c r="KU30" i="48"/>
  <c r="KV30" i="48"/>
  <c r="KW30" i="48"/>
  <c r="KX30" i="48"/>
  <c r="KY30" i="48"/>
  <c r="KZ30" i="48"/>
  <c r="LA30" i="48"/>
  <c r="LB30" i="48"/>
  <c r="LC30" i="48"/>
  <c r="LD30" i="48"/>
  <c r="LE30" i="48"/>
  <c r="LF30" i="48"/>
  <c r="LG30" i="48"/>
  <c r="LH30" i="48"/>
  <c r="LI30" i="48"/>
  <c r="LJ30" i="48"/>
  <c r="LK30" i="48"/>
  <c r="LL30" i="48"/>
  <c r="LM30" i="48"/>
  <c r="LN30" i="48"/>
  <c r="LO30" i="48"/>
  <c r="LP30" i="48"/>
  <c r="LQ30" i="48"/>
  <c r="LR30" i="48"/>
  <c r="LS30" i="48"/>
  <c r="LT30" i="48"/>
  <c r="LU30" i="48"/>
  <c r="LV30" i="48"/>
  <c r="LW30" i="48"/>
  <c r="LX30" i="48"/>
  <c r="LY30" i="48"/>
  <c r="LZ30" i="48"/>
  <c r="MA30" i="48"/>
  <c r="MB30" i="48"/>
  <c r="MC30" i="48"/>
  <c r="MD30" i="48"/>
  <c r="ME30" i="48"/>
  <c r="MF30" i="48"/>
  <c r="MG30" i="48"/>
  <c r="MH30" i="48"/>
  <c r="MI30" i="48"/>
  <c r="MJ30" i="48"/>
  <c r="MK30" i="48"/>
  <c r="ML30" i="48"/>
  <c r="MM30" i="48"/>
  <c r="MN30" i="48"/>
  <c r="MO30" i="48"/>
  <c r="MP30" i="48"/>
  <c r="MQ30" i="48"/>
  <c r="MR30" i="48"/>
  <c r="MS30" i="48"/>
  <c r="MT30" i="48"/>
  <c r="MU30" i="48"/>
  <c r="MV30" i="48"/>
  <c r="MW30" i="48"/>
  <c r="MX30" i="48"/>
  <c r="MY30" i="48"/>
  <c r="MZ30" i="48"/>
  <c r="NA30" i="48"/>
  <c r="NB30" i="48"/>
  <c r="NC30" i="48"/>
  <c r="ND30" i="48"/>
  <c r="NE30" i="48"/>
  <c r="NF30" i="48"/>
  <c r="NG30" i="48"/>
  <c r="NH30" i="48"/>
  <c r="NI30" i="48"/>
  <c r="NJ30" i="48"/>
  <c r="NK30" i="48"/>
  <c r="NL30" i="48"/>
  <c r="NM30" i="48"/>
  <c r="NN30" i="48"/>
  <c r="NO30" i="48"/>
  <c r="NP30" i="48"/>
  <c r="NQ30" i="48"/>
  <c r="NR30" i="48"/>
  <c r="NS30" i="48"/>
  <c r="NT30" i="48"/>
  <c r="NU30" i="48"/>
  <c r="NV30" i="48"/>
  <c r="NW30" i="48"/>
  <c r="NX30" i="48"/>
  <c r="NY30" i="48"/>
  <c r="NZ30" i="48"/>
  <c r="OA30" i="48"/>
  <c r="OB30" i="48"/>
  <c r="OC30" i="48"/>
  <c r="OD30" i="48"/>
  <c r="OE30" i="48"/>
  <c r="OF30" i="48"/>
  <c r="OG30" i="48"/>
  <c r="OH30" i="48"/>
  <c r="OI30" i="48"/>
  <c r="OJ30" i="48"/>
  <c r="OK30" i="48"/>
  <c r="OL30" i="48"/>
  <c r="OM30" i="48"/>
  <c r="ON30" i="48"/>
  <c r="OO30" i="48"/>
  <c r="OP30" i="48"/>
  <c r="OQ30" i="48"/>
  <c r="OR30" i="48"/>
  <c r="OS30" i="48"/>
  <c r="OT30" i="48"/>
  <c r="OU30" i="48"/>
  <c r="OV30" i="48"/>
  <c r="OW30" i="48"/>
  <c r="OX30" i="48"/>
  <c r="OY30" i="48"/>
  <c r="OZ30" i="48"/>
  <c r="PA30" i="48"/>
  <c r="PB30" i="48"/>
  <c r="PC30" i="48"/>
  <c r="PD30" i="48"/>
  <c r="PE30" i="48"/>
  <c r="PF30" i="48"/>
  <c r="PG30" i="48"/>
  <c r="PH30" i="48"/>
  <c r="PI30" i="48"/>
  <c r="PJ30" i="48"/>
  <c r="PK30" i="48"/>
  <c r="PL30" i="48"/>
  <c r="PM30" i="48"/>
  <c r="PN30" i="48"/>
  <c r="DX31" i="48"/>
  <c r="DY31" i="48"/>
  <c r="DZ31" i="48"/>
  <c r="EA31" i="48"/>
  <c r="EB31" i="48"/>
  <c r="EC31" i="48"/>
  <c r="ED31" i="48"/>
  <c r="EE31" i="48"/>
  <c r="EF31" i="48"/>
  <c r="EG31" i="48"/>
  <c r="EH31" i="48"/>
  <c r="EI31" i="48"/>
  <c r="EJ31" i="48"/>
  <c r="EK31" i="48"/>
  <c r="EL31" i="48"/>
  <c r="EM31" i="48"/>
  <c r="EN31" i="48"/>
  <c r="EO31" i="48"/>
  <c r="EP31" i="48"/>
  <c r="EQ31" i="48"/>
  <c r="ER31" i="48"/>
  <c r="ES31" i="48"/>
  <c r="ET31" i="48"/>
  <c r="EU31" i="48"/>
  <c r="EV31" i="48"/>
  <c r="EW31" i="48"/>
  <c r="EX31" i="48"/>
  <c r="EY31" i="48"/>
  <c r="EZ31" i="48"/>
  <c r="FA31" i="48"/>
  <c r="FB31" i="48"/>
  <c r="FC31" i="48"/>
  <c r="FD31" i="48"/>
  <c r="FE31" i="48"/>
  <c r="FF31" i="48"/>
  <c r="FG31" i="48"/>
  <c r="FH31" i="48"/>
  <c r="FI31" i="48"/>
  <c r="FJ31" i="48"/>
  <c r="FK31" i="48"/>
  <c r="FL31" i="48"/>
  <c r="FM31" i="48"/>
  <c r="FN31" i="48"/>
  <c r="FO31" i="48"/>
  <c r="FP31" i="48"/>
  <c r="FQ31" i="48"/>
  <c r="FR31" i="48"/>
  <c r="FS31" i="48"/>
  <c r="FT31" i="48"/>
  <c r="FU31" i="48"/>
  <c r="FV31" i="48"/>
  <c r="FW31" i="48"/>
  <c r="FX31" i="48"/>
  <c r="FY31" i="48"/>
  <c r="FZ31" i="48"/>
  <c r="GA31" i="48"/>
  <c r="GB31" i="48"/>
  <c r="GC31" i="48"/>
  <c r="GD31" i="48"/>
  <c r="GE31" i="48"/>
  <c r="GF31" i="48"/>
  <c r="GG31" i="48"/>
  <c r="GH31" i="48"/>
  <c r="GI31" i="48"/>
  <c r="GJ31" i="48"/>
  <c r="GK31" i="48"/>
  <c r="GL31" i="48"/>
  <c r="GM31" i="48"/>
  <c r="GN31" i="48"/>
  <c r="GO31" i="48"/>
  <c r="GP31" i="48"/>
  <c r="GQ31" i="48"/>
  <c r="GR31" i="48"/>
  <c r="GS31" i="48"/>
  <c r="GT31" i="48"/>
  <c r="GU31" i="48"/>
  <c r="GV31" i="48"/>
  <c r="GW31" i="48"/>
  <c r="GX31" i="48"/>
  <c r="GY31" i="48"/>
  <c r="GZ31" i="48"/>
  <c r="HA31" i="48"/>
  <c r="HB31" i="48"/>
  <c r="HC31" i="48"/>
  <c r="HD31" i="48"/>
  <c r="HE31" i="48"/>
  <c r="HF31" i="48"/>
  <c r="HG31" i="48"/>
  <c r="HH31" i="48"/>
  <c r="HI31" i="48"/>
  <c r="HJ31" i="48"/>
  <c r="HK31" i="48"/>
  <c r="HL31" i="48"/>
  <c r="HM31" i="48"/>
  <c r="HN31" i="48"/>
  <c r="HO31" i="48"/>
  <c r="HP31" i="48"/>
  <c r="HQ31" i="48"/>
  <c r="HR31" i="48"/>
  <c r="HS31" i="48"/>
  <c r="HT31" i="48"/>
  <c r="HU31" i="48"/>
  <c r="HV31" i="48"/>
  <c r="HW31" i="48"/>
  <c r="HX31" i="48"/>
  <c r="HY31" i="48"/>
  <c r="HZ31" i="48"/>
  <c r="IA31" i="48"/>
  <c r="IB31" i="48"/>
  <c r="IC31" i="48"/>
  <c r="ID31" i="48"/>
  <c r="IE31" i="48"/>
  <c r="IF31" i="48"/>
  <c r="IG31" i="48"/>
  <c r="IH31" i="48"/>
  <c r="II31" i="48"/>
  <c r="IJ31" i="48"/>
  <c r="IK31" i="48"/>
  <c r="IL31" i="48"/>
  <c r="IM31" i="48"/>
  <c r="IN31" i="48"/>
  <c r="IO31" i="48"/>
  <c r="IP31" i="48"/>
  <c r="IQ31" i="48"/>
  <c r="IR31" i="48"/>
  <c r="IS31" i="48"/>
  <c r="IT31" i="48"/>
  <c r="IU31" i="48"/>
  <c r="IV31" i="48"/>
  <c r="IW31" i="48"/>
  <c r="IX31" i="48"/>
  <c r="IY31" i="48"/>
  <c r="IZ31" i="48"/>
  <c r="JA31" i="48"/>
  <c r="JB31" i="48"/>
  <c r="JC31" i="48"/>
  <c r="JD31" i="48"/>
  <c r="JE31" i="48"/>
  <c r="JF31" i="48"/>
  <c r="JG31" i="48"/>
  <c r="JH31" i="48"/>
  <c r="JI31" i="48"/>
  <c r="JJ31" i="48"/>
  <c r="JK31" i="48"/>
  <c r="JL31" i="48"/>
  <c r="JM31" i="48"/>
  <c r="JN31" i="48"/>
  <c r="JO31" i="48"/>
  <c r="JP31" i="48"/>
  <c r="JQ31" i="48"/>
  <c r="JR31" i="48"/>
  <c r="JS31" i="48"/>
  <c r="JT31" i="48"/>
  <c r="JU31" i="48"/>
  <c r="JV31" i="48"/>
  <c r="JW31" i="48"/>
  <c r="JX31" i="48"/>
  <c r="JY31" i="48"/>
  <c r="JZ31" i="48"/>
  <c r="KA31" i="48"/>
  <c r="KB31" i="48"/>
  <c r="KC31" i="48"/>
  <c r="KD31" i="48"/>
  <c r="KE31" i="48"/>
  <c r="KF31" i="48"/>
  <c r="KG31" i="48"/>
  <c r="KH31" i="48"/>
  <c r="KI31" i="48"/>
  <c r="KJ31" i="48"/>
  <c r="KK31" i="48"/>
  <c r="KL31" i="48"/>
  <c r="KM31" i="48"/>
  <c r="KN31" i="48"/>
  <c r="KO31" i="48"/>
  <c r="KP31" i="48"/>
  <c r="KQ31" i="48"/>
  <c r="KR31" i="48"/>
  <c r="KS31" i="48"/>
  <c r="KT31" i="48"/>
  <c r="KU31" i="48"/>
  <c r="KV31" i="48"/>
  <c r="KW31" i="48"/>
  <c r="KX31" i="48"/>
  <c r="KY31" i="48"/>
  <c r="KZ31" i="48"/>
  <c r="LA31" i="48"/>
  <c r="LB31" i="48"/>
  <c r="LC31" i="48"/>
  <c r="LD31" i="48"/>
  <c r="LE31" i="48"/>
  <c r="LF31" i="48"/>
  <c r="LG31" i="48"/>
  <c r="LH31" i="48"/>
  <c r="LI31" i="48"/>
  <c r="LJ31" i="48"/>
  <c r="LK31" i="48"/>
  <c r="LL31" i="48"/>
  <c r="LM31" i="48"/>
  <c r="LN31" i="48"/>
  <c r="LO31" i="48"/>
  <c r="LP31" i="48"/>
  <c r="LQ31" i="48"/>
  <c r="LR31" i="48"/>
  <c r="LS31" i="48"/>
  <c r="LT31" i="48"/>
  <c r="LU31" i="48"/>
  <c r="LV31" i="48"/>
  <c r="LW31" i="48"/>
  <c r="LX31" i="48"/>
  <c r="LY31" i="48"/>
  <c r="LZ31" i="48"/>
  <c r="MA31" i="48"/>
  <c r="MB31" i="48"/>
  <c r="MC31" i="48"/>
  <c r="MD31" i="48"/>
  <c r="ME31" i="48"/>
  <c r="MF31" i="48"/>
  <c r="MG31" i="48"/>
  <c r="MH31" i="48"/>
  <c r="MI31" i="48"/>
  <c r="MJ31" i="48"/>
  <c r="MK31" i="48"/>
  <c r="ML31" i="48"/>
  <c r="MM31" i="48"/>
  <c r="MN31" i="48"/>
  <c r="MO31" i="48"/>
  <c r="MP31" i="48"/>
  <c r="MQ31" i="48"/>
  <c r="MR31" i="48"/>
  <c r="MS31" i="48"/>
  <c r="MT31" i="48"/>
  <c r="MU31" i="48"/>
  <c r="MV31" i="48"/>
  <c r="MW31" i="48"/>
  <c r="MX31" i="48"/>
  <c r="MY31" i="48"/>
  <c r="MZ31" i="48"/>
  <c r="NA31" i="48"/>
  <c r="NB31" i="48"/>
  <c r="NC31" i="48"/>
  <c r="ND31" i="48"/>
  <c r="NE31" i="48"/>
  <c r="NF31" i="48"/>
  <c r="NG31" i="48"/>
  <c r="NH31" i="48"/>
  <c r="NI31" i="48"/>
  <c r="NJ31" i="48"/>
  <c r="NK31" i="48"/>
  <c r="NL31" i="48"/>
  <c r="NM31" i="48"/>
  <c r="NN31" i="48"/>
  <c r="NO31" i="48"/>
  <c r="NP31" i="48"/>
  <c r="NQ31" i="48"/>
  <c r="NR31" i="48"/>
  <c r="NS31" i="48"/>
  <c r="NT31" i="48"/>
  <c r="NU31" i="48"/>
  <c r="NV31" i="48"/>
  <c r="NW31" i="48"/>
  <c r="NX31" i="48"/>
  <c r="NY31" i="48"/>
  <c r="NZ31" i="48"/>
  <c r="OA31" i="48"/>
  <c r="OB31" i="48"/>
  <c r="OC31" i="48"/>
  <c r="OD31" i="48"/>
  <c r="OE31" i="48"/>
  <c r="OF31" i="48"/>
  <c r="OG31" i="48"/>
  <c r="OH31" i="48"/>
  <c r="OI31" i="48"/>
  <c r="OJ31" i="48"/>
  <c r="OK31" i="48"/>
  <c r="OL31" i="48"/>
  <c r="OM31" i="48"/>
  <c r="ON31" i="48"/>
  <c r="OO31" i="48"/>
  <c r="OP31" i="48"/>
  <c r="OQ31" i="48"/>
  <c r="OR31" i="48"/>
  <c r="OS31" i="48"/>
  <c r="OT31" i="48"/>
  <c r="OU31" i="48"/>
  <c r="OV31" i="48"/>
  <c r="OW31" i="48"/>
  <c r="OX31" i="48"/>
  <c r="OY31" i="48"/>
  <c r="OZ31" i="48"/>
  <c r="PA31" i="48"/>
  <c r="PB31" i="48"/>
  <c r="PC31" i="48"/>
  <c r="PD31" i="48"/>
  <c r="PE31" i="48"/>
  <c r="PF31" i="48"/>
  <c r="PG31" i="48"/>
  <c r="PH31" i="48"/>
  <c r="PI31" i="48"/>
  <c r="PJ31" i="48"/>
  <c r="PK31" i="48"/>
  <c r="PL31" i="48"/>
  <c r="PM31" i="48"/>
  <c r="PN31" i="48"/>
  <c r="DX32" i="48"/>
  <c r="DY32" i="48"/>
  <c r="DZ32" i="48"/>
  <c r="EA32" i="48"/>
  <c r="EB32" i="48"/>
  <c r="EC32" i="48"/>
  <c r="ED32" i="48"/>
  <c r="EE32" i="48"/>
  <c r="EF32" i="48"/>
  <c r="EG32" i="48"/>
  <c r="EH32" i="48"/>
  <c r="EI32" i="48"/>
  <c r="EJ32" i="48"/>
  <c r="EK32" i="48"/>
  <c r="EL32" i="48"/>
  <c r="EM32" i="48"/>
  <c r="EN32" i="48"/>
  <c r="EO32" i="48"/>
  <c r="EP32" i="48"/>
  <c r="EQ32" i="48"/>
  <c r="ER32" i="48"/>
  <c r="ES32" i="48"/>
  <c r="ET32" i="48"/>
  <c r="EU32" i="48"/>
  <c r="EV32" i="48"/>
  <c r="EW32" i="48"/>
  <c r="EX32" i="48"/>
  <c r="EY32" i="48"/>
  <c r="EZ32" i="48"/>
  <c r="FA32" i="48"/>
  <c r="FB32" i="48"/>
  <c r="FC32" i="48"/>
  <c r="FD32" i="48"/>
  <c r="FE32" i="48"/>
  <c r="FF32" i="48"/>
  <c r="FG32" i="48"/>
  <c r="FH32" i="48"/>
  <c r="FI32" i="48"/>
  <c r="FJ32" i="48"/>
  <c r="FK32" i="48"/>
  <c r="FL32" i="48"/>
  <c r="FM32" i="48"/>
  <c r="FN32" i="48"/>
  <c r="FO32" i="48"/>
  <c r="FP32" i="48"/>
  <c r="FQ32" i="48"/>
  <c r="FR32" i="48"/>
  <c r="FS32" i="48"/>
  <c r="FT32" i="48"/>
  <c r="FU32" i="48"/>
  <c r="FV32" i="48"/>
  <c r="FW32" i="48"/>
  <c r="FX32" i="48"/>
  <c r="FY32" i="48"/>
  <c r="FZ32" i="48"/>
  <c r="GA32" i="48"/>
  <c r="GB32" i="48"/>
  <c r="GC32" i="48"/>
  <c r="GD32" i="48"/>
  <c r="GE32" i="48"/>
  <c r="GF32" i="48"/>
  <c r="GG32" i="48"/>
  <c r="GH32" i="48"/>
  <c r="GI32" i="48"/>
  <c r="GJ32" i="48"/>
  <c r="GK32" i="48"/>
  <c r="GL32" i="48"/>
  <c r="GM32" i="48"/>
  <c r="GN32" i="48"/>
  <c r="GO32" i="48"/>
  <c r="GP32" i="48"/>
  <c r="GQ32" i="48"/>
  <c r="GR32" i="48"/>
  <c r="GS32" i="48"/>
  <c r="GT32" i="48"/>
  <c r="GU32" i="48"/>
  <c r="GV32" i="48"/>
  <c r="GW32" i="48"/>
  <c r="GX32" i="48"/>
  <c r="GY32" i="48"/>
  <c r="GZ32" i="48"/>
  <c r="HA32" i="48"/>
  <c r="HB32" i="48"/>
  <c r="HC32" i="48"/>
  <c r="HD32" i="48"/>
  <c r="HE32" i="48"/>
  <c r="HF32" i="48"/>
  <c r="HG32" i="48"/>
  <c r="HH32" i="48"/>
  <c r="HI32" i="48"/>
  <c r="HJ32" i="48"/>
  <c r="HK32" i="48"/>
  <c r="HL32" i="48"/>
  <c r="HM32" i="48"/>
  <c r="HN32" i="48"/>
  <c r="HO32" i="48"/>
  <c r="HP32" i="48"/>
  <c r="HQ32" i="48"/>
  <c r="HR32" i="48"/>
  <c r="HS32" i="48"/>
  <c r="HT32" i="48"/>
  <c r="HU32" i="48"/>
  <c r="HV32" i="48"/>
  <c r="HW32" i="48"/>
  <c r="HX32" i="48"/>
  <c r="HY32" i="48"/>
  <c r="HZ32" i="48"/>
  <c r="IA32" i="48"/>
  <c r="IB32" i="48"/>
  <c r="IC32" i="48"/>
  <c r="ID32" i="48"/>
  <c r="IE32" i="48"/>
  <c r="IF32" i="48"/>
  <c r="IG32" i="48"/>
  <c r="IH32" i="48"/>
  <c r="II32" i="48"/>
  <c r="IJ32" i="48"/>
  <c r="IK32" i="48"/>
  <c r="IL32" i="48"/>
  <c r="IM32" i="48"/>
  <c r="IN32" i="48"/>
  <c r="IO32" i="48"/>
  <c r="IP32" i="48"/>
  <c r="IQ32" i="48"/>
  <c r="IR32" i="48"/>
  <c r="IS32" i="48"/>
  <c r="IT32" i="48"/>
  <c r="IU32" i="48"/>
  <c r="IV32" i="48"/>
  <c r="IW32" i="48"/>
  <c r="IX32" i="48"/>
  <c r="IY32" i="48"/>
  <c r="IZ32" i="48"/>
  <c r="JA32" i="48"/>
  <c r="JB32" i="48"/>
  <c r="JC32" i="48"/>
  <c r="JD32" i="48"/>
  <c r="JE32" i="48"/>
  <c r="JF32" i="48"/>
  <c r="JG32" i="48"/>
  <c r="JH32" i="48"/>
  <c r="JI32" i="48"/>
  <c r="JJ32" i="48"/>
  <c r="JK32" i="48"/>
  <c r="JL32" i="48"/>
  <c r="JM32" i="48"/>
  <c r="JN32" i="48"/>
  <c r="JO32" i="48"/>
  <c r="JP32" i="48"/>
  <c r="JQ32" i="48"/>
  <c r="JR32" i="48"/>
  <c r="JS32" i="48"/>
  <c r="JT32" i="48"/>
  <c r="JU32" i="48"/>
  <c r="JV32" i="48"/>
  <c r="JW32" i="48"/>
  <c r="JX32" i="48"/>
  <c r="JY32" i="48"/>
  <c r="JZ32" i="48"/>
  <c r="KA32" i="48"/>
  <c r="KB32" i="48"/>
  <c r="KC32" i="48"/>
  <c r="KD32" i="48"/>
  <c r="KE32" i="48"/>
  <c r="KF32" i="48"/>
  <c r="KG32" i="48"/>
  <c r="KH32" i="48"/>
  <c r="KI32" i="48"/>
  <c r="KJ32" i="48"/>
  <c r="KK32" i="48"/>
  <c r="KL32" i="48"/>
  <c r="KM32" i="48"/>
  <c r="KN32" i="48"/>
  <c r="KO32" i="48"/>
  <c r="KP32" i="48"/>
  <c r="KQ32" i="48"/>
  <c r="KR32" i="48"/>
  <c r="KS32" i="48"/>
  <c r="KT32" i="48"/>
  <c r="KU32" i="48"/>
  <c r="KV32" i="48"/>
  <c r="KW32" i="48"/>
  <c r="KX32" i="48"/>
  <c r="KY32" i="48"/>
  <c r="KZ32" i="48"/>
  <c r="LA32" i="48"/>
  <c r="LB32" i="48"/>
  <c r="LC32" i="48"/>
  <c r="LD32" i="48"/>
  <c r="LE32" i="48"/>
  <c r="LF32" i="48"/>
  <c r="LG32" i="48"/>
  <c r="LH32" i="48"/>
  <c r="LI32" i="48"/>
  <c r="LJ32" i="48"/>
  <c r="LK32" i="48"/>
  <c r="LL32" i="48"/>
  <c r="LM32" i="48"/>
  <c r="LN32" i="48"/>
  <c r="LO32" i="48"/>
  <c r="LP32" i="48"/>
  <c r="LQ32" i="48"/>
  <c r="LR32" i="48"/>
  <c r="LS32" i="48"/>
  <c r="LT32" i="48"/>
  <c r="LU32" i="48"/>
  <c r="LV32" i="48"/>
  <c r="LW32" i="48"/>
  <c r="LX32" i="48"/>
  <c r="LY32" i="48"/>
  <c r="LZ32" i="48"/>
  <c r="MA32" i="48"/>
  <c r="MB32" i="48"/>
  <c r="MC32" i="48"/>
  <c r="MD32" i="48"/>
  <c r="ME32" i="48"/>
  <c r="MF32" i="48"/>
  <c r="MG32" i="48"/>
  <c r="MH32" i="48"/>
  <c r="MI32" i="48"/>
  <c r="MJ32" i="48"/>
  <c r="MK32" i="48"/>
  <c r="ML32" i="48"/>
  <c r="MM32" i="48"/>
  <c r="MN32" i="48"/>
  <c r="MO32" i="48"/>
  <c r="MP32" i="48"/>
  <c r="MQ32" i="48"/>
  <c r="MR32" i="48"/>
  <c r="MS32" i="48"/>
  <c r="MT32" i="48"/>
  <c r="MU32" i="48"/>
  <c r="MV32" i="48"/>
  <c r="MW32" i="48"/>
  <c r="MX32" i="48"/>
  <c r="MY32" i="48"/>
  <c r="MZ32" i="48"/>
  <c r="NA32" i="48"/>
  <c r="NB32" i="48"/>
  <c r="NC32" i="48"/>
  <c r="ND32" i="48"/>
  <c r="NE32" i="48"/>
  <c r="NF32" i="48"/>
  <c r="NG32" i="48"/>
  <c r="NH32" i="48"/>
  <c r="NI32" i="48"/>
  <c r="NJ32" i="48"/>
  <c r="NK32" i="48"/>
  <c r="NL32" i="48"/>
  <c r="NM32" i="48"/>
  <c r="NN32" i="48"/>
  <c r="NO32" i="48"/>
  <c r="NP32" i="48"/>
  <c r="NQ32" i="48"/>
  <c r="NR32" i="48"/>
  <c r="NS32" i="48"/>
  <c r="NT32" i="48"/>
  <c r="NU32" i="48"/>
  <c r="NV32" i="48"/>
  <c r="NW32" i="48"/>
  <c r="NX32" i="48"/>
  <c r="NY32" i="48"/>
  <c r="NZ32" i="48"/>
  <c r="OA32" i="48"/>
  <c r="OB32" i="48"/>
  <c r="OC32" i="48"/>
  <c r="OD32" i="48"/>
  <c r="OE32" i="48"/>
  <c r="OF32" i="48"/>
  <c r="OG32" i="48"/>
  <c r="OH32" i="48"/>
  <c r="OI32" i="48"/>
  <c r="OJ32" i="48"/>
  <c r="OK32" i="48"/>
  <c r="OL32" i="48"/>
  <c r="OM32" i="48"/>
  <c r="ON32" i="48"/>
  <c r="OO32" i="48"/>
  <c r="OP32" i="48"/>
  <c r="OQ32" i="48"/>
  <c r="OR32" i="48"/>
  <c r="OS32" i="48"/>
  <c r="OT32" i="48"/>
  <c r="OU32" i="48"/>
  <c r="OV32" i="48"/>
  <c r="OW32" i="48"/>
  <c r="OX32" i="48"/>
  <c r="OY32" i="48"/>
  <c r="OZ32" i="48"/>
  <c r="PA32" i="48"/>
  <c r="PB32" i="48"/>
  <c r="PC32" i="48"/>
  <c r="PD32" i="48"/>
  <c r="PE32" i="48"/>
  <c r="PF32" i="48"/>
  <c r="PG32" i="48"/>
  <c r="PH32" i="48"/>
  <c r="PI32" i="48"/>
  <c r="PJ32" i="48"/>
  <c r="PK32" i="48"/>
  <c r="PL32" i="48"/>
  <c r="PM32" i="48"/>
  <c r="PN32" i="48"/>
  <c r="DX33" i="48"/>
  <c r="DY33" i="48"/>
  <c r="DZ33" i="48"/>
  <c r="EA33" i="48"/>
  <c r="EB33" i="48"/>
  <c r="EC33" i="48"/>
  <c r="ED33" i="48"/>
  <c r="EE33" i="48"/>
  <c r="EF33" i="48"/>
  <c r="EG33" i="48"/>
  <c r="EH33" i="48"/>
  <c r="EI33" i="48"/>
  <c r="EJ33" i="48"/>
  <c r="EK33" i="48"/>
  <c r="EL33" i="48"/>
  <c r="EM33" i="48"/>
  <c r="EN33" i="48"/>
  <c r="EO33" i="48"/>
  <c r="EP33" i="48"/>
  <c r="EQ33" i="48"/>
  <c r="ER33" i="48"/>
  <c r="ES33" i="48"/>
  <c r="ET33" i="48"/>
  <c r="EU33" i="48"/>
  <c r="EV33" i="48"/>
  <c r="EW33" i="48"/>
  <c r="EX33" i="48"/>
  <c r="EY33" i="48"/>
  <c r="EZ33" i="48"/>
  <c r="FA33" i="48"/>
  <c r="FB33" i="48"/>
  <c r="FC33" i="48"/>
  <c r="FD33" i="48"/>
  <c r="FE33" i="48"/>
  <c r="FF33" i="48"/>
  <c r="FG33" i="48"/>
  <c r="FH33" i="48"/>
  <c r="FI33" i="48"/>
  <c r="FJ33" i="48"/>
  <c r="FK33" i="48"/>
  <c r="FL33" i="48"/>
  <c r="FM33" i="48"/>
  <c r="FN33" i="48"/>
  <c r="FO33" i="48"/>
  <c r="FP33" i="48"/>
  <c r="FQ33" i="48"/>
  <c r="FR33" i="48"/>
  <c r="FS33" i="48"/>
  <c r="FT33" i="48"/>
  <c r="FU33" i="48"/>
  <c r="FV33" i="48"/>
  <c r="FW33" i="48"/>
  <c r="FX33" i="48"/>
  <c r="FY33" i="48"/>
  <c r="FZ33" i="48"/>
  <c r="GA33" i="48"/>
  <c r="GB33" i="48"/>
  <c r="GC33" i="48"/>
  <c r="GD33" i="48"/>
  <c r="GE33" i="48"/>
  <c r="GF33" i="48"/>
  <c r="GG33" i="48"/>
  <c r="GH33" i="48"/>
  <c r="GI33" i="48"/>
  <c r="GJ33" i="48"/>
  <c r="GK33" i="48"/>
  <c r="GL33" i="48"/>
  <c r="GM33" i="48"/>
  <c r="GN33" i="48"/>
  <c r="GO33" i="48"/>
  <c r="GP33" i="48"/>
  <c r="GQ33" i="48"/>
  <c r="GR33" i="48"/>
  <c r="GS33" i="48"/>
  <c r="GT33" i="48"/>
  <c r="GU33" i="48"/>
  <c r="GV33" i="48"/>
  <c r="GW33" i="48"/>
  <c r="GX33" i="48"/>
  <c r="GY33" i="48"/>
  <c r="GZ33" i="48"/>
  <c r="HA33" i="48"/>
  <c r="HB33" i="48"/>
  <c r="HC33" i="48"/>
  <c r="HD33" i="48"/>
  <c r="HE33" i="48"/>
  <c r="HF33" i="48"/>
  <c r="HG33" i="48"/>
  <c r="HH33" i="48"/>
  <c r="HI33" i="48"/>
  <c r="HJ33" i="48"/>
  <c r="HK33" i="48"/>
  <c r="HL33" i="48"/>
  <c r="HM33" i="48"/>
  <c r="HN33" i="48"/>
  <c r="HO33" i="48"/>
  <c r="HP33" i="48"/>
  <c r="HQ33" i="48"/>
  <c r="HR33" i="48"/>
  <c r="HS33" i="48"/>
  <c r="HT33" i="48"/>
  <c r="HU33" i="48"/>
  <c r="HV33" i="48"/>
  <c r="HW33" i="48"/>
  <c r="HX33" i="48"/>
  <c r="HY33" i="48"/>
  <c r="HZ33" i="48"/>
  <c r="IA33" i="48"/>
  <c r="IB33" i="48"/>
  <c r="IC33" i="48"/>
  <c r="ID33" i="48"/>
  <c r="IE33" i="48"/>
  <c r="IF33" i="48"/>
  <c r="IG33" i="48"/>
  <c r="IH33" i="48"/>
  <c r="II33" i="48"/>
  <c r="IJ33" i="48"/>
  <c r="IK33" i="48"/>
  <c r="IL33" i="48"/>
  <c r="IM33" i="48"/>
  <c r="IN33" i="48"/>
  <c r="IO33" i="48"/>
  <c r="IP33" i="48"/>
  <c r="IQ33" i="48"/>
  <c r="IR33" i="48"/>
  <c r="IS33" i="48"/>
  <c r="IT33" i="48"/>
  <c r="IU33" i="48"/>
  <c r="IV33" i="48"/>
  <c r="IW33" i="48"/>
  <c r="IX33" i="48"/>
  <c r="IY33" i="48"/>
  <c r="IZ33" i="48"/>
  <c r="JA33" i="48"/>
  <c r="JB33" i="48"/>
  <c r="JC33" i="48"/>
  <c r="JD33" i="48"/>
  <c r="JE33" i="48"/>
  <c r="JF33" i="48"/>
  <c r="JG33" i="48"/>
  <c r="JH33" i="48"/>
  <c r="JI33" i="48"/>
  <c r="JJ33" i="48"/>
  <c r="JK33" i="48"/>
  <c r="JL33" i="48"/>
  <c r="JM33" i="48"/>
  <c r="JN33" i="48"/>
  <c r="JO33" i="48"/>
  <c r="JP33" i="48"/>
  <c r="JQ33" i="48"/>
  <c r="JR33" i="48"/>
  <c r="JS33" i="48"/>
  <c r="JT33" i="48"/>
  <c r="JU33" i="48"/>
  <c r="JV33" i="48"/>
  <c r="JW33" i="48"/>
  <c r="JX33" i="48"/>
  <c r="JY33" i="48"/>
  <c r="JZ33" i="48"/>
  <c r="KA33" i="48"/>
  <c r="KB33" i="48"/>
  <c r="KC33" i="48"/>
  <c r="KD33" i="48"/>
  <c r="KE33" i="48"/>
  <c r="KF33" i="48"/>
  <c r="KG33" i="48"/>
  <c r="KH33" i="48"/>
  <c r="KI33" i="48"/>
  <c r="KJ33" i="48"/>
  <c r="KK33" i="48"/>
  <c r="KL33" i="48"/>
  <c r="KM33" i="48"/>
  <c r="KN33" i="48"/>
  <c r="KO33" i="48"/>
  <c r="KP33" i="48"/>
  <c r="KQ33" i="48"/>
  <c r="KR33" i="48"/>
  <c r="KS33" i="48"/>
  <c r="KT33" i="48"/>
  <c r="KU33" i="48"/>
  <c r="KV33" i="48"/>
  <c r="KW33" i="48"/>
  <c r="KX33" i="48"/>
  <c r="KY33" i="48"/>
  <c r="KZ33" i="48"/>
  <c r="LA33" i="48"/>
  <c r="LB33" i="48"/>
  <c r="LC33" i="48"/>
  <c r="LD33" i="48"/>
  <c r="LE33" i="48"/>
  <c r="LF33" i="48"/>
  <c r="LG33" i="48"/>
  <c r="LH33" i="48"/>
  <c r="LI33" i="48"/>
  <c r="LJ33" i="48"/>
  <c r="LK33" i="48"/>
  <c r="LL33" i="48"/>
  <c r="LM33" i="48"/>
  <c r="LN33" i="48"/>
  <c r="LO33" i="48"/>
  <c r="LP33" i="48"/>
  <c r="LQ33" i="48"/>
  <c r="LR33" i="48"/>
  <c r="LS33" i="48"/>
  <c r="LT33" i="48"/>
  <c r="LU33" i="48"/>
  <c r="LV33" i="48"/>
  <c r="LW33" i="48"/>
  <c r="LX33" i="48"/>
  <c r="LY33" i="48"/>
  <c r="LZ33" i="48"/>
  <c r="MA33" i="48"/>
  <c r="MB33" i="48"/>
  <c r="MC33" i="48"/>
  <c r="MD33" i="48"/>
  <c r="ME33" i="48"/>
  <c r="MF33" i="48"/>
  <c r="MG33" i="48"/>
  <c r="MH33" i="48"/>
  <c r="MI33" i="48"/>
  <c r="MJ33" i="48"/>
  <c r="MK33" i="48"/>
  <c r="ML33" i="48"/>
  <c r="MM33" i="48"/>
  <c r="MN33" i="48"/>
  <c r="MO33" i="48"/>
  <c r="MP33" i="48"/>
  <c r="MQ33" i="48"/>
  <c r="MR33" i="48"/>
  <c r="MS33" i="48"/>
  <c r="MT33" i="48"/>
  <c r="MU33" i="48"/>
  <c r="MV33" i="48"/>
  <c r="MW33" i="48"/>
  <c r="MX33" i="48"/>
  <c r="MY33" i="48"/>
  <c r="MZ33" i="48"/>
  <c r="NA33" i="48"/>
  <c r="NB33" i="48"/>
  <c r="NC33" i="48"/>
  <c r="ND33" i="48"/>
  <c r="NE33" i="48"/>
  <c r="NF33" i="48"/>
  <c r="NG33" i="48"/>
  <c r="NH33" i="48"/>
  <c r="NI33" i="48"/>
  <c r="NJ33" i="48"/>
  <c r="NK33" i="48"/>
  <c r="NL33" i="48"/>
  <c r="NM33" i="48"/>
  <c r="NN33" i="48"/>
  <c r="NO33" i="48"/>
  <c r="NP33" i="48"/>
  <c r="NQ33" i="48"/>
  <c r="NR33" i="48"/>
  <c r="NS33" i="48"/>
  <c r="NT33" i="48"/>
  <c r="NU33" i="48"/>
  <c r="NV33" i="48"/>
  <c r="NW33" i="48"/>
  <c r="NX33" i="48"/>
  <c r="NY33" i="48"/>
  <c r="NZ33" i="48"/>
  <c r="OA33" i="48"/>
  <c r="OB33" i="48"/>
  <c r="OC33" i="48"/>
  <c r="OD33" i="48"/>
  <c r="OE33" i="48"/>
  <c r="OF33" i="48"/>
  <c r="OG33" i="48"/>
  <c r="OH33" i="48"/>
  <c r="OI33" i="48"/>
  <c r="OJ33" i="48"/>
  <c r="OK33" i="48"/>
  <c r="OL33" i="48"/>
  <c r="OM33" i="48"/>
  <c r="ON33" i="48"/>
  <c r="OO33" i="48"/>
  <c r="OP33" i="48"/>
  <c r="OQ33" i="48"/>
  <c r="OR33" i="48"/>
  <c r="OS33" i="48"/>
  <c r="OT33" i="48"/>
  <c r="OU33" i="48"/>
  <c r="OV33" i="48"/>
  <c r="OW33" i="48"/>
  <c r="OX33" i="48"/>
  <c r="OY33" i="48"/>
  <c r="OZ33" i="48"/>
  <c r="PA33" i="48"/>
  <c r="PB33" i="48"/>
  <c r="PC33" i="48"/>
  <c r="PD33" i="48"/>
  <c r="PE33" i="48"/>
  <c r="PF33" i="48"/>
  <c r="PG33" i="48"/>
  <c r="PH33" i="48"/>
  <c r="PI33" i="48"/>
  <c r="PJ33" i="48"/>
  <c r="PK33" i="48"/>
  <c r="PL33" i="48"/>
  <c r="PM33" i="48"/>
  <c r="PN33" i="48"/>
  <c r="DX34" i="48"/>
  <c r="DY34" i="48"/>
  <c r="DZ34" i="48"/>
  <c r="EA34" i="48"/>
  <c r="EB34" i="48"/>
  <c r="EC34" i="48"/>
  <c r="ED34" i="48"/>
  <c r="EE34" i="48"/>
  <c r="EF34" i="48"/>
  <c r="EG34" i="48"/>
  <c r="EH34" i="48"/>
  <c r="EI34" i="48"/>
  <c r="EJ34" i="48"/>
  <c r="EK34" i="48"/>
  <c r="EL34" i="48"/>
  <c r="EM34" i="48"/>
  <c r="EN34" i="48"/>
  <c r="EO34" i="48"/>
  <c r="EP34" i="48"/>
  <c r="EQ34" i="48"/>
  <c r="ER34" i="48"/>
  <c r="ES34" i="48"/>
  <c r="ET34" i="48"/>
  <c r="EU34" i="48"/>
  <c r="EV34" i="48"/>
  <c r="EW34" i="48"/>
  <c r="EX34" i="48"/>
  <c r="EY34" i="48"/>
  <c r="EZ34" i="48"/>
  <c r="FA34" i="48"/>
  <c r="FB34" i="48"/>
  <c r="FC34" i="48"/>
  <c r="FD34" i="48"/>
  <c r="FE34" i="48"/>
  <c r="FF34" i="48"/>
  <c r="FG34" i="48"/>
  <c r="FH34" i="48"/>
  <c r="FI34" i="48"/>
  <c r="FJ34" i="48"/>
  <c r="FK34" i="48"/>
  <c r="FL34" i="48"/>
  <c r="FM34" i="48"/>
  <c r="FN34" i="48"/>
  <c r="FO34" i="48"/>
  <c r="FP34" i="48"/>
  <c r="FQ34" i="48"/>
  <c r="FR34" i="48"/>
  <c r="FS34" i="48"/>
  <c r="FT34" i="48"/>
  <c r="FU34" i="48"/>
  <c r="FV34" i="48"/>
  <c r="FW34" i="48"/>
  <c r="FX34" i="48"/>
  <c r="FY34" i="48"/>
  <c r="FZ34" i="48"/>
  <c r="GA34" i="48"/>
  <c r="GB34" i="48"/>
  <c r="GC34" i="48"/>
  <c r="GD34" i="48"/>
  <c r="GE34" i="48"/>
  <c r="GF34" i="48"/>
  <c r="GG34" i="48"/>
  <c r="GH34" i="48"/>
  <c r="GI34" i="48"/>
  <c r="GJ34" i="48"/>
  <c r="GK34" i="48"/>
  <c r="GL34" i="48"/>
  <c r="GM34" i="48"/>
  <c r="GN34" i="48"/>
  <c r="GO34" i="48"/>
  <c r="GP34" i="48"/>
  <c r="GQ34" i="48"/>
  <c r="GR34" i="48"/>
  <c r="GS34" i="48"/>
  <c r="GT34" i="48"/>
  <c r="GU34" i="48"/>
  <c r="GV34" i="48"/>
  <c r="GW34" i="48"/>
  <c r="GX34" i="48"/>
  <c r="GY34" i="48"/>
  <c r="GZ34" i="48"/>
  <c r="HA34" i="48"/>
  <c r="HB34" i="48"/>
  <c r="HC34" i="48"/>
  <c r="HD34" i="48"/>
  <c r="HE34" i="48"/>
  <c r="HF34" i="48"/>
  <c r="HG34" i="48"/>
  <c r="HH34" i="48"/>
  <c r="HI34" i="48"/>
  <c r="HJ34" i="48"/>
  <c r="HK34" i="48"/>
  <c r="HL34" i="48"/>
  <c r="HM34" i="48"/>
  <c r="HN34" i="48"/>
  <c r="HO34" i="48"/>
  <c r="HP34" i="48"/>
  <c r="HQ34" i="48"/>
  <c r="HR34" i="48"/>
  <c r="HS34" i="48"/>
  <c r="HT34" i="48"/>
  <c r="HU34" i="48"/>
  <c r="HV34" i="48"/>
  <c r="HW34" i="48"/>
  <c r="HX34" i="48"/>
  <c r="HY34" i="48"/>
  <c r="HZ34" i="48"/>
  <c r="IA34" i="48"/>
  <c r="IB34" i="48"/>
  <c r="IC34" i="48"/>
  <c r="ID34" i="48"/>
  <c r="IE34" i="48"/>
  <c r="IF34" i="48"/>
  <c r="IG34" i="48"/>
  <c r="IH34" i="48"/>
  <c r="II34" i="48"/>
  <c r="IJ34" i="48"/>
  <c r="IK34" i="48"/>
  <c r="IL34" i="48"/>
  <c r="IM34" i="48"/>
  <c r="IN34" i="48"/>
  <c r="IO34" i="48"/>
  <c r="IP34" i="48"/>
  <c r="IQ34" i="48"/>
  <c r="IR34" i="48"/>
  <c r="IS34" i="48"/>
  <c r="IT34" i="48"/>
  <c r="IU34" i="48"/>
  <c r="IV34" i="48"/>
  <c r="IW34" i="48"/>
  <c r="IX34" i="48"/>
  <c r="IY34" i="48"/>
  <c r="IZ34" i="48"/>
  <c r="JA34" i="48"/>
  <c r="JB34" i="48"/>
  <c r="JC34" i="48"/>
  <c r="JD34" i="48"/>
  <c r="JE34" i="48"/>
  <c r="JF34" i="48"/>
  <c r="JG34" i="48"/>
  <c r="JH34" i="48"/>
  <c r="JI34" i="48"/>
  <c r="JJ34" i="48"/>
  <c r="JK34" i="48"/>
  <c r="JL34" i="48"/>
  <c r="JM34" i="48"/>
  <c r="JN34" i="48"/>
  <c r="JO34" i="48"/>
  <c r="JP34" i="48"/>
  <c r="JQ34" i="48"/>
  <c r="JR34" i="48"/>
  <c r="JS34" i="48"/>
  <c r="JT34" i="48"/>
  <c r="JU34" i="48"/>
  <c r="JV34" i="48"/>
  <c r="JW34" i="48"/>
  <c r="JX34" i="48"/>
  <c r="JY34" i="48"/>
  <c r="JZ34" i="48"/>
  <c r="KA34" i="48"/>
  <c r="KB34" i="48"/>
  <c r="KC34" i="48"/>
  <c r="KD34" i="48"/>
  <c r="KE34" i="48"/>
  <c r="KF34" i="48"/>
  <c r="KG34" i="48"/>
  <c r="KH34" i="48"/>
  <c r="KI34" i="48"/>
  <c r="KJ34" i="48"/>
  <c r="KK34" i="48"/>
  <c r="KL34" i="48"/>
  <c r="KM34" i="48"/>
  <c r="KN34" i="48"/>
  <c r="KO34" i="48"/>
  <c r="KP34" i="48"/>
  <c r="KQ34" i="48"/>
  <c r="KR34" i="48"/>
  <c r="KS34" i="48"/>
  <c r="KT34" i="48"/>
  <c r="KU34" i="48"/>
  <c r="KV34" i="48"/>
  <c r="KW34" i="48"/>
  <c r="KX34" i="48"/>
  <c r="KY34" i="48"/>
  <c r="KZ34" i="48"/>
  <c r="LA34" i="48"/>
  <c r="LB34" i="48"/>
  <c r="LC34" i="48"/>
  <c r="LD34" i="48"/>
  <c r="LE34" i="48"/>
  <c r="LF34" i="48"/>
  <c r="LG34" i="48"/>
  <c r="LH34" i="48"/>
  <c r="LI34" i="48"/>
  <c r="LJ34" i="48"/>
  <c r="LK34" i="48"/>
  <c r="LL34" i="48"/>
  <c r="LM34" i="48"/>
  <c r="LN34" i="48"/>
  <c r="LO34" i="48"/>
  <c r="LP34" i="48"/>
  <c r="LQ34" i="48"/>
  <c r="LR34" i="48"/>
  <c r="LS34" i="48"/>
  <c r="LT34" i="48"/>
  <c r="LU34" i="48"/>
  <c r="LV34" i="48"/>
  <c r="LW34" i="48"/>
  <c r="LX34" i="48"/>
  <c r="LY34" i="48"/>
  <c r="LZ34" i="48"/>
  <c r="MA34" i="48"/>
  <c r="MB34" i="48"/>
  <c r="MC34" i="48"/>
  <c r="MD34" i="48"/>
  <c r="ME34" i="48"/>
  <c r="MF34" i="48"/>
  <c r="MG34" i="48"/>
  <c r="MH34" i="48"/>
  <c r="MI34" i="48"/>
  <c r="MJ34" i="48"/>
  <c r="MK34" i="48"/>
  <c r="ML34" i="48"/>
  <c r="MM34" i="48"/>
  <c r="MN34" i="48"/>
  <c r="MO34" i="48"/>
  <c r="MP34" i="48"/>
  <c r="MQ34" i="48"/>
  <c r="MR34" i="48"/>
  <c r="MS34" i="48"/>
  <c r="MT34" i="48"/>
  <c r="MU34" i="48"/>
  <c r="MV34" i="48"/>
  <c r="MW34" i="48"/>
  <c r="MX34" i="48"/>
  <c r="MY34" i="48"/>
  <c r="MZ34" i="48"/>
  <c r="NA34" i="48"/>
  <c r="NB34" i="48"/>
  <c r="NC34" i="48"/>
  <c r="ND34" i="48"/>
  <c r="NE34" i="48"/>
  <c r="NF34" i="48"/>
  <c r="NG34" i="48"/>
  <c r="NH34" i="48"/>
  <c r="NI34" i="48"/>
  <c r="NJ34" i="48"/>
  <c r="NK34" i="48"/>
  <c r="NL34" i="48"/>
  <c r="NM34" i="48"/>
  <c r="NN34" i="48"/>
  <c r="NO34" i="48"/>
  <c r="NP34" i="48"/>
  <c r="NQ34" i="48"/>
  <c r="NR34" i="48"/>
  <c r="NS34" i="48"/>
  <c r="NT34" i="48"/>
  <c r="NU34" i="48"/>
  <c r="NV34" i="48"/>
  <c r="NW34" i="48"/>
  <c r="NX34" i="48"/>
  <c r="NY34" i="48"/>
  <c r="NZ34" i="48"/>
  <c r="OA34" i="48"/>
  <c r="OB34" i="48"/>
  <c r="OC34" i="48"/>
  <c r="OD34" i="48"/>
  <c r="OE34" i="48"/>
  <c r="OF34" i="48"/>
  <c r="OG34" i="48"/>
  <c r="OH34" i="48"/>
  <c r="OI34" i="48"/>
  <c r="OJ34" i="48"/>
  <c r="OK34" i="48"/>
  <c r="OL34" i="48"/>
  <c r="OM34" i="48"/>
  <c r="ON34" i="48"/>
  <c r="OO34" i="48"/>
  <c r="OP34" i="48"/>
  <c r="OQ34" i="48"/>
  <c r="OR34" i="48"/>
  <c r="OS34" i="48"/>
  <c r="OT34" i="48"/>
  <c r="OU34" i="48"/>
  <c r="OV34" i="48"/>
  <c r="OW34" i="48"/>
  <c r="OX34" i="48"/>
  <c r="OY34" i="48"/>
  <c r="OZ34" i="48"/>
  <c r="PA34" i="48"/>
  <c r="PB34" i="48"/>
  <c r="PC34" i="48"/>
  <c r="PD34" i="48"/>
  <c r="PE34" i="48"/>
  <c r="PF34" i="48"/>
  <c r="PG34" i="48"/>
  <c r="PH34" i="48"/>
  <c r="PI34" i="48"/>
  <c r="PJ34" i="48"/>
  <c r="PK34" i="48"/>
  <c r="PL34" i="48"/>
  <c r="PM34" i="48"/>
  <c r="PN34" i="48"/>
  <c r="DX35" i="48"/>
  <c r="DY35" i="48"/>
  <c r="DZ35" i="48"/>
  <c r="EA35" i="48"/>
  <c r="EB35" i="48"/>
  <c r="EC35" i="48"/>
  <c r="ED35" i="48"/>
  <c r="EE35" i="48"/>
  <c r="EF35" i="48"/>
  <c r="EG35" i="48"/>
  <c r="EH35" i="48"/>
  <c r="EI35" i="48"/>
  <c r="EJ35" i="48"/>
  <c r="EK35" i="48"/>
  <c r="EL35" i="48"/>
  <c r="EM35" i="48"/>
  <c r="EN35" i="48"/>
  <c r="EO35" i="48"/>
  <c r="EP35" i="48"/>
  <c r="EQ35" i="48"/>
  <c r="ER35" i="48"/>
  <c r="ES35" i="48"/>
  <c r="ET35" i="48"/>
  <c r="EU35" i="48"/>
  <c r="EV35" i="48"/>
  <c r="EW35" i="48"/>
  <c r="EX35" i="48"/>
  <c r="EY35" i="48"/>
  <c r="EZ35" i="48"/>
  <c r="FA35" i="48"/>
  <c r="FB35" i="48"/>
  <c r="FC35" i="48"/>
  <c r="FD35" i="48"/>
  <c r="FE35" i="48"/>
  <c r="FF35" i="48"/>
  <c r="FG35" i="48"/>
  <c r="FH35" i="48"/>
  <c r="FI35" i="48"/>
  <c r="FJ35" i="48"/>
  <c r="FK35" i="48"/>
  <c r="FL35" i="48"/>
  <c r="FM35" i="48"/>
  <c r="FN35" i="48"/>
  <c r="FO35" i="48"/>
  <c r="FP35" i="48"/>
  <c r="FQ35" i="48"/>
  <c r="FR35" i="48"/>
  <c r="FS35" i="48"/>
  <c r="FT35" i="48"/>
  <c r="FU35" i="48"/>
  <c r="FV35" i="48"/>
  <c r="FW35" i="48"/>
  <c r="FX35" i="48"/>
  <c r="FY35" i="48"/>
  <c r="FZ35" i="48"/>
  <c r="GA35" i="48"/>
  <c r="GB35" i="48"/>
  <c r="GC35" i="48"/>
  <c r="GD35" i="48"/>
  <c r="GE35" i="48"/>
  <c r="GF35" i="48"/>
  <c r="GG35" i="48"/>
  <c r="GH35" i="48"/>
  <c r="GI35" i="48"/>
  <c r="GJ35" i="48"/>
  <c r="GK35" i="48"/>
  <c r="GL35" i="48"/>
  <c r="GM35" i="48"/>
  <c r="GN35" i="48"/>
  <c r="GO35" i="48"/>
  <c r="GP35" i="48"/>
  <c r="GQ35" i="48"/>
  <c r="GR35" i="48"/>
  <c r="GS35" i="48"/>
  <c r="GT35" i="48"/>
  <c r="GU35" i="48"/>
  <c r="GV35" i="48"/>
  <c r="GW35" i="48"/>
  <c r="GX35" i="48"/>
  <c r="GY35" i="48"/>
  <c r="GZ35" i="48"/>
  <c r="HA35" i="48"/>
  <c r="HB35" i="48"/>
  <c r="HC35" i="48"/>
  <c r="HD35" i="48"/>
  <c r="HE35" i="48"/>
  <c r="HF35" i="48"/>
  <c r="HG35" i="48"/>
  <c r="HH35" i="48"/>
  <c r="HI35" i="48"/>
  <c r="HJ35" i="48"/>
  <c r="HK35" i="48"/>
  <c r="HL35" i="48"/>
  <c r="HM35" i="48"/>
  <c r="HN35" i="48"/>
  <c r="HO35" i="48"/>
  <c r="HP35" i="48"/>
  <c r="HQ35" i="48"/>
  <c r="HR35" i="48"/>
  <c r="HS35" i="48"/>
  <c r="HT35" i="48"/>
  <c r="HU35" i="48"/>
  <c r="HV35" i="48"/>
  <c r="HW35" i="48"/>
  <c r="HX35" i="48"/>
  <c r="HY35" i="48"/>
  <c r="HZ35" i="48"/>
  <c r="IA35" i="48"/>
  <c r="IB35" i="48"/>
  <c r="IC35" i="48"/>
  <c r="ID35" i="48"/>
  <c r="IE35" i="48"/>
  <c r="IF35" i="48"/>
  <c r="IG35" i="48"/>
  <c r="IH35" i="48"/>
  <c r="II35" i="48"/>
  <c r="IJ35" i="48"/>
  <c r="IK35" i="48"/>
  <c r="IL35" i="48"/>
  <c r="IM35" i="48"/>
  <c r="IN35" i="48"/>
  <c r="IO35" i="48"/>
  <c r="IP35" i="48"/>
  <c r="IQ35" i="48"/>
  <c r="IR35" i="48"/>
  <c r="IS35" i="48"/>
  <c r="IT35" i="48"/>
  <c r="IU35" i="48"/>
  <c r="IV35" i="48"/>
  <c r="IW35" i="48"/>
  <c r="IX35" i="48"/>
  <c r="IY35" i="48"/>
  <c r="IZ35" i="48"/>
  <c r="JA35" i="48"/>
  <c r="JB35" i="48"/>
  <c r="JC35" i="48"/>
  <c r="JD35" i="48"/>
  <c r="JE35" i="48"/>
  <c r="JF35" i="48"/>
  <c r="JG35" i="48"/>
  <c r="JH35" i="48"/>
  <c r="JI35" i="48"/>
  <c r="JJ35" i="48"/>
  <c r="JK35" i="48"/>
  <c r="JL35" i="48"/>
  <c r="JM35" i="48"/>
  <c r="JN35" i="48"/>
  <c r="JO35" i="48"/>
  <c r="JP35" i="48"/>
  <c r="JQ35" i="48"/>
  <c r="JR35" i="48"/>
  <c r="JS35" i="48"/>
  <c r="JT35" i="48"/>
  <c r="JU35" i="48"/>
  <c r="JV35" i="48"/>
  <c r="JW35" i="48"/>
  <c r="JX35" i="48"/>
  <c r="JY35" i="48"/>
  <c r="JZ35" i="48"/>
  <c r="KA35" i="48"/>
  <c r="KB35" i="48"/>
  <c r="KC35" i="48"/>
  <c r="KD35" i="48"/>
  <c r="KE35" i="48"/>
  <c r="KF35" i="48"/>
  <c r="KG35" i="48"/>
  <c r="KH35" i="48"/>
  <c r="KI35" i="48"/>
  <c r="KJ35" i="48"/>
  <c r="KK35" i="48"/>
  <c r="KL35" i="48"/>
  <c r="KM35" i="48"/>
  <c r="KN35" i="48"/>
  <c r="KO35" i="48"/>
  <c r="KP35" i="48"/>
  <c r="KQ35" i="48"/>
  <c r="KR35" i="48"/>
  <c r="KS35" i="48"/>
  <c r="KT35" i="48"/>
  <c r="KU35" i="48"/>
  <c r="KV35" i="48"/>
  <c r="KW35" i="48"/>
  <c r="KX35" i="48"/>
  <c r="KY35" i="48"/>
  <c r="KZ35" i="48"/>
  <c r="LA35" i="48"/>
  <c r="LB35" i="48"/>
  <c r="LC35" i="48"/>
  <c r="LD35" i="48"/>
  <c r="LE35" i="48"/>
  <c r="LF35" i="48"/>
  <c r="LG35" i="48"/>
  <c r="LH35" i="48"/>
  <c r="LI35" i="48"/>
  <c r="LJ35" i="48"/>
  <c r="LK35" i="48"/>
  <c r="LL35" i="48"/>
  <c r="LM35" i="48"/>
  <c r="LN35" i="48"/>
  <c r="LO35" i="48"/>
  <c r="LP35" i="48"/>
  <c r="LQ35" i="48"/>
  <c r="LR35" i="48"/>
  <c r="LS35" i="48"/>
  <c r="LT35" i="48"/>
  <c r="LU35" i="48"/>
  <c r="LV35" i="48"/>
  <c r="LW35" i="48"/>
  <c r="LX35" i="48"/>
  <c r="LY35" i="48"/>
  <c r="LZ35" i="48"/>
  <c r="MA35" i="48"/>
  <c r="MB35" i="48"/>
  <c r="MC35" i="48"/>
  <c r="MD35" i="48"/>
  <c r="ME35" i="48"/>
  <c r="MF35" i="48"/>
  <c r="MG35" i="48"/>
  <c r="MH35" i="48"/>
  <c r="MI35" i="48"/>
  <c r="MJ35" i="48"/>
  <c r="MK35" i="48"/>
  <c r="ML35" i="48"/>
  <c r="MM35" i="48"/>
  <c r="MN35" i="48"/>
  <c r="MO35" i="48"/>
  <c r="MP35" i="48"/>
  <c r="MQ35" i="48"/>
  <c r="MR35" i="48"/>
  <c r="MS35" i="48"/>
  <c r="MT35" i="48"/>
  <c r="MU35" i="48"/>
  <c r="MV35" i="48"/>
  <c r="MW35" i="48"/>
  <c r="MX35" i="48"/>
  <c r="MY35" i="48"/>
  <c r="MZ35" i="48"/>
  <c r="NA35" i="48"/>
  <c r="NB35" i="48"/>
  <c r="NC35" i="48"/>
  <c r="ND35" i="48"/>
  <c r="NE35" i="48"/>
  <c r="NF35" i="48"/>
  <c r="NG35" i="48"/>
  <c r="NH35" i="48"/>
  <c r="NI35" i="48"/>
  <c r="NJ35" i="48"/>
  <c r="NK35" i="48"/>
  <c r="NL35" i="48"/>
  <c r="NM35" i="48"/>
  <c r="NN35" i="48"/>
  <c r="NO35" i="48"/>
  <c r="NP35" i="48"/>
  <c r="NQ35" i="48"/>
  <c r="NR35" i="48"/>
  <c r="NS35" i="48"/>
  <c r="NT35" i="48"/>
  <c r="NU35" i="48"/>
  <c r="NV35" i="48"/>
  <c r="NW35" i="48"/>
  <c r="NX35" i="48"/>
  <c r="NY35" i="48"/>
  <c r="NZ35" i="48"/>
  <c r="OA35" i="48"/>
  <c r="OB35" i="48"/>
  <c r="OC35" i="48"/>
  <c r="OD35" i="48"/>
  <c r="OE35" i="48"/>
  <c r="OF35" i="48"/>
  <c r="OG35" i="48"/>
  <c r="OH35" i="48"/>
  <c r="OI35" i="48"/>
  <c r="OJ35" i="48"/>
  <c r="OK35" i="48"/>
  <c r="OL35" i="48"/>
  <c r="OM35" i="48"/>
  <c r="ON35" i="48"/>
  <c r="OO35" i="48"/>
  <c r="OP35" i="48"/>
  <c r="OQ35" i="48"/>
  <c r="OR35" i="48"/>
  <c r="OS35" i="48"/>
  <c r="OT35" i="48"/>
  <c r="OU35" i="48"/>
  <c r="OV35" i="48"/>
  <c r="OW35" i="48"/>
  <c r="OX35" i="48"/>
  <c r="OY35" i="48"/>
  <c r="OZ35" i="48"/>
  <c r="PA35" i="48"/>
  <c r="PB35" i="48"/>
  <c r="PC35" i="48"/>
  <c r="PD35" i="48"/>
  <c r="PE35" i="48"/>
  <c r="PF35" i="48"/>
  <c r="PG35" i="48"/>
  <c r="PH35" i="48"/>
  <c r="PI35" i="48"/>
  <c r="PJ35" i="48"/>
  <c r="PK35" i="48"/>
  <c r="PL35" i="48"/>
  <c r="PM35" i="48"/>
  <c r="PN35" i="48"/>
  <c r="PL9" i="48"/>
  <c r="PK9" i="48"/>
  <c r="PJ9" i="48"/>
  <c r="PI9" i="48"/>
  <c r="PH9" i="48"/>
  <c r="PG9" i="48"/>
  <c r="PF9" i="48"/>
  <c r="PE9" i="48"/>
  <c r="PD9" i="48"/>
  <c r="PC9" i="48"/>
  <c r="PB9" i="48"/>
  <c r="PA9" i="48"/>
  <c r="OZ9" i="48"/>
  <c r="OY9" i="48"/>
  <c r="OX9" i="48"/>
  <c r="OW9" i="48"/>
  <c r="OV9" i="48"/>
  <c r="OU9" i="48"/>
  <c r="OT9" i="48"/>
  <c r="OS9" i="48"/>
  <c r="OR9" i="48"/>
  <c r="OQ9" i="48"/>
  <c r="OP9" i="48"/>
  <c r="OO9" i="48"/>
  <c r="ON9" i="48"/>
  <c r="OM9" i="48"/>
  <c r="OL9" i="48"/>
  <c r="OK9" i="48"/>
  <c r="OJ9" i="48"/>
  <c r="OI9" i="48"/>
  <c r="NF9" i="48"/>
  <c r="JO9" i="48"/>
  <c r="JN9" i="48"/>
  <c r="JM9" i="48"/>
  <c r="JL9" i="48"/>
  <c r="JK9" i="48"/>
  <c r="JJ9" i="48"/>
  <c r="JI9" i="48"/>
  <c r="JH9" i="48"/>
  <c r="JG9" i="48"/>
  <c r="JF9" i="48"/>
  <c r="JE9" i="48"/>
  <c r="JD9" i="48"/>
  <c r="JC9" i="48"/>
  <c r="JB9" i="48"/>
  <c r="JA9" i="48"/>
  <c r="IZ9" i="48"/>
  <c r="IY9" i="48"/>
  <c r="IX9" i="48"/>
  <c r="IW9" i="48"/>
  <c r="IV9" i="48"/>
  <c r="IU9" i="48"/>
  <c r="IT9" i="48"/>
  <c r="IS9" i="48"/>
  <c r="IR9" i="48"/>
  <c r="IQ9" i="48"/>
  <c r="IP9" i="48"/>
  <c r="IO9" i="48"/>
  <c r="IN9" i="48"/>
  <c r="IM9" i="48"/>
  <c r="IL9" i="48"/>
  <c r="HF9" i="48"/>
  <c r="HE9" i="48"/>
  <c r="HD9" i="48"/>
  <c r="HC9" i="48"/>
  <c r="HB9" i="48"/>
  <c r="HA9" i="48"/>
  <c r="GZ9" i="48"/>
  <c r="GY9" i="48"/>
  <c r="GX9" i="48"/>
  <c r="GW9" i="48"/>
  <c r="GV9" i="48"/>
  <c r="GU9" i="48"/>
  <c r="GT9" i="48"/>
  <c r="GS9" i="48"/>
  <c r="GR9" i="48"/>
  <c r="GQ9" i="48"/>
  <c r="GP9" i="48"/>
  <c r="GO9" i="48"/>
  <c r="GN9" i="48"/>
  <c r="GM9" i="48"/>
  <c r="GL9" i="48"/>
  <c r="GK9" i="48"/>
  <c r="GJ9" i="48"/>
  <c r="GI9" i="48"/>
  <c r="GH9" i="48"/>
  <c r="GG9" i="48"/>
  <c r="GF9" i="48"/>
  <c r="GE9" i="48"/>
  <c r="GD9" i="48"/>
  <c r="EY9" i="48"/>
  <c r="EX9" i="48"/>
  <c r="PL8" i="48"/>
  <c r="PK8" i="48"/>
  <c r="PJ8" i="48"/>
  <c r="PI8" i="48"/>
  <c r="PH8" i="48"/>
  <c r="PG8" i="48"/>
  <c r="PF8" i="48"/>
  <c r="PE8" i="48"/>
  <c r="PD8" i="48"/>
  <c r="PC8" i="48"/>
  <c r="PB8" i="48"/>
  <c r="PA8" i="48"/>
  <c r="OZ8" i="48"/>
  <c r="OY8" i="48"/>
  <c r="OX8" i="48"/>
  <c r="OW8" i="48"/>
  <c r="OV8" i="48"/>
  <c r="OU8" i="48"/>
  <c r="OT8" i="48"/>
  <c r="OS8" i="48"/>
  <c r="OR8" i="48"/>
  <c r="OQ8" i="48"/>
  <c r="OP8" i="48"/>
  <c r="OO8" i="48"/>
  <c r="ON8" i="48"/>
  <c r="OM8" i="48"/>
  <c r="OL8" i="48"/>
  <c r="OK8" i="48"/>
  <c r="OJ8" i="48"/>
  <c r="OI8" i="48"/>
  <c r="NF8" i="48"/>
  <c r="PJ7" i="48"/>
  <c r="PI7" i="48"/>
  <c r="PH7" i="48"/>
  <c r="PG7" i="48"/>
  <c r="PF7" i="48"/>
  <c r="PE7" i="48"/>
  <c r="PD7" i="48"/>
  <c r="PC7" i="48"/>
  <c r="PB7" i="48"/>
  <c r="PA7" i="48"/>
  <c r="OZ7" i="48"/>
  <c r="OY7" i="48"/>
  <c r="OX7" i="48"/>
  <c r="OW7" i="48"/>
  <c r="OV7" i="48"/>
  <c r="OU7" i="48"/>
  <c r="OT7" i="48"/>
  <c r="OS7" i="48"/>
  <c r="OR7" i="48"/>
  <c r="OQ7" i="48"/>
  <c r="OP7" i="48"/>
  <c r="OO7" i="48"/>
  <c r="ON7" i="48"/>
  <c r="OM7" i="48"/>
  <c r="OL7" i="48"/>
  <c r="OK7" i="48"/>
  <c r="OJ7" i="48"/>
  <c r="OI7" i="48"/>
  <c r="IL7" i="48"/>
  <c r="IM7" i="48" s="1"/>
  <c r="PL6" i="48"/>
  <c r="PK6" i="48"/>
  <c r="PJ6" i="48"/>
  <c r="PI6" i="48"/>
  <c r="PH6" i="48"/>
  <c r="PG6" i="48"/>
  <c r="PF6" i="48"/>
  <c r="PE6" i="48"/>
  <c r="PD6" i="48"/>
  <c r="PC6" i="48"/>
  <c r="PB6" i="48"/>
  <c r="PA6" i="48"/>
  <c r="OZ6" i="48"/>
  <c r="OY6" i="48"/>
  <c r="OX6" i="48"/>
  <c r="OW6" i="48"/>
  <c r="OV6" i="48"/>
  <c r="OU6" i="48"/>
  <c r="OT6" i="48"/>
  <c r="OS6" i="48"/>
  <c r="OR6" i="48"/>
  <c r="OQ6" i="48"/>
  <c r="OP6" i="48"/>
  <c r="OO6" i="48"/>
  <c r="ON6" i="48"/>
  <c r="OM6" i="48"/>
  <c r="OL6" i="48"/>
  <c r="OK6" i="48"/>
  <c r="OJ6" i="48"/>
  <c r="OI6" i="48"/>
  <c r="NF6" i="48"/>
  <c r="JO6" i="48"/>
  <c r="JN6" i="48"/>
  <c r="JM6" i="48"/>
  <c r="JL6" i="48"/>
  <c r="JK6" i="48"/>
  <c r="JJ6" i="48"/>
  <c r="JI6" i="48"/>
  <c r="JH6" i="48"/>
  <c r="JH5" i="48" s="1"/>
  <c r="JH8" i="48" s="1"/>
  <c r="JG6" i="48"/>
  <c r="JF6" i="48"/>
  <c r="JE6" i="48"/>
  <c r="JD6" i="48"/>
  <c r="JC6" i="48"/>
  <c r="JB6" i="48"/>
  <c r="JA6" i="48"/>
  <c r="IZ6" i="48"/>
  <c r="IY6" i="48"/>
  <c r="IX6" i="48"/>
  <c r="IW6" i="48"/>
  <c r="IV6" i="48"/>
  <c r="IU6" i="48"/>
  <c r="IT6" i="48"/>
  <c r="IS6" i="48"/>
  <c r="IU5" i="48" s="1"/>
  <c r="IR6" i="48"/>
  <c r="IQ6" i="48"/>
  <c r="IP6" i="48"/>
  <c r="IO6" i="48"/>
  <c r="IN6" i="48"/>
  <c r="IM6" i="48"/>
  <c r="IL6" i="48"/>
  <c r="HF6" i="48"/>
  <c r="HE6" i="48"/>
  <c r="HD6" i="48"/>
  <c r="HC6" i="48"/>
  <c r="HB6" i="48"/>
  <c r="HA6" i="48"/>
  <c r="GZ6" i="48"/>
  <c r="GY6" i="48"/>
  <c r="GX6" i="48"/>
  <c r="GW6" i="48"/>
  <c r="GV6" i="48"/>
  <c r="GU6" i="48"/>
  <c r="GT6" i="48"/>
  <c r="GS6" i="48"/>
  <c r="GR6" i="48"/>
  <c r="GQ6" i="48"/>
  <c r="GP6" i="48"/>
  <c r="GO6" i="48"/>
  <c r="GN6" i="48"/>
  <c r="GM6" i="48"/>
  <c r="GL6" i="48"/>
  <c r="GK6" i="48"/>
  <c r="GJ6" i="48"/>
  <c r="GI6" i="48"/>
  <c r="GH6" i="48"/>
  <c r="GG6" i="48"/>
  <c r="GF6" i="48"/>
  <c r="GE6" i="48"/>
  <c r="GD6" i="48"/>
  <c r="EY6" i="48"/>
  <c r="EX6" i="48"/>
  <c r="PJ5" i="48"/>
  <c r="PI5" i="48"/>
  <c r="PH5" i="48"/>
  <c r="PG5" i="48"/>
  <c r="PF5" i="48"/>
  <c r="PE5" i="48"/>
  <c r="PD5" i="48"/>
  <c r="PC5" i="48"/>
  <c r="PB5" i="48"/>
  <c r="PA5" i="48"/>
  <c r="OZ5" i="48"/>
  <c r="OY5" i="48"/>
  <c r="OX5" i="48"/>
  <c r="OW5" i="48"/>
  <c r="OV5" i="48"/>
  <c r="OU5" i="48"/>
  <c r="OT5" i="48"/>
  <c r="OS5" i="48"/>
  <c r="OR5" i="48"/>
  <c r="OQ5" i="48"/>
  <c r="OP5" i="48"/>
  <c r="OO5" i="48"/>
  <c r="ON5" i="48"/>
  <c r="OM5" i="48"/>
  <c r="OL5" i="48"/>
  <c r="OK5" i="48"/>
  <c r="OJ5" i="48"/>
  <c r="OI5" i="48"/>
  <c r="D15" i="44"/>
  <c r="D5" i="44"/>
  <c r="JG5" i="48" l="1"/>
  <c r="KU4" i="48"/>
  <c r="MH4" i="48"/>
  <c r="LL4" i="48"/>
  <c r="NC4" i="48"/>
  <c r="MF4" i="48"/>
  <c r="JY4" i="48"/>
  <c r="KS4" i="48"/>
  <c r="JV4" i="48"/>
  <c r="KZ4" i="48"/>
  <c r="LN4" i="48"/>
  <c r="MT4" i="48"/>
  <c r="MK4" i="48"/>
  <c r="LX4" i="48"/>
  <c r="LT4" i="48"/>
  <c r="MM4" i="48"/>
  <c r="MV4" i="48"/>
  <c r="JW4" i="48"/>
  <c r="KG4" i="48"/>
  <c r="MY4" i="48"/>
  <c r="MA4" i="48"/>
  <c r="LO4" i="48"/>
  <c r="LI4" i="48"/>
  <c r="KC4" i="48"/>
  <c r="KK4" i="48"/>
  <c r="JZ4" i="48"/>
  <c r="MB4" i="48"/>
  <c r="LZ4" i="48"/>
  <c r="MQ4" i="48"/>
  <c r="LU4" i="48"/>
  <c r="KJ4" i="48"/>
  <c r="MN4" i="48"/>
  <c r="LF4" i="48"/>
  <c r="KY4" i="48"/>
  <c r="KV4" i="48"/>
  <c r="LV4" i="48"/>
  <c r="JX4" i="48"/>
  <c r="KL4" i="48"/>
  <c r="KR4" i="48"/>
  <c r="KO4" i="48"/>
  <c r="MZ4" i="48"/>
  <c r="LR4" i="48"/>
  <c r="LK4" i="48"/>
  <c r="ME4" i="48"/>
  <c r="MO4" i="48"/>
  <c r="LJ4" i="48"/>
  <c r="KM4" i="48"/>
  <c r="KF4" i="48"/>
  <c r="MW4" i="48"/>
  <c r="MC4" i="48"/>
  <c r="LW4" i="48"/>
  <c r="MS4" i="48"/>
  <c r="MG4" i="48"/>
  <c r="LY4" i="48"/>
  <c r="KT4" i="48"/>
  <c r="JT4" i="48"/>
  <c r="MJ4" i="48"/>
  <c r="LA4" i="48"/>
  <c r="NB4" i="48"/>
  <c r="KW4" i="48"/>
  <c r="MP4" i="48"/>
  <c r="KH4" i="48"/>
  <c r="KP4" i="48"/>
  <c r="LS4" i="48"/>
  <c r="MX4" i="48"/>
  <c r="ML4" i="48"/>
  <c r="LM4" i="48"/>
  <c r="LP4" i="48"/>
  <c r="LD4" i="48"/>
  <c r="KN4" i="48"/>
  <c r="KD4" i="48"/>
  <c r="KX4" i="48"/>
  <c r="LE4" i="48"/>
  <c r="NA4" i="48"/>
  <c r="MD4" i="48"/>
  <c r="LB4" i="48"/>
  <c r="KB4" i="48"/>
  <c r="JU4" i="48"/>
  <c r="LH4" i="48"/>
  <c r="LQ4" i="48"/>
  <c r="LG4" i="48"/>
  <c r="MR4" i="48"/>
  <c r="LC4" i="48"/>
  <c r="MI4" i="48"/>
  <c r="MU4" i="48"/>
  <c r="KA4" i="48"/>
  <c r="KI4" i="48"/>
  <c r="KQ4" i="48"/>
  <c r="KE4" i="48"/>
  <c r="JI5" i="48"/>
  <c r="JI46" i="48" s="1"/>
  <c r="JL15" i="44" s="1"/>
  <c r="JP4" i="48"/>
  <c r="JS4" i="48"/>
  <c r="JR4" i="48"/>
  <c r="JQ4" i="48"/>
  <c r="JO5" i="48"/>
  <c r="JO8" i="48" s="1"/>
  <c r="JN5" i="48"/>
  <c r="JN47" i="48" s="1"/>
  <c r="JQ16" i="44" s="1"/>
  <c r="JK5" i="48"/>
  <c r="JN4" i="48"/>
  <c r="JO4" i="48"/>
  <c r="JN36" i="48"/>
  <c r="JN37" i="48"/>
  <c r="JO37" i="48"/>
  <c r="JO36" i="48"/>
  <c r="JO44" i="48"/>
  <c r="JR8" i="44" s="1"/>
  <c r="JK40" i="48"/>
  <c r="JN4" i="44" s="1"/>
  <c r="JK44" i="48"/>
  <c r="JN8" i="44" s="1"/>
  <c r="JK48" i="48"/>
  <c r="JN17" i="44" s="1"/>
  <c r="JK49" i="48"/>
  <c r="JK41" i="48"/>
  <c r="JN5" i="44" s="1"/>
  <c r="JK45" i="48"/>
  <c r="JN14" i="44" s="1"/>
  <c r="JK43" i="48"/>
  <c r="JN7" i="44" s="1"/>
  <c r="JK47" i="48"/>
  <c r="JN16" i="44" s="1"/>
  <c r="JK42" i="48"/>
  <c r="JN6" i="44" s="1"/>
  <c r="JK46" i="48"/>
  <c r="JN15" i="44" s="1"/>
  <c r="JK50" i="48"/>
  <c r="JN19" i="44" s="1"/>
  <c r="JN12" i="44"/>
  <c r="JN21" i="44"/>
  <c r="JK8" i="48"/>
  <c r="JI37" i="48"/>
  <c r="JI36" i="48"/>
  <c r="JJ5" i="48"/>
  <c r="JJ36" i="48"/>
  <c r="JJ37" i="48"/>
  <c r="JI50" i="48"/>
  <c r="JL19" i="44" s="1"/>
  <c r="JK36" i="48"/>
  <c r="JK37" i="48"/>
  <c r="JM5" i="48"/>
  <c r="JL36" i="48"/>
  <c r="JL37" i="48"/>
  <c r="JM36" i="48"/>
  <c r="JM37" i="48"/>
  <c r="JI8" i="48"/>
  <c r="JL5" i="48"/>
  <c r="JH41" i="48"/>
  <c r="JK5" i="44" s="1"/>
  <c r="JH45" i="48"/>
  <c r="JK14" i="44" s="1"/>
  <c r="JH42" i="48"/>
  <c r="JK6" i="44" s="1"/>
  <c r="JH46" i="48"/>
  <c r="JK15" i="44" s="1"/>
  <c r="JH49" i="48"/>
  <c r="JH43" i="48"/>
  <c r="JK7" i="44" s="1"/>
  <c r="JH47" i="48"/>
  <c r="JK16" i="44" s="1"/>
  <c r="JH50" i="48"/>
  <c r="JK19" i="44" s="1"/>
  <c r="JH40" i="48"/>
  <c r="JK4" i="44" s="1"/>
  <c r="JH44" i="48"/>
  <c r="JK8" i="44" s="1"/>
  <c r="JH48" i="48"/>
  <c r="JK17" i="44" s="1"/>
  <c r="JK21" i="44"/>
  <c r="JK12" i="44"/>
  <c r="JH37" i="48"/>
  <c r="JK4" i="48"/>
  <c r="JM4" i="48"/>
  <c r="JL4" i="48"/>
  <c r="JH4" i="48"/>
  <c r="JH36" i="48"/>
  <c r="JI4" i="48"/>
  <c r="JJ4" i="48"/>
  <c r="JG43" i="48"/>
  <c r="JJ7" i="44" s="1"/>
  <c r="JG46" i="48"/>
  <c r="JJ15" i="44" s="1"/>
  <c r="JG50" i="48"/>
  <c r="JJ19" i="44" s="1"/>
  <c r="JG41" i="48"/>
  <c r="JJ5" i="44" s="1"/>
  <c r="JG44" i="48"/>
  <c r="JJ8" i="44" s="1"/>
  <c r="JG47" i="48"/>
  <c r="JJ16" i="44" s="1"/>
  <c r="JG42" i="48"/>
  <c r="JJ6" i="44" s="1"/>
  <c r="JG45" i="48"/>
  <c r="JJ14" i="44" s="1"/>
  <c r="JG49" i="48"/>
  <c r="JG40" i="48"/>
  <c r="JJ4" i="44" s="1"/>
  <c r="JG48" i="48"/>
  <c r="JJ17" i="44" s="1"/>
  <c r="JJ12" i="44"/>
  <c r="JJ21" i="44"/>
  <c r="JG36" i="48"/>
  <c r="JG4" i="48"/>
  <c r="JG37" i="48"/>
  <c r="JG8" i="48"/>
  <c r="IZ5" i="48"/>
  <c r="IZ8" i="48" s="1"/>
  <c r="IY5" i="48"/>
  <c r="IY48" i="48" s="1"/>
  <c r="JB17" i="44" s="1"/>
  <c r="JC5" i="48"/>
  <c r="JC40" i="48" s="1"/>
  <c r="JF4" i="44" s="1"/>
  <c r="JB5" i="48"/>
  <c r="JB36" i="48"/>
  <c r="JB37" i="48"/>
  <c r="JC36" i="48"/>
  <c r="JC37" i="48"/>
  <c r="IZ37" i="48"/>
  <c r="JD4" i="48"/>
  <c r="JE4" i="48"/>
  <c r="JF4" i="48"/>
  <c r="IZ4" i="48"/>
  <c r="JA4" i="48"/>
  <c r="JB4" i="48"/>
  <c r="JC4" i="48"/>
  <c r="IZ36" i="48"/>
  <c r="JD5" i="48"/>
  <c r="JD36" i="48"/>
  <c r="JD37" i="48"/>
  <c r="JA5" i="48"/>
  <c r="JE5" i="48"/>
  <c r="JE36" i="48"/>
  <c r="JE37" i="48"/>
  <c r="JA37" i="48"/>
  <c r="JA36" i="48"/>
  <c r="JF5" i="48"/>
  <c r="JF36" i="48"/>
  <c r="JF37" i="48"/>
  <c r="IZ41" i="48"/>
  <c r="JC5" i="44" s="1"/>
  <c r="IZ45" i="48"/>
  <c r="JC14" i="44" s="1"/>
  <c r="IZ42" i="48"/>
  <c r="JC6" i="44" s="1"/>
  <c r="IZ46" i="48"/>
  <c r="JC15" i="44" s="1"/>
  <c r="IZ49" i="48"/>
  <c r="IZ43" i="48"/>
  <c r="JC7" i="44" s="1"/>
  <c r="IZ47" i="48"/>
  <c r="JC16" i="44" s="1"/>
  <c r="IZ50" i="48"/>
  <c r="JC19" i="44" s="1"/>
  <c r="IZ40" i="48"/>
  <c r="JC4" i="44" s="1"/>
  <c r="IZ44" i="48"/>
  <c r="JC8" i="44" s="1"/>
  <c r="IZ48" i="48"/>
  <c r="JC17" i="44" s="1"/>
  <c r="JC12" i="44"/>
  <c r="JC21" i="44"/>
  <c r="IY50" i="48"/>
  <c r="JB19" i="44" s="1"/>
  <c r="IY40" i="48"/>
  <c r="JB4" i="44" s="1"/>
  <c r="IY37" i="48"/>
  <c r="IY36" i="48"/>
  <c r="IY4" i="48"/>
  <c r="IX5" i="48"/>
  <c r="IS5" i="48"/>
  <c r="IT5" i="48"/>
  <c r="IX46" i="48"/>
  <c r="JA15" i="44" s="1"/>
  <c r="IX47" i="48"/>
  <c r="JA16" i="44" s="1"/>
  <c r="IX40" i="48"/>
  <c r="JA4" i="44" s="1"/>
  <c r="IX48" i="48"/>
  <c r="JA17" i="44" s="1"/>
  <c r="IX41" i="48"/>
  <c r="JA5" i="44" s="1"/>
  <c r="IX49" i="48"/>
  <c r="IX42" i="48"/>
  <c r="JA6" i="44" s="1"/>
  <c r="IX50" i="48"/>
  <c r="JA19" i="44" s="1"/>
  <c r="IX45" i="48"/>
  <c r="JA14" i="44" s="1"/>
  <c r="IX43" i="48"/>
  <c r="JA7" i="44" s="1"/>
  <c r="IX44" i="48"/>
  <c r="JA8" i="44" s="1"/>
  <c r="JA21" i="44"/>
  <c r="JA12" i="44"/>
  <c r="IU41" i="48"/>
  <c r="IX5" i="44" s="1"/>
  <c r="IU49" i="48"/>
  <c r="IU40" i="48"/>
  <c r="IX4" i="44" s="1"/>
  <c r="IU42" i="48"/>
  <c r="IX6" i="44" s="1"/>
  <c r="IU50" i="48"/>
  <c r="IX19" i="44" s="1"/>
  <c r="IU43" i="48"/>
  <c r="IX7" i="44" s="1"/>
  <c r="IU44" i="48"/>
  <c r="IX8" i="44" s="1"/>
  <c r="IU45" i="48"/>
  <c r="IX14" i="44" s="1"/>
  <c r="IU46" i="48"/>
  <c r="IX15" i="44" s="1"/>
  <c r="IU47" i="48"/>
  <c r="IX16" i="44" s="1"/>
  <c r="IU48" i="48"/>
  <c r="IX17" i="44" s="1"/>
  <c r="IX12" i="44"/>
  <c r="IX21" i="44"/>
  <c r="IX26" i="44" s="1"/>
  <c r="IV5" i="48"/>
  <c r="IV36" i="48"/>
  <c r="IV37" i="48"/>
  <c r="IU36" i="48"/>
  <c r="IU37" i="48"/>
  <c r="IW5" i="48"/>
  <c r="IW36" i="48"/>
  <c r="IW37" i="48"/>
  <c r="IX36" i="48"/>
  <c r="IX37" i="48"/>
  <c r="IS43" i="48"/>
  <c r="IV7" i="44" s="1"/>
  <c r="IS44" i="48"/>
  <c r="IV8" i="44" s="1"/>
  <c r="IS45" i="48"/>
  <c r="IV14" i="44" s="1"/>
  <c r="IS42" i="48"/>
  <c r="IV6" i="44" s="1"/>
  <c r="IS46" i="48"/>
  <c r="IV15" i="44" s="1"/>
  <c r="IS47" i="48"/>
  <c r="IV16" i="44" s="1"/>
  <c r="IS40" i="48"/>
  <c r="IV4" i="44" s="1"/>
  <c r="IS48" i="48"/>
  <c r="IV17" i="44" s="1"/>
  <c r="IS50" i="48"/>
  <c r="IV19" i="44" s="1"/>
  <c r="IS41" i="48"/>
  <c r="IV5" i="44" s="1"/>
  <c r="IS49" i="48"/>
  <c r="IV12" i="44"/>
  <c r="IV21" i="44"/>
  <c r="IV26" i="44" s="1"/>
  <c r="IS36" i="48"/>
  <c r="IS37" i="48"/>
  <c r="IS4" i="48"/>
  <c r="IT4" i="48"/>
  <c r="IW4" i="48"/>
  <c r="IX4" i="48"/>
  <c r="IU4" i="48"/>
  <c r="IV4" i="48"/>
  <c r="IT42" i="48"/>
  <c r="IW6" i="44" s="1"/>
  <c r="IT50" i="48"/>
  <c r="IW19" i="44" s="1"/>
  <c r="IT49" i="48"/>
  <c r="IT43" i="48"/>
  <c r="IW7" i="44" s="1"/>
  <c r="IT44" i="48"/>
  <c r="IW8" i="44" s="1"/>
  <c r="IT45" i="48"/>
  <c r="IW14" i="44" s="1"/>
  <c r="IT41" i="48"/>
  <c r="IW5" i="44" s="1"/>
  <c r="IT46" i="48"/>
  <c r="IW15" i="44" s="1"/>
  <c r="IT47" i="48"/>
  <c r="IW16" i="44" s="1"/>
  <c r="IT40" i="48"/>
  <c r="IW4" i="44" s="1"/>
  <c r="IT48" i="48"/>
  <c r="IW17" i="44" s="1"/>
  <c r="IW21" i="44"/>
  <c r="IW12" i="44"/>
  <c r="IT36" i="48"/>
  <c r="IT37" i="48"/>
  <c r="IN5" i="48"/>
  <c r="IN43" i="48" s="1"/>
  <c r="IQ7" i="44" s="1"/>
  <c r="IM5" i="48"/>
  <c r="IM8" i="48" s="1"/>
  <c r="IO5" i="48"/>
  <c r="IO46" i="48" s="1"/>
  <c r="IR15" i="44" s="1"/>
  <c r="IO36" i="48"/>
  <c r="IO37" i="48"/>
  <c r="IP36" i="48"/>
  <c r="IP37" i="48"/>
  <c r="IQ5" i="48"/>
  <c r="IQ36" i="48"/>
  <c r="IQ37" i="48"/>
  <c r="IN7" i="48"/>
  <c r="IO49" i="48"/>
  <c r="IP5" i="48"/>
  <c r="IM4" i="48"/>
  <c r="IN4" i="48"/>
  <c r="IQ4" i="48"/>
  <c r="IL36" i="48"/>
  <c r="IL37" i="48"/>
  <c r="IO4" i="48"/>
  <c r="IP4" i="48"/>
  <c r="IL4" i="48"/>
  <c r="IR4" i="48"/>
  <c r="IM42" i="48"/>
  <c r="IP6" i="44" s="1"/>
  <c r="IM48" i="48"/>
  <c r="IP17" i="44" s="1"/>
  <c r="IP21" i="44"/>
  <c r="IM36" i="48"/>
  <c r="IM37" i="48"/>
  <c r="IR5" i="48"/>
  <c r="IR36" i="48"/>
  <c r="IR37" i="48"/>
  <c r="IN42" i="48"/>
  <c r="IQ6" i="44" s="1"/>
  <c r="IQ12" i="44"/>
  <c r="IN36" i="48"/>
  <c r="IN37" i="48"/>
  <c r="HF5" i="48"/>
  <c r="HC5" i="48"/>
  <c r="HC37" i="48"/>
  <c r="HC36" i="48"/>
  <c r="HE5" i="48"/>
  <c r="HD5" i="48"/>
  <c r="HD37" i="48"/>
  <c r="HD36" i="48"/>
  <c r="HE37" i="48"/>
  <c r="HE36" i="48"/>
  <c r="HF37" i="48"/>
  <c r="HF36" i="48"/>
  <c r="HB36" i="48"/>
  <c r="HB37" i="48"/>
  <c r="HB5" i="48"/>
  <c r="GZ36" i="48"/>
  <c r="GZ37" i="48"/>
  <c r="GX5" i="48"/>
  <c r="GY5" i="48"/>
  <c r="GU5" i="48"/>
  <c r="GV5" i="48"/>
  <c r="GZ5" i="48"/>
  <c r="HA5" i="48"/>
  <c r="GW5" i="48"/>
  <c r="GV37" i="48"/>
  <c r="GV36" i="48"/>
  <c r="HA36" i="48"/>
  <c r="HA37" i="48"/>
  <c r="GU36" i="48"/>
  <c r="GU37" i="48"/>
  <c r="GW37" i="48"/>
  <c r="GW36" i="48"/>
  <c r="GX37" i="48"/>
  <c r="GX36" i="48"/>
  <c r="GY36" i="48"/>
  <c r="GY37" i="48"/>
  <c r="GO36" i="48"/>
  <c r="GO37" i="48"/>
  <c r="GP36" i="48"/>
  <c r="GP37" i="48"/>
  <c r="GQ36" i="48"/>
  <c r="GQ37" i="48"/>
  <c r="GR36" i="48"/>
  <c r="GR37" i="48"/>
  <c r="GS36" i="48"/>
  <c r="GS37" i="48"/>
  <c r="GT5" i="48"/>
  <c r="GO5" i="48"/>
  <c r="GS5" i="48"/>
  <c r="GP5" i="48"/>
  <c r="GR5" i="48"/>
  <c r="GQ5" i="48"/>
  <c r="GT36" i="48"/>
  <c r="GT37" i="48"/>
  <c r="GN5" i="48"/>
  <c r="GN37" i="48"/>
  <c r="GN36" i="48"/>
  <c r="GH36" i="48"/>
  <c r="GH37" i="48"/>
  <c r="GJ36" i="48"/>
  <c r="GJ37" i="48"/>
  <c r="GG36" i="48"/>
  <c r="GL5" i="48"/>
  <c r="GG5" i="48"/>
  <c r="GI5" i="48"/>
  <c r="GG37" i="48"/>
  <c r="GM5" i="48"/>
  <c r="GJ5" i="48"/>
  <c r="GH5" i="48"/>
  <c r="GK5" i="48"/>
  <c r="GK36" i="48"/>
  <c r="GK37" i="48"/>
  <c r="GL36" i="48"/>
  <c r="GL37" i="48"/>
  <c r="GI36" i="48"/>
  <c r="GI37" i="48"/>
  <c r="GM36" i="48"/>
  <c r="GM37" i="48"/>
  <c r="GA5" i="48"/>
  <c r="GF37" i="48"/>
  <c r="GF36" i="48"/>
  <c r="GD37" i="48"/>
  <c r="GD36" i="48"/>
  <c r="GE5" i="48"/>
  <c r="GF5" i="48"/>
  <c r="GD5" i="48"/>
  <c r="GE37" i="48"/>
  <c r="GE36" i="48"/>
  <c r="FZ5" i="48"/>
  <c r="FY5" i="48"/>
  <c r="GB12" i="44" s="1"/>
  <c r="G23" i="44"/>
  <c r="NY9" i="44"/>
  <c r="NY23" i="44" s="1"/>
  <c r="KG9" i="44"/>
  <c r="NL9" i="44"/>
  <c r="NL23" i="44" s="1"/>
  <c r="KF9" i="44"/>
  <c r="OU9" i="44"/>
  <c r="OU23" i="44" s="1"/>
  <c r="MY9" i="44"/>
  <c r="II9" i="44"/>
  <c r="OT9" i="44"/>
  <c r="OT23" i="44" s="1"/>
  <c r="OH9" i="44"/>
  <c r="OH23" i="44" s="1"/>
  <c r="NV9" i="44"/>
  <c r="NV23" i="44" s="1"/>
  <c r="NJ9" i="44"/>
  <c r="NJ23" i="44" s="1"/>
  <c r="MX9" i="44"/>
  <c r="ML9" i="44"/>
  <c r="LN9" i="44"/>
  <c r="KP9" i="44"/>
  <c r="KD9" i="44"/>
  <c r="IH9" i="44"/>
  <c r="HV9" i="44"/>
  <c r="LP9" i="44"/>
  <c r="OS9" i="44"/>
  <c r="OS23" i="44" s="1"/>
  <c r="OG9" i="44"/>
  <c r="OG23" i="44" s="1"/>
  <c r="NU9" i="44"/>
  <c r="NU23" i="44" s="1"/>
  <c r="NI9" i="44"/>
  <c r="NI23" i="44" s="1"/>
  <c r="MW9" i="44"/>
  <c r="MK9" i="44"/>
  <c r="LY9" i="44"/>
  <c r="LM9" i="44"/>
  <c r="KO9" i="44"/>
  <c r="IG9" i="44"/>
  <c r="HU9" i="44"/>
  <c r="NA9" i="44"/>
  <c r="IJ9" i="44"/>
  <c r="NW9" i="44"/>
  <c r="NW23" i="44" s="1"/>
  <c r="LO9" i="44"/>
  <c r="OR9" i="44"/>
  <c r="OR23" i="44" s="1"/>
  <c r="OF9" i="44"/>
  <c r="OF23" i="44" s="1"/>
  <c r="NT9" i="44"/>
  <c r="NT23" i="44" s="1"/>
  <c r="NH9" i="44"/>
  <c r="NH23" i="44" s="1"/>
  <c r="MV9" i="44"/>
  <c r="MJ9" i="44"/>
  <c r="LX9" i="44"/>
  <c r="KN9" i="44"/>
  <c r="KB9" i="44"/>
  <c r="HT9" i="44"/>
  <c r="NM9" i="44"/>
  <c r="NM23" i="44" s="1"/>
  <c r="NX9" i="44"/>
  <c r="NX23" i="44" s="1"/>
  <c r="OQ9" i="44"/>
  <c r="OQ23" i="44" s="1"/>
  <c r="OE9" i="44"/>
  <c r="OE23" i="44" s="1"/>
  <c r="NS9" i="44"/>
  <c r="NS23" i="44" s="1"/>
  <c r="MI9" i="44"/>
  <c r="LW9" i="44"/>
  <c r="LK9" i="44"/>
  <c r="KM9" i="44"/>
  <c r="KA9" i="44"/>
  <c r="IE9" i="44"/>
  <c r="HS9" i="44"/>
  <c r="LQ9" i="44"/>
  <c r="OJ9" i="44"/>
  <c r="OJ23" i="44" s="1"/>
  <c r="KR9" i="44"/>
  <c r="OP9" i="44"/>
  <c r="OP23" i="44" s="1"/>
  <c r="OD9" i="44"/>
  <c r="OD23" i="44" s="1"/>
  <c r="NR9" i="44"/>
  <c r="NR23" i="44" s="1"/>
  <c r="NF9" i="44"/>
  <c r="MT9" i="44"/>
  <c r="MH9" i="44"/>
  <c r="LV9" i="44"/>
  <c r="LJ9" i="44"/>
  <c r="KL9" i="44"/>
  <c r="JZ9" i="44"/>
  <c r="ID9" i="44"/>
  <c r="OW23" i="44"/>
  <c r="OW9" i="44"/>
  <c r="KS9" i="44"/>
  <c r="MZ9" i="44"/>
  <c r="OO9" i="44"/>
  <c r="OO23" i="44" s="1"/>
  <c r="OC9" i="44"/>
  <c r="OC23" i="44" s="1"/>
  <c r="NQ9" i="44"/>
  <c r="NQ23" i="44" s="1"/>
  <c r="NE9" i="44"/>
  <c r="MS9" i="44"/>
  <c r="LU9" i="44"/>
  <c r="LI9" i="44"/>
  <c r="KW9" i="44"/>
  <c r="KK9" i="44"/>
  <c r="JY9" i="44"/>
  <c r="IC9" i="44"/>
  <c r="HQ9" i="44"/>
  <c r="OK9" i="44"/>
  <c r="OK23" i="44" s="1"/>
  <c r="HM9" i="44"/>
  <c r="OV9" i="44"/>
  <c r="OV23" i="44" s="1"/>
  <c r="MM9" i="44"/>
  <c r="ON9" i="44"/>
  <c r="ON23" i="44" s="1"/>
  <c r="OB9" i="44"/>
  <c r="OB23" i="44" s="1"/>
  <c r="NP9" i="44"/>
  <c r="NP23" i="44" s="1"/>
  <c r="ND9" i="44"/>
  <c r="MR9" i="44"/>
  <c r="LT9" i="44"/>
  <c r="LH9" i="44"/>
  <c r="KV9" i="44"/>
  <c r="JX9" i="44"/>
  <c r="IN9" i="44"/>
  <c r="IB9" i="44"/>
  <c r="HP9" i="44"/>
  <c r="MO9" i="44"/>
  <c r="IK9" i="44"/>
  <c r="HX9" i="44"/>
  <c r="OI9" i="44"/>
  <c r="OI23" i="44" s="1"/>
  <c r="MA9" i="44"/>
  <c r="KE9" i="44"/>
  <c r="HW9" i="44"/>
  <c r="OM9" i="44"/>
  <c r="OM23" i="44" s="1"/>
  <c r="OA9" i="44"/>
  <c r="OA23" i="44" s="1"/>
  <c r="NO9" i="44"/>
  <c r="NO23" i="44" s="1"/>
  <c r="NC9" i="44"/>
  <c r="MQ9" i="44"/>
  <c r="LG9" i="44"/>
  <c r="KU9" i="44"/>
  <c r="KI9" i="44"/>
  <c r="JW9" i="44"/>
  <c r="IM9" i="44"/>
  <c r="IM23" i="44" s="1"/>
  <c r="IA9" i="44"/>
  <c r="HO9" i="44"/>
  <c r="HL9" i="44"/>
  <c r="NK9" i="44"/>
  <c r="NK23" i="44" s="1"/>
  <c r="OX9" i="44"/>
  <c r="OX23" i="44" s="1"/>
  <c r="NZ9" i="44"/>
  <c r="NZ23" i="44" s="1"/>
  <c r="NN9" i="44"/>
  <c r="NN23" i="44" s="1"/>
  <c r="MP9" i="44"/>
  <c r="LR9" i="44"/>
  <c r="LF9" i="44"/>
  <c r="KT9" i="44"/>
  <c r="KH9" i="44"/>
  <c r="IL9" i="44"/>
  <c r="HZ9" i="44"/>
  <c r="HN9" i="44"/>
  <c r="FV5" i="48"/>
  <c r="FY12" i="44" s="1"/>
  <c r="FW5" i="48"/>
  <c r="FZ12" i="44" s="1"/>
  <c r="FX5" i="48"/>
  <c r="GA12" i="44" s="1"/>
  <c r="FU5" i="48"/>
  <c r="FX12" i="44" s="1"/>
  <c r="FS5" i="48"/>
  <c r="FV12" i="44" s="1"/>
  <c r="FT5" i="48"/>
  <c r="FW12" i="44" s="1"/>
  <c r="FO5" i="48"/>
  <c r="FR12" i="44" s="1"/>
  <c r="FP5" i="48"/>
  <c r="FS12" i="44" s="1"/>
  <c r="FQ5" i="48"/>
  <c r="FR5" i="48"/>
  <c r="FN5" i="48"/>
  <c r="FQ12" i="44" s="1"/>
  <c r="FM5" i="48"/>
  <c r="FP12" i="44" s="1"/>
  <c r="OL9" i="44"/>
  <c r="OL23" i="44" s="1"/>
  <c r="NG9" i="44"/>
  <c r="NG23" i="44" s="1"/>
  <c r="H23" i="44"/>
  <c r="FI5" i="48"/>
  <c r="FL12" i="44" s="1"/>
  <c r="FJ5" i="48"/>
  <c r="FM12" i="44" s="1"/>
  <c r="FK5" i="48"/>
  <c r="FN12" i="44" s="1"/>
  <c r="FL5" i="48"/>
  <c r="FO12" i="44" s="1"/>
  <c r="FH5" i="48"/>
  <c r="FK12" i="44" s="1"/>
  <c r="FG5" i="48"/>
  <c r="FJ12" i="44" s="1"/>
  <c r="FF5" i="48"/>
  <c r="FI12" i="44" s="1"/>
  <c r="FE5" i="48"/>
  <c r="FC5" i="48"/>
  <c r="FF12" i="44" s="1"/>
  <c r="FB5" i="48"/>
  <c r="FE12" i="44" s="1"/>
  <c r="FD5" i="48"/>
  <c r="FG12" i="44" s="1"/>
  <c r="EZ5" i="48"/>
  <c r="FA5" i="48"/>
  <c r="EY37" i="48"/>
  <c r="EY36" i="48"/>
  <c r="EX37" i="48"/>
  <c r="EX36" i="48"/>
  <c r="N2" i="44"/>
  <c r="FM76" i="48"/>
  <c r="FP13" i="44"/>
  <c r="FB76" i="48"/>
  <c r="FE13" i="44"/>
  <c r="FN76" i="48"/>
  <c r="FQ13" i="44"/>
  <c r="GC13" i="44"/>
  <c r="GC12" i="44"/>
  <c r="FZ76" i="48"/>
  <c r="FX76" i="48"/>
  <c r="GA13" i="44"/>
  <c r="FC76" i="48"/>
  <c r="FF13" i="44"/>
  <c r="FO76" i="48"/>
  <c r="FR13" i="44"/>
  <c r="GD13" i="44"/>
  <c r="GD12" i="44"/>
  <c r="GA76" i="48"/>
  <c r="FY76" i="48"/>
  <c r="GB13" i="44"/>
  <c r="FD76" i="48"/>
  <c r="FG13" i="44"/>
  <c r="FP76" i="48"/>
  <c r="FS13" i="44"/>
  <c r="IO13" i="44"/>
  <c r="IL76" i="48"/>
  <c r="G76" i="48"/>
  <c r="J13" i="44"/>
  <c r="J12" i="44"/>
  <c r="FL76" i="48"/>
  <c r="FO13" i="44"/>
  <c r="FH13" i="44"/>
  <c r="FE76" i="48"/>
  <c r="FQ76" i="48"/>
  <c r="FT13" i="44"/>
  <c r="OL13" i="44"/>
  <c r="OL12" i="44"/>
  <c r="OI76" i="48"/>
  <c r="FN13" i="44"/>
  <c r="FK76" i="48"/>
  <c r="FH76" i="48"/>
  <c r="FK13" i="44"/>
  <c r="FT76" i="48"/>
  <c r="FW13" i="44"/>
  <c r="FI13" i="44"/>
  <c r="FF76" i="48"/>
  <c r="FU13" i="44"/>
  <c r="FR76" i="48"/>
  <c r="FG76" i="48"/>
  <c r="FJ13" i="44"/>
  <c r="FS76" i="48"/>
  <c r="FV13" i="44"/>
  <c r="I22" i="44"/>
  <c r="I27" i="44" s="1"/>
  <c r="I21" i="44"/>
  <c r="I26" i="44" s="1"/>
  <c r="FL13" i="44"/>
  <c r="FI76" i="48"/>
  <c r="FU76" i="48"/>
  <c r="FX13" i="44"/>
  <c r="FZ13" i="44"/>
  <c r="FW76" i="48"/>
  <c r="FM13" i="44"/>
  <c r="FJ76" i="48"/>
  <c r="FY13" i="44"/>
  <c r="FV76" i="48"/>
  <c r="H5" i="48"/>
  <c r="H45" i="48" s="1"/>
  <c r="H36" i="48"/>
  <c r="J23" i="48"/>
  <c r="J22" i="48"/>
  <c r="H89" i="48"/>
  <c r="H90" i="48"/>
  <c r="H75" i="48"/>
  <c r="G45" i="48"/>
  <c r="G48" i="48"/>
  <c r="G43" i="48"/>
  <c r="J7" i="44" s="1"/>
  <c r="H4" i="48"/>
  <c r="G56" i="48"/>
  <c r="G59" i="48"/>
  <c r="J15" i="44" s="1"/>
  <c r="G40" i="48"/>
  <c r="J4" i="44" s="1"/>
  <c r="G44" i="48"/>
  <c r="J8" i="44" s="1"/>
  <c r="G50" i="48"/>
  <c r="J19" i="44" s="1"/>
  <c r="G41" i="48"/>
  <c r="J5" i="44" s="1"/>
  <c r="G47" i="48"/>
  <c r="G42" i="48"/>
  <c r="J6" i="44" s="1"/>
  <c r="G49" i="48"/>
  <c r="J10" i="44" s="1"/>
  <c r="G46" i="48"/>
  <c r="G57" i="48"/>
  <c r="G63" i="48"/>
  <c r="J20" i="44" s="1"/>
  <c r="G61" i="48"/>
  <c r="J17" i="44" s="1"/>
  <c r="G53" i="48"/>
  <c r="H37" i="48"/>
  <c r="G54" i="48"/>
  <c r="G58" i="48"/>
  <c r="J14" i="44" s="1"/>
  <c r="G55" i="48"/>
  <c r="G62" i="48"/>
  <c r="J11" i="44" s="1"/>
  <c r="I27" i="48"/>
  <c r="I30" i="48"/>
  <c r="I68" i="48"/>
  <c r="I29" i="48"/>
  <c r="I69" i="48"/>
  <c r="I81" i="48"/>
  <c r="I35" i="48"/>
  <c r="I34" i="48"/>
  <c r="I67" i="48"/>
  <c r="I66" i="48"/>
  <c r="I31" i="48"/>
  <c r="I28" i="48"/>
  <c r="I83" i="48"/>
  <c r="I33" i="48"/>
  <c r="I71" i="48"/>
  <c r="I87" i="48"/>
  <c r="I80" i="48"/>
  <c r="I74" i="48"/>
  <c r="I85" i="48"/>
  <c r="I6" i="48"/>
  <c r="I36" i="48" s="1"/>
  <c r="I72" i="48"/>
  <c r="I88" i="48"/>
  <c r="I86" i="48"/>
  <c r="J6" i="48"/>
  <c r="J36" i="48" s="1"/>
  <c r="J71" i="48"/>
  <c r="J85" i="48"/>
  <c r="J72" i="48"/>
  <c r="J27" i="48"/>
  <c r="O3" i="44"/>
  <c r="CW3" i="48"/>
  <c r="BT3" i="48"/>
  <c r="D6" i="44"/>
  <c r="D16" i="44"/>
  <c r="EY5" i="48"/>
  <c r="JI42" i="48" l="1"/>
  <c r="JL6" i="44" s="1"/>
  <c r="MI56" i="48"/>
  <c r="MI58" i="48"/>
  <c r="MI57" i="48"/>
  <c r="MI62" i="48"/>
  <c r="ML11" i="44" s="1"/>
  <c r="MI60" i="48"/>
  <c r="MI55" i="48"/>
  <c r="MI63" i="48"/>
  <c r="ML20" i="44" s="1"/>
  <c r="MI54" i="48"/>
  <c r="MI61" i="48"/>
  <c r="MI59" i="48"/>
  <c r="MI53" i="48"/>
  <c r="KX63" i="48"/>
  <c r="LA20" i="44" s="1"/>
  <c r="KX57" i="48"/>
  <c r="KX56" i="48"/>
  <c r="KX53" i="48"/>
  <c r="KX54" i="48"/>
  <c r="KX61" i="48"/>
  <c r="KX55" i="48"/>
  <c r="KX62" i="48"/>
  <c r="LA11" i="44" s="1"/>
  <c r="KX58" i="48"/>
  <c r="KX59" i="48"/>
  <c r="KX60" i="48"/>
  <c r="KW57" i="48"/>
  <c r="KW61" i="48"/>
  <c r="KW62" i="48"/>
  <c r="KZ11" i="44" s="1"/>
  <c r="KW54" i="48"/>
  <c r="KW56" i="48"/>
  <c r="KW60" i="48"/>
  <c r="KW55" i="48"/>
  <c r="KW63" i="48"/>
  <c r="KZ20" i="44" s="1"/>
  <c r="KW53" i="48"/>
  <c r="KW58" i="48"/>
  <c r="KW59" i="48"/>
  <c r="KF62" i="48"/>
  <c r="KI11" i="44" s="1"/>
  <c r="KF61" i="48"/>
  <c r="KF59" i="48"/>
  <c r="KF56" i="48"/>
  <c r="KF53" i="48"/>
  <c r="KF54" i="48"/>
  <c r="KF63" i="48"/>
  <c r="KI20" i="44" s="1"/>
  <c r="KF57" i="48"/>
  <c r="KF58" i="48"/>
  <c r="KF60" i="48"/>
  <c r="KF55" i="48"/>
  <c r="LV59" i="48"/>
  <c r="LV61" i="48"/>
  <c r="LV63" i="48"/>
  <c r="LY20" i="44" s="1"/>
  <c r="LV54" i="48"/>
  <c r="LV56" i="48"/>
  <c r="LV53" i="48"/>
  <c r="LV62" i="48"/>
  <c r="LY11" i="44" s="1"/>
  <c r="LV58" i="48"/>
  <c r="LV60" i="48"/>
  <c r="LV55" i="48"/>
  <c r="LV57" i="48"/>
  <c r="KC55" i="48"/>
  <c r="KC58" i="48"/>
  <c r="KC61" i="48"/>
  <c r="KC54" i="48"/>
  <c r="KC60" i="48"/>
  <c r="KC62" i="48"/>
  <c r="KF11" i="44" s="1"/>
  <c r="KC56" i="48"/>
  <c r="KC57" i="48"/>
  <c r="KC59" i="48"/>
  <c r="KC53" i="48"/>
  <c r="KC63" i="48"/>
  <c r="KF20" i="44" s="1"/>
  <c r="MT53" i="48"/>
  <c r="MT63" i="48"/>
  <c r="MW20" i="44" s="1"/>
  <c r="MT54" i="48"/>
  <c r="MT58" i="48"/>
  <c r="MT55" i="48"/>
  <c r="MT61" i="48"/>
  <c r="MT62" i="48"/>
  <c r="MW11" i="44" s="1"/>
  <c r="MT57" i="48"/>
  <c r="MT56" i="48"/>
  <c r="MT59" i="48"/>
  <c r="MT60" i="48"/>
  <c r="JI45" i="48"/>
  <c r="JL14" i="44" s="1"/>
  <c r="LC58" i="48"/>
  <c r="LC63" i="48"/>
  <c r="LF20" i="44" s="1"/>
  <c r="LC59" i="48"/>
  <c r="LC53" i="48"/>
  <c r="LC60" i="48"/>
  <c r="LC54" i="48"/>
  <c r="LC62" i="48"/>
  <c r="LF11" i="44" s="1"/>
  <c r="LC61" i="48"/>
  <c r="LC56" i="48"/>
  <c r="LC57" i="48"/>
  <c r="LC55" i="48"/>
  <c r="KD62" i="48"/>
  <c r="KG11" i="44" s="1"/>
  <c r="KD60" i="48"/>
  <c r="KD58" i="48"/>
  <c r="KD59" i="48"/>
  <c r="KD63" i="48"/>
  <c r="KG20" i="44" s="1"/>
  <c r="KD57" i="48"/>
  <c r="KD53" i="48"/>
  <c r="KD55" i="48"/>
  <c r="KD54" i="48"/>
  <c r="KD61" i="48"/>
  <c r="KD56" i="48"/>
  <c r="NB59" i="48"/>
  <c r="NB54" i="48"/>
  <c r="NB53" i="48"/>
  <c r="NB62" i="48"/>
  <c r="NE11" i="44" s="1"/>
  <c r="NB61" i="48"/>
  <c r="NB60" i="48"/>
  <c r="NB56" i="48"/>
  <c r="NB63" i="48"/>
  <c r="NE20" i="44" s="1"/>
  <c r="NB57" i="48"/>
  <c r="NB55" i="48"/>
  <c r="NB58" i="48"/>
  <c r="KM62" i="48"/>
  <c r="KP11" i="44" s="1"/>
  <c r="KM58" i="48"/>
  <c r="KM56" i="48"/>
  <c r="KM54" i="48"/>
  <c r="KM63" i="48"/>
  <c r="KP20" i="44" s="1"/>
  <c r="KM61" i="48"/>
  <c r="KM60" i="48"/>
  <c r="KM57" i="48"/>
  <c r="KM55" i="48"/>
  <c r="KM59" i="48"/>
  <c r="KM53" i="48"/>
  <c r="KV53" i="48"/>
  <c r="KV60" i="48"/>
  <c r="KV56" i="48"/>
  <c r="KV59" i="48"/>
  <c r="KV55" i="48"/>
  <c r="KV57" i="48"/>
  <c r="KV58" i="48"/>
  <c r="KV63" i="48"/>
  <c r="KY20" i="44" s="1"/>
  <c r="KV61" i="48"/>
  <c r="KV54" i="48"/>
  <c r="KV62" i="48"/>
  <c r="KY11" i="44" s="1"/>
  <c r="LI55" i="48"/>
  <c r="LI59" i="48"/>
  <c r="LI58" i="48"/>
  <c r="LI60" i="48"/>
  <c r="LI61" i="48"/>
  <c r="LI62" i="48"/>
  <c r="LL11" i="44" s="1"/>
  <c r="LI54" i="48"/>
  <c r="LI63" i="48"/>
  <c r="LL20" i="44" s="1"/>
  <c r="LI56" i="48"/>
  <c r="LI57" i="48"/>
  <c r="LI53" i="48"/>
  <c r="LN59" i="48"/>
  <c r="LN54" i="48"/>
  <c r="LN62" i="48"/>
  <c r="LQ11" i="44" s="1"/>
  <c r="LN53" i="48"/>
  <c r="LN57" i="48"/>
  <c r="LN56" i="48"/>
  <c r="LN61" i="48"/>
  <c r="LN55" i="48"/>
  <c r="LN58" i="48"/>
  <c r="LN60" i="48"/>
  <c r="LN63" i="48"/>
  <c r="LQ20" i="44" s="1"/>
  <c r="JL12" i="44"/>
  <c r="JI41" i="48"/>
  <c r="JL5" i="44" s="1"/>
  <c r="MR60" i="48"/>
  <c r="MR59" i="48"/>
  <c r="MR61" i="48"/>
  <c r="MR53" i="48"/>
  <c r="MR63" i="48"/>
  <c r="MU20" i="44" s="1"/>
  <c r="MR55" i="48"/>
  <c r="MR62" i="48"/>
  <c r="MU11" i="44" s="1"/>
  <c r="MR58" i="48"/>
  <c r="MR54" i="48"/>
  <c r="MR57" i="48"/>
  <c r="MR56" i="48"/>
  <c r="KN63" i="48"/>
  <c r="KQ20" i="44" s="1"/>
  <c r="KN61" i="48"/>
  <c r="KN60" i="48"/>
  <c r="KN55" i="48"/>
  <c r="KN54" i="48"/>
  <c r="KN62" i="48"/>
  <c r="KQ11" i="44" s="1"/>
  <c r="KN53" i="48"/>
  <c r="KN57" i="48"/>
  <c r="KN59" i="48"/>
  <c r="KN58" i="48"/>
  <c r="KN56" i="48"/>
  <c r="LA60" i="48"/>
  <c r="LA56" i="48"/>
  <c r="LA59" i="48"/>
  <c r="LA57" i="48"/>
  <c r="LA53" i="48"/>
  <c r="LA63" i="48"/>
  <c r="LD20" i="44" s="1"/>
  <c r="LA61" i="48"/>
  <c r="LA62" i="48"/>
  <c r="LD11" i="44" s="1"/>
  <c r="LA54" i="48"/>
  <c r="LA58" i="48"/>
  <c r="LA55" i="48"/>
  <c r="LJ63" i="48"/>
  <c r="LM20" i="44" s="1"/>
  <c r="LJ54" i="48"/>
  <c r="LJ53" i="48"/>
  <c r="LJ61" i="48"/>
  <c r="LJ57" i="48"/>
  <c r="LJ56" i="48"/>
  <c r="LJ55" i="48"/>
  <c r="LJ59" i="48"/>
  <c r="LJ58" i="48"/>
  <c r="LJ62" i="48"/>
  <c r="LM11" i="44" s="1"/>
  <c r="LJ60" i="48"/>
  <c r="KY63" i="48"/>
  <c r="LB20" i="44" s="1"/>
  <c r="KY56" i="48"/>
  <c r="KY62" i="48"/>
  <c r="LB11" i="44" s="1"/>
  <c r="KY61" i="48"/>
  <c r="KY58" i="48"/>
  <c r="KY53" i="48"/>
  <c r="KY59" i="48"/>
  <c r="KY54" i="48"/>
  <c r="KY60" i="48"/>
  <c r="KY57" i="48"/>
  <c r="KY55" i="48"/>
  <c r="LO56" i="48"/>
  <c r="LO60" i="48"/>
  <c r="LO62" i="48"/>
  <c r="LR11" i="44" s="1"/>
  <c r="LO59" i="48"/>
  <c r="LO55" i="48"/>
  <c r="LO54" i="48"/>
  <c r="LO53" i="48"/>
  <c r="LO63" i="48"/>
  <c r="LR20" i="44" s="1"/>
  <c r="LO58" i="48"/>
  <c r="LO61" i="48"/>
  <c r="LO57" i="48"/>
  <c r="KZ53" i="48"/>
  <c r="KZ59" i="48"/>
  <c r="KZ61" i="48"/>
  <c r="KZ63" i="48"/>
  <c r="LC20" i="44" s="1"/>
  <c r="KZ60" i="48"/>
  <c r="KZ56" i="48"/>
  <c r="KZ55" i="48"/>
  <c r="KZ57" i="48"/>
  <c r="KZ62" i="48"/>
  <c r="LC11" i="44" s="1"/>
  <c r="KZ58" i="48"/>
  <c r="KZ54" i="48"/>
  <c r="JL21" i="44"/>
  <c r="LG55" i="48"/>
  <c r="LG59" i="48"/>
  <c r="LG53" i="48"/>
  <c r="LG60" i="48"/>
  <c r="LG61" i="48"/>
  <c r="LG56" i="48"/>
  <c r="LG54" i="48"/>
  <c r="LG62" i="48"/>
  <c r="LJ11" i="44" s="1"/>
  <c r="LG63" i="48"/>
  <c r="LJ20" i="44" s="1"/>
  <c r="LG57" i="48"/>
  <c r="LG58" i="48"/>
  <c r="LD59" i="48"/>
  <c r="LD55" i="48"/>
  <c r="LD60" i="48"/>
  <c r="LD62" i="48"/>
  <c r="LG11" i="44" s="1"/>
  <c r="LD61" i="48"/>
  <c r="LD53" i="48"/>
  <c r="LD63" i="48"/>
  <c r="LG20" i="44" s="1"/>
  <c r="LD54" i="48"/>
  <c r="LD58" i="48"/>
  <c r="LD56" i="48"/>
  <c r="LD57" i="48"/>
  <c r="MJ58" i="48"/>
  <c r="MJ55" i="48"/>
  <c r="MJ56" i="48"/>
  <c r="MJ60" i="48"/>
  <c r="MJ53" i="48"/>
  <c r="MJ59" i="48"/>
  <c r="MJ54" i="48"/>
  <c r="MJ57" i="48"/>
  <c r="MJ63" i="48"/>
  <c r="MM20" i="44" s="1"/>
  <c r="MJ61" i="48"/>
  <c r="MJ62" i="48"/>
  <c r="MM11" i="44" s="1"/>
  <c r="MO62" i="48"/>
  <c r="MR11" i="44" s="1"/>
  <c r="MO57" i="48"/>
  <c r="MO63" i="48"/>
  <c r="MR20" i="44" s="1"/>
  <c r="MO59" i="48"/>
  <c r="MO61" i="48"/>
  <c r="MO55" i="48"/>
  <c r="MO58" i="48"/>
  <c r="MO60" i="48"/>
  <c r="MO56" i="48"/>
  <c r="MO53" i="48"/>
  <c r="MO54" i="48"/>
  <c r="LF56" i="48"/>
  <c r="LF63" i="48"/>
  <c r="LI20" i="44" s="1"/>
  <c r="LF54" i="48"/>
  <c r="LF59" i="48"/>
  <c r="LF62" i="48"/>
  <c r="LI11" i="44" s="1"/>
  <c r="LF57" i="48"/>
  <c r="LF58" i="48"/>
  <c r="LF60" i="48"/>
  <c r="LF53" i="48"/>
  <c r="LF61" i="48"/>
  <c r="LF55" i="48"/>
  <c r="MA56" i="48"/>
  <c r="MA57" i="48"/>
  <c r="MA62" i="48"/>
  <c r="MD11" i="44" s="1"/>
  <c r="MA58" i="48"/>
  <c r="MA55" i="48"/>
  <c r="MA63" i="48"/>
  <c r="MD20" i="44" s="1"/>
  <c r="MA59" i="48"/>
  <c r="MA60" i="48"/>
  <c r="MA53" i="48"/>
  <c r="MA54" i="48"/>
  <c r="MA61" i="48"/>
  <c r="JV53" i="48"/>
  <c r="JV54" i="48"/>
  <c r="JV62" i="48"/>
  <c r="JY11" i="44" s="1"/>
  <c r="JV63" i="48"/>
  <c r="JY20" i="44" s="1"/>
  <c r="JY25" i="44" s="1"/>
  <c r="JV55" i="48"/>
  <c r="JV57" i="48"/>
  <c r="JV61" i="48"/>
  <c r="JV58" i="48"/>
  <c r="JV56" i="48"/>
  <c r="JV60" i="48"/>
  <c r="JV59" i="48"/>
  <c r="JI48" i="48"/>
  <c r="JL17" i="44" s="1"/>
  <c r="LQ54" i="48"/>
  <c r="LQ53" i="48"/>
  <c r="LQ63" i="48"/>
  <c r="LT20" i="44" s="1"/>
  <c r="LQ62" i="48"/>
  <c r="LT11" i="44" s="1"/>
  <c r="LQ58" i="48"/>
  <c r="LQ59" i="48"/>
  <c r="LQ57" i="48"/>
  <c r="LQ56" i="48"/>
  <c r="LQ55" i="48"/>
  <c r="LQ61" i="48"/>
  <c r="LQ60" i="48"/>
  <c r="LP59" i="48"/>
  <c r="LP63" i="48"/>
  <c r="LS20" i="44" s="1"/>
  <c r="LP60" i="48"/>
  <c r="LP57" i="48"/>
  <c r="LP61" i="48"/>
  <c r="LP54" i="48"/>
  <c r="LP56" i="48"/>
  <c r="LP58" i="48"/>
  <c r="LP62" i="48"/>
  <c r="LS11" i="44" s="1"/>
  <c r="LP53" i="48"/>
  <c r="LP55" i="48"/>
  <c r="JT63" i="48"/>
  <c r="JW20" i="44" s="1"/>
  <c r="JT56" i="48"/>
  <c r="JT59" i="48"/>
  <c r="JT57" i="48"/>
  <c r="JT54" i="48"/>
  <c r="JT58" i="48"/>
  <c r="JT62" i="48"/>
  <c r="JW11" i="44" s="1"/>
  <c r="JT55" i="48"/>
  <c r="JT61" i="48"/>
  <c r="JT60" i="48"/>
  <c r="JT53" i="48"/>
  <c r="ME59" i="48"/>
  <c r="ME62" i="48"/>
  <c r="MH11" i="44" s="1"/>
  <c r="ME57" i="48"/>
  <c r="ME53" i="48"/>
  <c r="ME58" i="48"/>
  <c r="ME61" i="48"/>
  <c r="ME63" i="48"/>
  <c r="MH20" i="44" s="1"/>
  <c r="ME54" i="48"/>
  <c r="ME55" i="48"/>
  <c r="ME56" i="48"/>
  <c r="ME60" i="48"/>
  <c r="MN62" i="48"/>
  <c r="MQ11" i="44" s="1"/>
  <c r="MN63" i="48"/>
  <c r="MQ20" i="44" s="1"/>
  <c r="MN53" i="48"/>
  <c r="MN60" i="48"/>
  <c r="MN59" i="48"/>
  <c r="MN56" i="48"/>
  <c r="MN54" i="48"/>
  <c r="MN55" i="48"/>
  <c r="MN61" i="48"/>
  <c r="MN57" i="48"/>
  <c r="MN58" i="48"/>
  <c r="MY58" i="48"/>
  <c r="MY60" i="48"/>
  <c r="MY53" i="48"/>
  <c r="MY62" i="48"/>
  <c r="NB11" i="44" s="1"/>
  <c r="MY55" i="48"/>
  <c r="MY63" i="48"/>
  <c r="NB20" i="44" s="1"/>
  <c r="MY61" i="48"/>
  <c r="MY57" i="48"/>
  <c r="MY54" i="48"/>
  <c r="MY59" i="48"/>
  <c r="MY56" i="48"/>
  <c r="KS60" i="48"/>
  <c r="KS57" i="48"/>
  <c r="KS61" i="48"/>
  <c r="KS58" i="48"/>
  <c r="KS54" i="48"/>
  <c r="KS63" i="48"/>
  <c r="KV20" i="44" s="1"/>
  <c r="KS59" i="48"/>
  <c r="KS55" i="48"/>
  <c r="KS62" i="48"/>
  <c r="KV11" i="44" s="1"/>
  <c r="KS53" i="48"/>
  <c r="KS56" i="48"/>
  <c r="JI40" i="48"/>
  <c r="JL4" i="44" s="1"/>
  <c r="LH57" i="48"/>
  <c r="LH56" i="48"/>
  <c r="LH59" i="48"/>
  <c r="LH54" i="48"/>
  <c r="LH62" i="48"/>
  <c r="LK11" i="44" s="1"/>
  <c r="LH58" i="48"/>
  <c r="LH55" i="48"/>
  <c r="LH61" i="48"/>
  <c r="LH63" i="48"/>
  <c r="LK20" i="44" s="1"/>
  <c r="LH60" i="48"/>
  <c r="LH53" i="48"/>
  <c r="LM54" i="48"/>
  <c r="LM63" i="48"/>
  <c r="LP20" i="44" s="1"/>
  <c r="LM58" i="48"/>
  <c r="LM59" i="48"/>
  <c r="LM57" i="48"/>
  <c r="LM56" i="48"/>
  <c r="LM62" i="48"/>
  <c r="LP11" i="44" s="1"/>
  <c r="LM53" i="48"/>
  <c r="LM55" i="48"/>
  <c r="LM60" i="48"/>
  <c r="LM61" i="48"/>
  <c r="KT59" i="48"/>
  <c r="KT56" i="48"/>
  <c r="KT62" i="48"/>
  <c r="KW11" i="44" s="1"/>
  <c r="KT54" i="48"/>
  <c r="KT60" i="48"/>
  <c r="KT57" i="48"/>
  <c r="KT61" i="48"/>
  <c r="KT58" i="48"/>
  <c r="KT63" i="48"/>
  <c r="KW20" i="44" s="1"/>
  <c r="KT53" i="48"/>
  <c r="KT55" i="48"/>
  <c r="LK63" i="48"/>
  <c r="LN20" i="44" s="1"/>
  <c r="LK60" i="48"/>
  <c r="LK53" i="48"/>
  <c r="LK56" i="48"/>
  <c r="LK55" i="48"/>
  <c r="LK57" i="48"/>
  <c r="LK58" i="48"/>
  <c r="LK61" i="48"/>
  <c r="LK62" i="48"/>
  <c r="LN11" i="44" s="1"/>
  <c r="LK54" i="48"/>
  <c r="LK59" i="48"/>
  <c r="KJ63" i="48"/>
  <c r="KM20" i="44" s="1"/>
  <c r="KJ57" i="48"/>
  <c r="KJ53" i="48"/>
  <c r="KJ54" i="48"/>
  <c r="KJ58" i="48"/>
  <c r="KJ61" i="48"/>
  <c r="KJ55" i="48"/>
  <c r="KJ60" i="48"/>
  <c r="KJ59" i="48"/>
  <c r="KJ56" i="48"/>
  <c r="KJ62" i="48"/>
  <c r="KM11" i="44" s="1"/>
  <c r="KG57" i="48"/>
  <c r="KG61" i="48"/>
  <c r="KG58" i="48"/>
  <c r="KG59" i="48"/>
  <c r="KG55" i="48"/>
  <c r="KG53" i="48"/>
  <c r="KG62" i="48"/>
  <c r="KJ11" i="44" s="1"/>
  <c r="KG54" i="48"/>
  <c r="KG56" i="48"/>
  <c r="KG63" i="48"/>
  <c r="KJ20" i="44" s="1"/>
  <c r="KG60" i="48"/>
  <c r="JY61" i="48"/>
  <c r="JY62" i="48"/>
  <c r="KB11" i="44" s="1"/>
  <c r="JY58" i="48"/>
  <c r="JY55" i="48"/>
  <c r="JY59" i="48"/>
  <c r="JY57" i="48"/>
  <c r="JY60" i="48"/>
  <c r="JY56" i="48"/>
  <c r="JY63" i="48"/>
  <c r="KB20" i="44" s="1"/>
  <c r="JY54" i="48"/>
  <c r="JY53" i="48"/>
  <c r="LU57" i="48"/>
  <c r="LU62" i="48"/>
  <c r="LX11" i="44" s="1"/>
  <c r="LU60" i="48"/>
  <c r="LU58" i="48"/>
  <c r="LU63" i="48"/>
  <c r="LX20" i="44" s="1"/>
  <c r="LU56" i="48"/>
  <c r="LU53" i="48"/>
  <c r="LU61" i="48"/>
  <c r="LU59" i="48"/>
  <c r="LU55" i="48"/>
  <c r="LU54" i="48"/>
  <c r="JW58" i="48"/>
  <c r="JW63" i="48"/>
  <c r="JZ20" i="44" s="1"/>
  <c r="JW57" i="48"/>
  <c r="JW53" i="48"/>
  <c r="JW62" i="48"/>
  <c r="JZ11" i="44" s="1"/>
  <c r="JW55" i="48"/>
  <c r="JW56" i="48"/>
  <c r="JW60" i="48"/>
  <c r="JW59" i="48"/>
  <c r="JW61" i="48"/>
  <c r="JW54" i="48"/>
  <c r="MF60" i="48"/>
  <c r="MF56" i="48"/>
  <c r="MF63" i="48"/>
  <c r="MI20" i="44" s="1"/>
  <c r="MF61" i="48"/>
  <c r="MF53" i="48"/>
  <c r="MF62" i="48"/>
  <c r="MI11" i="44" s="1"/>
  <c r="MF59" i="48"/>
  <c r="MF58" i="48"/>
  <c r="MF54" i="48"/>
  <c r="MF57" i="48"/>
  <c r="MF55" i="48"/>
  <c r="JU62" i="48"/>
  <c r="JX11" i="44" s="1"/>
  <c r="JU57" i="48"/>
  <c r="JU56" i="48"/>
  <c r="JU60" i="48"/>
  <c r="JU58" i="48"/>
  <c r="JU61" i="48"/>
  <c r="JU53" i="48"/>
  <c r="JU63" i="48"/>
  <c r="JX20" i="44" s="1"/>
  <c r="JU59" i="48"/>
  <c r="JU54" i="48"/>
  <c r="JU55" i="48"/>
  <c r="JI47" i="48"/>
  <c r="JL16" i="44" s="1"/>
  <c r="JN50" i="48"/>
  <c r="JQ19" i="44" s="1"/>
  <c r="KE62" i="48"/>
  <c r="KH11" i="44" s="1"/>
  <c r="KE60" i="48"/>
  <c r="KE63" i="48"/>
  <c r="KH20" i="44" s="1"/>
  <c r="KE59" i="48"/>
  <c r="KE54" i="48"/>
  <c r="KE55" i="48"/>
  <c r="KE53" i="48"/>
  <c r="KE61" i="48"/>
  <c r="KE56" i="48"/>
  <c r="KE58" i="48"/>
  <c r="KE57" i="48"/>
  <c r="KB62" i="48"/>
  <c r="KE11" i="44" s="1"/>
  <c r="KB60" i="48"/>
  <c r="KB54" i="48"/>
  <c r="KB59" i="48"/>
  <c r="KB58" i="48"/>
  <c r="KB56" i="48"/>
  <c r="KB53" i="48"/>
  <c r="KB61" i="48"/>
  <c r="KB55" i="48"/>
  <c r="KB57" i="48"/>
  <c r="KB63" i="48"/>
  <c r="KE20" i="44" s="1"/>
  <c r="MX61" i="48"/>
  <c r="MX63" i="48"/>
  <c r="NA20" i="44" s="1"/>
  <c r="MX56" i="48"/>
  <c r="MX53" i="48"/>
  <c r="MX55" i="48"/>
  <c r="MX54" i="48"/>
  <c r="MX60" i="48"/>
  <c r="MX58" i="48"/>
  <c r="MX57" i="48"/>
  <c r="MX59" i="48"/>
  <c r="MX62" i="48"/>
  <c r="NA11" i="44" s="1"/>
  <c r="MG56" i="48"/>
  <c r="MG60" i="48"/>
  <c r="MG57" i="48"/>
  <c r="MG61" i="48"/>
  <c r="MG59" i="48"/>
  <c r="MG54" i="48"/>
  <c r="MG63" i="48"/>
  <c r="MJ20" i="44" s="1"/>
  <c r="MG62" i="48"/>
  <c r="MJ11" i="44" s="1"/>
  <c r="MG55" i="48"/>
  <c r="MG58" i="48"/>
  <c r="MG53" i="48"/>
  <c r="MZ55" i="48"/>
  <c r="MZ57" i="48"/>
  <c r="MZ61" i="48"/>
  <c r="MZ58" i="48"/>
  <c r="MZ63" i="48"/>
  <c r="NC20" i="44" s="1"/>
  <c r="MZ60" i="48"/>
  <c r="MZ62" i="48"/>
  <c r="NC11" i="44" s="1"/>
  <c r="MZ56" i="48"/>
  <c r="MZ53" i="48"/>
  <c r="MZ59" i="48"/>
  <c r="MZ54" i="48"/>
  <c r="MQ55" i="48"/>
  <c r="MQ62" i="48"/>
  <c r="MT11" i="44" s="1"/>
  <c r="MQ58" i="48"/>
  <c r="MQ59" i="48"/>
  <c r="MQ57" i="48"/>
  <c r="MQ60" i="48"/>
  <c r="MQ53" i="48"/>
  <c r="MQ61" i="48"/>
  <c r="MQ54" i="48"/>
  <c r="MQ56" i="48"/>
  <c r="MQ63" i="48"/>
  <c r="MT20" i="44" s="1"/>
  <c r="MV56" i="48"/>
  <c r="MV53" i="48"/>
  <c r="MV61" i="48"/>
  <c r="MV58" i="48"/>
  <c r="MV62" i="48"/>
  <c r="MY11" i="44" s="1"/>
  <c r="MV63" i="48"/>
  <c r="MY20" i="44" s="1"/>
  <c r="MV59" i="48"/>
  <c r="MV60" i="48"/>
  <c r="MV57" i="48"/>
  <c r="MV55" i="48"/>
  <c r="MV54" i="48"/>
  <c r="NC54" i="48"/>
  <c r="NC60" i="48"/>
  <c r="NC57" i="48"/>
  <c r="NC58" i="48"/>
  <c r="NC53" i="48"/>
  <c r="NC61" i="48"/>
  <c r="NC63" i="48"/>
  <c r="NF20" i="44" s="1"/>
  <c r="NC62" i="48"/>
  <c r="NF11" i="44" s="1"/>
  <c r="NC59" i="48"/>
  <c r="NC56" i="48"/>
  <c r="NC55" i="48"/>
  <c r="ML54" i="48"/>
  <c r="ML56" i="48"/>
  <c r="ML53" i="48"/>
  <c r="ML61" i="48"/>
  <c r="ML62" i="48"/>
  <c r="MO11" i="44" s="1"/>
  <c r="ML63" i="48"/>
  <c r="MO20" i="44" s="1"/>
  <c r="ML57" i="48"/>
  <c r="ML60" i="48"/>
  <c r="ML55" i="48"/>
  <c r="ML59" i="48"/>
  <c r="ML58" i="48"/>
  <c r="JI44" i="48"/>
  <c r="JL8" i="44" s="1"/>
  <c r="JN41" i="48"/>
  <c r="JQ5" i="44" s="1"/>
  <c r="KI60" i="48"/>
  <c r="KI62" i="48"/>
  <c r="KL11" i="44" s="1"/>
  <c r="KI58" i="48"/>
  <c r="KI61" i="48"/>
  <c r="KI63" i="48"/>
  <c r="KL20" i="44" s="1"/>
  <c r="KI54" i="48"/>
  <c r="KI56" i="48"/>
  <c r="KI59" i="48"/>
  <c r="KI57" i="48"/>
  <c r="KI53" i="48"/>
  <c r="KI55" i="48"/>
  <c r="MD56" i="48"/>
  <c r="MD54" i="48"/>
  <c r="MD62" i="48"/>
  <c r="MG11" i="44" s="1"/>
  <c r="MD57" i="48"/>
  <c r="MD55" i="48"/>
  <c r="MD61" i="48"/>
  <c r="MD59" i="48"/>
  <c r="MD58" i="48"/>
  <c r="MD53" i="48"/>
  <c r="MD60" i="48"/>
  <c r="MD63" i="48"/>
  <c r="MG20" i="44" s="1"/>
  <c r="KP62" i="48"/>
  <c r="KS11" i="44" s="1"/>
  <c r="KP60" i="48"/>
  <c r="KP57" i="48"/>
  <c r="KP54" i="48"/>
  <c r="KP63" i="48"/>
  <c r="KS20" i="44" s="1"/>
  <c r="KP61" i="48"/>
  <c r="KP59" i="48"/>
  <c r="KP58" i="48"/>
  <c r="KP56" i="48"/>
  <c r="KP53" i="48"/>
  <c r="KP55" i="48"/>
  <c r="LW62" i="48"/>
  <c r="LZ11" i="44" s="1"/>
  <c r="LW59" i="48"/>
  <c r="LW54" i="48"/>
  <c r="LW60" i="48"/>
  <c r="LW57" i="48"/>
  <c r="LW53" i="48"/>
  <c r="LW61" i="48"/>
  <c r="LW56" i="48"/>
  <c r="LW58" i="48"/>
  <c r="LW63" i="48"/>
  <c r="LZ20" i="44" s="1"/>
  <c r="LW55" i="48"/>
  <c r="KR61" i="48"/>
  <c r="KR56" i="48"/>
  <c r="KR53" i="48"/>
  <c r="KR57" i="48"/>
  <c r="KR58" i="48"/>
  <c r="KR54" i="48"/>
  <c r="KR60" i="48"/>
  <c r="KR62" i="48"/>
  <c r="KU11" i="44" s="1"/>
  <c r="KR59" i="48"/>
  <c r="KR55" i="48"/>
  <c r="KR63" i="48"/>
  <c r="KU20" i="44" s="1"/>
  <c r="MB62" i="48"/>
  <c r="ME11" i="44" s="1"/>
  <c r="MB53" i="48"/>
  <c r="MB57" i="48"/>
  <c r="MB63" i="48"/>
  <c r="ME20" i="44" s="1"/>
  <c r="MB59" i="48"/>
  <c r="MB55" i="48"/>
  <c r="MB54" i="48"/>
  <c r="MB61" i="48"/>
  <c r="MB58" i="48"/>
  <c r="MB60" i="48"/>
  <c r="MB56" i="48"/>
  <c r="LT61" i="48"/>
  <c r="LT59" i="48"/>
  <c r="LT54" i="48"/>
  <c r="LT62" i="48"/>
  <c r="LW11" i="44" s="1"/>
  <c r="LT56" i="48"/>
  <c r="LT60" i="48"/>
  <c r="LT58" i="48"/>
  <c r="LT53" i="48"/>
  <c r="LT57" i="48"/>
  <c r="LT55" i="48"/>
  <c r="LT63" i="48"/>
  <c r="LW20" i="44" s="1"/>
  <c r="MH59" i="48"/>
  <c r="MH58" i="48"/>
  <c r="MH56" i="48"/>
  <c r="MH55" i="48"/>
  <c r="MH61" i="48"/>
  <c r="MH57" i="48"/>
  <c r="MH62" i="48"/>
  <c r="MK11" i="44" s="1"/>
  <c r="MH53" i="48"/>
  <c r="MH63" i="48"/>
  <c r="MK20" i="44" s="1"/>
  <c r="MH60" i="48"/>
  <c r="MH54" i="48"/>
  <c r="LR59" i="48"/>
  <c r="LR62" i="48"/>
  <c r="LU11" i="44" s="1"/>
  <c r="LR56" i="48"/>
  <c r="LR61" i="48"/>
  <c r="LR53" i="48"/>
  <c r="LR54" i="48"/>
  <c r="LR57" i="48"/>
  <c r="LR55" i="48"/>
  <c r="LR58" i="48"/>
  <c r="LR63" i="48"/>
  <c r="LU20" i="44" s="1"/>
  <c r="LR60" i="48"/>
  <c r="JI43" i="48"/>
  <c r="JL7" i="44" s="1"/>
  <c r="JN45" i="48"/>
  <c r="JQ14" i="44" s="1"/>
  <c r="KQ62" i="48"/>
  <c r="KT11" i="44" s="1"/>
  <c r="KQ57" i="48"/>
  <c r="KQ63" i="48"/>
  <c r="KT20" i="44" s="1"/>
  <c r="KQ60" i="48"/>
  <c r="KQ54" i="48"/>
  <c r="KQ55" i="48"/>
  <c r="KQ58" i="48"/>
  <c r="KQ56" i="48"/>
  <c r="KQ53" i="48"/>
  <c r="KQ61" i="48"/>
  <c r="KQ59" i="48"/>
  <c r="LS61" i="48"/>
  <c r="LS59" i="48"/>
  <c r="LS60" i="48"/>
  <c r="LS56" i="48"/>
  <c r="LS58" i="48"/>
  <c r="LS62" i="48"/>
  <c r="LV11" i="44" s="1"/>
  <c r="LS53" i="48"/>
  <c r="LS54" i="48"/>
  <c r="LS55" i="48"/>
  <c r="LS57" i="48"/>
  <c r="LS63" i="48"/>
  <c r="LV20" i="44" s="1"/>
  <c r="KO55" i="48"/>
  <c r="KO58" i="48"/>
  <c r="KO63" i="48"/>
  <c r="KR20" i="44" s="1"/>
  <c r="KO59" i="48"/>
  <c r="KO56" i="48"/>
  <c r="KO60" i="48"/>
  <c r="KO62" i="48"/>
  <c r="KR11" i="44" s="1"/>
  <c r="KO54" i="48"/>
  <c r="KO61" i="48"/>
  <c r="KO53" i="48"/>
  <c r="KO57" i="48"/>
  <c r="MM58" i="48"/>
  <c r="MM57" i="48"/>
  <c r="MM54" i="48"/>
  <c r="MM62" i="48"/>
  <c r="MP11" i="44" s="1"/>
  <c r="MM55" i="48"/>
  <c r="MM56" i="48"/>
  <c r="MM60" i="48"/>
  <c r="MM53" i="48"/>
  <c r="MM63" i="48"/>
  <c r="MP20" i="44" s="1"/>
  <c r="MM59" i="48"/>
  <c r="MM61" i="48"/>
  <c r="JI49" i="48"/>
  <c r="JO41" i="48"/>
  <c r="JR5" i="44" s="1"/>
  <c r="JN49" i="48"/>
  <c r="KA60" i="48"/>
  <c r="KA61" i="48"/>
  <c r="KA55" i="48"/>
  <c r="KA56" i="48"/>
  <c r="KA57" i="48"/>
  <c r="KA54" i="48"/>
  <c r="KA58" i="48"/>
  <c r="KA63" i="48"/>
  <c r="KD20" i="44" s="1"/>
  <c r="KA62" i="48"/>
  <c r="KD11" i="44" s="1"/>
  <c r="KA53" i="48"/>
  <c r="KA59" i="48"/>
  <c r="NA61" i="48"/>
  <c r="NA57" i="48"/>
  <c r="NA54" i="48"/>
  <c r="NA62" i="48"/>
  <c r="ND11" i="44" s="1"/>
  <c r="NA59" i="48"/>
  <c r="NA55" i="48"/>
  <c r="NA56" i="48"/>
  <c r="NA53" i="48"/>
  <c r="NA58" i="48"/>
  <c r="NA60" i="48"/>
  <c r="NA63" i="48"/>
  <c r="ND20" i="44" s="1"/>
  <c r="KH55" i="48"/>
  <c r="KH62" i="48"/>
  <c r="KK11" i="44" s="1"/>
  <c r="KH63" i="48"/>
  <c r="KK20" i="44" s="1"/>
  <c r="KH61" i="48"/>
  <c r="KH53" i="48"/>
  <c r="KH57" i="48"/>
  <c r="KH60" i="48"/>
  <c r="KH54" i="48"/>
  <c r="KH59" i="48"/>
  <c r="KH58" i="48"/>
  <c r="KH56" i="48"/>
  <c r="MC62" i="48"/>
  <c r="MF11" i="44" s="1"/>
  <c r="MC56" i="48"/>
  <c r="MC58" i="48"/>
  <c r="MC59" i="48"/>
  <c r="MC60" i="48"/>
  <c r="MC55" i="48"/>
  <c r="MC54" i="48"/>
  <c r="MC53" i="48"/>
  <c r="MC61" i="48"/>
  <c r="MC63" i="48"/>
  <c r="MF20" i="44" s="1"/>
  <c r="MC57" i="48"/>
  <c r="KL58" i="48"/>
  <c r="KL57" i="48"/>
  <c r="KL56" i="48"/>
  <c r="KL55" i="48"/>
  <c r="KL53" i="48"/>
  <c r="KL63" i="48"/>
  <c r="KO20" i="44" s="1"/>
  <c r="KL62" i="48"/>
  <c r="KO11" i="44" s="1"/>
  <c r="KL54" i="48"/>
  <c r="KL61" i="48"/>
  <c r="KL59" i="48"/>
  <c r="KL60" i="48"/>
  <c r="JZ57" i="48"/>
  <c r="JZ60" i="48"/>
  <c r="JZ53" i="48"/>
  <c r="JZ59" i="48"/>
  <c r="JZ62" i="48"/>
  <c r="KC11" i="44" s="1"/>
  <c r="JZ58" i="48"/>
  <c r="JZ63" i="48"/>
  <c r="KC20" i="44" s="1"/>
  <c r="JZ61" i="48"/>
  <c r="JZ54" i="48"/>
  <c r="JZ56" i="48"/>
  <c r="JZ55" i="48"/>
  <c r="LX58" i="48"/>
  <c r="LX62" i="48"/>
  <c r="MA11" i="44" s="1"/>
  <c r="LX57" i="48"/>
  <c r="LX59" i="48"/>
  <c r="LX55" i="48"/>
  <c r="LX56" i="48"/>
  <c r="LX54" i="48"/>
  <c r="LX60" i="48"/>
  <c r="LX53" i="48"/>
  <c r="LX61" i="48"/>
  <c r="LX63" i="48"/>
  <c r="MA20" i="44" s="1"/>
  <c r="KU5" i="48"/>
  <c r="KU53" i="48"/>
  <c r="KU63" i="48"/>
  <c r="KX20" i="44" s="1"/>
  <c r="KU57" i="48"/>
  <c r="KU59" i="48"/>
  <c r="KU55" i="48"/>
  <c r="KU54" i="48"/>
  <c r="KU56" i="48"/>
  <c r="KU58" i="48"/>
  <c r="KU61" i="48"/>
  <c r="KU62" i="48"/>
  <c r="KX11" i="44" s="1"/>
  <c r="KU60" i="48"/>
  <c r="LY5" i="48"/>
  <c r="LY53" i="48"/>
  <c r="LY60" i="48"/>
  <c r="LY63" i="48"/>
  <c r="MB20" i="44" s="1"/>
  <c r="LY57" i="48"/>
  <c r="LY62" i="48"/>
  <c r="MB11" i="44" s="1"/>
  <c r="LY61" i="48"/>
  <c r="LY58" i="48"/>
  <c r="LY55" i="48"/>
  <c r="LY54" i="48"/>
  <c r="LY56" i="48"/>
  <c r="LY59" i="48"/>
  <c r="LB55" i="48"/>
  <c r="LB60" i="48"/>
  <c r="LB58" i="48"/>
  <c r="LB53" i="48"/>
  <c r="LB54" i="48"/>
  <c r="LB61" i="48"/>
  <c r="LB57" i="48"/>
  <c r="LB63" i="48"/>
  <c r="LE20" i="44" s="1"/>
  <c r="LB62" i="48"/>
  <c r="LE11" i="44" s="1"/>
  <c r="LB56" i="48"/>
  <c r="LB59" i="48"/>
  <c r="MS55" i="48"/>
  <c r="MS58" i="48"/>
  <c r="MS62" i="48"/>
  <c r="MV11" i="44" s="1"/>
  <c r="MS56" i="48"/>
  <c r="MS63" i="48"/>
  <c r="MV20" i="44" s="1"/>
  <c r="MS57" i="48"/>
  <c r="MS61" i="48"/>
  <c r="MS53" i="48"/>
  <c r="MS59" i="48"/>
  <c r="MS60" i="48"/>
  <c r="MS54" i="48"/>
  <c r="LZ54" i="48"/>
  <c r="LZ53" i="48"/>
  <c r="LZ55" i="48"/>
  <c r="LZ62" i="48"/>
  <c r="MC11" i="44" s="1"/>
  <c r="LZ58" i="48"/>
  <c r="LZ60" i="48"/>
  <c r="LZ63" i="48"/>
  <c r="MC20" i="44" s="1"/>
  <c r="LZ59" i="48"/>
  <c r="LZ57" i="48"/>
  <c r="LZ56" i="48"/>
  <c r="LZ61" i="48"/>
  <c r="LL58" i="48"/>
  <c r="LL63" i="48"/>
  <c r="LO20" i="44" s="1"/>
  <c r="LL53" i="48"/>
  <c r="LL62" i="48"/>
  <c r="LO11" i="44" s="1"/>
  <c r="LL54" i="48"/>
  <c r="LL57" i="48"/>
  <c r="LL56" i="48"/>
  <c r="LL55" i="48"/>
  <c r="LL59" i="48"/>
  <c r="LL61" i="48"/>
  <c r="LL60" i="48"/>
  <c r="JO48" i="48"/>
  <c r="JR17" i="44" s="1"/>
  <c r="MU60" i="48"/>
  <c r="MU55" i="48"/>
  <c r="MU54" i="48"/>
  <c r="MU59" i="48"/>
  <c r="MU53" i="48"/>
  <c r="MU58" i="48"/>
  <c r="MU57" i="48"/>
  <c r="MU56" i="48"/>
  <c r="MU63" i="48"/>
  <c r="MX20" i="44" s="1"/>
  <c r="MU62" i="48"/>
  <c r="MX11" i="44" s="1"/>
  <c r="MU61" i="48"/>
  <c r="LE59" i="48"/>
  <c r="LE60" i="48"/>
  <c r="LE61" i="48"/>
  <c r="LE55" i="48"/>
  <c r="LE58" i="48"/>
  <c r="LE53" i="48"/>
  <c r="LE56" i="48"/>
  <c r="LE57" i="48"/>
  <c r="LE62" i="48"/>
  <c r="LH11" i="44" s="1"/>
  <c r="LE63" i="48"/>
  <c r="LH20" i="44" s="1"/>
  <c r="LE54" i="48"/>
  <c r="MP60" i="48"/>
  <c r="MP59" i="48"/>
  <c r="MP62" i="48"/>
  <c r="MS11" i="44" s="1"/>
  <c r="MP57" i="48"/>
  <c r="MP58" i="48"/>
  <c r="MP55" i="48"/>
  <c r="MP54" i="48"/>
  <c r="MP53" i="48"/>
  <c r="MP63" i="48"/>
  <c r="MS20" i="44" s="1"/>
  <c r="MP56" i="48"/>
  <c r="MP61" i="48"/>
  <c r="MW54" i="48"/>
  <c r="MW57" i="48"/>
  <c r="MW58" i="48"/>
  <c r="MW63" i="48"/>
  <c r="MZ20" i="44" s="1"/>
  <c r="MW61" i="48"/>
  <c r="MW55" i="48"/>
  <c r="MW56" i="48"/>
  <c r="MW59" i="48"/>
  <c r="MW60" i="48"/>
  <c r="MW53" i="48"/>
  <c r="MW62" i="48"/>
  <c r="MZ11" i="44" s="1"/>
  <c r="JX62" i="48"/>
  <c r="KA11" i="44" s="1"/>
  <c r="JX58" i="48"/>
  <c r="JX57" i="48"/>
  <c r="JX61" i="48"/>
  <c r="JX54" i="48"/>
  <c r="JX55" i="48"/>
  <c r="JX59" i="48"/>
  <c r="JX56" i="48"/>
  <c r="JX60" i="48"/>
  <c r="JX63" i="48"/>
  <c r="KA20" i="44" s="1"/>
  <c r="JX53" i="48"/>
  <c r="KK61" i="48"/>
  <c r="KK55" i="48"/>
  <c r="KK60" i="48"/>
  <c r="KK58" i="48"/>
  <c r="KK59" i="48"/>
  <c r="KK57" i="48"/>
  <c r="KK62" i="48"/>
  <c r="KN11" i="44" s="1"/>
  <c r="KK63" i="48"/>
  <c r="KN20" i="44" s="1"/>
  <c r="KK53" i="48"/>
  <c r="KK54" i="48"/>
  <c r="KK56" i="48"/>
  <c r="MK60" i="48"/>
  <c r="MK61" i="48"/>
  <c r="MK62" i="48"/>
  <c r="MN11" i="44" s="1"/>
  <c r="MK53" i="48"/>
  <c r="MK57" i="48"/>
  <c r="MK59" i="48"/>
  <c r="MK58" i="48"/>
  <c r="MK56" i="48"/>
  <c r="MK55" i="48"/>
  <c r="MK63" i="48"/>
  <c r="MN20" i="44" s="1"/>
  <c r="MK54" i="48"/>
  <c r="JO42" i="48"/>
  <c r="JR6" i="44" s="1"/>
  <c r="JR12" i="44"/>
  <c r="JO40" i="48"/>
  <c r="JR4" i="44" s="1"/>
  <c r="JN43" i="48"/>
  <c r="JQ7" i="44" s="1"/>
  <c r="JR21" i="44"/>
  <c r="JO47" i="48"/>
  <c r="JR16" i="44" s="1"/>
  <c r="JO45" i="48"/>
  <c r="JR14" i="44" s="1"/>
  <c r="JO43" i="48"/>
  <c r="JR7" i="44" s="1"/>
  <c r="JO49" i="48"/>
  <c r="JR10" i="44" s="1"/>
  <c r="JR24" i="44" s="1"/>
  <c r="JO50" i="48"/>
  <c r="JR19" i="44" s="1"/>
  <c r="JQ21" i="44"/>
  <c r="JQ26" i="44" s="1"/>
  <c r="JQ12" i="44"/>
  <c r="JO46" i="48"/>
  <c r="JR15" i="44" s="1"/>
  <c r="JN44" i="48"/>
  <c r="JQ8" i="44" s="1"/>
  <c r="JN46" i="48"/>
  <c r="JQ15" i="44" s="1"/>
  <c r="JN42" i="48"/>
  <c r="JQ6" i="44" s="1"/>
  <c r="JN48" i="48"/>
  <c r="JQ17" i="44" s="1"/>
  <c r="JP62" i="48"/>
  <c r="JS11" i="44" s="1"/>
  <c r="JP53" i="48"/>
  <c r="JP63" i="48"/>
  <c r="JS20" i="44" s="1"/>
  <c r="JP61" i="48"/>
  <c r="JP60" i="48"/>
  <c r="JP59" i="48"/>
  <c r="JP58" i="48"/>
  <c r="JP57" i="48"/>
  <c r="JP56" i="48"/>
  <c r="JP55" i="48"/>
  <c r="JP54" i="48"/>
  <c r="JP5" i="48"/>
  <c r="JS61" i="48"/>
  <c r="JS58" i="48"/>
  <c r="JS55" i="48"/>
  <c r="JS54" i="48"/>
  <c r="JS62" i="48"/>
  <c r="JV11" i="44" s="1"/>
  <c r="JS56" i="48"/>
  <c r="JS57" i="48"/>
  <c r="JS53" i="48"/>
  <c r="JS59" i="48"/>
  <c r="JS60" i="48"/>
  <c r="JS63" i="48"/>
  <c r="JV20" i="44" s="1"/>
  <c r="JR60" i="48"/>
  <c r="JR55" i="48"/>
  <c r="JR56" i="48"/>
  <c r="JR57" i="48"/>
  <c r="JR58" i="48"/>
  <c r="JR59" i="48"/>
  <c r="JR61" i="48"/>
  <c r="JR54" i="48"/>
  <c r="JR63" i="48"/>
  <c r="JU20" i="44" s="1"/>
  <c r="JR62" i="48"/>
  <c r="JU11" i="44" s="1"/>
  <c r="JR53" i="48"/>
  <c r="JQ57" i="48"/>
  <c r="JQ60" i="48"/>
  <c r="JQ55" i="48"/>
  <c r="JQ62" i="48"/>
  <c r="JT11" i="44" s="1"/>
  <c r="JQ56" i="48"/>
  <c r="JQ58" i="48"/>
  <c r="JQ54" i="48"/>
  <c r="JQ63" i="48"/>
  <c r="JT20" i="44" s="1"/>
  <c r="JQ61" i="48"/>
  <c r="JQ59" i="48"/>
  <c r="JQ53" i="48"/>
  <c r="JN8" i="48"/>
  <c r="JN40" i="48"/>
  <c r="JQ4" i="44" s="1"/>
  <c r="JR26" i="44"/>
  <c r="JK9" i="44"/>
  <c r="JJ9" i="44"/>
  <c r="JL9" i="44"/>
  <c r="JO63" i="48"/>
  <c r="JR20" i="44" s="1"/>
  <c r="JO60" i="48"/>
  <c r="JO55" i="48"/>
  <c r="JO57" i="48"/>
  <c r="JO61" i="48"/>
  <c r="JO56" i="48"/>
  <c r="JO53" i="48"/>
  <c r="JO58" i="48"/>
  <c r="JO62" i="48"/>
  <c r="JR11" i="44" s="1"/>
  <c r="JO54" i="48"/>
  <c r="JO59" i="48"/>
  <c r="JN55" i="48"/>
  <c r="JN59" i="48"/>
  <c r="JN54" i="48"/>
  <c r="JN56" i="48"/>
  <c r="JN63" i="48"/>
  <c r="JQ20" i="44" s="1"/>
  <c r="JN60" i="48"/>
  <c r="JN53" i="48"/>
  <c r="JN57" i="48"/>
  <c r="JN62" i="48"/>
  <c r="JQ11" i="44" s="1"/>
  <c r="JN58" i="48"/>
  <c r="JN61" i="48"/>
  <c r="JK61" i="48"/>
  <c r="JK56" i="48"/>
  <c r="JK57" i="48"/>
  <c r="JK53" i="48"/>
  <c r="JK55" i="48"/>
  <c r="JK59" i="48"/>
  <c r="JK62" i="48"/>
  <c r="JN11" i="44" s="1"/>
  <c r="JK63" i="48"/>
  <c r="JN20" i="44" s="1"/>
  <c r="JK54" i="48"/>
  <c r="JK58" i="48"/>
  <c r="JK60" i="48"/>
  <c r="JK10" i="44"/>
  <c r="JK24" i="44" s="1"/>
  <c r="JL26" i="44"/>
  <c r="JL18" i="44"/>
  <c r="JI58" i="48"/>
  <c r="JI54" i="48"/>
  <c r="JI59" i="48"/>
  <c r="JI61" i="48"/>
  <c r="JI56" i="48"/>
  <c r="JI53" i="48"/>
  <c r="JI63" i="48"/>
  <c r="JL20" i="44" s="1"/>
  <c r="JI60" i="48"/>
  <c r="JI62" i="48"/>
  <c r="JL11" i="44" s="1"/>
  <c r="JI55" i="48"/>
  <c r="JI57" i="48"/>
  <c r="JK26" i="44"/>
  <c r="JN26" i="44"/>
  <c r="JL10" i="44"/>
  <c r="JL24" i="44" s="1"/>
  <c r="JK18" i="44"/>
  <c r="JH56" i="48"/>
  <c r="JH60" i="48"/>
  <c r="JH55" i="48"/>
  <c r="JH57" i="48"/>
  <c r="JH59" i="48"/>
  <c r="JH61" i="48"/>
  <c r="JH62" i="48"/>
  <c r="JK11" i="44" s="1"/>
  <c r="JH54" i="48"/>
  <c r="JH58" i="48"/>
  <c r="JH63" i="48"/>
  <c r="JK20" i="44" s="1"/>
  <c r="JH53" i="48"/>
  <c r="JM49" i="48"/>
  <c r="JQ10" i="44" s="1"/>
  <c r="JQ24" i="44" s="1"/>
  <c r="JM43" i="48"/>
  <c r="JP7" i="44" s="1"/>
  <c r="JM47" i="48"/>
  <c r="JP16" i="44" s="1"/>
  <c r="JM50" i="48"/>
  <c r="JP19" i="44" s="1"/>
  <c r="JM40" i="48"/>
  <c r="JP4" i="44" s="1"/>
  <c r="JM44" i="48"/>
  <c r="JP8" i="44" s="1"/>
  <c r="JM48" i="48"/>
  <c r="JP17" i="44" s="1"/>
  <c r="JM41" i="48"/>
  <c r="JP5" i="44" s="1"/>
  <c r="JM45" i="48"/>
  <c r="JP14" i="44" s="1"/>
  <c r="JM46" i="48"/>
  <c r="JP15" i="44" s="1"/>
  <c r="JM42" i="48"/>
  <c r="JP6" i="44" s="1"/>
  <c r="JP12" i="44"/>
  <c r="JP21" i="44"/>
  <c r="JM8" i="48"/>
  <c r="JL57" i="48"/>
  <c r="JL63" i="48"/>
  <c r="JO20" i="44" s="1"/>
  <c r="JL59" i="48"/>
  <c r="JL56" i="48"/>
  <c r="JL58" i="48"/>
  <c r="JL54" i="48"/>
  <c r="JL55" i="48"/>
  <c r="JL60" i="48"/>
  <c r="JL53" i="48"/>
  <c r="JL61" i="48"/>
  <c r="JL62" i="48"/>
  <c r="JO11" i="44" s="1"/>
  <c r="JJ59" i="48"/>
  <c r="JJ61" i="48"/>
  <c r="JJ54" i="48"/>
  <c r="JJ60" i="48"/>
  <c r="JJ63" i="48"/>
  <c r="JM20" i="44" s="1"/>
  <c r="JJ56" i="48"/>
  <c r="JJ62" i="48"/>
  <c r="JM11" i="44" s="1"/>
  <c r="JJ55" i="48"/>
  <c r="JJ58" i="48"/>
  <c r="JJ57" i="48"/>
  <c r="JJ53" i="48"/>
  <c r="JM56" i="48"/>
  <c r="JM55" i="48"/>
  <c r="JM60" i="48"/>
  <c r="JM53" i="48"/>
  <c r="JM59" i="48"/>
  <c r="JM61" i="48"/>
  <c r="JM54" i="48"/>
  <c r="JM58" i="48"/>
  <c r="JM63" i="48"/>
  <c r="JP20" i="44" s="1"/>
  <c r="JM57" i="48"/>
  <c r="JM62" i="48"/>
  <c r="JP11" i="44" s="1"/>
  <c r="JL43" i="48"/>
  <c r="JO7" i="44" s="1"/>
  <c r="JL47" i="48"/>
  <c r="JO16" i="44" s="1"/>
  <c r="JL50" i="48"/>
  <c r="JO19" i="44" s="1"/>
  <c r="JL40" i="48"/>
  <c r="JO4" i="44" s="1"/>
  <c r="JL44" i="48"/>
  <c r="JO8" i="44" s="1"/>
  <c r="JL48" i="48"/>
  <c r="JO17" i="44" s="1"/>
  <c r="JL41" i="48"/>
  <c r="JO5" i="44" s="1"/>
  <c r="JL45" i="48"/>
  <c r="JO14" i="44" s="1"/>
  <c r="JL42" i="48"/>
  <c r="JO6" i="44" s="1"/>
  <c r="JL46" i="48"/>
  <c r="JO15" i="44" s="1"/>
  <c r="JL49" i="48"/>
  <c r="JO12" i="44"/>
  <c r="JO21" i="44"/>
  <c r="JL8" i="48"/>
  <c r="JJ40" i="48"/>
  <c r="JM4" i="44" s="1"/>
  <c r="JJ44" i="48"/>
  <c r="JM8" i="44" s="1"/>
  <c r="JJ48" i="48"/>
  <c r="JM17" i="44" s="1"/>
  <c r="JJ41" i="48"/>
  <c r="JM5" i="44" s="1"/>
  <c r="JJ45" i="48"/>
  <c r="JM14" i="44" s="1"/>
  <c r="JJ42" i="48"/>
  <c r="JM6" i="44" s="1"/>
  <c r="JJ46" i="48"/>
  <c r="JM15" i="44" s="1"/>
  <c r="JJ49" i="48"/>
  <c r="JN10" i="44" s="1"/>
  <c r="JN24" i="44" s="1"/>
  <c r="JJ43" i="48"/>
  <c r="JM7" i="44" s="1"/>
  <c r="JJ47" i="48"/>
  <c r="JM16" i="44" s="1"/>
  <c r="JJ50" i="48"/>
  <c r="JM19" i="44" s="1"/>
  <c r="JM12" i="44"/>
  <c r="JM21" i="44"/>
  <c r="JJ8" i="48"/>
  <c r="JJ26" i="44"/>
  <c r="JG55" i="48"/>
  <c r="JG62" i="48"/>
  <c r="JJ11" i="44" s="1"/>
  <c r="JG54" i="48"/>
  <c r="JG53" i="48"/>
  <c r="JG56" i="48"/>
  <c r="JG63" i="48"/>
  <c r="JJ20" i="44" s="1"/>
  <c r="JG58" i="48"/>
  <c r="JG59" i="48"/>
  <c r="JG57" i="48"/>
  <c r="JG60" i="48"/>
  <c r="JG61" i="48"/>
  <c r="JJ18" i="44"/>
  <c r="IY47" i="48"/>
  <c r="JB16" i="44" s="1"/>
  <c r="JC8" i="48"/>
  <c r="JC43" i="48"/>
  <c r="JF7" i="44" s="1"/>
  <c r="JC49" i="48"/>
  <c r="JC42" i="48"/>
  <c r="JF6" i="44" s="1"/>
  <c r="JC50" i="48"/>
  <c r="JF19" i="44" s="1"/>
  <c r="JC47" i="48"/>
  <c r="JF16" i="44" s="1"/>
  <c r="JF12" i="44"/>
  <c r="JF21" i="44"/>
  <c r="JF26" i="44" s="1"/>
  <c r="JC45" i="48"/>
  <c r="JF14" i="44" s="1"/>
  <c r="JC41" i="48"/>
  <c r="JF5" i="44" s="1"/>
  <c r="JC48" i="48"/>
  <c r="JF17" i="44" s="1"/>
  <c r="JC46" i="48"/>
  <c r="JF15" i="44" s="1"/>
  <c r="JC44" i="48"/>
  <c r="JF8" i="44" s="1"/>
  <c r="IY49" i="48"/>
  <c r="JC10" i="44" s="1"/>
  <c r="JC24" i="44" s="1"/>
  <c r="IY46" i="48"/>
  <c r="JB15" i="44" s="1"/>
  <c r="IY45" i="48"/>
  <c r="JB14" i="44" s="1"/>
  <c r="IY43" i="48"/>
  <c r="JB7" i="44" s="1"/>
  <c r="IY42" i="48"/>
  <c r="JB6" i="44" s="1"/>
  <c r="IY8" i="48"/>
  <c r="IY44" i="48"/>
  <c r="JB8" i="44" s="1"/>
  <c r="JB21" i="44"/>
  <c r="IY41" i="48"/>
  <c r="JB5" i="44" s="1"/>
  <c r="JB12" i="44"/>
  <c r="JC26" i="44"/>
  <c r="IZ55" i="48"/>
  <c r="IZ62" i="48"/>
  <c r="JC11" i="44" s="1"/>
  <c r="IZ54" i="48"/>
  <c r="IZ57" i="48"/>
  <c r="IZ58" i="48"/>
  <c r="IZ59" i="48"/>
  <c r="IZ63" i="48"/>
  <c r="JC20" i="44" s="1"/>
  <c r="IZ61" i="48"/>
  <c r="IZ53" i="48"/>
  <c r="IZ60" i="48"/>
  <c r="IZ56" i="48"/>
  <c r="JF58" i="48"/>
  <c r="JF60" i="48"/>
  <c r="JF53" i="48"/>
  <c r="JF63" i="48"/>
  <c r="JI20" i="44" s="1"/>
  <c r="JF55" i="48"/>
  <c r="JF59" i="48"/>
  <c r="JF61" i="48"/>
  <c r="JF56" i="48"/>
  <c r="JF57" i="48"/>
  <c r="JF62" i="48"/>
  <c r="JI11" i="44" s="1"/>
  <c r="JF54" i="48"/>
  <c r="JB40" i="48"/>
  <c r="JE4" i="44" s="1"/>
  <c r="JB44" i="48"/>
  <c r="JE8" i="44" s="1"/>
  <c r="JB48" i="48"/>
  <c r="JE17" i="44" s="1"/>
  <c r="JB41" i="48"/>
  <c r="JE5" i="44" s="1"/>
  <c r="JB45" i="48"/>
  <c r="JE14" i="44" s="1"/>
  <c r="JB42" i="48"/>
  <c r="JE6" i="44" s="1"/>
  <c r="JB46" i="48"/>
  <c r="JE15" i="44" s="1"/>
  <c r="JB49" i="48"/>
  <c r="JB43" i="48"/>
  <c r="JE7" i="44" s="1"/>
  <c r="JB47" i="48"/>
  <c r="JE16" i="44" s="1"/>
  <c r="JB50" i="48"/>
  <c r="JE19" i="44" s="1"/>
  <c r="JE21" i="44"/>
  <c r="JE12" i="44"/>
  <c r="JB8" i="48"/>
  <c r="JF42" i="48"/>
  <c r="JI6" i="44" s="1"/>
  <c r="JF46" i="48"/>
  <c r="JI15" i="44" s="1"/>
  <c r="JF49" i="48"/>
  <c r="JJ10" i="44" s="1"/>
  <c r="JJ24" i="44" s="1"/>
  <c r="JF43" i="48"/>
  <c r="JI7" i="44" s="1"/>
  <c r="JF47" i="48"/>
  <c r="JI16" i="44" s="1"/>
  <c r="JF50" i="48"/>
  <c r="JI19" i="44" s="1"/>
  <c r="JF40" i="48"/>
  <c r="JI4" i="44" s="1"/>
  <c r="JF44" i="48"/>
  <c r="JI8" i="44" s="1"/>
  <c r="JF48" i="48"/>
  <c r="JI17" i="44" s="1"/>
  <c r="JF41" i="48"/>
  <c r="JI5" i="44" s="1"/>
  <c r="JF45" i="48"/>
  <c r="JI14" i="44" s="1"/>
  <c r="JI12" i="44"/>
  <c r="JI21" i="44"/>
  <c r="JF8" i="48"/>
  <c r="JE56" i="48"/>
  <c r="JE60" i="48"/>
  <c r="JE58" i="48"/>
  <c r="JE61" i="48"/>
  <c r="JE62" i="48"/>
  <c r="JH11" i="44" s="1"/>
  <c r="JE59" i="48"/>
  <c r="JE53" i="48"/>
  <c r="JE54" i="48"/>
  <c r="JE63" i="48"/>
  <c r="JH20" i="44" s="1"/>
  <c r="JE57" i="48"/>
  <c r="JE55" i="48"/>
  <c r="JD43" i="48"/>
  <c r="JG7" i="44" s="1"/>
  <c r="JD47" i="48"/>
  <c r="JG16" i="44" s="1"/>
  <c r="JD50" i="48"/>
  <c r="JG19" i="44" s="1"/>
  <c r="JD40" i="48"/>
  <c r="JG4" i="44" s="1"/>
  <c r="JD44" i="48"/>
  <c r="JG8" i="44" s="1"/>
  <c r="JD48" i="48"/>
  <c r="JG17" i="44" s="1"/>
  <c r="JD41" i="48"/>
  <c r="JG5" i="44" s="1"/>
  <c r="JD45" i="48"/>
  <c r="JG14" i="44" s="1"/>
  <c r="JD42" i="48"/>
  <c r="JG6" i="44" s="1"/>
  <c r="JD46" i="48"/>
  <c r="JG15" i="44" s="1"/>
  <c r="JD49" i="48"/>
  <c r="JG12" i="44"/>
  <c r="JG21" i="44"/>
  <c r="JD8" i="48"/>
  <c r="JD56" i="48"/>
  <c r="JD57" i="48"/>
  <c r="JD60" i="48"/>
  <c r="JD62" i="48"/>
  <c r="JG11" i="44" s="1"/>
  <c r="JD58" i="48"/>
  <c r="JD54" i="48"/>
  <c r="JD61" i="48"/>
  <c r="JD59" i="48"/>
  <c r="JD53" i="48"/>
  <c r="JD63" i="48"/>
  <c r="JG20" i="44" s="1"/>
  <c r="JD55" i="48"/>
  <c r="JA41" i="48"/>
  <c r="JD5" i="44" s="1"/>
  <c r="JA45" i="48"/>
  <c r="JD14" i="44" s="1"/>
  <c r="JA48" i="48"/>
  <c r="JD17" i="44" s="1"/>
  <c r="JA42" i="48"/>
  <c r="JD6" i="44" s="1"/>
  <c r="JA46" i="48"/>
  <c r="JD15" i="44" s="1"/>
  <c r="JA49" i="48"/>
  <c r="JA40" i="48"/>
  <c r="JD4" i="44" s="1"/>
  <c r="JA43" i="48"/>
  <c r="JD7" i="44" s="1"/>
  <c r="JA47" i="48"/>
  <c r="JD16" i="44" s="1"/>
  <c r="JA50" i="48"/>
  <c r="JD19" i="44" s="1"/>
  <c r="JA44" i="48"/>
  <c r="JD8" i="44" s="1"/>
  <c r="JD12" i="44"/>
  <c r="JD21" i="44"/>
  <c r="JA8" i="48"/>
  <c r="JC61" i="48"/>
  <c r="JC53" i="48"/>
  <c r="JC60" i="48"/>
  <c r="JC55" i="48"/>
  <c r="JC63" i="48"/>
  <c r="JF20" i="44" s="1"/>
  <c r="JC56" i="48"/>
  <c r="JC54" i="48"/>
  <c r="JC59" i="48"/>
  <c r="JC57" i="48"/>
  <c r="JC58" i="48"/>
  <c r="JC62" i="48"/>
  <c r="JF11" i="44" s="1"/>
  <c r="JB59" i="48"/>
  <c r="JB63" i="48"/>
  <c r="JE20" i="44" s="1"/>
  <c r="JE25" i="44" s="1"/>
  <c r="JB60" i="48"/>
  <c r="JB54" i="48"/>
  <c r="JB53" i="48"/>
  <c r="JB62" i="48"/>
  <c r="JE11" i="44" s="1"/>
  <c r="JB55" i="48"/>
  <c r="JB58" i="48"/>
  <c r="JB57" i="48"/>
  <c r="JB56" i="48"/>
  <c r="JB61" i="48"/>
  <c r="JE43" i="48"/>
  <c r="JH7" i="44" s="1"/>
  <c r="JE47" i="48"/>
  <c r="JH16" i="44" s="1"/>
  <c r="JE50" i="48"/>
  <c r="JH19" i="44" s="1"/>
  <c r="JE49" i="48"/>
  <c r="JE40" i="48"/>
  <c r="JH4" i="44" s="1"/>
  <c r="JE44" i="48"/>
  <c r="JH8" i="44" s="1"/>
  <c r="JE48" i="48"/>
  <c r="JH17" i="44" s="1"/>
  <c r="JE46" i="48"/>
  <c r="JH15" i="44" s="1"/>
  <c r="JE41" i="48"/>
  <c r="JH5" i="44" s="1"/>
  <c r="JE45" i="48"/>
  <c r="JH14" i="44" s="1"/>
  <c r="JE42" i="48"/>
  <c r="JH6" i="44" s="1"/>
  <c r="JH12" i="44"/>
  <c r="JH21" i="44"/>
  <c r="JE8" i="48"/>
  <c r="JA58" i="48"/>
  <c r="JA54" i="48"/>
  <c r="JA60" i="48"/>
  <c r="JA63" i="48"/>
  <c r="JD20" i="44" s="1"/>
  <c r="JA59" i="48"/>
  <c r="JA55" i="48"/>
  <c r="JA56" i="48"/>
  <c r="JA62" i="48"/>
  <c r="JD11" i="44" s="1"/>
  <c r="JA53" i="48"/>
  <c r="JA61" i="48"/>
  <c r="JA57" i="48"/>
  <c r="IY54" i="48"/>
  <c r="IY55" i="48"/>
  <c r="IY53" i="48"/>
  <c r="IY56" i="48"/>
  <c r="IY63" i="48"/>
  <c r="JB20" i="44" s="1"/>
  <c r="IY57" i="48"/>
  <c r="IY58" i="48"/>
  <c r="IY61" i="48"/>
  <c r="IY59" i="48"/>
  <c r="IY62" i="48"/>
  <c r="JB11" i="44" s="1"/>
  <c r="IY60" i="48"/>
  <c r="JA26" i="44"/>
  <c r="IW26" i="44"/>
  <c r="IW18" i="44"/>
  <c r="IX10" i="44"/>
  <c r="IW60" i="48"/>
  <c r="IW61" i="48"/>
  <c r="IW63" i="48"/>
  <c r="IZ20" i="44" s="1"/>
  <c r="IW54" i="48"/>
  <c r="IW57" i="48"/>
  <c r="IW59" i="48"/>
  <c r="IW62" i="48"/>
  <c r="IZ11" i="44" s="1"/>
  <c r="IW55" i="48"/>
  <c r="IW53" i="48"/>
  <c r="IW56" i="48"/>
  <c r="IW58" i="48"/>
  <c r="IS56" i="48"/>
  <c r="IS62" i="48"/>
  <c r="IV11" i="44" s="1"/>
  <c r="IS58" i="48"/>
  <c r="IS54" i="48"/>
  <c r="IS61" i="48"/>
  <c r="IS57" i="48"/>
  <c r="IS59" i="48"/>
  <c r="IS60" i="48"/>
  <c r="IS63" i="48"/>
  <c r="IV20" i="44" s="1"/>
  <c r="IS53" i="48"/>
  <c r="IS55" i="48"/>
  <c r="IV18" i="44"/>
  <c r="IV40" i="48"/>
  <c r="IY4" i="44" s="1"/>
  <c r="IV48" i="48"/>
  <c r="IY17" i="44" s="1"/>
  <c r="IV41" i="48"/>
  <c r="IY5" i="44" s="1"/>
  <c r="IV49" i="48"/>
  <c r="IV42" i="48"/>
  <c r="IY6" i="44" s="1"/>
  <c r="IV50" i="48"/>
  <c r="IY19" i="44" s="1"/>
  <c r="IV43" i="48"/>
  <c r="IY7" i="44" s="1"/>
  <c r="IV44" i="48"/>
  <c r="IY8" i="44" s="1"/>
  <c r="IV47" i="48"/>
  <c r="IY16" i="44" s="1"/>
  <c r="IV45" i="48"/>
  <c r="IY14" i="44" s="1"/>
  <c r="IV46" i="48"/>
  <c r="IY15" i="44" s="1"/>
  <c r="IY12" i="44"/>
  <c r="IY21" i="44"/>
  <c r="IT55" i="48"/>
  <c r="IT59" i="48"/>
  <c r="IT53" i="48"/>
  <c r="IT63" i="48"/>
  <c r="IW20" i="44" s="1"/>
  <c r="IT58" i="48"/>
  <c r="IT60" i="48"/>
  <c r="IT61" i="48"/>
  <c r="IT54" i="48"/>
  <c r="IT62" i="48"/>
  <c r="IW11" i="44" s="1"/>
  <c r="IT56" i="48"/>
  <c r="IT57" i="48"/>
  <c r="IV61" i="48"/>
  <c r="IV53" i="48"/>
  <c r="IV60" i="48"/>
  <c r="IV58" i="48"/>
  <c r="IV62" i="48"/>
  <c r="IY11" i="44" s="1"/>
  <c r="IV56" i="48"/>
  <c r="IV63" i="48"/>
  <c r="IY20" i="44" s="1"/>
  <c r="IY25" i="44" s="1"/>
  <c r="IV59" i="48"/>
  <c r="IV54" i="48"/>
  <c r="IV55" i="48"/>
  <c r="IV57" i="48"/>
  <c r="IX24" i="44"/>
  <c r="IU63" i="48"/>
  <c r="IX20" i="44" s="1"/>
  <c r="IU54" i="48"/>
  <c r="IU53" i="48"/>
  <c r="IU56" i="48"/>
  <c r="IU59" i="48"/>
  <c r="IU61" i="48"/>
  <c r="IU62" i="48"/>
  <c r="IX11" i="44" s="1"/>
  <c r="IU55" i="48"/>
  <c r="IU57" i="48"/>
  <c r="IU58" i="48"/>
  <c r="IU60" i="48"/>
  <c r="IX59" i="48"/>
  <c r="IX53" i="48"/>
  <c r="IX55" i="48"/>
  <c r="IX63" i="48"/>
  <c r="JA20" i="44" s="1"/>
  <c r="IX60" i="48"/>
  <c r="IX58" i="48"/>
  <c r="IX62" i="48"/>
  <c r="JA11" i="44" s="1"/>
  <c r="IX61" i="48"/>
  <c r="IX54" i="48"/>
  <c r="IX56" i="48"/>
  <c r="IX57" i="48"/>
  <c r="IW10" i="44"/>
  <c r="IW24" i="44" s="1"/>
  <c r="IW47" i="48"/>
  <c r="IZ16" i="44" s="1"/>
  <c r="IW40" i="48"/>
  <c r="IZ4" i="44" s="1"/>
  <c r="IW48" i="48"/>
  <c r="IZ17" i="44" s="1"/>
  <c r="IW41" i="48"/>
  <c r="IZ5" i="44" s="1"/>
  <c r="IW49" i="48"/>
  <c r="JA10" i="44" s="1"/>
  <c r="JA24" i="44" s="1"/>
  <c r="IW46" i="48"/>
  <c r="IZ15" i="44" s="1"/>
  <c r="IW42" i="48"/>
  <c r="IZ6" i="44" s="1"/>
  <c r="IW50" i="48"/>
  <c r="IZ19" i="44" s="1"/>
  <c r="IW43" i="48"/>
  <c r="IZ7" i="44" s="1"/>
  <c r="IW44" i="48"/>
  <c r="IZ8" i="44" s="1"/>
  <c r="IW45" i="48"/>
  <c r="IZ14" i="44" s="1"/>
  <c r="JA18" i="44" s="1"/>
  <c r="IZ21" i="44"/>
  <c r="IZ12" i="44"/>
  <c r="IM40" i="48"/>
  <c r="IP4" i="44" s="1"/>
  <c r="IM49" i="48"/>
  <c r="IO50" i="48"/>
  <c r="IR19" i="44" s="1"/>
  <c r="IM47" i="48"/>
  <c r="IP16" i="44" s="1"/>
  <c r="IM46" i="48"/>
  <c r="IP15" i="44" s="1"/>
  <c r="IM45" i="48"/>
  <c r="IP14" i="44" s="1"/>
  <c r="IM41" i="48"/>
  <c r="IP5" i="44" s="1"/>
  <c r="IP12" i="44"/>
  <c r="IP26" i="44" s="1"/>
  <c r="IM50" i="48"/>
  <c r="IP19" i="44" s="1"/>
  <c r="IM44" i="48"/>
  <c r="IP8" i="44" s="1"/>
  <c r="IM43" i="48"/>
  <c r="IP7" i="44" s="1"/>
  <c r="IR21" i="44"/>
  <c r="IO47" i="48"/>
  <c r="IR16" i="44" s="1"/>
  <c r="IN41" i="48"/>
  <c r="IQ5" i="44" s="1"/>
  <c r="IN48" i="48"/>
  <c r="IQ17" i="44" s="1"/>
  <c r="IN40" i="48"/>
  <c r="IQ4" i="44" s="1"/>
  <c r="IN47" i="48"/>
  <c r="IQ16" i="44" s="1"/>
  <c r="IN50" i="48"/>
  <c r="IQ19" i="44" s="1"/>
  <c r="IN46" i="48"/>
  <c r="IQ15" i="44" s="1"/>
  <c r="IN49" i="48"/>
  <c r="IR10" i="44" s="1"/>
  <c r="IR24" i="44" s="1"/>
  <c r="IN45" i="48"/>
  <c r="IQ14" i="44" s="1"/>
  <c r="IN8" i="48"/>
  <c r="IN44" i="48"/>
  <c r="IQ8" i="44" s="1"/>
  <c r="IQ21" i="44"/>
  <c r="IQ26" i="44" s="1"/>
  <c r="IO41" i="48"/>
  <c r="IR5" i="44" s="1"/>
  <c r="IO44" i="48"/>
  <c r="IR8" i="44" s="1"/>
  <c r="IO45" i="48"/>
  <c r="IR14" i="44" s="1"/>
  <c r="IO42" i="48"/>
  <c r="IR6" i="44" s="1"/>
  <c r="IR12" i="44"/>
  <c r="IO48" i="48"/>
  <c r="IR17" i="44" s="1"/>
  <c r="IO40" i="48"/>
  <c r="IR4" i="44" s="1"/>
  <c r="IO43" i="48"/>
  <c r="IR7" i="44" s="1"/>
  <c r="IQ63" i="48"/>
  <c r="IT20" i="44" s="1"/>
  <c r="IQ60" i="48"/>
  <c r="IQ61" i="48"/>
  <c r="IQ59" i="48"/>
  <c r="IQ55" i="48"/>
  <c r="IQ57" i="48"/>
  <c r="IQ56" i="48"/>
  <c r="IQ62" i="48"/>
  <c r="IT11" i="44" s="1"/>
  <c r="IQ58" i="48"/>
  <c r="IQ53" i="48"/>
  <c r="IQ54" i="48"/>
  <c r="IQ40" i="48"/>
  <c r="IT4" i="44" s="1"/>
  <c r="IQ41" i="48"/>
  <c r="IT5" i="44" s="1"/>
  <c r="IQ42" i="48"/>
  <c r="IT6" i="44" s="1"/>
  <c r="IQ43" i="48"/>
  <c r="IT7" i="44" s="1"/>
  <c r="IQ44" i="48"/>
  <c r="IT8" i="44" s="1"/>
  <c r="IQ45" i="48"/>
  <c r="IT14" i="44" s="1"/>
  <c r="IQ46" i="48"/>
  <c r="IT15" i="44" s="1"/>
  <c r="IQ47" i="48"/>
  <c r="IT16" i="44" s="1"/>
  <c r="IQ48" i="48"/>
  <c r="IT17" i="44" s="1"/>
  <c r="IQ49" i="48"/>
  <c r="IQ50" i="48"/>
  <c r="IT19" i="44" s="1"/>
  <c r="IT21" i="44"/>
  <c r="IT12" i="44"/>
  <c r="IO59" i="48"/>
  <c r="IO60" i="48"/>
  <c r="IO58" i="48"/>
  <c r="IO57" i="48"/>
  <c r="IO56" i="48"/>
  <c r="IO55" i="48"/>
  <c r="IO61" i="48"/>
  <c r="IO53" i="48"/>
  <c r="IO63" i="48"/>
  <c r="IR20" i="44" s="1"/>
  <c r="IO62" i="48"/>
  <c r="IR11" i="44" s="1"/>
  <c r="IO54" i="48"/>
  <c r="IN60" i="48"/>
  <c r="IN61" i="48"/>
  <c r="IN56" i="48"/>
  <c r="IN63" i="48"/>
  <c r="IQ20" i="44" s="1"/>
  <c r="IN59" i="48"/>
  <c r="IN57" i="48"/>
  <c r="IN58" i="48"/>
  <c r="IN53" i="48"/>
  <c r="IN54" i="48"/>
  <c r="IN55" i="48"/>
  <c r="IN62" i="48"/>
  <c r="IQ11" i="44" s="1"/>
  <c r="IR49" i="48"/>
  <c r="IV10" i="44" s="1"/>
  <c r="IV24" i="44" s="1"/>
  <c r="IR50" i="48"/>
  <c r="IU19" i="44" s="1"/>
  <c r="IR40" i="48"/>
  <c r="IU4" i="44" s="1"/>
  <c r="IV9" i="44" s="1"/>
  <c r="IR41" i="48"/>
  <c r="IU5" i="44" s="1"/>
  <c r="IR42" i="48"/>
  <c r="IU6" i="44" s="1"/>
  <c r="IR43" i="48"/>
  <c r="IU7" i="44" s="1"/>
  <c r="IR44" i="48"/>
  <c r="IU8" i="44" s="1"/>
  <c r="IR45" i="48"/>
  <c r="IU14" i="44" s="1"/>
  <c r="IR46" i="48"/>
  <c r="IU15" i="44" s="1"/>
  <c r="IR47" i="48"/>
  <c r="IU16" i="44" s="1"/>
  <c r="IX18" i="44" s="1"/>
  <c r="IR48" i="48"/>
  <c r="IU17" i="44" s="1"/>
  <c r="IU12" i="44"/>
  <c r="IU21" i="44"/>
  <c r="IR61" i="48"/>
  <c r="IR58" i="48"/>
  <c r="IR55" i="48"/>
  <c r="IR56" i="48"/>
  <c r="IR63" i="48"/>
  <c r="IU20" i="44" s="1"/>
  <c r="IR53" i="48"/>
  <c r="IR57" i="48"/>
  <c r="IR59" i="48"/>
  <c r="IR54" i="48"/>
  <c r="IR62" i="48"/>
  <c r="IU11" i="44" s="1"/>
  <c r="IR60" i="48"/>
  <c r="IM61" i="48"/>
  <c r="IM60" i="48"/>
  <c r="IM57" i="48"/>
  <c r="IM63" i="48"/>
  <c r="IP20" i="44" s="1"/>
  <c r="IM56" i="48"/>
  <c r="IM58" i="48"/>
  <c r="IM62" i="48"/>
  <c r="IP11" i="44" s="1"/>
  <c r="IM53" i="48"/>
  <c r="IM59" i="48"/>
  <c r="IM55" i="48"/>
  <c r="IM54" i="48"/>
  <c r="IL62" i="48"/>
  <c r="IO11" i="44" s="1"/>
  <c r="IL53" i="48"/>
  <c r="IL63" i="48"/>
  <c r="IO20" i="44" s="1"/>
  <c r="IL60" i="48"/>
  <c r="IL59" i="48"/>
  <c r="IL61" i="48"/>
  <c r="IL55" i="48"/>
  <c r="IL56" i="48"/>
  <c r="IL57" i="48"/>
  <c r="IL54" i="48"/>
  <c r="IL58" i="48"/>
  <c r="IL5" i="48"/>
  <c r="IO21" i="44" s="1"/>
  <c r="IP40" i="48"/>
  <c r="IS4" i="44" s="1"/>
  <c r="IP41" i="48"/>
  <c r="IS5" i="44" s="1"/>
  <c r="IP42" i="48"/>
  <c r="IS6" i="44" s="1"/>
  <c r="IP43" i="48"/>
  <c r="IS7" i="44" s="1"/>
  <c r="IP44" i="48"/>
  <c r="IS8" i="44" s="1"/>
  <c r="IP45" i="48"/>
  <c r="IS14" i="44" s="1"/>
  <c r="IP46" i="48"/>
  <c r="IS15" i="44" s="1"/>
  <c r="IP47" i="48"/>
  <c r="IS16" i="44" s="1"/>
  <c r="IP48" i="48"/>
  <c r="IS17" i="44" s="1"/>
  <c r="IP49" i="48"/>
  <c r="IP50" i="48"/>
  <c r="IS19" i="44" s="1"/>
  <c r="IS12" i="44"/>
  <c r="IS21" i="44"/>
  <c r="IO7" i="48"/>
  <c r="IP7" i="48" s="1"/>
  <c r="IP8" i="48" s="1"/>
  <c r="IP59" i="48"/>
  <c r="IP60" i="48"/>
  <c r="IP61" i="48"/>
  <c r="IP63" i="48"/>
  <c r="IS20" i="44" s="1"/>
  <c r="IP62" i="48"/>
  <c r="IS11" i="44" s="1"/>
  <c r="IP55" i="48"/>
  <c r="IP54" i="48"/>
  <c r="IP56" i="48"/>
  <c r="IP57" i="48"/>
  <c r="IP58" i="48"/>
  <c r="IP53" i="48"/>
  <c r="IN23" i="44"/>
  <c r="HC43" i="48"/>
  <c r="HF7" i="44" s="1"/>
  <c r="HC46" i="48"/>
  <c r="HF15" i="44" s="1"/>
  <c r="HC50" i="48"/>
  <c r="HF19" i="44" s="1"/>
  <c r="HC41" i="48"/>
  <c r="HF5" i="44" s="1"/>
  <c r="HC44" i="48"/>
  <c r="HF8" i="44" s="1"/>
  <c r="HC47" i="48"/>
  <c r="HF16" i="44" s="1"/>
  <c r="HC42" i="48"/>
  <c r="HF6" i="44" s="1"/>
  <c r="HC45" i="48"/>
  <c r="HF14" i="44" s="1"/>
  <c r="HC49" i="48"/>
  <c r="HC40" i="48"/>
  <c r="HF4" i="44" s="1"/>
  <c r="HC48" i="48"/>
  <c r="HF17" i="44" s="1"/>
  <c r="HF12" i="44"/>
  <c r="HF21" i="44"/>
  <c r="HD40" i="48"/>
  <c r="HG4" i="44" s="1"/>
  <c r="HD48" i="48"/>
  <c r="HG17" i="44" s="1"/>
  <c r="HD49" i="48"/>
  <c r="HD43" i="48"/>
  <c r="HG7" i="44" s="1"/>
  <c r="HD46" i="48"/>
  <c r="HG15" i="44" s="1"/>
  <c r="HD50" i="48"/>
  <c r="HG19" i="44" s="1"/>
  <c r="HD41" i="48"/>
  <c r="HG5" i="44" s="1"/>
  <c r="HD44" i="48"/>
  <c r="HG8" i="44" s="1"/>
  <c r="HD47" i="48"/>
  <c r="HG16" i="44" s="1"/>
  <c r="HD42" i="48"/>
  <c r="HG6" i="44" s="1"/>
  <c r="HD45" i="48"/>
  <c r="HG14" i="44" s="1"/>
  <c r="HG12" i="44"/>
  <c r="HG21" i="44"/>
  <c r="HE45" i="48"/>
  <c r="HH14" i="44" s="1"/>
  <c r="HE49" i="48"/>
  <c r="HE40" i="48"/>
  <c r="HH4" i="44" s="1"/>
  <c r="HE48" i="48"/>
  <c r="HH17" i="44" s="1"/>
  <c r="HE43" i="48"/>
  <c r="HH7" i="44" s="1"/>
  <c r="HE46" i="48"/>
  <c r="HH15" i="44" s="1"/>
  <c r="HE50" i="48"/>
  <c r="HH19" i="44" s="1"/>
  <c r="HE41" i="48"/>
  <c r="HH5" i="44" s="1"/>
  <c r="HE44" i="48"/>
  <c r="HH8" i="44" s="1"/>
  <c r="HE47" i="48"/>
  <c r="HH16" i="44" s="1"/>
  <c r="HE42" i="48"/>
  <c r="HH6" i="44" s="1"/>
  <c r="HH21" i="44"/>
  <c r="HH12" i="44"/>
  <c r="HF42" i="48"/>
  <c r="HI6" i="44" s="1"/>
  <c r="HF45" i="48"/>
  <c r="HI14" i="44" s="1"/>
  <c r="HF49" i="48"/>
  <c r="HF40" i="48"/>
  <c r="HI4" i="44" s="1"/>
  <c r="HF48" i="48"/>
  <c r="HI17" i="44" s="1"/>
  <c r="HF43" i="48"/>
  <c r="HI7" i="44" s="1"/>
  <c r="HF46" i="48"/>
  <c r="HI15" i="44" s="1"/>
  <c r="HF50" i="48"/>
  <c r="HI19" i="44" s="1"/>
  <c r="HF41" i="48"/>
  <c r="HI5" i="44" s="1"/>
  <c r="HF44" i="48"/>
  <c r="HI8" i="44" s="1"/>
  <c r="HF47" i="48"/>
  <c r="HI16" i="44" s="1"/>
  <c r="HI12" i="44"/>
  <c r="HI21" i="44"/>
  <c r="HI26" i="44" s="1"/>
  <c r="HB40" i="48"/>
  <c r="HE4" i="44" s="1"/>
  <c r="HB42" i="48"/>
  <c r="HE6" i="44" s="1"/>
  <c r="HB44" i="48"/>
  <c r="HE8" i="44" s="1"/>
  <c r="HB46" i="48"/>
  <c r="HE15" i="44" s="1"/>
  <c r="HB48" i="48"/>
  <c r="HE17" i="44" s="1"/>
  <c r="HB49" i="48"/>
  <c r="HF10" i="44" s="1"/>
  <c r="HB41" i="48"/>
  <c r="HE5" i="44" s="1"/>
  <c r="HB43" i="48"/>
  <c r="HE7" i="44" s="1"/>
  <c r="HB45" i="48"/>
  <c r="HE14" i="44" s="1"/>
  <c r="HB47" i="48"/>
  <c r="HE16" i="44" s="1"/>
  <c r="HB50" i="48"/>
  <c r="HE19" i="44" s="1"/>
  <c r="HE12" i="44"/>
  <c r="HE21" i="44"/>
  <c r="GW45" i="48"/>
  <c r="GZ14" i="44" s="1"/>
  <c r="GW49" i="48"/>
  <c r="GW44" i="48"/>
  <c r="GZ8" i="44" s="1"/>
  <c r="GW40" i="48"/>
  <c r="GZ4" i="44" s="1"/>
  <c r="GW48" i="48"/>
  <c r="GZ17" i="44" s="1"/>
  <c r="GW43" i="48"/>
  <c r="GZ7" i="44" s="1"/>
  <c r="GW47" i="48"/>
  <c r="GZ16" i="44" s="1"/>
  <c r="GW46" i="48"/>
  <c r="GZ15" i="44" s="1"/>
  <c r="GW50" i="48"/>
  <c r="GZ19" i="44" s="1"/>
  <c r="GW41" i="48"/>
  <c r="GZ5" i="44" s="1"/>
  <c r="GW42" i="48"/>
  <c r="GZ6" i="44" s="1"/>
  <c r="GZ12" i="44"/>
  <c r="GZ21" i="44"/>
  <c r="GY47" i="48"/>
  <c r="HB16" i="44" s="1"/>
  <c r="GY42" i="48"/>
  <c r="HB6" i="44" s="1"/>
  <c r="GY45" i="48"/>
  <c r="HB14" i="44" s="1"/>
  <c r="GY49" i="48"/>
  <c r="GY50" i="48"/>
  <c r="HB19" i="44" s="1"/>
  <c r="GY40" i="48"/>
  <c r="HB4" i="44" s="1"/>
  <c r="GY48" i="48"/>
  <c r="HB17" i="44" s="1"/>
  <c r="GY43" i="48"/>
  <c r="HB7" i="44" s="1"/>
  <c r="GY46" i="48"/>
  <c r="HB15" i="44" s="1"/>
  <c r="GY44" i="48"/>
  <c r="HB8" i="44" s="1"/>
  <c r="GY41" i="48"/>
  <c r="HB5" i="44" s="1"/>
  <c r="HB12" i="44"/>
  <c r="HB21" i="44"/>
  <c r="GV40" i="48"/>
  <c r="GY4" i="44" s="1"/>
  <c r="GV48" i="48"/>
  <c r="GY17" i="44" s="1"/>
  <c r="GV42" i="48"/>
  <c r="GY6" i="44" s="1"/>
  <c r="GV43" i="48"/>
  <c r="GY7" i="44" s="1"/>
  <c r="GV46" i="48"/>
  <c r="GY15" i="44" s="1"/>
  <c r="GV50" i="48"/>
  <c r="GY19" i="44" s="1"/>
  <c r="GV41" i="48"/>
  <c r="GY5" i="44" s="1"/>
  <c r="GV44" i="48"/>
  <c r="GY8" i="44" s="1"/>
  <c r="GV47" i="48"/>
  <c r="GY16" i="44" s="1"/>
  <c r="GV45" i="48"/>
  <c r="GY14" i="44" s="1"/>
  <c r="GV49" i="48"/>
  <c r="GY12" i="44"/>
  <c r="GY21" i="44"/>
  <c r="HA41" i="48"/>
  <c r="HD5" i="44" s="1"/>
  <c r="HA44" i="48"/>
  <c r="HD8" i="44" s="1"/>
  <c r="HA47" i="48"/>
  <c r="HD16" i="44" s="1"/>
  <c r="HA42" i="48"/>
  <c r="HD6" i="44" s="1"/>
  <c r="HA45" i="48"/>
  <c r="HD14" i="44" s="1"/>
  <c r="HA49" i="48"/>
  <c r="HA40" i="48"/>
  <c r="HD4" i="44" s="1"/>
  <c r="HA48" i="48"/>
  <c r="HD17" i="44" s="1"/>
  <c r="HA43" i="48"/>
  <c r="HD7" i="44" s="1"/>
  <c r="HA46" i="48"/>
  <c r="HD15" i="44" s="1"/>
  <c r="HA50" i="48"/>
  <c r="HD19" i="44" s="1"/>
  <c r="HD12" i="44"/>
  <c r="HD21" i="44"/>
  <c r="GU43" i="48"/>
  <c r="GX7" i="44" s="1"/>
  <c r="GU46" i="48"/>
  <c r="GX15" i="44" s="1"/>
  <c r="GU50" i="48"/>
  <c r="GX19" i="44" s="1"/>
  <c r="GU49" i="48"/>
  <c r="GU41" i="48"/>
  <c r="GX5" i="44" s="1"/>
  <c r="GU42" i="48"/>
  <c r="GX6" i="44" s="1"/>
  <c r="GU44" i="48"/>
  <c r="GX8" i="44" s="1"/>
  <c r="GU47" i="48"/>
  <c r="GX16" i="44" s="1"/>
  <c r="GU45" i="48"/>
  <c r="GX14" i="44" s="1"/>
  <c r="GU40" i="48"/>
  <c r="GX4" i="44" s="1"/>
  <c r="GU48" i="48"/>
  <c r="GX17" i="44" s="1"/>
  <c r="GX12" i="44"/>
  <c r="GX21" i="44"/>
  <c r="GX42" i="48"/>
  <c r="HA6" i="44" s="1"/>
  <c r="GX44" i="48"/>
  <c r="HA8" i="44" s="1"/>
  <c r="GX45" i="48"/>
  <c r="HA14" i="44" s="1"/>
  <c r="GX49" i="48"/>
  <c r="HB10" i="44" s="1"/>
  <c r="GX40" i="48"/>
  <c r="HA4" i="44" s="1"/>
  <c r="GX48" i="48"/>
  <c r="HA17" i="44" s="1"/>
  <c r="GX43" i="48"/>
  <c r="HA7" i="44" s="1"/>
  <c r="GX46" i="48"/>
  <c r="HA15" i="44" s="1"/>
  <c r="GX50" i="48"/>
  <c r="HA19" i="44" s="1"/>
  <c r="GX41" i="48"/>
  <c r="HA5" i="44" s="1"/>
  <c r="GX47" i="48"/>
  <c r="HA16" i="44" s="1"/>
  <c r="HA12" i="44"/>
  <c r="HA21" i="44"/>
  <c r="GZ44" i="48"/>
  <c r="HC8" i="44" s="1"/>
  <c r="GZ46" i="48"/>
  <c r="HC15" i="44" s="1"/>
  <c r="GZ47" i="48"/>
  <c r="HC16" i="44" s="1"/>
  <c r="GZ43" i="48"/>
  <c r="HC7" i="44" s="1"/>
  <c r="GZ42" i="48"/>
  <c r="HC6" i="44" s="1"/>
  <c r="GZ45" i="48"/>
  <c r="HC14" i="44" s="1"/>
  <c r="GZ49" i="48"/>
  <c r="GZ40" i="48"/>
  <c r="HC4" i="44" s="1"/>
  <c r="GZ48" i="48"/>
  <c r="HC17" i="44" s="1"/>
  <c r="GZ50" i="48"/>
  <c r="HC19" i="44" s="1"/>
  <c r="GZ41" i="48"/>
  <c r="HC5" i="44" s="1"/>
  <c r="HC12" i="44"/>
  <c r="HC21" i="44"/>
  <c r="GO43" i="48"/>
  <c r="GR7" i="44" s="1"/>
  <c r="GO44" i="48"/>
  <c r="GR8" i="44" s="1"/>
  <c r="GO45" i="48"/>
  <c r="GR14" i="44" s="1"/>
  <c r="GO46" i="48"/>
  <c r="GR15" i="44" s="1"/>
  <c r="GO42" i="48"/>
  <c r="GR6" i="44" s="1"/>
  <c r="GO50" i="48"/>
  <c r="GR19" i="44" s="1"/>
  <c r="GO47" i="48"/>
  <c r="GR16" i="44" s="1"/>
  <c r="GO40" i="48"/>
  <c r="GR4" i="44" s="1"/>
  <c r="GO48" i="48"/>
  <c r="GR17" i="44" s="1"/>
  <c r="GO41" i="48"/>
  <c r="GR5" i="44" s="1"/>
  <c r="GO49" i="48"/>
  <c r="GR12" i="44"/>
  <c r="GR21" i="44"/>
  <c r="GQ41" i="48"/>
  <c r="GT5" i="44" s="1"/>
  <c r="GQ49" i="48"/>
  <c r="GQ42" i="48"/>
  <c r="GT6" i="44" s="1"/>
  <c r="GQ50" i="48"/>
  <c r="GT19" i="44" s="1"/>
  <c r="GQ43" i="48"/>
  <c r="GT7" i="44" s="1"/>
  <c r="GQ44" i="48"/>
  <c r="GT8" i="44" s="1"/>
  <c r="GQ45" i="48"/>
  <c r="GT14" i="44" s="1"/>
  <c r="GQ40" i="48"/>
  <c r="GT4" i="44" s="1"/>
  <c r="GQ46" i="48"/>
  <c r="GT15" i="44" s="1"/>
  <c r="GQ48" i="48"/>
  <c r="GT17" i="44" s="1"/>
  <c r="GQ47" i="48"/>
  <c r="GT16" i="44" s="1"/>
  <c r="GT12" i="44"/>
  <c r="GT21" i="44"/>
  <c r="GR40" i="48"/>
  <c r="GU4" i="44" s="1"/>
  <c r="GR48" i="48"/>
  <c r="GU17" i="44" s="1"/>
  <c r="GR41" i="48"/>
  <c r="GU5" i="44" s="1"/>
  <c r="GR49" i="48"/>
  <c r="GR42" i="48"/>
  <c r="GU6" i="44" s="1"/>
  <c r="GR50" i="48"/>
  <c r="GU19" i="44" s="1"/>
  <c r="GR43" i="48"/>
  <c r="GU7" i="44" s="1"/>
  <c r="GR44" i="48"/>
  <c r="GU8" i="44" s="1"/>
  <c r="GR47" i="48"/>
  <c r="GU16" i="44" s="1"/>
  <c r="GR45" i="48"/>
  <c r="GU14" i="44" s="1"/>
  <c r="GR46" i="48"/>
  <c r="GU15" i="44" s="1"/>
  <c r="GU21" i="44"/>
  <c r="GU12" i="44"/>
  <c r="GP42" i="48"/>
  <c r="GS6" i="44" s="1"/>
  <c r="GP50" i="48"/>
  <c r="GS19" i="44" s="1"/>
  <c r="GP49" i="48"/>
  <c r="GP43" i="48"/>
  <c r="GS7" i="44" s="1"/>
  <c r="GP44" i="48"/>
  <c r="GS8" i="44" s="1"/>
  <c r="GP41" i="48"/>
  <c r="GS5" i="44" s="1"/>
  <c r="GP45" i="48"/>
  <c r="GS14" i="44" s="1"/>
  <c r="GP46" i="48"/>
  <c r="GS15" i="44" s="1"/>
  <c r="GP47" i="48"/>
  <c r="GS16" i="44" s="1"/>
  <c r="GP40" i="48"/>
  <c r="GS4" i="44" s="1"/>
  <c r="GP48" i="48"/>
  <c r="GS17" i="44" s="1"/>
  <c r="GS12" i="44"/>
  <c r="GS21" i="44"/>
  <c r="GT46" i="48"/>
  <c r="GW15" i="44" s="1"/>
  <c r="GT47" i="48"/>
  <c r="GW16" i="44" s="1"/>
  <c r="GT40" i="48"/>
  <c r="GW4" i="44" s="1"/>
  <c r="GT48" i="48"/>
  <c r="GW17" i="44" s="1"/>
  <c r="GT41" i="48"/>
  <c r="GW5" i="44" s="1"/>
  <c r="GT49" i="48"/>
  <c r="GT42" i="48"/>
  <c r="GW6" i="44" s="1"/>
  <c r="GT50" i="48"/>
  <c r="GW19" i="44" s="1"/>
  <c r="GT45" i="48"/>
  <c r="GW14" i="44" s="1"/>
  <c r="GT43" i="48"/>
  <c r="GW7" i="44" s="1"/>
  <c r="GT44" i="48"/>
  <c r="GW8" i="44" s="1"/>
  <c r="GW12" i="44"/>
  <c r="GW21" i="44"/>
  <c r="GS47" i="48"/>
  <c r="GV16" i="44" s="1"/>
  <c r="GS40" i="48"/>
  <c r="GV4" i="44" s="1"/>
  <c r="GS48" i="48"/>
  <c r="GV17" i="44" s="1"/>
  <c r="GS41" i="48"/>
  <c r="GV5" i="44" s="1"/>
  <c r="GS49" i="48"/>
  <c r="GS42" i="48"/>
  <c r="GV6" i="44" s="1"/>
  <c r="GS50" i="48"/>
  <c r="GV19" i="44" s="1"/>
  <c r="GS43" i="48"/>
  <c r="GV7" i="44" s="1"/>
  <c r="GS44" i="48"/>
  <c r="GV8" i="44" s="1"/>
  <c r="GS46" i="48"/>
  <c r="GV15" i="44" s="1"/>
  <c r="GS45" i="48"/>
  <c r="GV14" i="44" s="1"/>
  <c r="GV12" i="44"/>
  <c r="GV21" i="44"/>
  <c r="GN41" i="48"/>
  <c r="GQ5" i="44" s="1"/>
  <c r="GN45" i="48"/>
  <c r="GQ14" i="44" s="1"/>
  <c r="GN42" i="48"/>
  <c r="GQ6" i="44" s="1"/>
  <c r="GN46" i="48"/>
  <c r="GQ15" i="44" s="1"/>
  <c r="GN49" i="48"/>
  <c r="GN43" i="48"/>
  <c r="GQ7" i="44" s="1"/>
  <c r="GN47" i="48"/>
  <c r="GQ16" i="44" s="1"/>
  <c r="GN50" i="48"/>
  <c r="GQ19" i="44" s="1"/>
  <c r="GN44" i="48"/>
  <c r="GQ8" i="44" s="1"/>
  <c r="GN48" i="48"/>
  <c r="GQ17" i="44" s="1"/>
  <c r="GN40" i="48"/>
  <c r="GQ4" i="44" s="1"/>
  <c r="GQ21" i="44"/>
  <c r="GQ12" i="44"/>
  <c r="GL46" i="48"/>
  <c r="GO15" i="44" s="1"/>
  <c r="GL47" i="48"/>
  <c r="GO16" i="44" s="1"/>
  <c r="GL40" i="48"/>
  <c r="GO4" i="44" s="1"/>
  <c r="GL48" i="48"/>
  <c r="GO17" i="44" s="1"/>
  <c r="GL49" i="48"/>
  <c r="GL41" i="48"/>
  <c r="GO5" i="44" s="1"/>
  <c r="GL42" i="48"/>
  <c r="GO6" i="44" s="1"/>
  <c r="GL50" i="48"/>
  <c r="GO19" i="44" s="1"/>
  <c r="GL43" i="48"/>
  <c r="GO7" i="44" s="1"/>
  <c r="GL44" i="48"/>
  <c r="GO8" i="44" s="1"/>
  <c r="GL45" i="48"/>
  <c r="GO14" i="44" s="1"/>
  <c r="GO12" i="44"/>
  <c r="GO21" i="44"/>
  <c r="GI41" i="48"/>
  <c r="GL5" i="44" s="1"/>
  <c r="GI49" i="48"/>
  <c r="GI42" i="48"/>
  <c r="GL6" i="44" s="1"/>
  <c r="GI50" i="48"/>
  <c r="GL19" i="44" s="1"/>
  <c r="GI43" i="48"/>
  <c r="GL7" i="44" s="1"/>
  <c r="GI44" i="48"/>
  <c r="GL8" i="44" s="1"/>
  <c r="GI45" i="48"/>
  <c r="GL14" i="44" s="1"/>
  <c r="GI46" i="48"/>
  <c r="GL15" i="44" s="1"/>
  <c r="GI47" i="48"/>
  <c r="GL16" i="44" s="1"/>
  <c r="GI40" i="48"/>
  <c r="GL4" i="44" s="1"/>
  <c r="GI48" i="48"/>
  <c r="GL17" i="44" s="1"/>
  <c r="GL12" i="44"/>
  <c r="GL21" i="44"/>
  <c r="GJ40" i="48"/>
  <c r="GM4" i="44" s="1"/>
  <c r="GJ48" i="48"/>
  <c r="GM17" i="44" s="1"/>
  <c r="GJ41" i="48"/>
  <c r="GM5" i="44" s="1"/>
  <c r="GJ49" i="48"/>
  <c r="GJ42" i="48"/>
  <c r="GM6" i="44" s="1"/>
  <c r="GJ50" i="48"/>
  <c r="GM19" i="44" s="1"/>
  <c r="GJ43" i="48"/>
  <c r="GM7" i="44" s="1"/>
  <c r="GJ44" i="48"/>
  <c r="GM8" i="44" s="1"/>
  <c r="GJ45" i="48"/>
  <c r="GM14" i="44" s="1"/>
  <c r="GJ46" i="48"/>
  <c r="GM15" i="44" s="1"/>
  <c r="GJ47" i="48"/>
  <c r="GM16" i="44" s="1"/>
  <c r="GM12" i="44"/>
  <c r="GM21" i="44"/>
  <c r="GK47" i="48"/>
  <c r="GN16" i="44" s="1"/>
  <c r="GK40" i="48"/>
  <c r="GN4" i="44" s="1"/>
  <c r="GK48" i="48"/>
  <c r="GN17" i="44" s="1"/>
  <c r="GK50" i="48"/>
  <c r="GN19" i="44" s="1"/>
  <c r="GK41" i="48"/>
  <c r="GN5" i="44" s="1"/>
  <c r="GK49" i="48"/>
  <c r="GK42" i="48"/>
  <c r="GN6" i="44" s="1"/>
  <c r="GK43" i="48"/>
  <c r="GN7" i="44" s="1"/>
  <c r="GK44" i="48"/>
  <c r="GN8" i="44" s="1"/>
  <c r="GK45" i="48"/>
  <c r="GN14" i="44" s="1"/>
  <c r="GK46" i="48"/>
  <c r="GN15" i="44" s="1"/>
  <c r="GN12" i="44"/>
  <c r="GN21" i="44"/>
  <c r="GM45" i="48"/>
  <c r="GP14" i="44" s="1"/>
  <c r="GM46" i="48"/>
  <c r="GP15" i="44" s="1"/>
  <c r="GM47" i="48"/>
  <c r="GP16" i="44" s="1"/>
  <c r="GM40" i="48"/>
  <c r="GP4" i="44" s="1"/>
  <c r="GM48" i="48"/>
  <c r="GP17" i="44" s="1"/>
  <c r="GM41" i="48"/>
  <c r="GP5" i="44" s="1"/>
  <c r="GM49" i="48"/>
  <c r="GM42" i="48"/>
  <c r="GP6" i="44" s="1"/>
  <c r="GM50" i="48"/>
  <c r="GP19" i="44" s="1"/>
  <c r="GM43" i="48"/>
  <c r="GP7" i="44" s="1"/>
  <c r="GM44" i="48"/>
  <c r="GP8" i="44" s="1"/>
  <c r="GP21" i="44"/>
  <c r="GP12" i="44"/>
  <c r="GG43" i="48"/>
  <c r="GJ7" i="44" s="1"/>
  <c r="GG44" i="48"/>
  <c r="GJ8" i="44" s="1"/>
  <c r="GG45" i="48"/>
  <c r="GJ14" i="44" s="1"/>
  <c r="GG46" i="48"/>
  <c r="GJ15" i="44" s="1"/>
  <c r="GG47" i="48"/>
  <c r="GJ16" i="44" s="1"/>
  <c r="GG40" i="48"/>
  <c r="GJ4" i="44" s="1"/>
  <c r="GG48" i="48"/>
  <c r="GJ17" i="44" s="1"/>
  <c r="GG41" i="48"/>
  <c r="GJ5" i="44" s="1"/>
  <c r="GG49" i="48"/>
  <c r="GG42" i="48"/>
  <c r="GJ6" i="44" s="1"/>
  <c r="GG50" i="48"/>
  <c r="GJ19" i="44" s="1"/>
  <c r="GJ12" i="44"/>
  <c r="GJ21" i="44"/>
  <c r="GH42" i="48"/>
  <c r="GK6" i="44" s="1"/>
  <c r="GH50" i="48"/>
  <c r="GK19" i="44" s="1"/>
  <c r="GH43" i="48"/>
  <c r="GK7" i="44" s="1"/>
  <c r="GH44" i="48"/>
  <c r="GK8" i="44" s="1"/>
  <c r="GH45" i="48"/>
  <c r="GK14" i="44" s="1"/>
  <c r="GH46" i="48"/>
  <c r="GK15" i="44" s="1"/>
  <c r="GH47" i="48"/>
  <c r="GK16" i="44" s="1"/>
  <c r="GH40" i="48"/>
  <c r="GK4" i="44" s="1"/>
  <c r="GH48" i="48"/>
  <c r="GK17" i="44" s="1"/>
  <c r="GH41" i="48"/>
  <c r="GK5" i="44" s="1"/>
  <c r="GH49" i="48"/>
  <c r="GK12" i="44"/>
  <c r="GK21" i="44"/>
  <c r="GA45" i="48"/>
  <c r="GD14" i="44" s="1"/>
  <c r="GA49" i="48"/>
  <c r="GA41" i="48"/>
  <c r="GD5" i="44" s="1"/>
  <c r="GA44" i="48"/>
  <c r="GD8" i="44" s="1"/>
  <c r="GA50" i="48"/>
  <c r="GD19" i="44" s="1"/>
  <c r="GA43" i="48"/>
  <c r="GD7" i="44" s="1"/>
  <c r="GA40" i="48"/>
  <c r="GD4" i="44" s="1"/>
  <c r="GA47" i="48"/>
  <c r="GD16" i="44" s="1"/>
  <c r="GA42" i="48"/>
  <c r="GD6" i="44" s="1"/>
  <c r="GA46" i="48"/>
  <c r="GD15" i="44" s="1"/>
  <c r="GA48" i="48"/>
  <c r="GD17" i="44" s="1"/>
  <c r="GD41" i="48"/>
  <c r="GG5" i="44" s="1"/>
  <c r="GD48" i="48"/>
  <c r="GG17" i="44" s="1"/>
  <c r="GD44" i="48"/>
  <c r="GG8" i="44" s="1"/>
  <c r="GD47" i="48"/>
  <c r="GG16" i="44" s="1"/>
  <c r="GD46" i="48"/>
  <c r="GG15" i="44" s="1"/>
  <c r="GD50" i="48"/>
  <c r="GG19" i="44" s="1"/>
  <c r="GD45" i="48"/>
  <c r="GG14" i="44" s="1"/>
  <c r="GD49" i="48"/>
  <c r="GD42" i="48"/>
  <c r="GG6" i="44" s="1"/>
  <c r="GD40" i="48"/>
  <c r="GG4" i="44" s="1"/>
  <c r="GD43" i="48"/>
  <c r="GG7" i="44" s="1"/>
  <c r="GG21" i="44"/>
  <c r="GG12" i="44"/>
  <c r="GF40" i="48"/>
  <c r="GI4" i="44" s="1"/>
  <c r="GF43" i="48"/>
  <c r="GI7" i="44" s="1"/>
  <c r="GF46" i="48"/>
  <c r="GI15" i="44" s="1"/>
  <c r="GF48" i="48"/>
  <c r="GI17" i="44" s="1"/>
  <c r="GF50" i="48"/>
  <c r="GI19" i="44" s="1"/>
  <c r="GF47" i="48"/>
  <c r="GI16" i="44" s="1"/>
  <c r="GF44" i="48"/>
  <c r="GI8" i="44" s="1"/>
  <c r="GF42" i="48"/>
  <c r="GI6" i="44" s="1"/>
  <c r="GF41" i="48"/>
  <c r="GI5" i="44" s="1"/>
  <c r="GF45" i="48"/>
  <c r="GI14" i="44" s="1"/>
  <c r="GF49" i="48"/>
  <c r="GI21" i="44"/>
  <c r="GI12" i="44"/>
  <c r="GE42" i="48"/>
  <c r="GH6" i="44" s="1"/>
  <c r="GE49" i="48"/>
  <c r="GE43" i="48"/>
  <c r="GH7" i="44" s="1"/>
  <c r="GE48" i="48"/>
  <c r="GH17" i="44" s="1"/>
  <c r="GE47" i="48"/>
  <c r="GH16" i="44" s="1"/>
  <c r="GE46" i="48"/>
  <c r="GH15" i="44" s="1"/>
  <c r="GE50" i="48"/>
  <c r="GH19" i="44" s="1"/>
  <c r="GE45" i="48"/>
  <c r="GH14" i="44" s="1"/>
  <c r="GE41" i="48"/>
  <c r="GH5" i="44" s="1"/>
  <c r="GE40" i="48"/>
  <c r="GH4" i="44" s="1"/>
  <c r="GE44" i="48"/>
  <c r="GH8" i="44" s="1"/>
  <c r="GH12" i="44"/>
  <c r="GH21" i="44"/>
  <c r="H43" i="48"/>
  <c r="K7" i="44" s="1"/>
  <c r="H46" i="48"/>
  <c r="H50" i="48"/>
  <c r="K19" i="44" s="1"/>
  <c r="H48" i="48"/>
  <c r="FY40" i="48"/>
  <c r="GB4" i="44" s="1"/>
  <c r="FY48" i="48"/>
  <c r="GB17" i="44" s="1"/>
  <c r="FY42" i="48"/>
  <c r="GB6" i="44" s="1"/>
  <c r="FY44" i="48"/>
  <c r="GB8" i="44" s="1"/>
  <c r="FY47" i="48"/>
  <c r="GB16" i="44" s="1"/>
  <c r="FY45" i="48"/>
  <c r="GB14" i="44" s="1"/>
  <c r="FY41" i="48"/>
  <c r="GB5" i="44" s="1"/>
  <c r="FY49" i="48"/>
  <c r="FY46" i="48"/>
  <c r="GB15" i="44" s="1"/>
  <c r="FY50" i="48"/>
  <c r="GB19" i="44" s="1"/>
  <c r="FY43" i="48"/>
  <c r="GB7" i="44" s="1"/>
  <c r="FZ50" i="48"/>
  <c r="GC19" i="44" s="1"/>
  <c r="FZ40" i="48"/>
  <c r="GC4" i="44" s="1"/>
  <c r="FZ41" i="48"/>
  <c r="GC5" i="44" s="1"/>
  <c r="FZ42" i="48"/>
  <c r="GC6" i="44" s="1"/>
  <c r="FZ43" i="48"/>
  <c r="GC7" i="44" s="1"/>
  <c r="FZ44" i="48"/>
  <c r="GC8" i="44" s="1"/>
  <c r="FZ45" i="48"/>
  <c r="GC14" i="44" s="1"/>
  <c r="FZ46" i="48"/>
  <c r="GC15" i="44" s="1"/>
  <c r="FZ47" i="48"/>
  <c r="GC16" i="44" s="1"/>
  <c r="FZ49" i="48"/>
  <c r="FZ48" i="48"/>
  <c r="GC17" i="44" s="1"/>
  <c r="FX50" i="48"/>
  <c r="GA19" i="44" s="1"/>
  <c r="FX43" i="48"/>
  <c r="GA7" i="44" s="1"/>
  <c r="FX42" i="48"/>
  <c r="GA6" i="44" s="1"/>
  <c r="FX47" i="48"/>
  <c r="GA16" i="44" s="1"/>
  <c r="FX40" i="48"/>
  <c r="GA4" i="44" s="1"/>
  <c r="FX45" i="48"/>
  <c r="GA14" i="44" s="1"/>
  <c r="FX44" i="48"/>
  <c r="GA8" i="44" s="1"/>
  <c r="FX49" i="48"/>
  <c r="FX46" i="48"/>
  <c r="GA15" i="44" s="1"/>
  <c r="FX48" i="48"/>
  <c r="GA17" i="44" s="1"/>
  <c r="FX41" i="48"/>
  <c r="GA5" i="44" s="1"/>
  <c r="FW46" i="48"/>
  <c r="FZ15" i="44" s="1"/>
  <c r="FW47" i="48"/>
  <c r="FZ16" i="44" s="1"/>
  <c r="FW48" i="48"/>
  <c r="FZ17" i="44" s="1"/>
  <c r="FW44" i="48"/>
  <c r="FZ8" i="44" s="1"/>
  <c r="FW50" i="48"/>
  <c r="FZ19" i="44" s="1"/>
  <c r="FW43" i="48"/>
  <c r="FZ7" i="44" s="1"/>
  <c r="FW45" i="48"/>
  <c r="FZ14" i="44" s="1"/>
  <c r="FW49" i="48"/>
  <c r="FW42" i="48"/>
  <c r="FZ6" i="44" s="1"/>
  <c r="FW41" i="48"/>
  <c r="FZ5" i="44" s="1"/>
  <c r="FW40" i="48"/>
  <c r="FZ4" i="44" s="1"/>
  <c r="FV40" i="48"/>
  <c r="FY4" i="44" s="1"/>
  <c r="FV45" i="48"/>
  <c r="FY14" i="44" s="1"/>
  <c r="FV42" i="48"/>
  <c r="FY6" i="44" s="1"/>
  <c r="FV47" i="48"/>
  <c r="FY16" i="44" s="1"/>
  <c r="FV44" i="48"/>
  <c r="FY8" i="44" s="1"/>
  <c r="FV50" i="48"/>
  <c r="FY19" i="44" s="1"/>
  <c r="FV46" i="48"/>
  <c r="FY15" i="44" s="1"/>
  <c r="FV48" i="48"/>
  <c r="FY17" i="44" s="1"/>
  <c r="FV41" i="48"/>
  <c r="FY5" i="44" s="1"/>
  <c r="FV43" i="48"/>
  <c r="FY7" i="44" s="1"/>
  <c r="FV49" i="48"/>
  <c r="FU45" i="48"/>
  <c r="FX14" i="44" s="1"/>
  <c r="FU42" i="48"/>
  <c r="FX6" i="44" s="1"/>
  <c r="FU50" i="48"/>
  <c r="FX19" i="44" s="1"/>
  <c r="FU47" i="48"/>
  <c r="FX16" i="44" s="1"/>
  <c r="FU44" i="48"/>
  <c r="FX8" i="44" s="1"/>
  <c r="FU43" i="48"/>
  <c r="FX7" i="44" s="1"/>
  <c r="FU41" i="48"/>
  <c r="FX5" i="44" s="1"/>
  <c r="FU40" i="48"/>
  <c r="FX4" i="44" s="1"/>
  <c r="FU49" i="48"/>
  <c r="FU48" i="48"/>
  <c r="FX17" i="44" s="1"/>
  <c r="FU46" i="48"/>
  <c r="FX15" i="44" s="1"/>
  <c r="FT44" i="48"/>
  <c r="FW8" i="44" s="1"/>
  <c r="FT46" i="48"/>
  <c r="FW15" i="44" s="1"/>
  <c r="FT50" i="48"/>
  <c r="FW19" i="44" s="1"/>
  <c r="FT48" i="48"/>
  <c r="FW17" i="44" s="1"/>
  <c r="FT42" i="48"/>
  <c r="FW6" i="44" s="1"/>
  <c r="FT45" i="48"/>
  <c r="FW14" i="44" s="1"/>
  <c r="FT40" i="48"/>
  <c r="FW4" i="44" s="1"/>
  <c r="FT43" i="48"/>
  <c r="FW7" i="44" s="1"/>
  <c r="FT47" i="48"/>
  <c r="FW16" i="44" s="1"/>
  <c r="FT41" i="48"/>
  <c r="FW5" i="44" s="1"/>
  <c r="FT49" i="48"/>
  <c r="FS43" i="48"/>
  <c r="FV7" i="44" s="1"/>
  <c r="FS49" i="48"/>
  <c r="FS45" i="48"/>
  <c r="FV14" i="44" s="1"/>
  <c r="FS47" i="48"/>
  <c r="FV16" i="44" s="1"/>
  <c r="FS41" i="48"/>
  <c r="FV5" i="44" s="1"/>
  <c r="FS44" i="48"/>
  <c r="FV8" i="44" s="1"/>
  <c r="FS50" i="48"/>
  <c r="FV19" i="44" s="1"/>
  <c r="FS42" i="48"/>
  <c r="FV6" i="44" s="1"/>
  <c r="FS46" i="48"/>
  <c r="FV15" i="44" s="1"/>
  <c r="FS48" i="48"/>
  <c r="FV17" i="44" s="1"/>
  <c r="FS40" i="48"/>
  <c r="FV4" i="44" s="1"/>
  <c r="FP48" i="48"/>
  <c r="FS17" i="44" s="1"/>
  <c r="FP47" i="48"/>
  <c r="FS16" i="44" s="1"/>
  <c r="FP46" i="48"/>
  <c r="FS15" i="44" s="1"/>
  <c r="FP50" i="48"/>
  <c r="FS19" i="44" s="1"/>
  <c r="FP45" i="48"/>
  <c r="FS14" i="44" s="1"/>
  <c r="FP49" i="48"/>
  <c r="FP44" i="48"/>
  <c r="FS8" i="44" s="1"/>
  <c r="FP43" i="48"/>
  <c r="FS7" i="44" s="1"/>
  <c r="FP42" i="48"/>
  <c r="FS6" i="44" s="1"/>
  <c r="FP41" i="48"/>
  <c r="FS5" i="44" s="1"/>
  <c r="FP40" i="48"/>
  <c r="FS4" i="44" s="1"/>
  <c r="FR48" i="48"/>
  <c r="FU17" i="44" s="1"/>
  <c r="FR49" i="48"/>
  <c r="FR47" i="48"/>
  <c r="FU16" i="44" s="1"/>
  <c r="FR46" i="48"/>
  <c r="FU15" i="44" s="1"/>
  <c r="FR50" i="48"/>
  <c r="FU19" i="44" s="1"/>
  <c r="FR45" i="48"/>
  <c r="FU14" i="44" s="1"/>
  <c r="FR44" i="48"/>
  <c r="FU8" i="44" s="1"/>
  <c r="FR43" i="48"/>
  <c r="FU7" i="44" s="1"/>
  <c r="FR42" i="48"/>
  <c r="FU6" i="44" s="1"/>
  <c r="FR41" i="48"/>
  <c r="FU5" i="44" s="1"/>
  <c r="FR40" i="48"/>
  <c r="FU4" i="44" s="1"/>
  <c r="FO47" i="48"/>
  <c r="FR16" i="44" s="1"/>
  <c r="FO46" i="48"/>
  <c r="FR15" i="44" s="1"/>
  <c r="FO50" i="48"/>
  <c r="FR19" i="44" s="1"/>
  <c r="FO45" i="48"/>
  <c r="FR14" i="44" s="1"/>
  <c r="FO49" i="48"/>
  <c r="FO44" i="48"/>
  <c r="FR8" i="44" s="1"/>
  <c r="FO43" i="48"/>
  <c r="FR7" i="44" s="1"/>
  <c r="FO48" i="48"/>
  <c r="FR17" i="44" s="1"/>
  <c r="FO42" i="48"/>
  <c r="FR6" i="44" s="1"/>
  <c r="FO41" i="48"/>
  <c r="FR5" i="44" s="1"/>
  <c r="FO40" i="48"/>
  <c r="FR4" i="44" s="1"/>
  <c r="FQ48" i="48"/>
  <c r="FT17" i="44" s="1"/>
  <c r="FQ47" i="48"/>
  <c r="FT16" i="44" s="1"/>
  <c r="FQ46" i="48"/>
  <c r="FT15" i="44" s="1"/>
  <c r="FQ50" i="48"/>
  <c r="FT19" i="44" s="1"/>
  <c r="FQ45" i="48"/>
  <c r="FT14" i="44" s="1"/>
  <c r="FQ49" i="48"/>
  <c r="FQ44" i="48"/>
  <c r="FT8" i="44" s="1"/>
  <c r="FQ43" i="48"/>
  <c r="FT7" i="44" s="1"/>
  <c r="FQ42" i="48"/>
  <c r="FT6" i="44" s="1"/>
  <c r="FQ41" i="48"/>
  <c r="FT5" i="44" s="1"/>
  <c r="FQ40" i="48"/>
  <c r="FT4" i="44" s="1"/>
  <c r="FU12" i="44"/>
  <c r="FT12" i="44"/>
  <c r="FN50" i="48"/>
  <c r="FQ19" i="44" s="1"/>
  <c r="FN40" i="48"/>
  <c r="FQ4" i="44" s="1"/>
  <c r="FN49" i="48"/>
  <c r="FN43" i="48"/>
  <c r="FQ7" i="44" s="1"/>
  <c r="FN41" i="48"/>
  <c r="FQ5" i="44" s="1"/>
  <c r="FN45" i="48"/>
  <c r="FQ14" i="44" s="1"/>
  <c r="FN47" i="48"/>
  <c r="FQ16" i="44" s="1"/>
  <c r="FN42" i="48"/>
  <c r="FQ6" i="44" s="1"/>
  <c r="FN44" i="48"/>
  <c r="FQ8" i="44" s="1"/>
  <c r="FN46" i="48"/>
  <c r="FQ15" i="44" s="1"/>
  <c r="FN48" i="48"/>
  <c r="FQ17" i="44" s="1"/>
  <c r="FM43" i="48"/>
  <c r="FP7" i="44" s="1"/>
  <c r="FM45" i="48"/>
  <c r="FP14" i="44" s="1"/>
  <c r="FM46" i="48"/>
  <c r="FP15" i="44" s="1"/>
  <c r="FM41" i="48"/>
  <c r="FP5" i="44" s="1"/>
  <c r="FM48" i="48"/>
  <c r="FP17" i="44" s="1"/>
  <c r="FM50" i="48"/>
  <c r="FP19" i="44" s="1"/>
  <c r="FM40" i="48"/>
  <c r="FP4" i="44" s="1"/>
  <c r="FM44" i="48"/>
  <c r="FP8" i="44" s="1"/>
  <c r="FM49" i="48"/>
  <c r="FM47" i="48"/>
  <c r="FP16" i="44" s="1"/>
  <c r="FM42" i="48"/>
  <c r="FP6" i="44" s="1"/>
  <c r="J18" i="44"/>
  <c r="FL40" i="48"/>
  <c r="FO4" i="44" s="1"/>
  <c r="FL48" i="48"/>
  <c r="FO17" i="44" s="1"/>
  <c r="FL41" i="48"/>
  <c r="FO5" i="44" s="1"/>
  <c r="FL42" i="48"/>
  <c r="FO6" i="44" s="1"/>
  <c r="FL45" i="48"/>
  <c r="FO14" i="44" s="1"/>
  <c r="FL43" i="48"/>
  <c r="FO7" i="44" s="1"/>
  <c r="FL49" i="48"/>
  <c r="FL44" i="48"/>
  <c r="FO8" i="44" s="1"/>
  <c r="FL50" i="48"/>
  <c r="FO19" i="44" s="1"/>
  <c r="FL46" i="48"/>
  <c r="FO15" i="44" s="1"/>
  <c r="FL47" i="48"/>
  <c r="FO16" i="44" s="1"/>
  <c r="FK41" i="48"/>
  <c r="FN5" i="44" s="1"/>
  <c r="FK42" i="48"/>
  <c r="FN6" i="44" s="1"/>
  <c r="FK46" i="48"/>
  <c r="FN15" i="44" s="1"/>
  <c r="FK43" i="48"/>
  <c r="FN7" i="44" s="1"/>
  <c r="FK49" i="48"/>
  <c r="FK44" i="48"/>
  <c r="FN8" i="44" s="1"/>
  <c r="FK50" i="48"/>
  <c r="FN19" i="44" s="1"/>
  <c r="FK45" i="48"/>
  <c r="FN14" i="44" s="1"/>
  <c r="FK47" i="48"/>
  <c r="FN16" i="44" s="1"/>
  <c r="FK40" i="48"/>
  <c r="FN4" i="44" s="1"/>
  <c r="FK48" i="48"/>
  <c r="FN17" i="44" s="1"/>
  <c r="FJ42" i="48"/>
  <c r="FM6" i="44" s="1"/>
  <c r="FJ43" i="48"/>
  <c r="FM7" i="44" s="1"/>
  <c r="FJ49" i="48"/>
  <c r="FJ47" i="48"/>
  <c r="FM16" i="44" s="1"/>
  <c r="FJ44" i="48"/>
  <c r="FM8" i="44" s="1"/>
  <c r="FJ50" i="48"/>
  <c r="FM19" i="44" s="1"/>
  <c r="FJ45" i="48"/>
  <c r="FM14" i="44" s="1"/>
  <c r="FJ46" i="48"/>
  <c r="FM15" i="44" s="1"/>
  <c r="FJ40" i="48"/>
  <c r="FM4" i="44" s="1"/>
  <c r="FJ48" i="48"/>
  <c r="FM17" i="44" s="1"/>
  <c r="FJ41" i="48"/>
  <c r="FM5" i="44" s="1"/>
  <c r="FI43" i="48"/>
  <c r="FL7" i="44" s="1"/>
  <c r="FI49" i="48"/>
  <c r="FI48" i="48"/>
  <c r="FL17" i="44" s="1"/>
  <c r="FI44" i="48"/>
  <c r="FL8" i="44" s="1"/>
  <c r="FI50" i="48"/>
  <c r="FL19" i="44" s="1"/>
  <c r="FI45" i="48"/>
  <c r="FL14" i="44" s="1"/>
  <c r="FI46" i="48"/>
  <c r="FL15" i="44" s="1"/>
  <c r="FI47" i="48"/>
  <c r="FL16" i="44" s="1"/>
  <c r="FI41" i="48"/>
  <c r="FL5" i="44" s="1"/>
  <c r="FI40" i="48"/>
  <c r="FL4" i="44" s="1"/>
  <c r="FI42" i="48"/>
  <c r="FL6" i="44" s="1"/>
  <c r="FH49" i="48"/>
  <c r="FH41" i="48"/>
  <c r="FK5" i="44" s="1"/>
  <c r="FH43" i="48"/>
  <c r="FK7" i="44" s="1"/>
  <c r="FH45" i="48"/>
  <c r="FK14" i="44" s="1"/>
  <c r="FH47" i="48"/>
  <c r="FK16" i="44" s="1"/>
  <c r="FH50" i="48"/>
  <c r="FK19" i="44" s="1"/>
  <c r="FH40" i="48"/>
  <c r="FK4" i="44" s="1"/>
  <c r="FH42" i="48"/>
  <c r="FK6" i="44" s="1"/>
  <c r="FH44" i="48"/>
  <c r="FK8" i="44" s="1"/>
  <c r="FH46" i="48"/>
  <c r="FK15" i="44" s="1"/>
  <c r="FH48" i="48"/>
  <c r="FK17" i="44" s="1"/>
  <c r="FG43" i="48"/>
  <c r="FJ7" i="44" s="1"/>
  <c r="FG47" i="48"/>
  <c r="FJ16" i="44" s="1"/>
  <c r="FG49" i="48"/>
  <c r="FG46" i="48"/>
  <c r="FJ15" i="44" s="1"/>
  <c r="FG41" i="48"/>
  <c r="FJ5" i="44" s="1"/>
  <c r="FG45" i="48"/>
  <c r="FJ14" i="44" s="1"/>
  <c r="FG44" i="48"/>
  <c r="FJ8" i="44" s="1"/>
  <c r="FG50" i="48"/>
  <c r="FJ19" i="44" s="1"/>
  <c r="FG48" i="48"/>
  <c r="FJ17" i="44" s="1"/>
  <c r="FG42" i="48"/>
  <c r="FJ6" i="44" s="1"/>
  <c r="FG40" i="48"/>
  <c r="FJ4" i="44" s="1"/>
  <c r="FE43" i="48"/>
  <c r="FH7" i="44" s="1"/>
  <c r="FE45" i="48"/>
  <c r="FH14" i="44" s="1"/>
  <c r="FE48" i="48"/>
  <c r="FH17" i="44" s="1"/>
  <c r="FE40" i="48"/>
  <c r="FH4" i="44" s="1"/>
  <c r="FE44" i="48"/>
  <c r="FH8" i="44" s="1"/>
  <c r="FE49" i="48"/>
  <c r="FE46" i="48"/>
  <c r="FH15" i="44" s="1"/>
  <c r="FE42" i="48"/>
  <c r="FH6" i="44" s="1"/>
  <c r="FE50" i="48"/>
  <c r="FH19" i="44" s="1"/>
  <c r="FE41" i="48"/>
  <c r="FH5" i="44" s="1"/>
  <c r="FE47" i="48"/>
  <c r="FH16" i="44" s="1"/>
  <c r="FF41" i="48"/>
  <c r="FI5" i="44" s="1"/>
  <c r="FF50" i="48"/>
  <c r="FI19" i="44" s="1"/>
  <c r="FF48" i="48"/>
  <c r="FI17" i="44" s="1"/>
  <c r="FF45" i="48"/>
  <c r="FI14" i="44" s="1"/>
  <c r="FF47" i="48"/>
  <c r="FI16" i="44" s="1"/>
  <c r="FF42" i="48"/>
  <c r="FI6" i="44" s="1"/>
  <c r="FF44" i="48"/>
  <c r="FI8" i="44" s="1"/>
  <c r="FF49" i="48"/>
  <c r="FF46" i="48"/>
  <c r="FI15" i="44" s="1"/>
  <c r="FF43" i="48"/>
  <c r="FI7" i="44" s="1"/>
  <c r="FF40" i="48"/>
  <c r="FI4" i="44" s="1"/>
  <c r="FH12" i="44"/>
  <c r="FB48" i="48"/>
  <c r="FE17" i="44" s="1"/>
  <c r="FB41" i="48"/>
  <c r="FE5" i="44" s="1"/>
  <c r="FB50" i="48"/>
  <c r="FE19" i="44" s="1"/>
  <c r="FB45" i="48"/>
  <c r="FE14" i="44" s="1"/>
  <c r="FB47" i="48"/>
  <c r="FE16" i="44" s="1"/>
  <c r="FB42" i="48"/>
  <c r="FE6" i="44" s="1"/>
  <c r="FB43" i="48"/>
  <c r="FE7" i="44" s="1"/>
  <c r="FB44" i="48"/>
  <c r="FE8" i="44" s="1"/>
  <c r="FB49" i="48"/>
  <c r="FB46" i="48"/>
  <c r="FE15" i="44" s="1"/>
  <c r="FB40" i="48"/>
  <c r="FE4" i="44" s="1"/>
  <c r="FC40" i="48"/>
  <c r="FF4" i="44" s="1"/>
  <c r="FC45" i="48"/>
  <c r="FF14" i="44" s="1"/>
  <c r="FC48" i="48"/>
  <c r="FF17" i="44" s="1"/>
  <c r="FC50" i="48"/>
  <c r="FF19" i="44" s="1"/>
  <c r="FC42" i="48"/>
  <c r="FF6" i="44" s="1"/>
  <c r="FC49" i="48"/>
  <c r="FC44" i="48"/>
  <c r="FF8" i="44" s="1"/>
  <c r="FC43" i="48"/>
  <c r="FF7" i="44" s="1"/>
  <c r="FC41" i="48"/>
  <c r="FF5" i="44" s="1"/>
  <c r="FC46" i="48"/>
  <c r="FF15" i="44" s="1"/>
  <c r="FC47" i="48"/>
  <c r="FF16" i="44" s="1"/>
  <c r="FD45" i="48"/>
  <c r="FG14" i="44" s="1"/>
  <c r="FD50" i="48"/>
  <c r="FG19" i="44" s="1"/>
  <c r="FD46" i="48"/>
  <c r="FG15" i="44" s="1"/>
  <c r="FD44" i="48"/>
  <c r="FG8" i="44" s="1"/>
  <c r="FD42" i="48"/>
  <c r="FG6" i="44" s="1"/>
  <c r="FD47" i="48"/>
  <c r="FG16" i="44" s="1"/>
  <c r="FD40" i="48"/>
  <c r="FG4" i="44" s="1"/>
  <c r="FD41" i="48"/>
  <c r="FG5" i="44" s="1"/>
  <c r="FD48" i="48"/>
  <c r="FG17" i="44" s="1"/>
  <c r="FD43" i="48"/>
  <c r="FG7" i="44" s="1"/>
  <c r="FD49" i="48"/>
  <c r="FA48" i="48"/>
  <c r="FD17" i="44" s="1"/>
  <c r="FA47" i="48"/>
  <c r="FD16" i="44" s="1"/>
  <c r="EZ47" i="48"/>
  <c r="FC16" i="44" s="1"/>
  <c r="EZ48" i="48"/>
  <c r="FC17" i="44" s="1"/>
  <c r="EY47" i="48"/>
  <c r="FB16" i="44" s="1"/>
  <c r="EY48" i="48"/>
  <c r="FB17" i="44" s="1"/>
  <c r="J9" i="44"/>
  <c r="J24" i="44"/>
  <c r="J25" i="44"/>
  <c r="O2" i="44"/>
  <c r="H42" i="48"/>
  <c r="K6" i="44" s="1"/>
  <c r="GD22" i="44"/>
  <c r="GD27" i="44" s="1"/>
  <c r="GD21" i="44"/>
  <c r="GD26" i="44" s="1"/>
  <c r="FZ21" i="44"/>
  <c r="FZ26" i="44" s="1"/>
  <c r="FZ22" i="44"/>
  <c r="FZ27" i="44" s="1"/>
  <c r="FV22" i="44"/>
  <c r="FV27" i="44" s="1"/>
  <c r="FV21" i="44"/>
  <c r="FV26" i="44" s="1"/>
  <c r="FW21" i="44"/>
  <c r="FW26" i="44" s="1"/>
  <c r="FW22" i="44"/>
  <c r="FW27" i="44" s="1"/>
  <c r="FT21" i="44"/>
  <c r="FT22" i="44"/>
  <c r="FT27" i="44" s="1"/>
  <c r="H44" i="48"/>
  <c r="K8" i="44" s="1"/>
  <c r="FH21" i="44"/>
  <c r="FH22" i="44"/>
  <c r="FH27" i="44" s="1"/>
  <c r="FJ22" i="44"/>
  <c r="FJ27" i="44" s="1"/>
  <c r="FJ21" i="44"/>
  <c r="FJ26" i="44" s="1"/>
  <c r="IO22" i="44"/>
  <c r="IO27" i="44" s="1"/>
  <c r="GC21" i="44"/>
  <c r="GC26" i="44" s="1"/>
  <c r="GC22" i="44"/>
  <c r="GC27" i="44" s="1"/>
  <c r="FX21" i="44"/>
  <c r="FX26" i="44" s="1"/>
  <c r="FX22" i="44"/>
  <c r="FX27" i="44" s="1"/>
  <c r="FK21" i="44"/>
  <c r="FK26" i="44" s="1"/>
  <c r="FK22" i="44"/>
  <c r="FK27" i="44" s="1"/>
  <c r="FS22" i="44"/>
  <c r="FS27" i="44" s="1"/>
  <c r="FS21" i="44"/>
  <c r="FS26" i="44" s="1"/>
  <c r="FR22" i="44"/>
  <c r="FR27" i="44" s="1"/>
  <c r="FR21" i="44"/>
  <c r="FR26" i="44" s="1"/>
  <c r="FQ22" i="44"/>
  <c r="FQ27" i="44" s="1"/>
  <c r="FQ21" i="44"/>
  <c r="FQ26" i="44" s="1"/>
  <c r="H47" i="48"/>
  <c r="FY21" i="44"/>
  <c r="FY26" i="44" s="1"/>
  <c r="FY22" i="44"/>
  <c r="FY27" i="44" s="1"/>
  <c r="FL21" i="44"/>
  <c r="FL26" i="44" s="1"/>
  <c r="FL22" i="44"/>
  <c r="FL27" i="44" s="1"/>
  <c r="FU21" i="44"/>
  <c r="FU22" i="44"/>
  <c r="FU27" i="44" s="1"/>
  <c r="FN21" i="44"/>
  <c r="FN26" i="44" s="1"/>
  <c r="FN22" i="44"/>
  <c r="FN27" i="44" s="1"/>
  <c r="FG22" i="44"/>
  <c r="FG27" i="44" s="1"/>
  <c r="FG21" i="44"/>
  <c r="FG26" i="44" s="1"/>
  <c r="FE22" i="44"/>
  <c r="FE27" i="44" s="1"/>
  <c r="FE21" i="44"/>
  <c r="FE26" i="44" s="1"/>
  <c r="FI21" i="44"/>
  <c r="FI26" i="44" s="1"/>
  <c r="FI22" i="44"/>
  <c r="FI27" i="44" s="1"/>
  <c r="OL22" i="44"/>
  <c r="OL27" i="44" s="1"/>
  <c r="OL21" i="44"/>
  <c r="OL26" i="44" s="1"/>
  <c r="FO21" i="44"/>
  <c r="FO26" i="44" s="1"/>
  <c r="FO22" i="44"/>
  <c r="FO27" i="44" s="1"/>
  <c r="FF22" i="44"/>
  <c r="FF27" i="44" s="1"/>
  <c r="FF21" i="44"/>
  <c r="FF26" i="44" s="1"/>
  <c r="FM21" i="44"/>
  <c r="FM26" i="44" s="1"/>
  <c r="FM22" i="44"/>
  <c r="FM27" i="44" s="1"/>
  <c r="H76" i="48"/>
  <c r="K13" i="44"/>
  <c r="K12" i="44"/>
  <c r="J22" i="44"/>
  <c r="J27" i="44" s="1"/>
  <c r="J21" i="44"/>
  <c r="J26" i="44" s="1"/>
  <c r="GB22" i="44"/>
  <c r="GB27" i="44" s="1"/>
  <c r="GB21" i="44"/>
  <c r="GB26" i="44" s="1"/>
  <c r="GA21" i="44"/>
  <c r="GA26" i="44" s="1"/>
  <c r="GA22" i="44"/>
  <c r="GA27" i="44" s="1"/>
  <c r="FP22" i="44"/>
  <c r="FP27" i="44" s="1"/>
  <c r="FP21" i="44"/>
  <c r="FP26" i="44" s="1"/>
  <c r="H49" i="48"/>
  <c r="K10" i="44" s="1"/>
  <c r="K24" i="44" s="1"/>
  <c r="H40" i="48"/>
  <c r="K4" i="44" s="1"/>
  <c r="H41" i="48"/>
  <c r="K5" i="44" s="1"/>
  <c r="I75" i="48"/>
  <c r="K23" i="48"/>
  <c r="K22" i="48"/>
  <c r="I90" i="48"/>
  <c r="I89" i="48"/>
  <c r="H57" i="48"/>
  <c r="H60" i="48"/>
  <c r="K16" i="44" s="1"/>
  <c r="H63" i="48"/>
  <c r="K20" i="44" s="1"/>
  <c r="H55" i="48"/>
  <c r="H58" i="48"/>
  <c r="K14" i="44" s="1"/>
  <c r="H62" i="48"/>
  <c r="K11" i="44" s="1"/>
  <c r="H56" i="48"/>
  <c r="H54" i="48"/>
  <c r="H53" i="48"/>
  <c r="H61" i="48"/>
  <c r="K17" i="44" s="1"/>
  <c r="H59" i="48"/>
  <c r="K15" i="44" s="1"/>
  <c r="I37" i="48"/>
  <c r="I5" i="48"/>
  <c r="I4" i="48"/>
  <c r="J70" i="48"/>
  <c r="J83" i="48"/>
  <c r="J66" i="48"/>
  <c r="J84" i="48"/>
  <c r="J74" i="48"/>
  <c r="J67" i="48"/>
  <c r="J73" i="48"/>
  <c r="J29" i="48"/>
  <c r="J80" i="48"/>
  <c r="J68" i="48"/>
  <c r="J33" i="48"/>
  <c r="J5" i="48"/>
  <c r="J87" i="48"/>
  <c r="J82" i="48"/>
  <c r="J32" i="48"/>
  <c r="J28" i="48"/>
  <c r="J31" i="48"/>
  <c r="J86" i="48"/>
  <c r="J35" i="48"/>
  <c r="J37" i="48"/>
  <c r="J81" i="48"/>
  <c r="J30" i="48"/>
  <c r="J34" i="48"/>
  <c r="J4" i="48"/>
  <c r="J88" i="48"/>
  <c r="J69" i="48"/>
  <c r="K34" i="48"/>
  <c r="K27" i="48"/>
  <c r="K28" i="48"/>
  <c r="K69" i="48"/>
  <c r="K6" i="48"/>
  <c r="K71" i="48"/>
  <c r="K73" i="48"/>
  <c r="K29" i="48"/>
  <c r="K30" i="48"/>
  <c r="K81" i="48"/>
  <c r="K74" i="48"/>
  <c r="K83" i="48"/>
  <c r="K35" i="48"/>
  <c r="K31" i="48"/>
  <c r="K67" i="48"/>
  <c r="P3" i="44"/>
  <c r="BU3" i="48"/>
  <c r="CX3" i="48"/>
  <c r="D17" i="44"/>
  <c r="D19" i="44" s="1"/>
  <c r="D7" i="44"/>
  <c r="FA46" i="48"/>
  <c r="FD15" i="44" s="1"/>
  <c r="EY46" i="48"/>
  <c r="FB15" i="44" s="1"/>
  <c r="EZ46" i="48"/>
  <c r="FC15" i="44" s="1"/>
  <c r="EY41" i="48"/>
  <c r="FB5" i="44" s="1"/>
  <c r="KP25" i="44" l="1"/>
  <c r="KX25" i="44"/>
  <c r="LQ25" i="44"/>
  <c r="KB25" i="44"/>
  <c r="KU25" i="44"/>
  <c r="MY25" i="44"/>
  <c r="KK25" i="44"/>
  <c r="ML25" i="44"/>
  <c r="MJ25" i="44"/>
  <c r="KL25" i="44"/>
  <c r="MA25" i="44"/>
  <c r="LF25" i="44"/>
  <c r="LA25" i="44"/>
  <c r="MK25" i="44"/>
  <c r="MH25" i="44"/>
  <c r="KJ25" i="44"/>
  <c r="MT25" i="44"/>
  <c r="LK25" i="44"/>
  <c r="KD25" i="44"/>
  <c r="KH25" i="44"/>
  <c r="NA25" i="44"/>
  <c r="KW25" i="44"/>
  <c r="NB25" i="44"/>
  <c r="KV25" i="44"/>
  <c r="LO25" i="44"/>
  <c r="MQ25" i="44"/>
  <c r="LC25" i="44"/>
  <c r="LE25" i="44"/>
  <c r="LM25" i="44"/>
  <c r="NF25" i="44"/>
  <c r="LH25" i="44"/>
  <c r="LI25" i="44"/>
  <c r="LD25" i="44"/>
  <c r="ND25" i="44"/>
  <c r="MF25" i="44"/>
  <c r="MP25" i="44"/>
  <c r="ME25" i="44"/>
  <c r="LS25" i="44"/>
  <c r="MM25" i="44"/>
  <c r="LU25" i="44"/>
  <c r="MN25" i="44"/>
  <c r="MG25" i="44"/>
  <c r="LN25" i="44"/>
  <c r="LG25" i="44"/>
  <c r="KN25" i="44"/>
  <c r="LY47" i="48"/>
  <c r="MB16" i="44" s="1"/>
  <c r="LY40" i="48"/>
  <c r="MB4" i="44" s="1"/>
  <c r="LY41" i="48"/>
  <c r="MB5" i="44" s="1"/>
  <c r="LY42" i="48"/>
  <c r="MB6" i="44" s="1"/>
  <c r="LY43" i="48"/>
  <c r="MB7" i="44" s="1"/>
  <c r="LY48" i="48"/>
  <c r="MB17" i="44" s="1"/>
  <c r="LY45" i="48"/>
  <c r="MB14" i="44" s="1"/>
  <c r="LY46" i="48"/>
  <c r="MB15" i="44" s="1"/>
  <c r="LY50" i="48"/>
  <c r="MB19" i="44" s="1"/>
  <c r="LY8" i="48"/>
  <c r="MB12" i="44"/>
  <c r="LY49" i="48"/>
  <c r="LY44" i="48"/>
  <c r="MB8" i="44" s="1"/>
  <c r="MB21" i="44"/>
  <c r="KU50" i="48"/>
  <c r="KX19" i="44" s="1"/>
  <c r="KU42" i="48"/>
  <c r="KX6" i="44" s="1"/>
  <c r="KU40" i="48"/>
  <c r="KX4" i="44" s="1"/>
  <c r="KU45" i="48"/>
  <c r="KX14" i="44" s="1"/>
  <c r="KU8" i="48"/>
  <c r="KU43" i="48"/>
  <c r="KX7" i="44" s="1"/>
  <c r="KU47" i="48"/>
  <c r="KX16" i="44" s="1"/>
  <c r="KU46" i="48"/>
  <c r="KX15" i="44" s="1"/>
  <c r="KU41" i="48"/>
  <c r="KX5" i="44" s="1"/>
  <c r="KU49" i="48"/>
  <c r="KU48" i="48"/>
  <c r="KX17" i="44" s="1"/>
  <c r="KU44" i="48"/>
  <c r="KX8" i="44" s="1"/>
  <c r="KX12" i="44"/>
  <c r="KX21" i="44"/>
  <c r="LT25" i="44"/>
  <c r="LJ25" i="44"/>
  <c r="KM25" i="44"/>
  <c r="KQ25" i="44"/>
  <c r="MU25" i="44"/>
  <c r="MW25" i="44"/>
  <c r="MI25" i="44"/>
  <c r="JZ25" i="44"/>
  <c r="KR18" i="44"/>
  <c r="MZ25" i="44"/>
  <c r="LR25" i="44"/>
  <c r="KF25" i="44"/>
  <c r="KZ25" i="44"/>
  <c r="KC25" i="44"/>
  <c r="KO25" i="44"/>
  <c r="KT25" i="44"/>
  <c r="NC25" i="44"/>
  <c r="LZ25" i="44"/>
  <c r="KI25" i="44"/>
  <c r="MX25" i="44"/>
  <c r="KR25" i="44"/>
  <c r="KC18" i="44"/>
  <c r="LW25" i="44"/>
  <c r="MO25" i="44"/>
  <c r="KE25" i="44"/>
  <c r="LP25" i="44"/>
  <c r="KT18" i="44"/>
  <c r="LB25" i="44"/>
  <c r="NE25" i="44"/>
  <c r="MS25" i="44"/>
  <c r="MC25" i="44"/>
  <c r="MD25" i="44"/>
  <c r="KA25" i="44"/>
  <c r="MV25" i="44"/>
  <c r="MB25" i="44"/>
  <c r="LV25" i="44"/>
  <c r="KS25" i="44"/>
  <c r="MR25" i="44"/>
  <c r="KY25" i="44"/>
  <c r="KG25" i="44"/>
  <c r="JX25" i="44"/>
  <c r="LX25" i="44"/>
  <c r="JW25" i="44"/>
  <c r="LL25" i="44"/>
  <c r="LY25" i="44"/>
  <c r="JJ23" i="44"/>
  <c r="JV25" i="44"/>
  <c r="JP10" i="44"/>
  <c r="JP24" i="44" s="1"/>
  <c r="JT25" i="44"/>
  <c r="JS21" i="44"/>
  <c r="JS12" i="44"/>
  <c r="JP48" i="48"/>
  <c r="JS17" i="44" s="1"/>
  <c r="JP47" i="48"/>
  <c r="JS16" i="44" s="1"/>
  <c r="JP45" i="48"/>
  <c r="JS14" i="44" s="1"/>
  <c r="JP44" i="48"/>
  <c r="JS8" i="44" s="1"/>
  <c r="JP43" i="48"/>
  <c r="JS7" i="44" s="1"/>
  <c r="JP42" i="48"/>
  <c r="JS6" i="44" s="1"/>
  <c r="KC9" i="44" s="1"/>
  <c r="JP46" i="48"/>
  <c r="JS15" i="44" s="1"/>
  <c r="JP8" i="48"/>
  <c r="JP50" i="48"/>
  <c r="JS19" i="44" s="1"/>
  <c r="JP49" i="48"/>
  <c r="JP41" i="48"/>
  <c r="JS5" i="44" s="1"/>
  <c r="JP40" i="48"/>
  <c r="JS4" i="44" s="1"/>
  <c r="JS25" i="44"/>
  <c r="JU25" i="44"/>
  <c r="JT18" i="44"/>
  <c r="JV18" i="44"/>
  <c r="JQ25" i="44"/>
  <c r="JL23" i="44"/>
  <c r="JO25" i="44"/>
  <c r="JQ9" i="44"/>
  <c r="JK23" i="44"/>
  <c r="JN18" i="44"/>
  <c r="JR25" i="44"/>
  <c r="JR18" i="44"/>
  <c r="JQ18" i="44"/>
  <c r="JP26" i="44"/>
  <c r="JO10" i="44"/>
  <c r="JO24" i="44" s="1"/>
  <c r="JR9" i="44"/>
  <c r="JM18" i="44"/>
  <c r="JN9" i="44"/>
  <c r="JO18" i="44"/>
  <c r="JP25" i="44"/>
  <c r="JM25" i="44"/>
  <c r="JM10" i="44"/>
  <c r="JM24" i="44" s="1"/>
  <c r="JL25" i="44"/>
  <c r="JO26" i="44"/>
  <c r="JO9" i="44"/>
  <c r="JM9" i="44"/>
  <c r="JP18" i="44"/>
  <c r="JK25" i="44"/>
  <c r="JM26" i="44"/>
  <c r="JP9" i="44"/>
  <c r="JN25" i="44"/>
  <c r="JJ25" i="44"/>
  <c r="JB26" i="44"/>
  <c r="JC18" i="44"/>
  <c r="JF10" i="44"/>
  <c r="JF24" i="44" s="1"/>
  <c r="JB18" i="44"/>
  <c r="JB9" i="44"/>
  <c r="JB10" i="44"/>
  <c r="JB24" i="44" s="1"/>
  <c r="JC9" i="44"/>
  <c r="JE26" i="44"/>
  <c r="JH26" i="44"/>
  <c r="JH10" i="44"/>
  <c r="JH24" i="44" s="1"/>
  <c r="JH9" i="44"/>
  <c r="JG25" i="44"/>
  <c r="JD26" i="44"/>
  <c r="JB25" i="44"/>
  <c r="JF18" i="44"/>
  <c r="JG18" i="44"/>
  <c r="JH18" i="44"/>
  <c r="JF25" i="44"/>
  <c r="JG26" i="44"/>
  <c r="JC25" i="44"/>
  <c r="JE10" i="44"/>
  <c r="JF9" i="44"/>
  <c r="JD10" i="44"/>
  <c r="JD24" i="44" s="1"/>
  <c r="JI25" i="44"/>
  <c r="JI18" i="44"/>
  <c r="JG9" i="44"/>
  <c r="JH25" i="44"/>
  <c r="JI10" i="44"/>
  <c r="JI24" i="44" s="1"/>
  <c r="JG10" i="44"/>
  <c r="JG24" i="44" s="1"/>
  <c r="JD9" i="44"/>
  <c r="JD18" i="44"/>
  <c r="JI26" i="44"/>
  <c r="JI9" i="44"/>
  <c r="JD25" i="44"/>
  <c r="JE24" i="44"/>
  <c r="JE18" i="44"/>
  <c r="JE9" i="44"/>
  <c r="IZ9" i="44"/>
  <c r="IX25" i="44"/>
  <c r="IV25" i="44"/>
  <c r="IX9" i="44"/>
  <c r="IZ10" i="44"/>
  <c r="IZ24" i="44" s="1"/>
  <c r="IZ25" i="44"/>
  <c r="IW9" i="44"/>
  <c r="IW25" i="44"/>
  <c r="IZ26" i="44"/>
  <c r="IY18" i="44"/>
  <c r="IY10" i="44"/>
  <c r="IY24" i="44" s="1"/>
  <c r="IZ18" i="44"/>
  <c r="JA9" i="44"/>
  <c r="JA23" i="44" s="1"/>
  <c r="IY9" i="44"/>
  <c r="JA25" i="44"/>
  <c r="IY26" i="44"/>
  <c r="IR26" i="44"/>
  <c r="IQ10" i="44"/>
  <c r="IQ24" i="44" s="1"/>
  <c r="IQ25" i="44"/>
  <c r="IS26" i="44"/>
  <c r="IU26" i="44"/>
  <c r="IU10" i="44"/>
  <c r="IU24" i="44" s="1"/>
  <c r="IT10" i="44"/>
  <c r="IT24" i="44" s="1"/>
  <c r="IU25" i="44"/>
  <c r="IT25" i="44"/>
  <c r="IR25" i="44"/>
  <c r="IS25" i="44"/>
  <c r="IL49" i="48"/>
  <c r="IL50" i="48"/>
  <c r="IO19" i="44" s="1"/>
  <c r="IL40" i="48"/>
  <c r="IO4" i="44" s="1"/>
  <c r="IL41" i="48"/>
  <c r="IO5" i="44" s="1"/>
  <c r="IL42" i="48"/>
  <c r="IO6" i="44" s="1"/>
  <c r="IL43" i="48"/>
  <c r="IO7" i="44" s="1"/>
  <c r="IL44" i="48"/>
  <c r="IO8" i="44" s="1"/>
  <c r="IL45" i="48"/>
  <c r="IO14" i="44" s="1"/>
  <c r="IL46" i="48"/>
  <c r="IO15" i="44" s="1"/>
  <c r="IL47" i="48"/>
  <c r="IO16" i="44" s="1"/>
  <c r="IL48" i="48"/>
  <c r="IO17" i="44" s="1"/>
  <c r="IO12" i="44"/>
  <c r="IO26" i="44" s="1"/>
  <c r="IL8" i="48"/>
  <c r="IQ7" i="48"/>
  <c r="IQ8" i="48" s="1"/>
  <c r="IO25" i="44"/>
  <c r="IU9" i="44"/>
  <c r="IT26" i="44"/>
  <c r="IO8" i="48"/>
  <c r="IS10" i="44"/>
  <c r="IS24" i="44" s="1"/>
  <c r="IP25" i="44"/>
  <c r="GR10" i="44"/>
  <c r="HF24" i="44"/>
  <c r="HG26" i="44"/>
  <c r="HE10" i="44"/>
  <c r="HE24" i="44" s="1"/>
  <c r="HI18" i="44"/>
  <c r="GX26" i="44"/>
  <c r="HD26" i="44"/>
  <c r="HE26" i="44"/>
  <c r="GY26" i="44"/>
  <c r="HB26" i="44"/>
  <c r="HI10" i="44"/>
  <c r="HI24" i="44" s="1"/>
  <c r="HG18" i="44"/>
  <c r="HF26" i="44"/>
  <c r="HG9" i="44"/>
  <c r="HF9" i="44"/>
  <c r="HI9" i="44"/>
  <c r="HH9" i="44"/>
  <c r="HF18" i="44"/>
  <c r="HH26" i="44"/>
  <c r="HH18" i="44"/>
  <c r="HG10" i="44"/>
  <c r="HG24" i="44" s="1"/>
  <c r="HH10" i="44"/>
  <c r="HH24" i="44" s="1"/>
  <c r="HE18" i="44"/>
  <c r="HE9" i="44"/>
  <c r="GR24" i="44"/>
  <c r="GY18" i="44"/>
  <c r="GY10" i="44"/>
  <c r="HB9" i="44"/>
  <c r="GZ10" i="44"/>
  <c r="GZ24" i="44" s="1"/>
  <c r="HA26" i="44"/>
  <c r="GX18" i="44"/>
  <c r="GZ26" i="44"/>
  <c r="HC26" i="44"/>
  <c r="GX10" i="44"/>
  <c r="GX24" i="44" s="1"/>
  <c r="HC18" i="44"/>
  <c r="HC9" i="44"/>
  <c r="HB18" i="44"/>
  <c r="HA18" i="44"/>
  <c r="GZ18" i="44"/>
  <c r="GY24" i="44"/>
  <c r="GZ9" i="44"/>
  <c r="GY9" i="44"/>
  <c r="HD10" i="44"/>
  <c r="HD24" i="44" s="1"/>
  <c r="HA9" i="44"/>
  <c r="HD18" i="44"/>
  <c r="HB24" i="44"/>
  <c r="HA10" i="44"/>
  <c r="HA24" i="44" s="1"/>
  <c r="GX9" i="44"/>
  <c r="HC10" i="44"/>
  <c r="HC24" i="44" s="1"/>
  <c r="GS26" i="44"/>
  <c r="GV26" i="44"/>
  <c r="GW26" i="44"/>
  <c r="GR26" i="44"/>
  <c r="GS9" i="44"/>
  <c r="GV10" i="44"/>
  <c r="GV24" i="44" s="1"/>
  <c r="GW10" i="44"/>
  <c r="GW24" i="44" s="1"/>
  <c r="GT18" i="44"/>
  <c r="GS18" i="44"/>
  <c r="GT10" i="44"/>
  <c r="GT24" i="44" s="1"/>
  <c r="GU26" i="44"/>
  <c r="GU18" i="44"/>
  <c r="GW18" i="44"/>
  <c r="GU10" i="44"/>
  <c r="GU24" i="44" s="1"/>
  <c r="GV18" i="44"/>
  <c r="GU9" i="44"/>
  <c r="GT9" i="44"/>
  <c r="GS10" i="44"/>
  <c r="GS24" i="44" s="1"/>
  <c r="GT26" i="44"/>
  <c r="GR9" i="44"/>
  <c r="GV9" i="44"/>
  <c r="GR18" i="44"/>
  <c r="GK26" i="44"/>
  <c r="GM10" i="44"/>
  <c r="GM24" i="44" s="1"/>
  <c r="GN26" i="44"/>
  <c r="GM26" i="44"/>
  <c r="GO26" i="44"/>
  <c r="GD10" i="44"/>
  <c r="GD24" i="44" s="1"/>
  <c r="GQ18" i="44"/>
  <c r="GQ9" i="44"/>
  <c r="GQ10" i="44"/>
  <c r="GQ24" i="44" s="1"/>
  <c r="GQ26" i="44"/>
  <c r="GG26" i="44"/>
  <c r="GJ26" i="44"/>
  <c r="GP18" i="44"/>
  <c r="GL26" i="44"/>
  <c r="GK9" i="44"/>
  <c r="GL10" i="44"/>
  <c r="GL24" i="44" s="1"/>
  <c r="GO10" i="44"/>
  <c r="GO24" i="44" s="1"/>
  <c r="GJ10" i="44"/>
  <c r="GJ24" i="44" s="1"/>
  <c r="GJ9" i="44"/>
  <c r="GM18" i="44"/>
  <c r="GL18" i="44"/>
  <c r="GP10" i="44"/>
  <c r="GP24" i="44" s="1"/>
  <c r="GP26" i="44"/>
  <c r="GN9" i="44"/>
  <c r="GK18" i="44"/>
  <c r="GK10" i="44"/>
  <c r="GK24" i="44" s="1"/>
  <c r="GJ18" i="44"/>
  <c r="GN10" i="44"/>
  <c r="GN24" i="44" s="1"/>
  <c r="GO18" i="44"/>
  <c r="GO9" i="44"/>
  <c r="GM9" i="44"/>
  <c r="GN18" i="44"/>
  <c r="GL9" i="44"/>
  <c r="GH26" i="44"/>
  <c r="GC9" i="44"/>
  <c r="GH10" i="44"/>
  <c r="GH24" i="44" s="1"/>
  <c r="GG10" i="44"/>
  <c r="GG24" i="44" s="1"/>
  <c r="GB10" i="44"/>
  <c r="GB24" i="44" s="1"/>
  <c r="GD9" i="44"/>
  <c r="GI18" i="44"/>
  <c r="GI10" i="44"/>
  <c r="GI24" i="44" s="1"/>
  <c r="GD18" i="44"/>
  <c r="GI26" i="44"/>
  <c r="GB18" i="44"/>
  <c r="K36" i="48"/>
  <c r="GC18" i="44"/>
  <c r="GC10" i="44"/>
  <c r="GC24" i="44" s="1"/>
  <c r="FZ10" i="44"/>
  <c r="FZ24" i="44" s="1"/>
  <c r="FY10" i="44"/>
  <c r="FY24" i="44" s="1"/>
  <c r="GB9" i="44"/>
  <c r="GA10" i="44"/>
  <c r="GA24" i="44" s="1"/>
  <c r="FY18" i="44"/>
  <c r="GA18" i="44"/>
  <c r="FZ18" i="44"/>
  <c r="FY9" i="44"/>
  <c r="FZ9" i="44"/>
  <c r="GA9" i="44"/>
  <c r="FX10" i="44"/>
  <c r="FX24" i="44" s="1"/>
  <c r="FU26" i="44"/>
  <c r="FX9" i="44"/>
  <c r="FX18" i="44"/>
  <c r="FV10" i="44"/>
  <c r="FV24" i="44" s="1"/>
  <c r="FV9" i="44"/>
  <c r="FW9" i="44"/>
  <c r="FV18" i="44"/>
  <c r="FW10" i="44"/>
  <c r="FW24" i="44" s="1"/>
  <c r="FW18" i="44"/>
  <c r="FS10" i="44"/>
  <c r="FS24" i="44" s="1"/>
  <c r="FH26" i="44"/>
  <c r="FT9" i="44"/>
  <c r="FU10" i="44"/>
  <c r="FS18" i="44"/>
  <c r="FR10" i="44"/>
  <c r="FR24" i="44" s="1"/>
  <c r="FS9" i="44"/>
  <c r="FT26" i="44"/>
  <c r="FT10" i="44"/>
  <c r="FT24" i="44" s="1"/>
  <c r="FU18" i="44"/>
  <c r="FU9" i="44"/>
  <c r="FQ10" i="44"/>
  <c r="FQ24" i="44" s="1"/>
  <c r="FR18" i="44"/>
  <c r="FT18" i="44"/>
  <c r="FR9" i="44"/>
  <c r="FQ9" i="44"/>
  <c r="FK10" i="44"/>
  <c r="FK24" i="44" s="1"/>
  <c r="FQ18" i="44"/>
  <c r="FM10" i="44"/>
  <c r="FM24" i="44" s="1"/>
  <c r="FP10" i="44"/>
  <c r="FP24" i="44" s="1"/>
  <c r="FP18" i="44"/>
  <c r="FP9" i="44"/>
  <c r="FO9" i="44"/>
  <c r="FJ18" i="44"/>
  <c r="FM18" i="44"/>
  <c r="FK18" i="44"/>
  <c r="FO18" i="44"/>
  <c r="FG18" i="44"/>
  <c r="FN18" i="44"/>
  <c r="FH18" i="44"/>
  <c r="FI18" i="44"/>
  <c r="FL18" i="44"/>
  <c r="J23" i="44"/>
  <c r="FN9" i="44"/>
  <c r="FO10" i="44"/>
  <c r="FO24" i="44" s="1"/>
  <c r="FL10" i="44"/>
  <c r="FL24" i="44" s="1"/>
  <c r="FH10" i="44"/>
  <c r="FH24" i="44" s="1"/>
  <c r="FN10" i="44"/>
  <c r="FL9" i="44"/>
  <c r="FJ10" i="44"/>
  <c r="FJ24" i="44" s="1"/>
  <c r="FM9" i="44"/>
  <c r="FK9" i="44"/>
  <c r="FJ9" i="44"/>
  <c r="FI9" i="44"/>
  <c r="FI10" i="44"/>
  <c r="FI24" i="44" s="1"/>
  <c r="FH9" i="44"/>
  <c r="FF10" i="44"/>
  <c r="FG10" i="44"/>
  <c r="FG9" i="44"/>
  <c r="FA50" i="48"/>
  <c r="FD19" i="44" s="1"/>
  <c r="FA45" i="48"/>
  <c r="FD14" i="44" s="1"/>
  <c r="EZ45" i="48"/>
  <c r="FC14" i="44" s="1"/>
  <c r="EZ50" i="48"/>
  <c r="FC19" i="44" s="1"/>
  <c r="EY50" i="48"/>
  <c r="FB19" i="44" s="1"/>
  <c r="EY45" i="48"/>
  <c r="FB14" i="44" s="1"/>
  <c r="K9" i="44"/>
  <c r="K18" i="44"/>
  <c r="K25" i="44"/>
  <c r="P2" i="44"/>
  <c r="I76" i="48"/>
  <c r="L12" i="44"/>
  <c r="L13" i="44"/>
  <c r="K22" i="44"/>
  <c r="K27" i="44" s="1"/>
  <c r="K21" i="44"/>
  <c r="K26" i="44" s="1"/>
  <c r="L22" i="48"/>
  <c r="L23" i="48"/>
  <c r="J90" i="48"/>
  <c r="J89" i="48"/>
  <c r="J75" i="48"/>
  <c r="J60" i="48"/>
  <c r="M16" i="44" s="1"/>
  <c r="J58" i="48"/>
  <c r="M14" i="44" s="1"/>
  <c r="I41" i="48"/>
  <c r="L5" i="44" s="1"/>
  <c r="K37" i="48"/>
  <c r="J43" i="48"/>
  <c r="M7" i="44" s="1"/>
  <c r="I43" i="48"/>
  <c r="L7" i="44" s="1"/>
  <c r="J59" i="48"/>
  <c r="M15" i="44" s="1"/>
  <c r="I50" i="48"/>
  <c r="L19" i="44" s="1"/>
  <c r="J61" i="48"/>
  <c r="M17" i="44" s="1"/>
  <c r="J42" i="48"/>
  <c r="M6" i="44" s="1"/>
  <c r="J55" i="48"/>
  <c r="J56" i="48"/>
  <c r="I49" i="48"/>
  <c r="L10" i="44" s="1"/>
  <c r="I48" i="48"/>
  <c r="J44" i="48"/>
  <c r="M8" i="44" s="1"/>
  <c r="I62" i="48"/>
  <c r="L11" i="44" s="1"/>
  <c r="J40" i="48"/>
  <c r="M4" i="44" s="1"/>
  <c r="J48" i="48"/>
  <c r="J47" i="48"/>
  <c r="J57" i="48"/>
  <c r="I60" i="48"/>
  <c r="L16" i="44" s="1"/>
  <c r="J54" i="48"/>
  <c r="J45" i="48"/>
  <c r="J50" i="48"/>
  <c r="M19" i="44" s="1"/>
  <c r="I61" i="48"/>
  <c r="L17" i="44" s="1"/>
  <c r="J49" i="48"/>
  <c r="I47" i="48"/>
  <c r="I45" i="48"/>
  <c r="I44" i="48"/>
  <c r="L8" i="44" s="1"/>
  <c r="I42" i="48"/>
  <c r="L6" i="44" s="1"/>
  <c r="I46" i="48"/>
  <c r="J53" i="48"/>
  <c r="J46" i="48"/>
  <c r="I63" i="48"/>
  <c r="L20" i="44" s="1"/>
  <c r="I40" i="48"/>
  <c r="L4" i="44" s="1"/>
  <c r="J63" i="48"/>
  <c r="M20" i="44" s="1"/>
  <c r="I53" i="48"/>
  <c r="J62" i="48"/>
  <c r="M11" i="44" s="1"/>
  <c r="J41" i="48"/>
  <c r="M5" i="44" s="1"/>
  <c r="I54" i="48"/>
  <c r="I56" i="48"/>
  <c r="I57" i="48"/>
  <c r="I58" i="48"/>
  <c r="L14" i="44" s="1"/>
  <c r="I59" i="48"/>
  <c r="L15" i="44" s="1"/>
  <c r="I55" i="48"/>
  <c r="K86" i="48"/>
  <c r="K72" i="48"/>
  <c r="K88" i="48"/>
  <c r="K66" i="48"/>
  <c r="K5" i="48"/>
  <c r="K48" i="48" s="1"/>
  <c r="K85" i="48"/>
  <c r="K4" i="48"/>
  <c r="K84" i="48"/>
  <c r="K80" i="48"/>
  <c r="K68" i="48"/>
  <c r="K82" i="48"/>
  <c r="K87" i="48"/>
  <c r="K33" i="48"/>
  <c r="K70" i="48"/>
  <c r="K32" i="48"/>
  <c r="L68" i="48"/>
  <c r="Q3" i="44"/>
  <c r="CY3" i="48"/>
  <c r="BV3" i="48"/>
  <c r="D8" i="44"/>
  <c r="EZ41" i="48"/>
  <c r="FC5" i="44" s="1"/>
  <c r="EZ42" i="48"/>
  <c r="FC6" i="44" s="1"/>
  <c r="FA42" i="48"/>
  <c r="FD6" i="44" s="1"/>
  <c r="EY42" i="48"/>
  <c r="FB6" i="44" s="1"/>
  <c r="EY44" i="48"/>
  <c r="FB8" i="44" s="1"/>
  <c r="FA44" i="48"/>
  <c r="FD8" i="44" s="1"/>
  <c r="EZ44" i="48"/>
  <c r="FC8" i="44" s="1"/>
  <c r="FA43" i="48"/>
  <c r="FD7" i="44" s="1"/>
  <c r="EZ43" i="48"/>
  <c r="FC7" i="44" s="1"/>
  <c r="EY43" i="48"/>
  <c r="FB7" i="44" s="1"/>
  <c r="FA41" i="48"/>
  <c r="FD5" i="44" s="1"/>
  <c r="AN35" i="52"/>
  <c r="AN39" i="52"/>
  <c r="AN37" i="52"/>
  <c r="AN31" i="52"/>
  <c r="AN41" i="52"/>
  <c r="AN33" i="52"/>
  <c r="AN29" i="52"/>
  <c r="MK18" i="44" l="1"/>
  <c r="LX18" i="44"/>
  <c r="KC23" i="44"/>
  <c r="LE18" i="44"/>
  <c r="KX26" i="44"/>
  <c r="MU18" i="44"/>
  <c r="LV18" i="44"/>
  <c r="MH18" i="44"/>
  <c r="LR18" i="44"/>
  <c r="LP18" i="44"/>
  <c r="ME18" i="44"/>
  <c r="NC18" i="44"/>
  <c r="MS18" i="44"/>
  <c r="LE9" i="44"/>
  <c r="KZ18" i="44"/>
  <c r="LI18" i="44"/>
  <c r="MN9" i="44"/>
  <c r="LG18" i="44"/>
  <c r="LL9" i="44"/>
  <c r="LB18" i="44"/>
  <c r="NB9" i="44"/>
  <c r="MR18" i="44"/>
  <c r="MC10" i="44"/>
  <c r="MC24" i="44" s="1"/>
  <c r="MB10" i="44"/>
  <c r="MB24" i="44" s="1"/>
  <c r="JU18" i="44"/>
  <c r="MW18" i="44"/>
  <c r="KE18" i="44"/>
  <c r="MD18" i="44"/>
  <c r="KO18" i="44"/>
  <c r="LK18" i="44"/>
  <c r="KI18" i="44"/>
  <c r="KV18" i="44"/>
  <c r="LN18" i="44"/>
  <c r="KF18" i="44"/>
  <c r="MJ18" i="44"/>
  <c r="LA18" i="44"/>
  <c r="MF18" i="44"/>
  <c r="KY10" i="44"/>
  <c r="KY24" i="44" s="1"/>
  <c r="KX10" i="44"/>
  <c r="KX24" i="44" s="1"/>
  <c r="KJ9" i="44"/>
  <c r="KW18" i="44"/>
  <c r="KN18" i="44"/>
  <c r="NE18" i="44"/>
  <c r="NB18" i="44"/>
  <c r="KL18" i="44"/>
  <c r="LT18" i="44"/>
  <c r="LZ9" i="44"/>
  <c r="LF18" i="44"/>
  <c r="KH18" i="44"/>
  <c r="JV9" i="44"/>
  <c r="KK18" i="44"/>
  <c r="LY18" i="44"/>
  <c r="KM18" i="44"/>
  <c r="LZ18" i="44"/>
  <c r="LD18" i="44"/>
  <c r="MO18" i="44"/>
  <c r="LO18" i="44"/>
  <c r="MB18" i="44"/>
  <c r="JX18" i="44"/>
  <c r="JX23" i="44" s="1"/>
  <c r="LS9" i="44"/>
  <c r="ND18" i="44"/>
  <c r="MY18" i="44"/>
  <c r="KG18" i="44"/>
  <c r="MQ18" i="44"/>
  <c r="MN18" i="44"/>
  <c r="LL18" i="44"/>
  <c r="KS18" i="44"/>
  <c r="MT18" i="44"/>
  <c r="MZ18" i="44"/>
  <c r="KY18" i="44"/>
  <c r="MM18" i="44"/>
  <c r="JZ18" i="44"/>
  <c r="JW18" i="44"/>
  <c r="JW23" i="44" s="1"/>
  <c r="LW18" i="44"/>
  <c r="KQ18" i="44"/>
  <c r="MP18" i="44"/>
  <c r="ML18" i="44"/>
  <c r="LC18" i="44"/>
  <c r="LM18" i="44"/>
  <c r="MI18" i="44"/>
  <c r="LD9" i="44"/>
  <c r="KY9" i="44"/>
  <c r="LC9" i="44"/>
  <c r="KZ9" i="44"/>
  <c r="LB9" i="44"/>
  <c r="LA9" i="44"/>
  <c r="MX18" i="44"/>
  <c r="KD18" i="44"/>
  <c r="KD23" i="44" s="1"/>
  <c r="KU18" i="44"/>
  <c r="MV18" i="44"/>
  <c r="LH18" i="44"/>
  <c r="KP18" i="44"/>
  <c r="MU9" i="44"/>
  <c r="KA18" i="44"/>
  <c r="KJ18" i="44"/>
  <c r="LS18" i="44"/>
  <c r="MB26" i="44"/>
  <c r="ME9" i="44"/>
  <c r="MF9" i="44"/>
  <c r="MD9" i="44"/>
  <c r="MC9" i="44"/>
  <c r="MG18" i="44"/>
  <c r="LU18" i="44"/>
  <c r="KB18" i="44"/>
  <c r="MC18" i="44"/>
  <c r="JY18" i="44"/>
  <c r="JY23" i="44" s="1"/>
  <c r="MA18" i="44"/>
  <c r="KX9" i="44"/>
  <c r="MG9" i="44"/>
  <c r="LJ18" i="44"/>
  <c r="NF18" i="44"/>
  <c r="LQ18" i="44"/>
  <c r="NA18" i="44"/>
  <c r="KX18" i="44"/>
  <c r="MB9" i="44"/>
  <c r="KQ9" i="44"/>
  <c r="JU9" i="44"/>
  <c r="JT9" i="44"/>
  <c r="JS18" i="44"/>
  <c r="JS10" i="44"/>
  <c r="JS24" i="44" s="1"/>
  <c r="JT10" i="44"/>
  <c r="JT24" i="44" s="1"/>
  <c r="JS26" i="44"/>
  <c r="JS9" i="44"/>
  <c r="JV23" i="44"/>
  <c r="JR23" i="44"/>
  <c r="JQ23" i="44"/>
  <c r="JM23" i="44"/>
  <c r="JN23" i="44"/>
  <c r="JO23" i="44"/>
  <c r="JP23" i="44"/>
  <c r="JB23" i="44"/>
  <c r="JH23" i="44"/>
  <c r="JC23" i="44"/>
  <c r="JF23" i="44"/>
  <c r="JD23" i="44"/>
  <c r="JI23" i="44"/>
  <c r="JG23" i="44"/>
  <c r="JE23" i="44"/>
  <c r="IS18" i="44"/>
  <c r="IT9" i="44"/>
  <c r="IU18" i="44"/>
  <c r="IW23" i="44" s="1"/>
  <c r="IO18" i="44"/>
  <c r="IQ9" i="44"/>
  <c r="IR9" i="44"/>
  <c r="IP9" i="44"/>
  <c r="IT18" i="44"/>
  <c r="IS9" i="44"/>
  <c r="IQ18" i="44"/>
  <c r="IP18" i="44"/>
  <c r="IR18" i="44"/>
  <c r="IR7" i="48"/>
  <c r="IP10" i="44"/>
  <c r="IP24" i="44" s="1"/>
  <c r="IO10" i="44"/>
  <c r="IO24" i="44" s="1"/>
  <c r="IO9" i="44"/>
  <c r="GD23" i="44"/>
  <c r="K23" i="44"/>
  <c r="GB23" i="44"/>
  <c r="GC23" i="44"/>
  <c r="FZ23" i="44"/>
  <c r="GA23" i="44"/>
  <c r="FY23" i="44"/>
  <c r="FX23" i="44"/>
  <c r="FW23" i="44"/>
  <c r="FV23" i="44"/>
  <c r="FU24" i="44"/>
  <c r="FU23" i="44"/>
  <c r="FT23" i="44"/>
  <c r="FS23" i="44"/>
  <c r="FR23" i="44"/>
  <c r="FQ23" i="44"/>
  <c r="FP23" i="44"/>
  <c r="L25" i="44"/>
  <c r="M18" i="44"/>
  <c r="FN24" i="44"/>
  <c r="FF24" i="44"/>
  <c r="FG24" i="44"/>
  <c r="FA49" i="48"/>
  <c r="FE10" i="44" s="1"/>
  <c r="FE24" i="44" s="1"/>
  <c r="FA40" i="48"/>
  <c r="FD4" i="44" s="1"/>
  <c r="EZ49" i="48"/>
  <c r="EZ40" i="48"/>
  <c r="FC4" i="44" s="1"/>
  <c r="EY49" i="48"/>
  <c r="EY40" i="48"/>
  <c r="FB4" i="44" s="1"/>
  <c r="D9" i="44"/>
  <c r="D10" i="44" s="1"/>
  <c r="L9" i="44"/>
  <c r="M9" i="44"/>
  <c r="L18" i="44"/>
  <c r="Q2" i="44"/>
  <c r="M25" i="44"/>
  <c r="L24" i="44"/>
  <c r="J76" i="48"/>
  <c r="M12" i="44"/>
  <c r="M13" i="44"/>
  <c r="FA75" i="48"/>
  <c r="EZ75" i="48"/>
  <c r="L21" i="44"/>
  <c r="L26" i="44" s="1"/>
  <c r="L22" i="44"/>
  <c r="L27" i="44" s="1"/>
  <c r="EX75" i="48"/>
  <c r="EY75" i="48"/>
  <c r="M23" i="48"/>
  <c r="M22" i="48"/>
  <c r="K90" i="48"/>
  <c r="K89" i="48"/>
  <c r="K75" i="48"/>
  <c r="K57" i="48"/>
  <c r="K59" i="48"/>
  <c r="N15" i="44" s="1"/>
  <c r="K56" i="48"/>
  <c r="K53" i="48"/>
  <c r="K55" i="48"/>
  <c r="K58" i="48"/>
  <c r="N14" i="44" s="1"/>
  <c r="K61" i="48"/>
  <c r="N17" i="44" s="1"/>
  <c r="M10" i="44"/>
  <c r="M24" i="44" s="1"/>
  <c r="K45" i="48"/>
  <c r="K42" i="48"/>
  <c r="N6" i="44" s="1"/>
  <c r="K44" i="48"/>
  <c r="N8" i="44" s="1"/>
  <c r="K46" i="48"/>
  <c r="K47" i="48"/>
  <c r="K54" i="48"/>
  <c r="K50" i="48"/>
  <c r="N19" i="44" s="1"/>
  <c r="K60" i="48"/>
  <c r="N16" i="44" s="1"/>
  <c r="K43" i="48"/>
  <c r="N7" i="44" s="1"/>
  <c r="K40" i="48"/>
  <c r="N4" i="44" s="1"/>
  <c r="K41" i="48"/>
  <c r="N5" i="44" s="1"/>
  <c r="K62" i="48"/>
  <c r="N11" i="44" s="1"/>
  <c r="K63" i="48"/>
  <c r="N20" i="44" s="1"/>
  <c r="K49" i="48"/>
  <c r="L33" i="48"/>
  <c r="L31" i="48"/>
  <c r="L35" i="48"/>
  <c r="L73" i="48"/>
  <c r="L32" i="48"/>
  <c r="L82" i="48"/>
  <c r="L74" i="48"/>
  <c r="L85" i="48"/>
  <c r="L66" i="48"/>
  <c r="L29" i="48"/>
  <c r="L87" i="48"/>
  <c r="L6" i="48"/>
  <c r="L71" i="48"/>
  <c r="L70" i="48"/>
  <c r="L81" i="48"/>
  <c r="L28" i="48"/>
  <c r="L72" i="48"/>
  <c r="L88" i="48"/>
  <c r="L67" i="48"/>
  <c r="L69" i="48"/>
  <c r="L84" i="48"/>
  <c r="L86" i="48"/>
  <c r="L34" i="48"/>
  <c r="L80" i="48"/>
  <c r="L83" i="48"/>
  <c r="L30" i="48"/>
  <c r="L27" i="48"/>
  <c r="M82" i="48"/>
  <c r="M33" i="48"/>
  <c r="M34" i="48"/>
  <c r="M81" i="48"/>
  <c r="M83" i="48"/>
  <c r="M35" i="48"/>
  <c r="M28" i="48"/>
  <c r="R3" i="44"/>
  <c r="CZ3" i="48"/>
  <c r="BW3" i="48"/>
  <c r="KU23" i="44" l="1"/>
  <c r="KR23" i="44"/>
  <c r="MN23" i="44"/>
  <c r="KG23" i="44"/>
  <c r="KK23" i="44"/>
  <c r="MU23" i="44"/>
  <c r="LE23" i="44"/>
  <c r="LF23" i="44"/>
  <c r="KQ23" i="44"/>
  <c r="MH23" i="44"/>
  <c r="LL23" i="44"/>
  <c r="LZ23" i="44"/>
  <c r="NC23" i="44"/>
  <c r="MR23" i="44"/>
  <c r="MT23" i="44"/>
  <c r="ML23" i="44"/>
  <c r="MS23" i="44"/>
  <c r="NF23" i="44"/>
  <c r="MQ23" i="44"/>
  <c r="LJ23" i="44"/>
  <c r="LH23" i="44"/>
  <c r="LQ23" i="44"/>
  <c r="ME23" i="44"/>
  <c r="MG23" i="44"/>
  <c r="LB23" i="44"/>
  <c r="KX23" i="44"/>
  <c r="LX23" i="44"/>
  <c r="KZ23" i="44"/>
  <c r="MF23" i="44"/>
  <c r="MP23" i="44"/>
  <c r="KS23" i="44"/>
  <c r="MB23" i="44"/>
  <c r="LA23" i="44"/>
  <c r="LG23" i="44"/>
  <c r="MX23" i="44"/>
  <c r="LO23" i="44"/>
  <c r="LP23" i="44"/>
  <c r="MJ23" i="44"/>
  <c r="LI23" i="44"/>
  <c r="LW23" i="44"/>
  <c r="MO23" i="44"/>
  <c r="LT23" i="44"/>
  <c r="KF23" i="44"/>
  <c r="MA23" i="44"/>
  <c r="LR23" i="44"/>
  <c r="LD23" i="44"/>
  <c r="KL23" i="44"/>
  <c r="LN23" i="44"/>
  <c r="KV23" i="44"/>
  <c r="MC23" i="44"/>
  <c r="KT23" i="44"/>
  <c r="MY23" i="44"/>
  <c r="KM23" i="44"/>
  <c r="NE23" i="44"/>
  <c r="KI23" i="44"/>
  <c r="LV23" i="44"/>
  <c r="KB23" i="44"/>
  <c r="KA23" i="44"/>
  <c r="ND23" i="44"/>
  <c r="LY23" i="44"/>
  <c r="KN23" i="44"/>
  <c r="LK23" i="44"/>
  <c r="NB23" i="44"/>
  <c r="JZ23" i="44"/>
  <c r="LS23" i="44"/>
  <c r="KO23" i="44"/>
  <c r="MK23" i="44"/>
  <c r="KP23" i="44"/>
  <c r="MI23" i="44"/>
  <c r="MM23" i="44"/>
  <c r="KJ23" i="44"/>
  <c r="MD23" i="44"/>
  <c r="KW23" i="44"/>
  <c r="NA23" i="44"/>
  <c r="LM23" i="44"/>
  <c r="KY23" i="44"/>
  <c r="KH23" i="44"/>
  <c r="KE23" i="44"/>
  <c r="LU23" i="44"/>
  <c r="MV23" i="44"/>
  <c r="LC23" i="44"/>
  <c r="MZ23" i="44"/>
  <c r="MW23" i="44"/>
  <c r="JT23" i="44"/>
  <c r="JU23" i="44"/>
  <c r="JS23" i="44"/>
  <c r="IR8" i="48"/>
  <c r="IS7" i="48"/>
  <c r="IS8" i="48" s="1"/>
  <c r="IT7" i="48"/>
  <c r="IV23" i="44"/>
  <c r="IX23" i="44"/>
  <c r="IY23" i="44"/>
  <c r="IZ23" i="44"/>
  <c r="IT23" i="44"/>
  <c r="IO23" i="44"/>
  <c r="IU23" i="44"/>
  <c r="IP23" i="44"/>
  <c r="IR23" i="44"/>
  <c r="IQ23" i="44"/>
  <c r="IS23" i="44"/>
  <c r="L36" i="48"/>
  <c r="M23" i="44"/>
  <c r="N18" i="44"/>
  <c r="N9" i="44"/>
  <c r="L23" i="44"/>
  <c r="FC10" i="44"/>
  <c r="FC24" i="44" s="1"/>
  <c r="FD10" i="44"/>
  <c r="FD24" i="44" s="1"/>
  <c r="R2" i="44"/>
  <c r="N25" i="44"/>
  <c r="EZ76" i="48"/>
  <c r="FC12" i="44"/>
  <c r="FC13" i="44"/>
  <c r="FA13" i="44"/>
  <c r="FA76" i="48"/>
  <c r="FD12" i="44"/>
  <c r="FD13" i="44"/>
  <c r="FB13" i="44"/>
  <c r="FB12" i="44"/>
  <c r="K76" i="48"/>
  <c r="N13" i="44"/>
  <c r="N12" i="44"/>
  <c r="EX76" i="48"/>
  <c r="M22" i="44"/>
  <c r="M27" i="44" s="1"/>
  <c r="M21" i="44"/>
  <c r="M26" i="44" s="1"/>
  <c r="EY76" i="48"/>
  <c r="N22" i="48"/>
  <c r="N23" i="48"/>
  <c r="L90" i="48"/>
  <c r="L89" i="48"/>
  <c r="L75" i="48"/>
  <c r="L4" i="48"/>
  <c r="L37" i="48"/>
  <c r="L5" i="48"/>
  <c r="L43" i="48" s="1"/>
  <c r="O7" i="44" s="1"/>
  <c r="N10" i="44"/>
  <c r="N24" i="44" s="1"/>
  <c r="M29" i="48"/>
  <c r="M27" i="48"/>
  <c r="M87" i="48"/>
  <c r="M73" i="48"/>
  <c r="M86" i="48"/>
  <c r="M68" i="48"/>
  <c r="M74" i="48"/>
  <c r="M70" i="48"/>
  <c r="M84" i="48"/>
  <c r="M71" i="48"/>
  <c r="M80" i="48"/>
  <c r="M6" i="48"/>
  <c r="M30" i="48"/>
  <c r="M32" i="48"/>
  <c r="M72" i="48"/>
  <c r="M31" i="48"/>
  <c r="M66" i="48"/>
  <c r="M88" i="48"/>
  <c r="M69" i="48"/>
  <c r="M67" i="48"/>
  <c r="M85" i="48"/>
  <c r="N70" i="48"/>
  <c r="N33" i="48"/>
  <c r="N29" i="48"/>
  <c r="N72" i="48"/>
  <c r="N82" i="48"/>
  <c r="N73" i="48"/>
  <c r="N30" i="48"/>
  <c r="N28" i="48"/>
  <c r="N27" i="48"/>
  <c r="S3" i="44"/>
  <c r="BX3" i="48"/>
  <c r="DA3" i="48"/>
  <c r="C5" i="44"/>
  <c r="C6" i="44" s="1"/>
  <c r="C7" i="44" s="1"/>
  <c r="C8" i="44" s="1"/>
  <c r="A4" i="44"/>
  <c r="A3" i="48"/>
  <c r="A2" i="48"/>
  <c r="EX7" i="48" s="1"/>
  <c r="IU7" i="48" l="1"/>
  <c r="IU8" i="48" s="1"/>
  <c r="IT8" i="48"/>
  <c r="EY7" i="48"/>
  <c r="N23" i="44"/>
  <c r="C9" i="44"/>
  <c r="C10" i="44" s="1"/>
  <c r="S2" i="44"/>
  <c r="L76" i="48"/>
  <c r="O13" i="44"/>
  <c r="O12" i="44"/>
  <c r="FD21" i="44"/>
  <c r="FD26" i="44" s="1"/>
  <c r="FD22" i="44"/>
  <c r="FD27" i="44" s="1"/>
  <c r="N21" i="44"/>
  <c r="N26" i="44" s="1"/>
  <c r="N22" i="44"/>
  <c r="N27" i="44" s="1"/>
  <c r="FB21" i="44"/>
  <c r="FB26" i="44" s="1"/>
  <c r="FB22" i="44"/>
  <c r="FB27" i="44" s="1"/>
  <c r="FA22" i="44"/>
  <c r="FA27" i="44" s="1"/>
  <c r="FC22" i="44"/>
  <c r="FC27" i="44" s="1"/>
  <c r="FC21" i="44"/>
  <c r="FC26" i="44" s="1"/>
  <c r="M5" i="48"/>
  <c r="M44" i="48" s="1"/>
  <c r="P8" i="44" s="1"/>
  <c r="M36" i="48"/>
  <c r="M89" i="48"/>
  <c r="M90" i="48"/>
  <c r="M75" i="48"/>
  <c r="C11" i="44"/>
  <c r="C12" i="44" s="1"/>
  <c r="L49" i="48"/>
  <c r="O10" i="44" s="1"/>
  <c r="M43" i="48"/>
  <c r="P7" i="44" s="1"/>
  <c r="L46" i="48"/>
  <c r="L50" i="48"/>
  <c r="O19" i="44" s="1"/>
  <c r="M50" i="48"/>
  <c r="P19" i="44" s="1"/>
  <c r="L62" i="48"/>
  <c r="O11" i="44" s="1"/>
  <c r="M4" i="48"/>
  <c r="M61" i="48" s="1"/>
  <c r="P17" i="44" s="1"/>
  <c r="L63" i="48"/>
  <c r="O20" i="44" s="1"/>
  <c r="L41" i="48"/>
  <c r="O5" i="44" s="1"/>
  <c r="L45" i="48"/>
  <c r="L47" i="48"/>
  <c r="L48" i="48"/>
  <c r="L44" i="48"/>
  <c r="O8" i="44" s="1"/>
  <c r="L40" i="48"/>
  <c r="O4" i="44" s="1"/>
  <c r="L42" i="48"/>
  <c r="O6" i="44" s="1"/>
  <c r="L56" i="48"/>
  <c r="L59" i="48"/>
  <c r="O15" i="44" s="1"/>
  <c r="L60" i="48"/>
  <c r="O16" i="44" s="1"/>
  <c r="L58" i="48"/>
  <c r="O14" i="44" s="1"/>
  <c r="L53" i="48"/>
  <c r="L54" i="48"/>
  <c r="L57" i="48"/>
  <c r="L61" i="48"/>
  <c r="O17" i="44" s="1"/>
  <c r="M37" i="48"/>
  <c r="L55" i="48"/>
  <c r="N69" i="48"/>
  <c r="N88" i="48"/>
  <c r="N66" i="48"/>
  <c r="N71" i="48"/>
  <c r="N31" i="48"/>
  <c r="N6" i="48"/>
  <c r="N81" i="48"/>
  <c r="N87" i="48"/>
  <c r="N85" i="48"/>
  <c r="N74" i="48"/>
  <c r="N83" i="48"/>
  <c r="N84" i="48"/>
  <c r="N86" i="48"/>
  <c r="N80" i="48"/>
  <c r="N68" i="48"/>
  <c r="N34" i="48"/>
  <c r="N35" i="48"/>
  <c r="N32" i="48"/>
  <c r="N67" i="48"/>
  <c r="T3" i="44"/>
  <c r="DB3" i="48"/>
  <c r="BY3" i="48"/>
  <c r="H7" i="48"/>
  <c r="J7" i="48"/>
  <c r="D7" i="48"/>
  <c r="L7" i="48"/>
  <c r="M7" i="48"/>
  <c r="E7" i="48"/>
  <c r="G7" i="48"/>
  <c r="I7" i="48"/>
  <c r="K7" i="48"/>
  <c r="N7" i="48"/>
  <c r="F7" i="48"/>
  <c r="C7" i="48"/>
  <c r="C8" i="48" s="1"/>
  <c r="IV7" i="48" l="1"/>
  <c r="EZ7" i="48"/>
  <c r="EY8" i="48"/>
  <c r="M46" i="48"/>
  <c r="M41" i="48"/>
  <c r="P5" i="44" s="1"/>
  <c r="O18" i="44"/>
  <c r="O9" i="44"/>
  <c r="O24" i="44"/>
  <c r="T2" i="44"/>
  <c r="O25" i="44"/>
  <c r="M76" i="48"/>
  <c r="P13" i="44"/>
  <c r="P12" i="44"/>
  <c r="M42" i="48"/>
  <c r="P6" i="44" s="1"/>
  <c r="M48" i="48"/>
  <c r="O22" i="44"/>
  <c r="O27" i="44" s="1"/>
  <c r="O21" i="44"/>
  <c r="O26" i="44" s="1"/>
  <c r="M45" i="48"/>
  <c r="M49" i="48"/>
  <c r="P10" i="44" s="1"/>
  <c r="P24" i="44" s="1"/>
  <c r="M40" i="48"/>
  <c r="P4" i="44" s="1"/>
  <c r="M47" i="48"/>
  <c r="N4" i="48"/>
  <c r="N63" i="48" s="1"/>
  <c r="Q20" i="44" s="1"/>
  <c r="N36" i="48"/>
  <c r="N90" i="48"/>
  <c r="N75" i="48"/>
  <c r="N89" i="48"/>
  <c r="C13" i="44"/>
  <c r="N5" i="48"/>
  <c r="M63" i="48"/>
  <c r="P20" i="44" s="1"/>
  <c r="O7" i="48"/>
  <c r="N55" i="48"/>
  <c r="M60" i="48"/>
  <c r="P16" i="44" s="1"/>
  <c r="M62" i="48"/>
  <c r="P11" i="44" s="1"/>
  <c r="M57" i="48"/>
  <c r="M53" i="48"/>
  <c r="N57" i="48"/>
  <c r="N37" i="48"/>
  <c r="M59" i="48"/>
  <c r="P15" i="44" s="1"/>
  <c r="M55" i="48"/>
  <c r="M56" i="48"/>
  <c r="M54" i="48"/>
  <c r="N53" i="48"/>
  <c r="N56" i="48"/>
  <c r="N61" i="48"/>
  <c r="Q17" i="44" s="1"/>
  <c r="M58" i="48"/>
  <c r="P14" i="44" s="1"/>
  <c r="O86" i="48"/>
  <c r="O67" i="48"/>
  <c r="O72" i="48"/>
  <c r="O31" i="48"/>
  <c r="O70" i="48"/>
  <c r="O6" i="48"/>
  <c r="O69" i="48"/>
  <c r="O66" i="48"/>
  <c r="O82" i="48"/>
  <c r="O28" i="48"/>
  <c r="O87" i="48"/>
  <c r="O29" i="48"/>
  <c r="O33" i="48"/>
  <c r="O81" i="48"/>
  <c r="O88" i="48"/>
  <c r="O32" i="48"/>
  <c r="O27" i="48"/>
  <c r="O30" i="48"/>
  <c r="O83" i="48"/>
  <c r="O68" i="48"/>
  <c r="O84" i="48"/>
  <c r="O74" i="48"/>
  <c r="O34" i="48"/>
  <c r="O80" i="48"/>
  <c r="O73" i="48"/>
  <c r="O85" i="48"/>
  <c r="O71" i="48"/>
  <c r="O35" i="48"/>
  <c r="P80" i="48"/>
  <c r="P29" i="48"/>
  <c r="P68" i="48"/>
  <c r="P31" i="48"/>
  <c r="P69" i="48"/>
  <c r="P6" i="48"/>
  <c r="P36" i="48" s="1"/>
  <c r="P67" i="48"/>
  <c r="P88" i="48"/>
  <c r="P32" i="48"/>
  <c r="P84" i="48"/>
  <c r="P66" i="48"/>
  <c r="P81" i="48"/>
  <c r="P34" i="48"/>
  <c r="P33" i="48"/>
  <c r="P86" i="48"/>
  <c r="P30" i="48"/>
  <c r="P74" i="48"/>
  <c r="P72" i="48"/>
  <c r="P27" i="48"/>
  <c r="P70" i="48"/>
  <c r="P28" i="48"/>
  <c r="P87" i="48"/>
  <c r="P71" i="48"/>
  <c r="P73" i="48"/>
  <c r="U3" i="44"/>
  <c r="BZ3" i="48"/>
  <c r="DC3" i="48"/>
  <c r="IV8" i="48" l="1"/>
  <c r="IW7" i="48"/>
  <c r="IW8" i="48" s="1"/>
  <c r="N62" i="48"/>
  <c r="Q11" i="44" s="1"/>
  <c r="N54" i="48"/>
  <c r="O36" i="48"/>
  <c r="EZ8" i="48"/>
  <c r="FA7" i="48"/>
  <c r="FB7" i="48" s="1"/>
  <c r="FB8" i="48" s="1"/>
  <c r="P18" i="44"/>
  <c r="P9" i="44"/>
  <c r="O23" i="44"/>
  <c r="C14" i="44"/>
  <c r="C15" i="44" s="1"/>
  <c r="C16" i="44" s="1"/>
  <c r="C17" i="44" s="1"/>
  <c r="C19" i="44" s="1"/>
  <c r="C20" i="44" s="1"/>
  <c r="C21" i="44" s="1"/>
  <c r="P25" i="44"/>
  <c r="U2" i="44"/>
  <c r="N58" i="48"/>
  <c r="Q14" i="44" s="1"/>
  <c r="N76" i="48"/>
  <c r="Q13" i="44"/>
  <c r="Q12" i="44"/>
  <c r="Q25" i="44"/>
  <c r="N59" i="48"/>
  <c r="Q15" i="44" s="1"/>
  <c r="P21" i="44"/>
  <c r="P26" i="44" s="1"/>
  <c r="P22" i="44"/>
  <c r="P27" i="44" s="1"/>
  <c r="N60" i="48"/>
  <c r="Q16" i="44" s="1"/>
  <c r="O90" i="48"/>
  <c r="O89" i="48"/>
  <c r="O75" i="48"/>
  <c r="P75" i="48"/>
  <c r="N49" i="48"/>
  <c r="Q10" i="44" s="1"/>
  <c r="N42" i="48"/>
  <c r="Q6" i="44" s="1"/>
  <c r="N41" i="48"/>
  <c r="Q5" i="44" s="1"/>
  <c r="N50" i="48"/>
  <c r="Q19" i="44" s="1"/>
  <c r="N44" i="48"/>
  <c r="Q8" i="44" s="1"/>
  <c r="N46" i="48"/>
  <c r="N45" i="48"/>
  <c r="N47" i="48"/>
  <c r="N40" i="48"/>
  <c r="Q4" i="44" s="1"/>
  <c r="N43" i="48"/>
  <c r="Q7" i="44" s="1"/>
  <c r="P5" i="48"/>
  <c r="N48" i="48"/>
  <c r="P7" i="48"/>
  <c r="P4" i="48"/>
  <c r="O4" i="48"/>
  <c r="O37" i="48"/>
  <c r="O5" i="48"/>
  <c r="P85" i="48"/>
  <c r="P35" i="48"/>
  <c r="P83" i="48"/>
  <c r="P37" i="48"/>
  <c r="P82" i="48"/>
  <c r="Q72" i="48"/>
  <c r="Q73" i="48"/>
  <c r="Q6" i="48"/>
  <c r="Q68" i="48"/>
  <c r="Q67" i="48"/>
  <c r="Q31" i="48"/>
  <c r="Q71" i="48"/>
  <c r="Q82" i="48"/>
  <c r="Q88" i="48"/>
  <c r="Q30" i="48"/>
  <c r="Q66" i="48"/>
  <c r="Q84" i="48"/>
  <c r="Q70" i="48"/>
  <c r="Q7" i="48"/>
  <c r="Q80" i="48"/>
  <c r="Q74" i="48"/>
  <c r="Q28" i="48"/>
  <c r="Q33" i="48"/>
  <c r="Q81" i="48"/>
  <c r="V3" i="44"/>
  <c r="DD3" i="48"/>
  <c r="CA3" i="48"/>
  <c r="IX7" i="48" l="1"/>
  <c r="IX8" i="48" s="1"/>
  <c r="FA8" i="48"/>
  <c r="Q18" i="44"/>
  <c r="FC7" i="48"/>
  <c r="FC8" i="48" s="1"/>
  <c r="P23" i="44"/>
  <c r="Q9" i="44"/>
  <c r="Q23" i="44" s="1"/>
  <c r="C22" i="44"/>
  <c r="C24" i="44" s="1"/>
  <c r="C25" i="44" s="1"/>
  <c r="C26" i="44" s="1"/>
  <c r="C27" i="44" s="1"/>
  <c r="C23" i="44"/>
  <c r="V2" i="44"/>
  <c r="Q24" i="44"/>
  <c r="P76" i="48"/>
  <c r="S13" i="44"/>
  <c r="S12" i="44"/>
  <c r="Q21" i="44"/>
  <c r="Q26" i="44" s="1"/>
  <c r="Q22" i="44"/>
  <c r="Q27" i="44" s="1"/>
  <c r="P89" i="48"/>
  <c r="O76" i="48"/>
  <c r="R13" i="44"/>
  <c r="R12" i="44"/>
  <c r="Q37" i="48"/>
  <c r="Q36" i="48"/>
  <c r="P90" i="48"/>
  <c r="P53" i="48"/>
  <c r="O63" i="48"/>
  <c r="R20" i="44" s="1"/>
  <c r="P43" i="48"/>
  <c r="S7" i="44" s="1"/>
  <c r="P45" i="48"/>
  <c r="P40" i="48"/>
  <c r="S4" i="44" s="1"/>
  <c r="P47" i="48"/>
  <c r="P44" i="48"/>
  <c r="S8" i="44" s="1"/>
  <c r="P42" i="48"/>
  <c r="S6" i="44" s="1"/>
  <c r="P46" i="48"/>
  <c r="P48" i="48"/>
  <c r="P41" i="48"/>
  <c r="S5" i="44" s="1"/>
  <c r="O45" i="48"/>
  <c r="P50" i="48"/>
  <c r="S19" i="44" s="1"/>
  <c r="O60" i="48"/>
  <c r="R16" i="44" s="1"/>
  <c r="Q4" i="48"/>
  <c r="Q54" i="48" s="1"/>
  <c r="P56" i="48"/>
  <c r="O62" i="48"/>
  <c r="R11" i="44" s="1"/>
  <c r="O53" i="48"/>
  <c r="P49" i="48"/>
  <c r="O54" i="48"/>
  <c r="P63" i="48"/>
  <c r="S20" i="44" s="1"/>
  <c r="P59" i="48"/>
  <c r="S15" i="44" s="1"/>
  <c r="P58" i="48"/>
  <c r="S14" i="44" s="1"/>
  <c r="P54" i="48"/>
  <c r="P57" i="48"/>
  <c r="O43" i="48"/>
  <c r="R7" i="44" s="1"/>
  <c r="O49" i="48"/>
  <c r="P60" i="48"/>
  <c r="S16" i="44" s="1"/>
  <c r="P61" i="48"/>
  <c r="S17" i="44" s="1"/>
  <c r="O56" i="48"/>
  <c r="O47" i="48"/>
  <c r="O40" i="48"/>
  <c r="R4" i="44" s="1"/>
  <c r="O46" i="48"/>
  <c r="O44" i="48"/>
  <c r="R8" i="44" s="1"/>
  <c r="O41" i="48"/>
  <c r="R5" i="44" s="1"/>
  <c r="O48" i="48"/>
  <c r="O55" i="48"/>
  <c r="O58" i="48"/>
  <c r="R14" i="44" s="1"/>
  <c r="O59" i="48"/>
  <c r="R15" i="44" s="1"/>
  <c r="O61" i="48"/>
  <c r="R17" i="44" s="1"/>
  <c r="O57" i="48"/>
  <c r="P55" i="48"/>
  <c r="P62" i="48"/>
  <c r="S11" i="44" s="1"/>
  <c r="O42" i="48"/>
  <c r="R6" i="44" s="1"/>
  <c r="O50" i="48"/>
  <c r="R19" i="44" s="1"/>
  <c r="Q86" i="48"/>
  <c r="Q83" i="48"/>
  <c r="Q5" i="48"/>
  <c r="Q29" i="48"/>
  <c r="Q32" i="48"/>
  <c r="Q85" i="48"/>
  <c r="Q27" i="48"/>
  <c r="Q34" i="48"/>
  <c r="Q69" i="48"/>
  <c r="Q75" i="48" s="1"/>
  <c r="Q87" i="48"/>
  <c r="Q35" i="48"/>
  <c r="R35" i="48"/>
  <c r="R73" i="48"/>
  <c r="W3" i="44"/>
  <c r="DE3" i="48"/>
  <c r="CB3" i="48"/>
  <c r="FD7" i="48" l="1"/>
  <c r="R18" i="44"/>
  <c r="S18" i="44"/>
  <c r="R9" i="44"/>
  <c r="R23" i="44" s="1"/>
  <c r="S9" i="44"/>
  <c r="S25" i="44"/>
  <c r="W2" i="44"/>
  <c r="R25" i="44"/>
  <c r="R22" i="44"/>
  <c r="R27" i="44" s="1"/>
  <c r="R21" i="44"/>
  <c r="R26" i="44" s="1"/>
  <c r="Q76" i="48"/>
  <c r="T13" i="44"/>
  <c r="T12" i="44"/>
  <c r="S22" i="44"/>
  <c r="S27" i="44" s="1"/>
  <c r="S21" i="44"/>
  <c r="S26" i="44" s="1"/>
  <c r="Q90" i="48"/>
  <c r="Q89" i="48"/>
  <c r="Q56" i="48"/>
  <c r="Q59" i="48"/>
  <c r="T15" i="44" s="1"/>
  <c r="Q42" i="48"/>
  <c r="T6" i="44" s="1"/>
  <c r="Q61" i="48"/>
  <c r="T17" i="44" s="1"/>
  <c r="Q60" i="48"/>
  <c r="T16" i="44" s="1"/>
  <c r="Q43" i="48"/>
  <c r="T7" i="44" s="1"/>
  <c r="Q58" i="48"/>
  <c r="T14" i="44" s="1"/>
  <c r="Q53" i="48"/>
  <c r="Q57" i="48"/>
  <c r="Q47" i="48"/>
  <c r="Q55" i="48"/>
  <c r="Q49" i="48"/>
  <c r="T10" i="44" s="1"/>
  <c r="Q50" i="48"/>
  <c r="T19" i="44" s="1"/>
  <c r="Q62" i="48"/>
  <c r="T11" i="44" s="1"/>
  <c r="Q45" i="48"/>
  <c r="Q46" i="48"/>
  <c r="Q40" i="48"/>
  <c r="T4" i="44" s="1"/>
  <c r="S10" i="44"/>
  <c r="S24" i="44" s="1"/>
  <c r="R10" i="44"/>
  <c r="R24" i="44" s="1"/>
  <c r="Q63" i="48"/>
  <c r="T20" i="44" s="1"/>
  <c r="Q41" i="48"/>
  <c r="T5" i="44" s="1"/>
  <c r="Q48" i="48"/>
  <c r="Q44" i="48"/>
  <c r="T8" i="44" s="1"/>
  <c r="R31" i="48"/>
  <c r="R29" i="48"/>
  <c r="R28" i="48"/>
  <c r="R88" i="48"/>
  <c r="R33" i="48"/>
  <c r="R70" i="48"/>
  <c r="R74" i="48"/>
  <c r="R27" i="48"/>
  <c r="R66" i="48"/>
  <c r="R81" i="48"/>
  <c r="R80" i="48"/>
  <c r="R72" i="48"/>
  <c r="R68" i="48"/>
  <c r="R32" i="48"/>
  <c r="R82" i="48"/>
  <c r="R83" i="48"/>
  <c r="R69" i="48"/>
  <c r="R85" i="48"/>
  <c r="R7" i="48"/>
  <c r="R30" i="48"/>
  <c r="R87" i="48"/>
  <c r="R6" i="48"/>
  <c r="R86" i="48"/>
  <c r="R34" i="48"/>
  <c r="R84" i="48"/>
  <c r="R67" i="48"/>
  <c r="R71" i="48"/>
  <c r="S66" i="48"/>
  <c r="S27" i="48"/>
  <c r="S73" i="48"/>
  <c r="S80" i="48"/>
  <c r="S71" i="48"/>
  <c r="S6" i="48"/>
  <c r="S36" i="48" s="1"/>
  <c r="S30" i="48"/>
  <c r="S74" i="48"/>
  <c r="S81" i="48"/>
  <c r="S34" i="48"/>
  <c r="X3" i="44"/>
  <c r="DF3" i="48"/>
  <c r="CC3" i="48"/>
  <c r="R36" i="48" l="1"/>
  <c r="T18" i="44"/>
  <c r="FD8" i="48"/>
  <c r="FE7" i="48"/>
  <c r="S23" i="44"/>
  <c r="T9" i="44"/>
  <c r="T25" i="44"/>
  <c r="X2" i="44"/>
  <c r="T21" i="44"/>
  <c r="T26" i="44" s="1"/>
  <c r="T22" i="44"/>
  <c r="T27" i="44" s="1"/>
  <c r="T24" i="44"/>
  <c r="R89" i="48"/>
  <c r="R75" i="48"/>
  <c r="R90" i="48"/>
  <c r="S37" i="48"/>
  <c r="R5" i="48"/>
  <c r="R41" i="48" s="1"/>
  <c r="U5" i="44" s="1"/>
  <c r="R37" i="48"/>
  <c r="S7" i="48"/>
  <c r="R4" i="48"/>
  <c r="S4" i="48"/>
  <c r="S54" i="48" s="1"/>
  <c r="S83" i="48"/>
  <c r="S35" i="48"/>
  <c r="S87" i="48"/>
  <c r="S85" i="48"/>
  <c r="S88" i="48"/>
  <c r="S68" i="48"/>
  <c r="S29" i="48"/>
  <c r="S82" i="48"/>
  <c r="S72" i="48"/>
  <c r="S31" i="48"/>
  <c r="S70" i="48"/>
  <c r="S86" i="48"/>
  <c r="S67" i="48"/>
  <c r="S32" i="48"/>
  <c r="S69" i="48"/>
  <c r="S33" i="48"/>
  <c r="S84" i="48"/>
  <c r="S28" i="48"/>
  <c r="S5" i="48"/>
  <c r="T31" i="48"/>
  <c r="T82" i="48"/>
  <c r="T87" i="48"/>
  <c r="T28" i="48"/>
  <c r="T83" i="48"/>
  <c r="T71" i="48"/>
  <c r="T29" i="48"/>
  <c r="T33" i="48"/>
  <c r="T81" i="48"/>
  <c r="T72" i="48"/>
  <c r="T88" i="48"/>
  <c r="T85" i="48"/>
  <c r="T80" i="48"/>
  <c r="T70" i="48"/>
  <c r="T32" i="48"/>
  <c r="T86" i="48"/>
  <c r="T27" i="48"/>
  <c r="Y3" i="44"/>
  <c r="CD3" i="48"/>
  <c r="DG3" i="48"/>
  <c r="D20" i="44"/>
  <c r="FE8" i="48" l="1"/>
  <c r="FF7" i="48"/>
  <c r="T23" i="44"/>
  <c r="Y2" i="44"/>
  <c r="R76" i="48"/>
  <c r="U12" i="44"/>
  <c r="U13" i="44"/>
  <c r="S90" i="48"/>
  <c r="S75" i="48"/>
  <c r="S89" i="48"/>
  <c r="R40" i="48"/>
  <c r="U4" i="44" s="1"/>
  <c r="R50" i="48"/>
  <c r="U19" i="44" s="1"/>
  <c r="S61" i="48"/>
  <c r="V17" i="44" s="1"/>
  <c r="R61" i="48"/>
  <c r="U17" i="44" s="1"/>
  <c r="R63" i="48"/>
  <c r="U20" i="44" s="1"/>
  <c r="R60" i="48"/>
  <c r="U16" i="44" s="1"/>
  <c r="R53" i="48"/>
  <c r="S57" i="48"/>
  <c r="R57" i="48"/>
  <c r="R43" i="48"/>
  <c r="U7" i="44" s="1"/>
  <c r="R45" i="48"/>
  <c r="R48" i="48"/>
  <c r="S45" i="48"/>
  <c r="S43" i="48"/>
  <c r="V7" i="44" s="1"/>
  <c r="S56" i="48"/>
  <c r="S47" i="48"/>
  <c r="S60" i="48"/>
  <c r="V16" i="44" s="1"/>
  <c r="R42" i="48"/>
  <c r="U6" i="44" s="1"/>
  <c r="R44" i="48"/>
  <c r="U8" i="44" s="1"/>
  <c r="R47" i="48"/>
  <c r="R49" i="48"/>
  <c r="U10" i="44" s="1"/>
  <c r="R46" i="48"/>
  <c r="S62" i="48"/>
  <c r="V11" i="44" s="1"/>
  <c r="R58" i="48"/>
  <c r="U14" i="44" s="1"/>
  <c r="S58" i="48"/>
  <c r="V14" i="44" s="1"/>
  <c r="R59" i="48"/>
  <c r="U15" i="44" s="1"/>
  <c r="R55" i="48"/>
  <c r="R56" i="48"/>
  <c r="S59" i="48"/>
  <c r="V15" i="44" s="1"/>
  <c r="R62" i="48"/>
  <c r="U11" i="44" s="1"/>
  <c r="R54" i="48"/>
  <c r="S55" i="48"/>
  <c r="S48" i="48"/>
  <c r="S49" i="48"/>
  <c r="S41" i="48"/>
  <c r="V5" i="44" s="1"/>
  <c r="S42" i="48"/>
  <c r="V6" i="44" s="1"/>
  <c r="S44" i="48"/>
  <c r="V8" i="44" s="1"/>
  <c r="S53" i="48"/>
  <c r="S63" i="48"/>
  <c r="V20" i="44" s="1"/>
  <c r="S50" i="48"/>
  <c r="V19" i="44" s="1"/>
  <c r="S46" i="48"/>
  <c r="S40" i="48"/>
  <c r="V4" i="44" s="1"/>
  <c r="T84" i="48"/>
  <c r="T90" i="48" s="1"/>
  <c r="T34" i="48"/>
  <c r="T67" i="48"/>
  <c r="T35" i="48"/>
  <c r="T30" i="48"/>
  <c r="T69" i="48"/>
  <c r="T6" i="48"/>
  <c r="T36" i="48" s="1"/>
  <c r="T7" i="48"/>
  <c r="T73" i="48"/>
  <c r="T68" i="48"/>
  <c r="T66" i="48"/>
  <c r="T74" i="48"/>
  <c r="Z3" i="44"/>
  <c r="CE3" i="48"/>
  <c r="DH3" i="48"/>
  <c r="D21" i="44"/>
  <c r="D23" i="44" s="1"/>
  <c r="V18" i="44" l="1"/>
  <c r="FF8" i="48"/>
  <c r="FG7" i="48"/>
  <c r="U9" i="44"/>
  <c r="U18" i="44"/>
  <c r="U23" i="44" s="1"/>
  <c r="V9" i="44"/>
  <c r="V23" i="44" s="1"/>
  <c r="Z2" i="44"/>
  <c r="U25" i="44"/>
  <c r="V25" i="44"/>
  <c r="U24" i="44"/>
  <c r="S76" i="48"/>
  <c r="V13" i="44"/>
  <c r="V12" i="44"/>
  <c r="U21" i="44"/>
  <c r="U26" i="44" s="1"/>
  <c r="U22" i="44"/>
  <c r="U27" i="44" s="1"/>
  <c r="T89" i="48"/>
  <c r="T75" i="48"/>
  <c r="V10" i="44"/>
  <c r="V24" i="44" s="1"/>
  <c r="D22" i="44"/>
  <c r="T5" i="48"/>
  <c r="T4" i="48"/>
  <c r="T37" i="48"/>
  <c r="U33" i="48"/>
  <c r="U83" i="48"/>
  <c r="U85" i="48"/>
  <c r="U70" i="48"/>
  <c r="U86" i="48"/>
  <c r="U28" i="48"/>
  <c r="U68" i="48"/>
  <c r="U71" i="48"/>
  <c r="U81" i="48"/>
  <c r="U34" i="48"/>
  <c r="U88" i="48"/>
  <c r="U7" i="48"/>
  <c r="U72" i="48"/>
  <c r="U29" i="48"/>
  <c r="U30" i="48"/>
  <c r="U31" i="48"/>
  <c r="U87" i="48"/>
  <c r="U84" i="48"/>
  <c r="U74" i="48"/>
  <c r="U67" i="48"/>
  <c r="U73" i="48"/>
  <c r="U32" i="48"/>
  <c r="U82" i="48"/>
  <c r="U27" i="48"/>
  <c r="U69" i="48"/>
  <c r="U6" i="48"/>
  <c r="U36" i="48" s="1"/>
  <c r="U66" i="48"/>
  <c r="U35" i="48"/>
  <c r="U80" i="48"/>
  <c r="V88" i="48"/>
  <c r="V29" i="48"/>
  <c r="V82" i="48"/>
  <c r="V69" i="48"/>
  <c r="V68" i="48"/>
  <c r="V71" i="48"/>
  <c r="V73" i="48"/>
  <c r="V80" i="48"/>
  <c r="V83" i="48"/>
  <c r="V74" i="48"/>
  <c r="AA3" i="44"/>
  <c r="CF3" i="48"/>
  <c r="DI3" i="48"/>
  <c r="FH7" i="48" l="1"/>
  <c r="FI7" i="48" s="1"/>
  <c r="FI8" i="48" s="1"/>
  <c r="FG8" i="48"/>
  <c r="D24" i="44"/>
  <c r="D25" i="44" s="1"/>
  <c r="D26" i="44" s="1"/>
  <c r="D27" i="44" s="1"/>
  <c r="AA2" i="44"/>
  <c r="T76" i="48"/>
  <c r="W13" i="44"/>
  <c r="W12" i="44"/>
  <c r="V22" i="44"/>
  <c r="V27" i="44" s="1"/>
  <c r="V21" i="44"/>
  <c r="V26" i="44" s="1"/>
  <c r="U75" i="48"/>
  <c r="U90" i="48"/>
  <c r="U89" i="48"/>
  <c r="T49" i="48"/>
  <c r="W10" i="44" s="1"/>
  <c r="T50" i="48"/>
  <c r="W19" i="44" s="1"/>
  <c r="T43" i="48"/>
  <c r="W7" i="44" s="1"/>
  <c r="T47" i="48"/>
  <c r="T63" i="48"/>
  <c r="W20" i="44" s="1"/>
  <c r="U5" i="48"/>
  <c r="T44" i="48"/>
  <c r="W8" i="44" s="1"/>
  <c r="T42" i="48"/>
  <c r="W6" i="44" s="1"/>
  <c r="U37" i="48"/>
  <c r="T40" i="48"/>
  <c r="W4" i="44" s="1"/>
  <c r="T45" i="48"/>
  <c r="T48" i="48"/>
  <c r="T46" i="48"/>
  <c r="T41" i="48"/>
  <c r="W5" i="44" s="1"/>
  <c r="T54" i="48"/>
  <c r="T61" i="48"/>
  <c r="W17" i="44" s="1"/>
  <c r="T60" i="48"/>
  <c r="W16" i="44" s="1"/>
  <c r="T59" i="48"/>
  <c r="W15" i="44" s="1"/>
  <c r="T57" i="48"/>
  <c r="T53" i="48"/>
  <c r="T58" i="48"/>
  <c r="W14" i="44" s="1"/>
  <c r="T55" i="48"/>
  <c r="T56" i="48"/>
  <c r="U4" i="48"/>
  <c r="T62" i="48"/>
  <c r="W11" i="44" s="1"/>
  <c r="V34" i="48"/>
  <c r="V28" i="48"/>
  <c r="V86" i="48"/>
  <c r="V70" i="48"/>
  <c r="V33" i="48"/>
  <c r="V32" i="48"/>
  <c r="V27" i="48"/>
  <c r="V84" i="48"/>
  <c r="V85" i="48"/>
  <c r="V35" i="48"/>
  <c r="V72" i="48"/>
  <c r="V87" i="48"/>
  <c r="V66" i="48"/>
  <c r="V30" i="48"/>
  <c r="V6" i="48"/>
  <c r="V36" i="48" s="1"/>
  <c r="V31" i="48"/>
  <c r="V7" i="48"/>
  <c r="V81" i="48"/>
  <c r="V67" i="48"/>
  <c r="W32" i="48"/>
  <c r="W73" i="48"/>
  <c r="W28" i="48"/>
  <c r="W33" i="48"/>
  <c r="W34" i="48"/>
  <c r="W84" i="48"/>
  <c r="W81" i="48"/>
  <c r="W35" i="48"/>
  <c r="W71" i="48"/>
  <c r="W88" i="48"/>
  <c r="W31" i="48"/>
  <c r="AB3" i="44"/>
  <c r="AB2" i="44" s="1"/>
  <c r="CG3" i="48"/>
  <c r="DJ3" i="48"/>
  <c r="FH8" i="48" l="1"/>
  <c r="FJ7" i="48"/>
  <c r="FJ8" i="48" s="1"/>
  <c r="W18" i="44"/>
  <c r="W9" i="44"/>
  <c r="W24" i="44"/>
  <c r="U76" i="48"/>
  <c r="X13" i="44"/>
  <c r="X12" i="44"/>
  <c r="W25" i="44"/>
  <c r="W22" i="44"/>
  <c r="W27" i="44" s="1"/>
  <c r="W21" i="44"/>
  <c r="W26" i="44" s="1"/>
  <c r="V90" i="48"/>
  <c r="V89" i="48"/>
  <c r="V75" i="48"/>
  <c r="U46" i="48"/>
  <c r="U45" i="48"/>
  <c r="U50" i="48"/>
  <c r="X19" i="44" s="1"/>
  <c r="U44" i="48"/>
  <c r="X8" i="44" s="1"/>
  <c r="U42" i="48"/>
  <c r="X6" i="44" s="1"/>
  <c r="U43" i="48"/>
  <c r="X7" i="44" s="1"/>
  <c r="U41" i="48"/>
  <c r="X5" i="44" s="1"/>
  <c r="U49" i="48"/>
  <c r="X10" i="44" s="1"/>
  <c r="U63" i="48"/>
  <c r="X20" i="44" s="1"/>
  <c r="U40" i="48"/>
  <c r="X4" i="44" s="1"/>
  <c r="U48" i="48"/>
  <c r="U47" i="48"/>
  <c r="U54" i="48"/>
  <c r="U61" i="48"/>
  <c r="X17" i="44" s="1"/>
  <c r="U55" i="48"/>
  <c r="V37" i="48"/>
  <c r="U60" i="48"/>
  <c r="X16" i="44" s="1"/>
  <c r="U53" i="48"/>
  <c r="V4" i="48"/>
  <c r="U58" i="48"/>
  <c r="X14" i="44" s="1"/>
  <c r="U62" i="48"/>
  <c r="X11" i="44" s="1"/>
  <c r="U59" i="48"/>
  <c r="X15" i="44" s="1"/>
  <c r="U57" i="48"/>
  <c r="U56" i="48"/>
  <c r="V5" i="48"/>
  <c r="V50" i="48" s="1"/>
  <c r="Y19" i="44" s="1"/>
  <c r="W82" i="48"/>
  <c r="W80" i="48"/>
  <c r="W83" i="48"/>
  <c r="W27" i="48"/>
  <c r="W68" i="48"/>
  <c r="W30" i="48"/>
  <c r="W66" i="48"/>
  <c r="W74" i="48"/>
  <c r="W87" i="48"/>
  <c r="W70" i="48"/>
  <c r="W29" i="48"/>
  <c r="W69" i="48"/>
  <c r="W67" i="48"/>
  <c r="W85" i="48"/>
  <c r="W7" i="48"/>
  <c r="W72" i="48"/>
  <c r="W6" i="48"/>
  <c r="W86" i="48"/>
  <c r="AC3" i="44"/>
  <c r="AC2" i="44" s="1"/>
  <c r="CH3" i="48"/>
  <c r="DK3" i="48"/>
  <c r="FK7" i="48" l="1"/>
  <c r="FL7" i="48" s="1"/>
  <c r="FL8" i="48" s="1"/>
  <c r="W23" i="44"/>
  <c r="X18" i="44"/>
  <c r="X9" i="44"/>
  <c r="X24" i="44"/>
  <c r="X25" i="44"/>
  <c r="V76" i="48"/>
  <c r="Y12" i="44"/>
  <c r="Y13" i="44"/>
  <c r="X21" i="44"/>
  <c r="X26" i="44" s="1"/>
  <c r="X22" i="44"/>
  <c r="X27" i="44" s="1"/>
  <c r="W37" i="48"/>
  <c r="W36" i="48"/>
  <c r="W89" i="48"/>
  <c r="W90" i="48"/>
  <c r="W75" i="48"/>
  <c r="W4" i="48"/>
  <c r="W62" i="48" s="1"/>
  <c r="Z11" i="44" s="1"/>
  <c r="V49" i="48"/>
  <c r="Y10" i="44" s="1"/>
  <c r="Y24" i="44" s="1"/>
  <c r="V46" i="48"/>
  <c r="V41" i="48"/>
  <c r="Y5" i="44" s="1"/>
  <c r="V44" i="48"/>
  <c r="Y8" i="44" s="1"/>
  <c r="V54" i="48"/>
  <c r="V53" i="48"/>
  <c r="V59" i="48"/>
  <c r="Y15" i="44" s="1"/>
  <c r="V56" i="48"/>
  <c r="V55" i="48"/>
  <c r="V61" i="48"/>
  <c r="Y17" i="44" s="1"/>
  <c r="V60" i="48"/>
  <c r="Y16" i="44" s="1"/>
  <c r="V57" i="48"/>
  <c r="V45" i="48"/>
  <c r="V42" i="48"/>
  <c r="Y6" i="44" s="1"/>
  <c r="V43" i="48"/>
  <c r="Y7" i="44" s="1"/>
  <c r="V48" i="48"/>
  <c r="V47" i="48"/>
  <c r="V40" i="48"/>
  <c r="Y4" i="44" s="1"/>
  <c r="V58" i="48"/>
  <c r="Y14" i="44" s="1"/>
  <c r="V63" i="48"/>
  <c r="Y20" i="44" s="1"/>
  <c r="V62" i="48"/>
  <c r="Y11" i="44" s="1"/>
  <c r="W5" i="48"/>
  <c r="W42" i="48" s="1"/>
  <c r="Z6" i="44" s="1"/>
  <c r="X33" i="48"/>
  <c r="X29" i="48"/>
  <c r="X30" i="48"/>
  <c r="X68" i="48"/>
  <c r="X32" i="48"/>
  <c r="X6" i="48"/>
  <c r="X88" i="48"/>
  <c r="X66" i="48"/>
  <c r="X31" i="48"/>
  <c r="X7" i="48"/>
  <c r="X80" i="48"/>
  <c r="X28" i="48"/>
  <c r="X82" i="48"/>
  <c r="X67" i="48"/>
  <c r="X84" i="48"/>
  <c r="X70" i="48"/>
  <c r="X71" i="48"/>
  <c r="X81" i="48"/>
  <c r="X73" i="48"/>
  <c r="X27" i="48"/>
  <c r="X87" i="48"/>
  <c r="X85" i="48"/>
  <c r="X69" i="48"/>
  <c r="X34" i="48"/>
  <c r="X83" i="48"/>
  <c r="X86" i="48"/>
  <c r="X35" i="48"/>
  <c r="X72" i="48"/>
  <c r="X74" i="48"/>
  <c r="Y72" i="48"/>
  <c r="Y28" i="48"/>
  <c r="Y33" i="48"/>
  <c r="Y83" i="48"/>
  <c r="Y27" i="48"/>
  <c r="Y73" i="48"/>
  <c r="Y29" i="48"/>
  <c r="Y35" i="48"/>
  <c r="Y31" i="48"/>
  <c r="Y74" i="48"/>
  <c r="Y70" i="48"/>
  <c r="Y6" i="48"/>
  <c r="Y36" i="48" s="1"/>
  <c r="Y69" i="48"/>
  <c r="Y71" i="48"/>
  <c r="Y87" i="48"/>
  <c r="Y88" i="48"/>
  <c r="Y85" i="48"/>
  <c r="Y68" i="48"/>
  <c r="Y84" i="48"/>
  <c r="Y67" i="48"/>
  <c r="Y34" i="48"/>
  <c r="Z74" i="48"/>
  <c r="Y66" i="48"/>
  <c r="Y30" i="48"/>
  <c r="Z68" i="48"/>
  <c r="Z87" i="48"/>
  <c r="Z67" i="48"/>
  <c r="Z88" i="48"/>
  <c r="Z27" i="48"/>
  <c r="Z86" i="48"/>
  <c r="Z80" i="48"/>
  <c r="Z66" i="48"/>
  <c r="Z31" i="48"/>
  <c r="Z33" i="48"/>
  <c r="Z84" i="48"/>
  <c r="Z73" i="48"/>
  <c r="Y80" i="48"/>
  <c r="Y86" i="48"/>
  <c r="Y82" i="48"/>
  <c r="Y32" i="48"/>
  <c r="AD3" i="44"/>
  <c r="AD2" i="44" s="1"/>
  <c r="CI3" i="48"/>
  <c r="DL3" i="48"/>
  <c r="FK8" i="48" l="1"/>
  <c r="FM7" i="48"/>
  <c r="Y18" i="44"/>
  <c r="X23" i="44"/>
  <c r="Y9" i="44"/>
  <c r="W76" i="48"/>
  <c r="Z13" i="44"/>
  <c r="Z12" i="44"/>
  <c r="Y25" i="44"/>
  <c r="Y21" i="44"/>
  <c r="Y26" i="44" s="1"/>
  <c r="Y22" i="44"/>
  <c r="Y27" i="44" s="1"/>
  <c r="X5" i="48"/>
  <c r="X43" i="48" s="1"/>
  <c r="AA7" i="44" s="1"/>
  <c r="X36" i="48"/>
  <c r="X89" i="48"/>
  <c r="X90" i="48"/>
  <c r="Y75" i="48"/>
  <c r="X75" i="48"/>
  <c r="W55" i="48"/>
  <c r="W58" i="48"/>
  <c r="Z14" i="44" s="1"/>
  <c r="W56" i="48"/>
  <c r="W61" i="48"/>
  <c r="Z17" i="44" s="1"/>
  <c r="Z18" i="44" s="1"/>
  <c r="W57" i="48"/>
  <c r="W59" i="48"/>
  <c r="Z15" i="44" s="1"/>
  <c r="W60" i="48"/>
  <c r="Z16" i="44" s="1"/>
  <c r="W63" i="48"/>
  <c r="Z20" i="44" s="1"/>
  <c r="Z25" i="44" s="1"/>
  <c r="W53" i="48"/>
  <c r="Y7" i="48"/>
  <c r="W41" i="48"/>
  <c r="Z5" i="44" s="1"/>
  <c r="Y4" i="48"/>
  <c r="W54" i="48"/>
  <c r="W44" i="48"/>
  <c r="Z8" i="44" s="1"/>
  <c r="Y37" i="48"/>
  <c r="Y5" i="48"/>
  <c r="Y47" i="48" s="1"/>
  <c r="X37" i="48"/>
  <c r="W48" i="48"/>
  <c r="X4" i="48"/>
  <c r="X57" i="48" s="1"/>
  <c r="X50" i="48"/>
  <c r="AA19" i="44" s="1"/>
  <c r="W50" i="48"/>
  <c r="Z19" i="44" s="1"/>
  <c r="W49" i="48"/>
  <c r="W40" i="48"/>
  <c r="Z4" i="44" s="1"/>
  <c r="W45" i="48"/>
  <c r="W47" i="48"/>
  <c r="W43" i="48"/>
  <c r="Z7" i="44" s="1"/>
  <c r="W46" i="48"/>
  <c r="Z81" i="48"/>
  <c r="Y81" i="48"/>
  <c r="Y90" i="48" s="1"/>
  <c r="Z71" i="48"/>
  <c r="Z70" i="48"/>
  <c r="Z30" i="48"/>
  <c r="Z83" i="48"/>
  <c r="Z35" i="48"/>
  <c r="Z29" i="48"/>
  <c r="Z82" i="48"/>
  <c r="Z72" i="48"/>
  <c r="Z7" i="48"/>
  <c r="Z28" i="48"/>
  <c r="Z34" i="48"/>
  <c r="Z69" i="48"/>
  <c r="Z6" i="48"/>
  <c r="Z32" i="48"/>
  <c r="Z85" i="48"/>
  <c r="AE3" i="44"/>
  <c r="AE2" i="44" s="1"/>
  <c r="DM3" i="48"/>
  <c r="CJ3" i="48"/>
  <c r="FM8" i="48" l="1"/>
  <c r="FN7" i="48"/>
  <c r="Y23" i="44"/>
  <c r="Z9" i="44"/>
  <c r="Z23" i="44" s="1"/>
  <c r="X40" i="48"/>
  <c r="AA4" i="44" s="1"/>
  <c r="X76" i="48"/>
  <c r="AA13" i="44"/>
  <c r="AA12" i="44"/>
  <c r="Y76" i="48"/>
  <c r="AB13" i="44"/>
  <c r="AB12" i="44"/>
  <c r="Z21" i="44"/>
  <c r="Z26" i="44" s="1"/>
  <c r="Z22" i="44"/>
  <c r="Z27" i="44" s="1"/>
  <c r="X48" i="48"/>
  <c r="Z5" i="48"/>
  <c r="Z48" i="48" s="1"/>
  <c r="Z36" i="48"/>
  <c r="X41" i="48"/>
  <c r="AA5" i="44" s="1"/>
  <c r="X45" i="48"/>
  <c r="X46" i="48"/>
  <c r="X42" i="48"/>
  <c r="AA6" i="44" s="1"/>
  <c r="X47" i="48"/>
  <c r="X44" i="48"/>
  <c r="AA8" i="44" s="1"/>
  <c r="X49" i="48"/>
  <c r="AA10" i="44" s="1"/>
  <c r="AA24" i="44" s="1"/>
  <c r="Z75" i="48"/>
  <c r="Z90" i="48"/>
  <c r="Y89" i="48"/>
  <c r="Z89" i="48"/>
  <c r="Y53" i="48"/>
  <c r="Y54" i="48"/>
  <c r="Y60" i="48"/>
  <c r="AB16" i="44" s="1"/>
  <c r="Y58" i="48"/>
  <c r="AB14" i="44" s="1"/>
  <c r="Y62" i="48"/>
  <c r="AB11" i="44" s="1"/>
  <c r="Y57" i="48"/>
  <c r="Y55" i="48"/>
  <c r="Y56" i="48"/>
  <c r="Y59" i="48"/>
  <c r="AB15" i="44" s="1"/>
  <c r="Y61" i="48"/>
  <c r="AB17" i="44" s="1"/>
  <c r="Y63" i="48"/>
  <c r="AB20" i="44" s="1"/>
  <c r="Z49" i="48"/>
  <c r="Y41" i="48"/>
  <c r="AB5" i="44" s="1"/>
  <c r="Y46" i="48"/>
  <c r="Y42" i="48"/>
  <c r="AB6" i="44" s="1"/>
  <c r="Y50" i="48"/>
  <c r="AB19" i="44" s="1"/>
  <c r="Z47" i="48"/>
  <c r="Y49" i="48"/>
  <c r="X59" i="48"/>
  <c r="AA15" i="44" s="1"/>
  <c r="X60" i="48"/>
  <c r="AA16" i="44" s="1"/>
  <c r="X62" i="48"/>
  <c r="AA11" i="44" s="1"/>
  <c r="X58" i="48"/>
  <c r="AA14" i="44" s="1"/>
  <c r="Z44" i="48"/>
  <c r="AC8" i="44" s="1"/>
  <c r="X63" i="48"/>
  <c r="AA20" i="44" s="1"/>
  <c r="Y43" i="48"/>
  <c r="AB7" i="44" s="1"/>
  <c r="Y44" i="48"/>
  <c r="AB8" i="44" s="1"/>
  <c r="X54" i="48"/>
  <c r="X61" i="48"/>
  <c r="AA17" i="44" s="1"/>
  <c r="X55" i="48"/>
  <c r="X56" i="48"/>
  <c r="Y48" i="48"/>
  <c r="Y45" i="48"/>
  <c r="Z50" i="48"/>
  <c r="AC19" i="44" s="1"/>
  <c r="Y40" i="48"/>
  <c r="AB4" i="44" s="1"/>
  <c r="X53" i="48"/>
  <c r="Z41" i="48"/>
  <c r="AC5" i="44" s="1"/>
  <c r="Z37" i="48"/>
  <c r="Z4" i="48"/>
  <c r="Z10" i="44"/>
  <c r="Z24" i="44" s="1"/>
  <c r="AA27" i="48"/>
  <c r="AA28" i="48"/>
  <c r="AA32" i="48"/>
  <c r="AA72" i="48"/>
  <c r="AA85" i="48"/>
  <c r="AA29" i="48"/>
  <c r="AA70" i="48"/>
  <c r="AA68" i="48"/>
  <c r="AA87" i="48"/>
  <c r="AA30" i="48"/>
  <c r="AA31" i="48"/>
  <c r="AA7" i="48"/>
  <c r="AA67" i="48"/>
  <c r="AA71" i="48"/>
  <c r="AA6" i="48"/>
  <c r="AA36" i="48" s="1"/>
  <c r="AA84" i="48"/>
  <c r="AA69" i="48"/>
  <c r="AA33" i="48"/>
  <c r="AA66" i="48"/>
  <c r="AA81" i="48"/>
  <c r="AA88" i="48"/>
  <c r="AB86" i="48"/>
  <c r="AA35" i="48"/>
  <c r="AA83" i="48"/>
  <c r="AA86" i="48"/>
  <c r="AA82" i="48"/>
  <c r="AA74" i="48"/>
  <c r="AA73" i="48"/>
  <c r="AA34" i="48"/>
  <c r="AA80" i="48"/>
  <c r="AF3" i="44"/>
  <c r="AF2" i="44" s="1"/>
  <c r="CK3" i="48"/>
  <c r="DN3" i="48"/>
  <c r="Z46" i="48" l="1"/>
  <c r="FN8" i="48"/>
  <c r="FO7" i="48"/>
  <c r="FO8" i="48" s="1"/>
  <c r="AA9" i="44"/>
  <c r="AB18" i="44"/>
  <c r="AA18" i="44"/>
  <c r="AA23" i="44" s="1"/>
  <c r="AB9" i="44"/>
  <c r="AB25" i="44"/>
  <c r="Z40" i="48"/>
  <c r="AC4" i="44" s="1"/>
  <c r="Z43" i="48"/>
  <c r="AC7" i="44" s="1"/>
  <c r="Z42" i="48"/>
  <c r="AC6" i="44" s="1"/>
  <c r="Z45" i="48"/>
  <c r="AA22" i="44"/>
  <c r="AA27" i="44" s="1"/>
  <c r="AA21" i="44"/>
  <c r="AA26" i="44" s="1"/>
  <c r="Z76" i="48"/>
  <c r="AC13" i="44"/>
  <c r="AC12" i="44"/>
  <c r="AB22" i="44"/>
  <c r="AB27" i="44" s="1"/>
  <c r="AB21" i="44"/>
  <c r="AB26" i="44" s="1"/>
  <c r="AA25" i="44"/>
  <c r="AA90" i="48"/>
  <c r="AA89" i="48"/>
  <c r="AA75" i="48"/>
  <c r="AC10" i="44"/>
  <c r="AC24" i="44" s="1"/>
  <c r="AB10" i="44"/>
  <c r="AB24" i="44" s="1"/>
  <c r="Z54" i="48"/>
  <c r="Z61" i="48"/>
  <c r="AC17" i="44" s="1"/>
  <c r="Z57" i="48"/>
  <c r="Z59" i="48"/>
  <c r="AC15" i="44" s="1"/>
  <c r="Z60" i="48"/>
  <c r="AC16" i="44" s="1"/>
  <c r="Z58" i="48"/>
  <c r="AC14" i="44" s="1"/>
  <c r="Z53" i="48"/>
  <c r="Z56" i="48"/>
  <c r="Z63" i="48"/>
  <c r="AC20" i="44" s="1"/>
  <c r="Z55" i="48"/>
  <c r="Z62" i="48"/>
  <c r="AC11" i="44" s="1"/>
  <c r="AA5" i="48"/>
  <c r="AA45" i="48" s="1"/>
  <c r="AA4" i="48"/>
  <c r="AA63" i="48"/>
  <c r="AD20" i="44" s="1"/>
  <c r="AA37" i="48"/>
  <c r="AB80" i="48"/>
  <c r="AB84" i="48"/>
  <c r="AB87" i="48"/>
  <c r="AB68" i="48"/>
  <c r="AB33" i="48"/>
  <c r="AB85" i="48"/>
  <c r="AB82" i="48"/>
  <c r="AB70" i="48"/>
  <c r="AB67" i="48"/>
  <c r="AB34" i="48"/>
  <c r="AB7" i="48"/>
  <c r="AB69" i="48"/>
  <c r="AB6" i="48"/>
  <c r="AB81" i="48"/>
  <c r="AB72" i="48"/>
  <c r="AB74" i="48"/>
  <c r="AB30" i="48"/>
  <c r="AB35" i="48"/>
  <c r="AB66" i="48"/>
  <c r="AC84" i="48"/>
  <c r="AB83" i="48"/>
  <c r="AC80" i="48"/>
  <c r="AC88" i="48"/>
  <c r="AC27" i="48"/>
  <c r="AC34" i="48"/>
  <c r="AC70" i="48"/>
  <c r="AC28" i="48"/>
  <c r="AC68" i="48"/>
  <c r="AC35" i="48"/>
  <c r="AC67" i="48"/>
  <c r="AC6" i="48"/>
  <c r="AC36" i="48" s="1"/>
  <c r="AC81" i="48"/>
  <c r="AC32" i="48"/>
  <c r="AC73" i="48"/>
  <c r="AC72" i="48"/>
  <c r="AB31" i="48"/>
  <c r="AB71" i="48"/>
  <c r="AB73" i="48"/>
  <c r="AB32" i="48"/>
  <c r="AB29" i="48"/>
  <c r="AB27" i="48"/>
  <c r="AB28" i="48"/>
  <c r="AB88" i="48"/>
  <c r="AG3" i="44"/>
  <c r="AG2" i="44" s="1"/>
  <c r="CL3" i="48"/>
  <c r="DO3" i="48"/>
  <c r="FP7" i="48" l="1"/>
  <c r="AC18" i="44"/>
  <c r="AC23" i="44" s="1"/>
  <c r="AC9" i="44"/>
  <c r="AB23" i="44"/>
  <c r="AA76" i="48"/>
  <c r="AD12" i="44"/>
  <c r="AD13" i="44"/>
  <c r="AC22" i="44"/>
  <c r="AC27" i="44" s="1"/>
  <c r="AC21" i="44"/>
  <c r="AC26" i="44" s="1"/>
  <c r="AC25" i="44"/>
  <c r="AB37" i="48"/>
  <c r="AB36" i="48"/>
  <c r="AB89" i="48"/>
  <c r="AB75" i="48"/>
  <c r="AB90" i="48"/>
  <c r="AC37" i="48"/>
  <c r="AA62" i="48"/>
  <c r="AD11" i="44" s="1"/>
  <c r="AD25" i="44" s="1"/>
  <c r="AC4" i="48"/>
  <c r="AB5" i="48"/>
  <c r="AC5" i="48"/>
  <c r="AA40" i="48"/>
  <c r="AD4" i="44" s="1"/>
  <c r="AA57" i="48"/>
  <c r="AA47" i="48"/>
  <c r="AA46" i="48"/>
  <c r="AA59" i="48"/>
  <c r="AD15" i="44" s="1"/>
  <c r="AA53" i="48"/>
  <c r="AA54" i="48"/>
  <c r="AA44" i="48"/>
  <c r="AD8" i="44" s="1"/>
  <c r="AA58" i="48"/>
  <c r="AD14" i="44" s="1"/>
  <c r="AA61" i="48"/>
  <c r="AD17" i="44" s="1"/>
  <c r="AA55" i="48"/>
  <c r="AA50" i="48"/>
  <c r="AD19" i="44" s="1"/>
  <c r="AA42" i="48"/>
  <c r="AD6" i="44" s="1"/>
  <c r="AB4" i="48"/>
  <c r="AB57" i="48" s="1"/>
  <c r="AA41" i="48"/>
  <c r="AD5" i="44" s="1"/>
  <c r="AA48" i="48"/>
  <c r="AA56" i="48"/>
  <c r="AA60" i="48"/>
  <c r="AD16" i="44" s="1"/>
  <c r="AC7" i="48"/>
  <c r="AA49" i="48"/>
  <c r="AA43" i="48"/>
  <c r="AD7" i="44" s="1"/>
  <c r="AC69" i="48"/>
  <c r="AC29" i="48"/>
  <c r="AC83" i="48"/>
  <c r="AC33" i="48"/>
  <c r="AC86" i="48"/>
  <c r="AC31" i="48"/>
  <c r="AC66" i="48"/>
  <c r="AC74" i="48"/>
  <c r="AC87" i="48"/>
  <c r="AC85" i="48"/>
  <c r="AC30" i="48"/>
  <c r="AC71" i="48"/>
  <c r="AC82" i="48"/>
  <c r="AH3" i="44"/>
  <c r="AH2" i="44" s="1"/>
  <c r="DP3" i="48"/>
  <c r="D11" i="44"/>
  <c r="FP8" i="48" l="1"/>
  <c r="FQ7" i="48"/>
  <c r="FR7" i="48" s="1"/>
  <c r="FR8" i="48" s="1"/>
  <c r="AD18" i="44"/>
  <c r="AD9" i="44"/>
  <c r="AD22" i="44"/>
  <c r="AD27" i="44" s="1"/>
  <c r="AD21" i="44"/>
  <c r="AD26" i="44" s="1"/>
  <c r="AB76" i="48"/>
  <c r="AE13" i="44"/>
  <c r="AE12" i="44"/>
  <c r="AC89" i="48"/>
  <c r="AC75" i="48"/>
  <c r="AC90" i="48"/>
  <c r="AC40" i="48"/>
  <c r="AF4" i="44" s="1"/>
  <c r="AC45" i="48"/>
  <c r="AC48" i="48"/>
  <c r="AC44" i="48"/>
  <c r="AF8" i="44" s="1"/>
  <c r="AC41" i="48"/>
  <c r="AF5" i="44" s="1"/>
  <c r="AC43" i="48"/>
  <c r="AF7" i="44" s="1"/>
  <c r="AC47" i="48"/>
  <c r="AB40" i="48"/>
  <c r="AE4" i="44" s="1"/>
  <c r="AB63" i="48"/>
  <c r="AE20" i="44" s="1"/>
  <c r="AC54" i="48"/>
  <c r="AC58" i="48"/>
  <c r="AF14" i="44" s="1"/>
  <c r="AB55" i="48"/>
  <c r="AC56" i="48"/>
  <c r="AC59" i="48"/>
  <c r="AF15" i="44" s="1"/>
  <c r="AB46" i="48"/>
  <c r="AC55" i="48"/>
  <c r="AC53" i="48"/>
  <c r="AB62" i="48"/>
  <c r="AE11" i="44" s="1"/>
  <c r="AB48" i="48"/>
  <c r="AB43" i="48"/>
  <c r="AE7" i="44" s="1"/>
  <c r="AB47" i="48"/>
  <c r="AC62" i="48"/>
  <c r="AF11" i="44" s="1"/>
  <c r="AB41" i="48"/>
  <c r="AE5" i="44" s="1"/>
  <c r="AB53" i="48"/>
  <c r="AB60" i="48"/>
  <c r="AE16" i="44" s="1"/>
  <c r="AB58" i="48"/>
  <c r="AE14" i="44" s="1"/>
  <c r="AB61" i="48"/>
  <c r="AE17" i="44" s="1"/>
  <c r="AB54" i="48"/>
  <c r="AB59" i="48"/>
  <c r="AE15" i="44" s="1"/>
  <c r="AC42" i="48"/>
  <c r="AF6" i="44" s="1"/>
  <c r="AB49" i="48"/>
  <c r="AE10" i="44" s="1"/>
  <c r="AB44" i="48"/>
  <c r="AE8" i="44" s="1"/>
  <c r="AB45" i="48"/>
  <c r="AB42" i="48"/>
  <c r="AE6" i="44" s="1"/>
  <c r="AB50" i="48"/>
  <c r="AE19" i="44" s="1"/>
  <c r="AC63" i="48"/>
  <c r="AF20" i="44" s="1"/>
  <c r="AC50" i="48"/>
  <c r="AF19" i="44" s="1"/>
  <c r="AD10" i="44"/>
  <c r="AD24" i="44" s="1"/>
  <c r="AC61" i="48"/>
  <c r="AF17" i="44" s="1"/>
  <c r="AC49" i="48"/>
  <c r="AC60" i="48"/>
  <c r="AF16" i="44" s="1"/>
  <c r="AC57" i="48"/>
  <c r="AB56" i="48"/>
  <c r="AC46" i="48"/>
  <c r="AD69" i="48"/>
  <c r="AD30" i="48"/>
  <c r="AD34" i="48"/>
  <c r="AD67" i="48"/>
  <c r="AD71" i="48"/>
  <c r="AE68" i="48"/>
  <c r="AD73" i="48"/>
  <c r="AD81" i="48"/>
  <c r="AD72" i="48"/>
  <c r="AD85" i="48"/>
  <c r="AD68" i="48"/>
  <c r="AD29" i="48"/>
  <c r="AD7" i="48"/>
  <c r="AD88" i="48"/>
  <c r="AD33" i="48"/>
  <c r="AD74" i="48"/>
  <c r="AD31" i="48"/>
  <c r="AD87" i="48"/>
  <c r="AD27" i="48"/>
  <c r="AE67" i="48"/>
  <c r="AE80" i="48"/>
  <c r="AE85" i="48"/>
  <c r="AE69" i="48"/>
  <c r="AD35" i="48"/>
  <c r="AD70" i="48"/>
  <c r="AD6" i="48"/>
  <c r="AD36" i="48" s="1"/>
  <c r="AD66" i="48"/>
  <c r="AD84" i="48"/>
  <c r="AD80" i="48"/>
  <c r="AD28" i="48"/>
  <c r="AD82" i="48"/>
  <c r="AD32" i="48"/>
  <c r="AD86" i="48"/>
  <c r="AD83" i="48"/>
  <c r="AI3" i="44"/>
  <c r="AI2" i="44" s="1"/>
  <c r="DQ3" i="48"/>
  <c r="D12" i="44"/>
  <c r="FS7" i="48" l="1"/>
  <c r="FS8" i="48" s="1"/>
  <c r="AD23" i="44"/>
  <c r="FQ8" i="48"/>
  <c r="AE18" i="44"/>
  <c r="AF18" i="44"/>
  <c r="AE9" i="44"/>
  <c r="AF9" i="44"/>
  <c r="AF25" i="44"/>
  <c r="AE24" i="44"/>
  <c r="AE25" i="44"/>
  <c r="AE22" i="44"/>
  <c r="AE27" i="44" s="1"/>
  <c r="AE21" i="44"/>
  <c r="AE26" i="44" s="1"/>
  <c r="AC76" i="48"/>
  <c r="AF13" i="44"/>
  <c r="AF12" i="44"/>
  <c r="AD90" i="48"/>
  <c r="AD89" i="48"/>
  <c r="AD75" i="48"/>
  <c r="AD4" i="48"/>
  <c r="AD55" i="48" s="1"/>
  <c r="AD37" i="48"/>
  <c r="AF10" i="44"/>
  <c r="AF24" i="44" s="1"/>
  <c r="AD5" i="48"/>
  <c r="AE84" i="48"/>
  <c r="AE7" i="48"/>
  <c r="AE81" i="48"/>
  <c r="AE74" i="48"/>
  <c r="AE28" i="48"/>
  <c r="AE70" i="48"/>
  <c r="AE6" i="48"/>
  <c r="AE36" i="48" s="1"/>
  <c r="AE87" i="48"/>
  <c r="AE73" i="48"/>
  <c r="AE30" i="48"/>
  <c r="AE88" i="48"/>
  <c r="AE66" i="48"/>
  <c r="AE35" i="48"/>
  <c r="AE83" i="48"/>
  <c r="AE82" i="48"/>
  <c r="AE33" i="48"/>
  <c r="AE31" i="48"/>
  <c r="AE72" i="48"/>
  <c r="AE32" i="48"/>
  <c r="AE34" i="48"/>
  <c r="AE29" i="48"/>
  <c r="AE71" i="48"/>
  <c r="AE86" i="48"/>
  <c r="AE27" i="48"/>
  <c r="AF87" i="48"/>
  <c r="AF88" i="48"/>
  <c r="AF31" i="48"/>
  <c r="AF32" i="48"/>
  <c r="AF86" i="48"/>
  <c r="AF84" i="48"/>
  <c r="AF85" i="48"/>
  <c r="AF6" i="48"/>
  <c r="AF36" i="48" s="1"/>
  <c r="AF34" i="48"/>
  <c r="AF35" i="48"/>
  <c r="AF33" i="48"/>
  <c r="AF70" i="48"/>
  <c r="D13" i="44"/>
  <c r="AJ3" i="44"/>
  <c r="AJ2" i="44" s="1"/>
  <c r="DR3" i="48"/>
  <c r="FT7" i="48" l="1"/>
  <c r="FT8" i="48" s="1"/>
  <c r="AE23" i="44"/>
  <c r="AF23" i="44"/>
  <c r="AF21" i="44"/>
  <c r="AF26" i="44" s="1"/>
  <c r="AF22" i="44"/>
  <c r="AF27" i="44" s="1"/>
  <c r="AD76" i="48"/>
  <c r="AG12" i="44"/>
  <c r="AG13" i="44"/>
  <c r="AE90" i="48"/>
  <c r="AE75" i="48"/>
  <c r="AE89" i="48"/>
  <c r="AF5" i="48"/>
  <c r="AF44" i="48" s="1"/>
  <c r="AI8" i="44" s="1"/>
  <c r="AE5" i="48"/>
  <c r="AE49" i="48" s="1"/>
  <c r="AF7" i="48"/>
  <c r="AE37" i="48"/>
  <c r="AD45" i="48"/>
  <c r="AD41" i="48"/>
  <c r="AG5" i="44" s="1"/>
  <c r="AD60" i="48"/>
  <c r="AG16" i="44" s="1"/>
  <c r="AD63" i="48"/>
  <c r="AG20" i="44" s="1"/>
  <c r="AD59" i="48"/>
  <c r="AG15" i="44" s="1"/>
  <c r="AD48" i="48"/>
  <c r="AD42" i="48"/>
  <c r="AG6" i="44" s="1"/>
  <c r="AD43" i="48"/>
  <c r="AG7" i="44" s="1"/>
  <c r="AD40" i="48"/>
  <c r="AG4" i="44" s="1"/>
  <c r="AD53" i="48"/>
  <c r="AD44" i="48"/>
  <c r="AG8" i="44" s="1"/>
  <c r="AD49" i="48"/>
  <c r="AD57" i="48"/>
  <c r="AD50" i="48"/>
  <c r="AG19" i="44" s="1"/>
  <c r="AD54" i="48"/>
  <c r="AD61" i="48"/>
  <c r="AG17" i="44" s="1"/>
  <c r="AD56" i="48"/>
  <c r="AD58" i="48"/>
  <c r="AG14" i="44" s="1"/>
  <c r="AD46" i="48"/>
  <c r="AD47" i="48"/>
  <c r="AE4" i="48"/>
  <c r="AE55" i="48" s="1"/>
  <c r="AD62" i="48"/>
  <c r="AG11" i="44" s="1"/>
  <c r="AF82" i="48"/>
  <c r="AF80" i="48"/>
  <c r="AF4" i="48"/>
  <c r="AF28" i="48"/>
  <c r="AF66" i="48"/>
  <c r="AF29" i="48"/>
  <c r="AF73" i="48"/>
  <c r="AF69" i="48"/>
  <c r="AF37" i="48"/>
  <c r="AF74" i="48"/>
  <c r="AF71" i="48"/>
  <c r="AF27" i="48"/>
  <c r="AF30" i="48"/>
  <c r="AF72" i="48"/>
  <c r="AF83" i="48"/>
  <c r="AG73" i="48"/>
  <c r="AG87" i="48"/>
  <c r="AG67" i="48"/>
  <c r="AG85" i="48"/>
  <c r="AG28" i="48"/>
  <c r="AG30" i="48"/>
  <c r="AF81" i="48"/>
  <c r="AF68" i="48"/>
  <c r="AF67" i="48"/>
  <c r="AK3" i="44"/>
  <c r="AK2" i="44" s="1"/>
  <c r="DS3" i="48"/>
  <c r="FU7" i="48" l="1"/>
  <c r="FU8" i="48" s="1"/>
  <c r="AG18" i="44"/>
  <c r="AG9" i="44"/>
  <c r="AE76" i="48"/>
  <c r="AH13" i="44"/>
  <c r="AH12" i="44"/>
  <c r="AG21" i="44"/>
  <c r="AG26" i="44" s="1"/>
  <c r="AG22" i="44"/>
  <c r="AG27" i="44" s="1"/>
  <c r="AG25" i="44"/>
  <c r="AF90" i="48"/>
  <c r="AF75" i="48"/>
  <c r="AF89" i="48"/>
  <c r="AE41" i="48"/>
  <c r="AH5" i="44" s="1"/>
  <c r="AF41" i="48"/>
  <c r="AI5" i="44" s="1"/>
  <c r="AF48" i="48"/>
  <c r="AF46" i="48"/>
  <c r="AF43" i="48"/>
  <c r="AI7" i="44" s="1"/>
  <c r="AF47" i="48"/>
  <c r="AF40" i="48"/>
  <c r="AI4" i="44" s="1"/>
  <c r="AE43" i="48"/>
  <c r="AH7" i="44" s="1"/>
  <c r="AE50" i="48"/>
  <c r="AH19" i="44" s="1"/>
  <c r="AF42" i="48"/>
  <c r="AI6" i="44" s="1"/>
  <c r="AF45" i="48"/>
  <c r="AE48" i="48"/>
  <c r="AE46" i="48"/>
  <c r="AE40" i="48"/>
  <c r="AH4" i="44" s="1"/>
  <c r="AE45" i="48"/>
  <c r="AE42" i="48"/>
  <c r="AH6" i="44" s="1"/>
  <c r="AE44" i="48"/>
  <c r="AH8" i="44" s="1"/>
  <c r="AE47" i="48"/>
  <c r="AE61" i="48"/>
  <c r="AH17" i="44" s="1"/>
  <c r="AF57" i="48"/>
  <c r="AE59" i="48"/>
  <c r="AH15" i="44" s="1"/>
  <c r="AF56" i="48"/>
  <c r="AF50" i="48"/>
  <c r="AI19" i="44" s="1"/>
  <c r="AF53" i="48"/>
  <c r="AE62" i="48"/>
  <c r="AH11" i="44" s="1"/>
  <c r="AE54" i="48"/>
  <c r="AE53" i="48"/>
  <c r="AE58" i="48"/>
  <c r="AH14" i="44" s="1"/>
  <c r="AE56" i="48"/>
  <c r="AE60" i="48"/>
  <c r="AH16" i="44" s="1"/>
  <c r="AE63" i="48"/>
  <c r="AH20" i="44" s="1"/>
  <c r="AF54" i="48"/>
  <c r="AF62" i="48"/>
  <c r="AI11" i="44" s="1"/>
  <c r="AH10" i="44"/>
  <c r="AG10" i="44"/>
  <c r="AG24" i="44" s="1"/>
  <c r="AE57" i="48"/>
  <c r="AF55" i="48"/>
  <c r="AF61" i="48"/>
  <c r="AI17" i="44" s="1"/>
  <c r="AF60" i="48"/>
  <c r="AI16" i="44" s="1"/>
  <c r="AF58" i="48"/>
  <c r="AI14" i="44" s="1"/>
  <c r="AF59" i="48"/>
  <c r="AI15" i="44" s="1"/>
  <c r="AF63" i="48"/>
  <c r="AI20" i="44" s="1"/>
  <c r="AF49" i="48"/>
  <c r="AG84" i="48"/>
  <c r="AG82" i="48"/>
  <c r="AG81" i="48"/>
  <c r="AG88" i="48"/>
  <c r="AG83" i="48"/>
  <c r="AG69" i="48"/>
  <c r="AG68" i="48"/>
  <c r="AG7" i="48"/>
  <c r="AG80" i="48"/>
  <c r="AG70" i="48"/>
  <c r="AG6" i="48"/>
  <c r="AG36" i="48" s="1"/>
  <c r="AG66" i="48"/>
  <c r="AG31" i="48"/>
  <c r="AG35" i="48"/>
  <c r="AG34" i="48"/>
  <c r="AG74" i="48"/>
  <c r="AG27" i="48"/>
  <c r="AG71" i="48"/>
  <c r="AG32" i="48"/>
  <c r="AG29" i="48"/>
  <c r="AG72" i="48"/>
  <c r="AG86" i="48"/>
  <c r="AH83" i="48"/>
  <c r="AG33" i="48"/>
  <c r="AL3" i="44"/>
  <c r="AL2" i="44" s="1"/>
  <c r="DT3" i="48"/>
  <c r="FV7" i="48" l="1"/>
  <c r="FV8" i="48" s="1"/>
  <c r="AH9" i="44"/>
  <c r="AH18" i="44"/>
  <c r="AH23" i="44" s="1"/>
  <c r="AI9" i="44"/>
  <c r="AI18" i="44"/>
  <c r="AI23" i="44" s="1"/>
  <c r="AG23" i="44"/>
  <c r="AH24" i="44"/>
  <c r="AH25" i="44"/>
  <c r="AI25" i="44"/>
  <c r="AF76" i="48"/>
  <c r="AI13" i="44"/>
  <c r="AI12" i="44"/>
  <c r="AG75" i="48"/>
  <c r="AH22" i="44"/>
  <c r="AH27" i="44" s="1"/>
  <c r="AH21" i="44"/>
  <c r="AH26" i="44" s="1"/>
  <c r="AG90" i="48"/>
  <c r="AG89" i="48"/>
  <c r="AG37" i="48"/>
  <c r="AG4" i="48"/>
  <c r="AG62" i="48" s="1"/>
  <c r="AJ11" i="44" s="1"/>
  <c r="AG5" i="48"/>
  <c r="AI10" i="44"/>
  <c r="AI24" i="44" s="1"/>
  <c r="AH71" i="48"/>
  <c r="AH29" i="48"/>
  <c r="AH66" i="48"/>
  <c r="AH27" i="48"/>
  <c r="AH72" i="48"/>
  <c r="AH67" i="48"/>
  <c r="AH9" i="48"/>
  <c r="AH31" i="48"/>
  <c r="AH84" i="48"/>
  <c r="AH34" i="48"/>
  <c r="AH70" i="48"/>
  <c r="AH81" i="48"/>
  <c r="AH80" i="48"/>
  <c r="AH73" i="48"/>
  <c r="AH6" i="48"/>
  <c r="AH4" i="48" s="1"/>
  <c r="AH32" i="48"/>
  <c r="AH69" i="48"/>
  <c r="AH86" i="48"/>
  <c r="AH33" i="48"/>
  <c r="AH28" i="48"/>
  <c r="AH85" i="48"/>
  <c r="AH74" i="48"/>
  <c r="AH88" i="48"/>
  <c r="AH82" i="48"/>
  <c r="AI67" i="48"/>
  <c r="AH35" i="48"/>
  <c r="AH7" i="48"/>
  <c r="AH30" i="48"/>
  <c r="AH87" i="48"/>
  <c r="AH68" i="48"/>
  <c r="AM3" i="44"/>
  <c r="AM2" i="44" s="1"/>
  <c r="DU3" i="48"/>
  <c r="FW7" i="48" l="1"/>
  <c r="FW8" i="48" s="1"/>
  <c r="AG76" i="48"/>
  <c r="AJ13" i="44"/>
  <c r="AJ12" i="44"/>
  <c r="AI21" i="44"/>
  <c r="AI26" i="44" s="1"/>
  <c r="AI22" i="44"/>
  <c r="AI27" i="44" s="1"/>
  <c r="AH75" i="48"/>
  <c r="AH90" i="48"/>
  <c r="AH89" i="48"/>
  <c r="AG47" i="48"/>
  <c r="AG44" i="48"/>
  <c r="AJ8" i="44" s="1"/>
  <c r="AG63" i="48"/>
  <c r="AJ20" i="44" s="1"/>
  <c r="AJ25" i="44" s="1"/>
  <c r="AH36" i="48"/>
  <c r="AG41" i="48"/>
  <c r="AJ5" i="44" s="1"/>
  <c r="AG49" i="48"/>
  <c r="AJ10" i="44" s="1"/>
  <c r="AG46" i="48"/>
  <c r="AG48" i="48"/>
  <c r="AG50" i="48"/>
  <c r="AJ19" i="44" s="1"/>
  <c r="AG43" i="48"/>
  <c r="AJ7" i="44" s="1"/>
  <c r="AH37" i="48"/>
  <c r="AG45" i="48"/>
  <c r="AG42" i="48"/>
  <c r="AJ6" i="44" s="1"/>
  <c r="AG40" i="48"/>
  <c r="AJ4" i="44" s="1"/>
  <c r="AH62" i="48"/>
  <c r="AK11" i="44" s="1"/>
  <c r="AH63" i="48"/>
  <c r="AK20" i="44" s="1"/>
  <c r="AK25" i="44" s="1"/>
  <c r="AI27" i="48"/>
  <c r="AI29" i="48"/>
  <c r="AI87" i="48"/>
  <c r="AI83" i="48"/>
  <c r="AI85" i="48"/>
  <c r="AI32" i="48"/>
  <c r="AI71" i="48"/>
  <c r="AI73" i="48"/>
  <c r="AI28" i="48"/>
  <c r="AI35" i="48"/>
  <c r="AI88" i="48"/>
  <c r="AI74" i="48"/>
  <c r="AI86" i="48"/>
  <c r="AI70" i="48"/>
  <c r="AI84" i="48"/>
  <c r="AI30" i="48"/>
  <c r="AI81" i="48"/>
  <c r="AI68" i="48"/>
  <c r="AI82" i="48"/>
  <c r="AJ74" i="48"/>
  <c r="AJ70" i="48"/>
  <c r="AJ27" i="48"/>
  <c r="AI66" i="48"/>
  <c r="AI6" i="48"/>
  <c r="AI4" i="48" s="1"/>
  <c r="AI33" i="48"/>
  <c r="AI34" i="48"/>
  <c r="AI31" i="48"/>
  <c r="AI72" i="48"/>
  <c r="AI80" i="48"/>
  <c r="AI69" i="48"/>
  <c r="AN3" i="44"/>
  <c r="AN2" i="44" s="1"/>
  <c r="DV3" i="48"/>
  <c r="FX7" i="48" l="1"/>
  <c r="FY7" i="48" s="1"/>
  <c r="AJ9" i="44"/>
  <c r="AJ24" i="44"/>
  <c r="AH76" i="48"/>
  <c r="AK13" i="44"/>
  <c r="AJ21" i="44"/>
  <c r="AJ26" i="44" s="1"/>
  <c r="AJ22" i="44"/>
  <c r="AJ27" i="44" s="1"/>
  <c r="AI75" i="48"/>
  <c r="AI90" i="48"/>
  <c r="AI89" i="48"/>
  <c r="AI62" i="48"/>
  <c r="AL11" i="44" s="1"/>
  <c r="AI36" i="48"/>
  <c r="AI37" i="48"/>
  <c r="AI5" i="48"/>
  <c r="AI63" i="48"/>
  <c r="AL20" i="44" s="1"/>
  <c r="AJ85" i="48"/>
  <c r="AJ69" i="48"/>
  <c r="AJ67" i="48"/>
  <c r="AJ68" i="48"/>
  <c r="AJ35" i="48"/>
  <c r="AJ87" i="48"/>
  <c r="AJ73" i="48"/>
  <c r="AJ66" i="48"/>
  <c r="AJ30" i="48"/>
  <c r="AJ80" i="48"/>
  <c r="AJ31" i="48"/>
  <c r="AJ6" i="48"/>
  <c r="AJ4" i="48" s="1"/>
  <c r="AJ86" i="48"/>
  <c r="AK68" i="48"/>
  <c r="AK72" i="48"/>
  <c r="AK71" i="48"/>
  <c r="AK84" i="48"/>
  <c r="AK87" i="48"/>
  <c r="AK83" i="48"/>
  <c r="AK80" i="48"/>
  <c r="AK69" i="48"/>
  <c r="AK30" i="48"/>
  <c r="AK32" i="48"/>
  <c r="AK29" i="48"/>
  <c r="AK27" i="48"/>
  <c r="AK28" i="48"/>
  <c r="AJ34" i="48"/>
  <c r="AJ88" i="48"/>
  <c r="AJ81" i="48"/>
  <c r="AJ82" i="48"/>
  <c r="AJ83" i="48"/>
  <c r="AJ71" i="48"/>
  <c r="AJ84" i="48"/>
  <c r="AJ33" i="48"/>
  <c r="AJ28" i="48"/>
  <c r="AJ32" i="48"/>
  <c r="AJ29" i="48"/>
  <c r="AJ72" i="48"/>
  <c r="AO3" i="44"/>
  <c r="AO2" i="44" s="1"/>
  <c r="DW3" i="48"/>
  <c r="FX8" i="48" l="1"/>
  <c r="FY8" i="48"/>
  <c r="FZ7" i="48"/>
  <c r="AI76" i="48"/>
  <c r="AL13" i="44"/>
  <c r="AL12" i="44"/>
  <c r="AL25" i="44"/>
  <c r="AK22" i="44"/>
  <c r="AK27" i="44" s="1"/>
  <c r="AJ75" i="48"/>
  <c r="AJ89" i="48"/>
  <c r="AJ90" i="48"/>
  <c r="AI45" i="48"/>
  <c r="AJ62" i="48"/>
  <c r="AM11" i="44" s="1"/>
  <c r="AJ5" i="48"/>
  <c r="AJ36" i="48"/>
  <c r="AI47" i="48"/>
  <c r="AI50" i="48"/>
  <c r="AL19" i="44" s="1"/>
  <c r="AI48" i="48"/>
  <c r="AJ63" i="48"/>
  <c r="AM20" i="44" s="1"/>
  <c r="AI49" i="48"/>
  <c r="AI46" i="48"/>
  <c r="AI42" i="48"/>
  <c r="AL6" i="44" s="1"/>
  <c r="AI41" i="48"/>
  <c r="AL5" i="44" s="1"/>
  <c r="AI43" i="48"/>
  <c r="AL7" i="44" s="1"/>
  <c r="AI40" i="48"/>
  <c r="AL4" i="44" s="1"/>
  <c r="AI44" i="48"/>
  <c r="AL8" i="44" s="1"/>
  <c r="AJ37" i="48"/>
  <c r="AK86" i="48"/>
  <c r="AK66" i="48"/>
  <c r="AK85" i="48"/>
  <c r="AK35" i="48"/>
  <c r="AK6" i="48"/>
  <c r="AK36" i="48" s="1"/>
  <c r="AK81" i="48"/>
  <c r="AK31" i="48"/>
  <c r="AK33" i="48"/>
  <c r="AK67" i="48"/>
  <c r="AK82" i="48"/>
  <c r="AK73" i="48"/>
  <c r="AK74" i="48"/>
  <c r="AL81" i="48"/>
  <c r="AL6" i="48"/>
  <c r="AL84" i="48"/>
  <c r="AL27" i="48"/>
  <c r="AL32" i="48"/>
  <c r="AL29" i="48"/>
  <c r="AK34" i="48"/>
  <c r="AK88" i="48"/>
  <c r="AK70" i="48"/>
  <c r="AP3" i="44"/>
  <c r="AP2" i="44" s="1"/>
  <c r="DX3" i="48"/>
  <c r="AM8" i="52"/>
  <c r="AN8" i="52" s="1"/>
  <c r="FZ8" i="48" l="1"/>
  <c r="GA7" i="48"/>
  <c r="GA8" i="48" s="1"/>
  <c r="AM25" i="44"/>
  <c r="AJ76" i="48"/>
  <c r="AM13" i="44"/>
  <c r="AM12" i="44"/>
  <c r="AL22" i="44"/>
  <c r="AL27" i="44" s="1"/>
  <c r="AL21" i="44"/>
  <c r="AL26" i="44" s="1"/>
  <c r="AK75" i="48"/>
  <c r="AK90" i="48"/>
  <c r="AK89" i="48"/>
  <c r="AK5" i="48"/>
  <c r="AK44" i="48" s="1"/>
  <c r="AN8" i="44" s="1"/>
  <c r="AJ46" i="48"/>
  <c r="AJ44" i="48"/>
  <c r="AM8" i="44" s="1"/>
  <c r="AJ48" i="48"/>
  <c r="AJ47" i="48"/>
  <c r="AJ45" i="48"/>
  <c r="AJ42" i="48"/>
  <c r="AM6" i="44" s="1"/>
  <c r="AJ43" i="48"/>
  <c r="AM7" i="44" s="1"/>
  <c r="AJ41" i="48"/>
  <c r="AM5" i="44" s="1"/>
  <c r="AJ49" i="48"/>
  <c r="AK37" i="48"/>
  <c r="AK4" i="48"/>
  <c r="AK62" i="48" s="1"/>
  <c r="AN11" i="44" s="1"/>
  <c r="AJ40" i="48"/>
  <c r="AM4" i="44" s="1"/>
  <c r="AJ50" i="48"/>
  <c r="AM19" i="44" s="1"/>
  <c r="AL37" i="48"/>
  <c r="AL35" i="48"/>
  <c r="AL30" i="48"/>
  <c r="AL86" i="48"/>
  <c r="AL74" i="48"/>
  <c r="AL28" i="48"/>
  <c r="AL87" i="48"/>
  <c r="AL69" i="48"/>
  <c r="AL88" i="48"/>
  <c r="AL73" i="48"/>
  <c r="AL36" i="48"/>
  <c r="AL71" i="48"/>
  <c r="AM72" i="48"/>
  <c r="AM82" i="48"/>
  <c r="AM6" i="48"/>
  <c r="AM66" i="48"/>
  <c r="AM67" i="48"/>
  <c r="AM88" i="48"/>
  <c r="AM85" i="48"/>
  <c r="AM87" i="48"/>
  <c r="AM27" i="48"/>
  <c r="AM30" i="48"/>
  <c r="AM35" i="48"/>
  <c r="AL68" i="48"/>
  <c r="AL72" i="48"/>
  <c r="AL5" i="48"/>
  <c r="AL33" i="48"/>
  <c r="AL67" i="48"/>
  <c r="AL70" i="48"/>
  <c r="AL82" i="48"/>
  <c r="AL66" i="48"/>
  <c r="AL31" i="48"/>
  <c r="AL34" i="48"/>
  <c r="AL4" i="48"/>
  <c r="AL83" i="48"/>
  <c r="AL80" i="48"/>
  <c r="AL85" i="48"/>
  <c r="AQ3" i="44"/>
  <c r="AQ2" i="44" s="1"/>
  <c r="DY3" i="48"/>
  <c r="AK76" i="48" l="1"/>
  <c r="AN12" i="44"/>
  <c r="AN13" i="44"/>
  <c r="AM22" i="44"/>
  <c r="AM27" i="44" s="1"/>
  <c r="AM21" i="44"/>
  <c r="AM26" i="44" s="1"/>
  <c r="AL75" i="48"/>
  <c r="AL90" i="48"/>
  <c r="AL89" i="48"/>
  <c r="AL42" i="48"/>
  <c r="AO6" i="44" s="1"/>
  <c r="AL45" i="48"/>
  <c r="AK47" i="48"/>
  <c r="AK41" i="48"/>
  <c r="AN5" i="44" s="1"/>
  <c r="AK40" i="48"/>
  <c r="AN4" i="44" s="1"/>
  <c r="AK43" i="48"/>
  <c r="AN7" i="44" s="1"/>
  <c r="AK42" i="48"/>
  <c r="AN6" i="44" s="1"/>
  <c r="AK49" i="48"/>
  <c r="AN10" i="44" s="1"/>
  <c r="AK46" i="48"/>
  <c r="AK50" i="48"/>
  <c r="AN19" i="44" s="1"/>
  <c r="AL41" i="48"/>
  <c r="AO5" i="44" s="1"/>
  <c r="AK45" i="48"/>
  <c r="AL46" i="48"/>
  <c r="AL48" i="48"/>
  <c r="AK63" i="48"/>
  <c r="AN20" i="44" s="1"/>
  <c r="AN25" i="44" s="1"/>
  <c r="AL62" i="48"/>
  <c r="AO11" i="44" s="1"/>
  <c r="AK48" i="48"/>
  <c r="AL50" i="48"/>
  <c r="AO19" i="44" s="1"/>
  <c r="AL43" i="48"/>
  <c r="AO7" i="44" s="1"/>
  <c r="AL49" i="48"/>
  <c r="AL44" i="48"/>
  <c r="AO8" i="44" s="1"/>
  <c r="AL40" i="48"/>
  <c r="AO4" i="44" s="1"/>
  <c r="AL47" i="48"/>
  <c r="AL63" i="48"/>
  <c r="AO20" i="44" s="1"/>
  <c r="AM10" i="44"/>
  <c r="AM24" i="44" s="1"/>
  <c r="AM34" i="48"/>
  <c r="AM37" i="48"/>
  <c r="AM80" i="48"/>
  <c r="AM71" i="48"/>
  <c r="AM5" i="48"/>
  <c r="AM84" i="48"/>
  <c r="AM69" i="48"/>
  <c r="AM4" i="48"/>
  <c r="AM86" i="48"/>
  <c r="AM73" i="48"/>
  <c r="AM70" i="48"/>
  <c r="AM31" i="48"/>
  <c r="AM33" i="48"/>
  <c r="AM36" i="48"/>
  <c r="AM81" i="48"/>
  <c r="AM68" i="48"/>
  <c r="AM28" i="48"/>
  <c r="AM83" i="48"/>
  <c r="AM29" i="48"/>
  <c r="AM74" i="48"/>
  <c r="AM32" i="48"/>
  <c r="AR3" i="44"/>
  <c r="AR2" i="44" s="1"/>
  <c r="DZ3" i="48"/>
  <c r="AO25" i="44" l="1"/>
  <c r="AN24" i="44"/>
  <c r="AO12" i="44"/>
  <c r="AO13" i="44"/>
  <c r="AN21" i="44"/>
  <c r="AN26" i="44" s="1"/>
  <c r="AN22" i="44"/>
  <c r="AN27" i="44" s="1"/>
  <c r="AM75" i="48"/>
  <c r="AL76" i="48"/>
  <c r="AM89" i="48"/>
  <c r="AM90" i="48"/>
  <c r="AM42" i="48"/>
  <c r="AP6" i="44" s="1"/>
  <c r="AM45" i="48"/>
  <c r="AO10" i="44"/>
  <c r="AO24" i="44" s="1"/>
  <c r="AM47" i="48"/>
  <c r="AM48" i="48"/>
  <c r="AM62" i="48"/>
  <c r="AP11" i="44" s="1"/>
  <c r="AM50" i="48"/>
  <c r="AP19" i="44" s="1"/>
  <c r="AM43" i="48"/>
  <c r="AP7" i="44" s="1"/>
  <c r="AM63" i="48"/>
  <c r="AP20" i="44" s="1"/>
  <c r="AM44" i="48"/>
  <c r="AP8" i="44" s="1"/>
  <c r="AM49" i="48"/>
  <c r="AM46" i="48"/>
  <c r="AM40" i="48"/>
  <c r="AP4" i="44" s="1"/>
  <c r="AM41" i="48"/>
  <c r="AP5" i="44" s="1"/>
  <c r="AN35" i="48"/>
  <c r="AN66" i="48"/>
  <c r="AN29" i="48"/>
  <c r="AN6" i="48"/>
  <c r="AN36" i="48" s="1"/>
  <c r="AN71" i="48"/>
  <c r="AN31" i="48"/>
  <c r="AN28" i="48"/>
  <c r="AN80" i="48"/>
  <c r="AN67" i="48"/>
  <c r="AN34" i="48"/>
  <c r="AN68" i="48"/>
  <c r="AO88" i="48"/>
  <c r="AN30" i="48"/>
  <c r="AN85" i="48"/>
  <c r="AN87" i="48"/>
  <c r="AN84" i="48"/>
  <c r="AN69" i="48"/>
  <c r="AN27" i="48"/>
  <c r="AN86" i="48"/>
  <c r="AN83" i="48"/>
  <c r="AN74" i="48"/>
  <c r="AN70" i="48"/>
  <c r="AO68" i="48"/>
  <c r="AO6" i="48"/>
  <c r="AO80" i="48"/>
  <c r="AO84" i="48"/>
  <c r="AO69" i="48"/>
  <c r="AO72" i="48"/>
  <c r="AO70" i="48"/>
  <c r="AO66" i="48"/>
  <c r="AO82" i="48"/>
  <c r="AO83" i="48"/>
  <c r="AO86" i="48"/>
  <c r="AO85" i="48"/>
  <c r="AO33" i="48"/>
  <c r="AO34" i="48"/>
  <c r="AO27" i="48"/>
  <c r="AO32" i="48"/>
  <c r="AN33" i="48"/>
  <c r="AN82" i="48"/>
  <c r="AN88" i="48"/>
  <c r="AN73" i="48"/>
  <c r="AN32" i="48"/>
  <c r="AN81" i="48"/>
  <c r="AN72" i="48"/>
  <c r="AS3" i="44"/>
  <c r="AS2" i="44" s="1"/>
  <c r="EA3" i="48"/>
  <c r="AP25" i="44" l="1"/>
  <c r="AM76" i="48"/>
  <c r="AP12" i="44"/>
  <c r="AP13" i="44"/>
  <c r="AO21" i="44"/>
  <c r="AO26" i="44" s="1"/>
  <c r="AO22" i="44"/>
  <c r="AO27" i="44" s="1"/>
  <c r="AN75" i="48"/>
  <c r="AN90" i="48"/>
  <c r="AN89" i="48"/>
  <c r="AN5" i="48"/>
  <c r="AN4" i="48"/>
  <c r="AP10" i="44"/>
  <c r="AP24" i="44" s="1"/>
  <c r="AN37" i="48"/>
  <c r="AO31" i="48"/>
  <c r="AO30" i="48"/>
  <c r="AO28" i="48"/>
  <c r="AO5" i="48"/>
  <c r="AO29" i="48"/>
  <c r="AO4" i="48"/>
  <c r="AO87" i="48"/>
  <c r="AO36" i="48"/>
  <c r="AO74" i="48"/>
  <c r="AO71" i="48"/>
  <c r="AO37" i="48"/>
  <c r="AO81" i="48"/>
  <c r="AO35" i="48"/>
  <c r="AO73" i="48"/>
  <c r="AO67" i="48"/>
  <c r="AP66" i="48"/>
  <c r="AP67" i="48"/>
  <c r="AP32" i="48"/>
  <c r="AT3" i="44"/>
  <c r="AT2" i="44" s="1"/>
  <c r="EB3" i="48"/>
  <c r="AN76" i="48" l="1"/>
  <c r="AQ13" i="44"/>
  <c r="AQ12" i="44"/>
  <c r="AO90" i="48"/>
  <c r="AP22" i="44"/>
  <c r="AP27" i="44" s="1"/>
  <c r="AP21" i="44"/>
  <c r="AP26" i="44" s="1"/>
  <c r="AO75" i="48"/>
  <c r="AO89" i="48"/>
  <c r="AN41" i="48"/>
  <c r="AQ5" i="44" s="1"/>
  <c r="AN40" i="48"/>
  <c r="AQ4" i="44" s="1"/>
  <c r="AN45" i="48"/>
  <c r="AO47" i="48"/>
  <c r="AO45" i="48"/>
  <c r="AO48" i="48"/>
  <c r="AO44" i="48"/>
  <c r="AR8" i="44" s="1"/>
  <c r="AO40" i="48"/>
  <c r="AR4" i="44" s="1"/>
  <c r="AN62" i="48"/>
  <c r="AQ11" i="44" s="1"/>
  <c r="AN63" i="48"/>
  <c r="AQ20" i="44" s="1"/>
  <c r="AO42" i="48"/>
  <c r="AR6" i="44" s="1"/>
  <c r="AN49" i="48"/>
  <c r="AN43" i="48"/>
  <c r="AQ7" i="44" s="1"/>
  <c r="AN42" i="48"/>
  <c r="AQ6" i="44" s="1"/>
  <c r="AN44" i="48"/>
  <c r="AQ8" i="44" s="1"/>
  <c r="AN46" i="48"/>
  <c r="AN48" i="48"/>
  <c r="AO62" i="48"/>
  <c r="AR11" i="44" s="1"/>
  <c r="AO46" i="48"/>
  <c r="AO49" i="48"/>
  <c r="AO41" i="48"/>
  <c r="AR5" i="44" s="1"/>
  <c r="AO43" i="48"/>
  <c r="AR7" i="44" s="1"/>
  <c r="AN47" i="48"/>
  <c r="AO63" i="48"/>
  <c r="AR20" i="44" s="1"/>
  <c r="AO50" i="48"/>
  <c r="AR19" i="44" s="1"/>
  <c r="AN50" i="48"/>
  <c r="AQ19" i="44" s="1"/>
  <c r="AP33" i="48"/>
  <c r="AP82" i="48"/>
  <c r="AP85" i="48"/>
  <c r="AP31" i="48"/>
  <c r="AP6" i="48"/>
  <c r="AP80" i="48"/>
  <c r="AQ70" i="48"/>
  <c r="AP34" i="48"/>
  <c r="AP70" i="48"/>
  <c r="AP30" i="48"/>
  <c r="AP87" i="48"/>
  <c r="AP88" i="48"/>
  <c r="AP28" i="48"/>
  <c r="AP83" i="48"/>
  <c r="AP74" i="48"/>
  <c r="AP68" i="48"/>
  <c r="AP27" i="48"/>
  <c r="AP72" i="48"/>
  <c r="AQ66" i="48"/>
  <c r="AQ83" i="48"/>
  <c r="AQ72" i="48"/>
  <c r="AQ81" i="48"/>
  <c r="AQ88" i="48"/>
  <c r="AQ86" i="48"/>
  <c r="AQ80" i="48"/>
  <c r="AQ30" i="48"/>
  <c r="AP35" i="48"/>
  <c r="AP84" i="48"/>
  <c r="AP81" i="48"/>
  <c r="AP29" i="48"/>
  <c r="AP86" i="48"/>
  <c r="AP73" i="48"/>
  <c r="AP69" i="48"/>
  <c r="AP71" i="48"/>
  <c r="AU3" i="44"/>
  <c r="AU2" i="44" s="1"/>
  <c r="EC3" i="48"/>
  <c r="AR9" i="44" l="1"/>
  <c r="AR25" i="44"/>
  <c r="AO76" i="48"/>
  <c r="AR13" i="44"/>
  <c r="AR12" i="44"/>
  <c r="AQ25" i="44"/>
  <c r="AQ22" i="44"/>
  <c r="AQ27" i="44" s="1"/>
  <c r="AQ21" i="44"/>
  <c r="AQ26" i="44" s="1"/>
  <c r="AP75" i="48"/>
  <c r="AP89" i="48"/>
  <c r="AP90" i="48"/>
  <c r="AP37" i="48"/>
  <c r="AP4" i="48"/>
  <c r="AP36" i="48"/>
  <c r="AP5" i="48"/>
  <c r="AR10" i="44"/>
  <c r="AR24" i="44" s="1"/>
  <c r="AQ10" i="44"/>
  <c r="AQ24" i="44" s="1"/>
  <c r="AQ29" i="48"/>
  <c r="AQ73" i="48"/>
  <c r="AQ33" i="48"/>
  <c r="AQ34" i="48"/>
  <c r="AQ31" i="48"/>
  <c r="AQ68" i="48"/>
  <c r="AQ84" i="48"/>
  <c r="AQ67" i="48"/>
  <c r="AQ28" i="48"/>
  <c r="AQ6" i="48"/>
  <c r="AQ32" i="48"/>
  <c r="AQ35" i="48"/>
  <c r="AQ85" i="48"/>
  <c r="AQ74" i="48"/>
  <c r="AQ69" i="48"/>
  <c r="AQ27" i="48"/>
  <c r="AQ71" i="48"/>
  <c r="AQ82" i="48"/>
  <c r="AQ87" i="48"/>
  <c r="AV3" i="44"/>
  <c r="AV2" i="44" s="1"/>
  <c r="ED3" i="48"/>
  <c r="AP76" i="48" l="1"/>
  <c r="AS13" i="44"/>
  <c r="AS12" i="44"/>
  <c r="AR21" i="44"/>
  <c r="AR26" i="44" s="1"/>
  <c r="AR22" i="44"/>
  <c r="AR27" i="44" s="1"/>
  <c r="AQ75" i="48"/>
  <c r="AQ90" i="48"/>
  <c r="AQ89" i="48"/>
  <c r="AP62" i="48"/>
  <c r="AS11" i="44" s="1"/>
  <c r="AP63" i="48"/>
  <c r="AS20" i="44" s="1"/>
  <c r="AP42" i="48"/>
  <c r="AS6" i="44" s="1"/>
  <c r="AP47" i="48"/>
  <c r="AP50" i="48"/>
  <c r="AS19" i="44" s="1"/>
  <c r="AP49" i="48"/>
  <c r="AS10" i="44" s="1"/>
  <c r="AP44" i="48"/>
  <c r="AS8" i="44" s="1"/>
  <c r="AP46" i="48"/>
  <c r="AQ36" i="48"/>
  <c r="AP45" i="48"/>
  <c r="AP40" i="48"/>
  <c r="AS4" i="44" s="1"/>
  <c r="AP43" i="48"/>
  <c r="AS7" i="44" s="1"/>
  <c r="AP41" i="48"/>
  <c r="AS5" i="44" s="1"/>
  <c r="AQ4" i="48"/>
  <c r="AP48" i="48"/>
  <c r="AQ37" i="48"/>
  <c r="AQ5" i="48"/>
  <c r="AR88" i="48"/>
  <c r="AR33" i="48"/>
  <c r="AR31" i="48"/>
  <c r="AR85" i="48"/>
  <c r="AR34" i="48"/>
  <c r="AR73" i="48"/>
  <c r="AR87" i="48"/>
  <c r="AR81" i="48"/>
  <c r="AR84" i="48"/>
  <c r="AR82" i="48"/>
  <c r="AR27" i="48"/>
  <c r="AR6" i="48"/>
  <c r="AR4" i="48" s="1"/>
  <c r="AR74" i="48"/>
  <c r="AR83" i="48"/>
  <c r="AR28" i="48"/>
  <c r="AR86" i="48"/>
  <c r="AR80" i="48"/>
  <c r="AR30" i="48"/>
  <c r="AR71" i="48"/>
  <c r="AR35" i="48"/>
  <c r="AR68" i="48"/>
  <c r="AR69" i="48"/>
  <c r="AR66" i="48"/>
  <c r="AR72" i="48"/>
  <c r="AR70" i="48"/>
  <c r="AR29" i="48"/>
  <c r="AR32" i="48"/>
  <c r="AR67" i="48"/>
  <c r="AS68" i="48"/>
  <c r="AS70" i="48"/>
  <c r="AS87" i="48"/>
  <c r="AS71" i="48"/>
  <c r="AS86" i="48"/>
  <c r="AS29" i="48"/>
  <c r="AW3" i="44"/>
  <c r="AW2" i="44" s="1"/>
  <c r="EE3" i="48"/>
  <c r="AS9" i="44" l="1"/>
  <c r="AS25" i="44"/>
  <c r="AQ76" i="48"/>
  <c r="AT13" i="44"/>
  <c r="AT12" i="44"/>
  <c r="AS24" i="44"/>
  <c r="AS21" i="44"/>
  <c r="AS26" i="44" s="1"/>
  <c r="AS22" i="44"/>
  <c r="AS27" i="44" s="1"/>
  <c r="AR75" i="48"/>
  <c r="AR90" i="48"/>
  <c r="AR89" i="48"/>
  <c r="AR5" i="48"/>
  <c r="AR45" i="48" s="1"/>
  <c r="AR63" i="48"/>
  <c r="AU20" i="44" s="1"/>
  <c r="AQ63" i="48"/>
  <c r="AT20" i="44" s="1"/>
  <c r="AR37" i="48"/>
  <c r="AQ62" i="48"/>
  <c r="AT11" i="44" s="1"/>
  <c r="AR62" i="48"/>
  <c r="AU11" i="44" s="1"/>
  <c r="AR36" i="48"/>
  <c r="AQ50" i="48"/>
  <c r="AT19" i="44" s="1"/>
  <c r="AQ43" i="48"/>
  <c r="AT7" i="44" s="1"/>
  <c r="AQ40" i="48"/>
  <c r="AT4" i="44" s="1"/>
  <c r="AQ47" i="48"/>
  <c r="AQ44" i="48"/>
  <c r="AT8" i="44" s="1"/>
  <c r="AQ46" i="48"/>
  <c r="AQ41" i="48"/>
  <c r="AT5" i="44" s="1"/>
  <c r="AQ48" i="48"/>
  <c r="AQ42" i="48"/>
  <c r="AT6" i="44" s="1"/>
  <c r="AQ49" i="48"/>
  <c r="AQ45" i="48"/>
  <c r="AS30" i="48"/>
  <c r="AS81" i="48"/>
  <c r="AS83" i="48"/>
  <c r="AS31" i="48"/>
  <c r="AS88" i="48"/>
  <c r="AS27" i="48"/>
  <c r="AS84" i="48"/>
  <c r="AS69" i="48"/>
  <c r="AS73" i="48"/>
  <c r="AS80" i="48"/>
  <c r="AS34" i="48"/>
  <c r="AS74" i="48"/>
  <c r="AS6" i="48"/>
  <c r="AS4" i="48" s="1"/>
  <c r="AS82" i="48"/>
  <c r="AS66" i="48"/>
  <c r="AS33" i="48"/>
  <c r="AS72" i="48"/>
  <c r="AS28" i="48"/>
  <c r="AS85" i="48"/>
  <c r="AS35" i="48"/>
  <c r="AS32" i="48"/>
  <c r="AS67" i="48"/>
  <c r="AX3" i="44"/>
  <c r="AX2" i="44" s="1"/>
  <c r="EF3" i="48"/>
  <c r="AT9" i="44" l="1"/>
  <c r="AU25" i="44"/>
  <c r="AR76" i="48"/>
  <c r="AU12" i="44"/>
  <c r="AU13" i="44"/>
  <c r="AT25" i="44"/>
  <c r="AT22" i="44"/>
  <c r="AT27" i="44" s="1"/>
  <c r="AT21" i="44"/>
  <c r="AT26" i="44" s="1"/>
  <c r="AS75" i="48"/>
  <c r="AS90" i="48"/>
  <c r="AS89" i="48"/>
  <c r="AR41" i="48"/>
  <c r="AU5" i="44" s="1"/>
  <c r="AR50" i="48"/>
  <c r="AU19" i="44" s="1"/>
  <c r="AR40" i="48"/>
  <c r="AU4" i="44" s="1"/>
  <c r="AR44" i="48"/>
  <c r="AU8" i="44" s="1"/>
  <c r="AR46" i="48"/>
  <c r="AR47" i="48"/>
  <c r="AR42" i="48"/>
  <c r="AU6" i="44" s="1"/>
  <c r="AR43" i="48"/>
  <c r="AU7" i="44" s="1"/>
  <c r="AR49" i="48"/>
  <c r="AU10" i="44" s="1"/>
  <c r="AR48" i="48"/>
  <c r="AS5" i="48"/>
  <c r="AS63" i="48"/>
  <c r="AV20" i="44" s="1"/>
  <c r="AS62" i="48"/>
  <c r="AV11" i="44" s="1"/>
  <c r="AT10" i="44"/>
  <c r="AT24" i="44" s="1"/>
  <c r="AS37" i="48"/>
  <c r="AS36" i="48"/>
  <c r="AT80" i="48"/>
  <c r="AT81" i="48"/>
  <c r="AT72" i="48"/>
  <c r="AT73" i="48"/>
  <c r="AT66" i="48"/>
  <c r="AT69" i="48"/>
  <c r="AT35" i="48"/>
  <c r="AT29" i="48"/>
  <c r="AT34" i="48"/>
  <c r="AT6" i="48"/>
  <c r="AT5" i="48" s="1"/>
  <c r="AT30" i="48"/>
  <c r="AT84" i="48"/>
  <c r="AT87" i="48"/>
  <c r="AT83" i="48"/>
  <c r="AT32" i="48"/>
  <c r="AT33" i="48"/>
  <c r="AT86" i="48"/>
  <c r="AT27" i="48"/>
  <c r="AT85" i="48"/>
  <c r="AU28" i="48"/>
  <c r="AU27" i="48"/>
  <c r="AT28" i="48"/>
  <c r="AT88" i="48"/>
  <c r="AT70" i="48"/>
  <c r="AT68" i="48"/>
  <c r="AT71" i="48"/>
  <c r="AT74" i="48"/>
  <c r="AT67" i="48"/>
  <c r="AT82" i="48"/>
  <c r="AT31" i="48"/>
  <c r="AY3" i="44"/>
  <c r="AY2" i="44" s="1"/>
  <c r="EG3" i="48"/>
  <c r="AU9" i="44" l="1"/>
  <c r="AV25" i="44"/>
  <c r="AS76" i="48"/>
  <c r="AV12" i="44"/>
  <c r="AV13" i="44"/>
  <c r="AU24" i="44"/>
  <c r="AU22" i="44"/>
  <c r="AU27" i="44" s="1"/>
  <c r="AU21" i="44"/>
  <c r="AU26" i="44" s="1"/>
  <c r="AT75" i="48"/>
  <c r="AT89" i="48"/>
  <c r="AT90" i="48"/>
  <c r="AS42" i="48"/>
  <c r="AV6" i="44" s="1"/>
  <c r="AS49" i="48"/>
  <c r="AV10" i="44" s="1"/>
  <c r="AS40" i="48"/>
  <c r="AV4" i="44" s="1"/>
  <c r="AS46" i="48"/>
  <c r="AS44" i="48"/>
  <c r="AV8" i="44" s="1"/>
  <c r="AS48" i="48"/>
  <c r="AS43" i="48"/>
  <c r="AV7" i="44" s="1"/>
  <c r="AS50" i="48"/>
  <c r="AV19" i="44" s="1"/>
  <c r="AS47" i="48"/>
  <c r="AS45" i="48"/>
  <c r="AS41" i="48"/>
  <c r="AV5" i="44" s="1"/>
  <c r="AT45" i="48"/>
  <c r="AT4" i="48"/>
  <c r="AT63" i="48" s="1"/>
  <c r="AW20" i="44" s="1"/>
  <c r="AT47" i="48"/>
  <c r="AT48" i="48"/>
  <c r="AT46" i="48"/>
  <c r="AT36" i="48"/>
  <c r="AT37" i="48"/>
  <c r="AT40" i="48"/>
  <c r="AW4" i="44" s="1"/>
  <c r="AT49" i="48"/>
  <c r="AT44" i="48"/>
  <c r="AW8" i="44" s="1"/>
  <c r="AT42" i="48"/>
  <c r="AW6" i="44" s="1"/>
  <c r="AT43" i="48"/>
  <c r="AW7" i="44" s="1"/>
  <c r="AT41" i="48"/>
  <c r="AW5" i="44" s="1"/>
  <c r="AT50" i="48"/>
  <c r="AW19" i="44" s="1"/>
  <c r="AU68" i="48"/>
  <c r="AU33" i="48"/>
  <c r="AU72" i="48"/>
  <c r="AU71" i="48"/>
  <c r="AU35" i="48"/>
  <c r="AU82" i="48"/>
  <c r="AU32" i="48"/>
  <c r="AU29" i="48"/>
  <c r="AU73" i="48"/>
  <c r="AU86" i="48"/>
  <c r="AV66" i="48"/>
  <c r="AV87" i="48"/>
  <c r="AV80" i="48"/>
  <c r="AV85" i="48"/>
  <c r="AV81" i="48"/>
  <c r="AV68" i="48"/>
  <c r="AV35" i="48"/>
  <c r="AV29" i="48"/>
  <c r="AV30" i="48"/>
  <c r="AU30" i="48"/>
  <c r="AU85" i="48"/>
  <c r="AU84" i="48"/>
  <c r="AU66" i="48"/>
  <c r="AU6" i="48"/>
  <c r="AU67" i="48"/>
  <c r="AU80" i="48"/>
  <c r="AU34" i="48"/>
  <c r="AU87" i="48"/>
  <c r="AU74" i="48"/>
  <c r="AU69" i="48"/>
  <c r="AU70" i="48"/>
  <c r="AU31" i="48"/>
  <c r="AU81" i="48"/>
  <c r="AU83" i="48"/>
  <c r="AU88" i="48"/>
  <c r="AZ3" i="44"/>
  <c r="AZ2" i="44" s="1"/>
  <c r="EH3" i="48"/>
  <c r="AW9" i="44" l="1"/>
  <c r="AV9" i="44"/>
  <c r="AT76" i="48"/>
  <c r="AW13" i="44"/>
  <c r="AW12" i="44"/>
  <c r="AV24" i="44"/>
  <c r="AV21" i="44"/>
  <c r="AV26" i="44" s="1"/>
  <c r="AV22" i="44"/>
  <c r="AV27" i="44" s="1"/>
  <c r="AU75" i="48"/>
  <c r="AU90" i="48"/>
  <c r="AU89" i="48"/>
  <c r="AU36" i="48"/>
  <c r="AT62" i="48"/>
  <c r="AW11" i="44" s="1"/>
  <c r="AW25" i="44" s="1"/>
  <c r="AU4" i="48"/>
  <c r="AU37" i="48"/>
  <c r="AU5" i="48"/>
  <c r="AU41" i="48" s="1"/>
  <c r="AX5" i="44" s="1"/>
  <c r="AW10" i="44"/>
  <c r="AW24" i="44" s="1"/>
  <c r="AV67" i="48"/>
  <c r="AV71" i="48"/>
  <c r="AV69" i="48"/>
  <c r="AV27" i="48"/>
  <c r="AV6" i="48"/>
  <c r="AV31" i="48"/>
  <c r="AV74" i="48"/>
  <c r="AV33" i="48"/>
  <c r="AV86" i="48"/>
  <c r="AV70" i="48"/>
  <c r="AV73" i="48"/>
  <c r="AV28" i="48"/>
  <c r="AV84" i="48"/>
  <c r="AV83" i="48"/>
  <c r="AV88" i="48"/>
  <c r="AW74" i="48"/>
  <c r="AW68" i="48"/>
  <c r="AW72" i="48"/>
  <c r="AW81" i="48"/>
  <c r="AW85" i="48"/>
  <c r="AW70" i="48"/>
  <c r="AW84" i="48"/>
  <c r="AW86" i="48"/>
  <c r="AW66" i="48"/>
  <c r="AW71" i="48"/>
  <c r="AW87" i="48"/>
  <c r="AW73" i="48"/>
  <c r="AW67" i="48"/>
  <c r="AW6" i="48"/>
  <c r="AW36" i="48" s="1"/>
  <c r="AW82" i="48"/>
  <c r="AW80" i="48"/>
  <c r="AW31" i="48"/>
  <c r="AW32" i="48"/>
  <c r="AW30" i="48"/>
  <c r="AW29" i="48"/>
  <c r="AW34" i="48"/>
  <c r="AW27" i="48"/>
  <c r="AW33" i="48"/>
  <c r="AW35" i="48"/>
  <c r="AV34" i="48"/>
  <c r="AV32" i="48"/>
  <c r="AV82" i="48"/>
  <c r="AV72" i="48"/>
  <c r="BA3" i="44"/>
  <c r="BA2" i="44" s="1"/>
  <c r="EI3" i="48"/>
  <c r="AU76" i="48" l="1"/>
  <c r="AX13" i="44"/>
  <c r="AX12" i="44"/>
  <c r="AW22" i="44"/>
  <c r="AW27" i="44" s="1"/>
  <c r="AW21" i="44"/>
  <c r="AW26" i="44" s="1"/>
  <c r="AV75" i="48"/>
  <c r="AV90" i="48"/>
  <c r="AV89" i="48"/>
  <c r="AW37" i="48"/>
  <c r="AV37" i="48"/>
  <c r="AV5" i="48"/>
  <c r="AV42" i="48" s="1"/>
  <c r="AY6" i="44" s="1"/>
  <c r="AW5" i="48"/>
  <c r="AW46" i="48" s="1"/>
  <c r="AV36" i="48"/>
  <c r="AU50" i="48"/>
  <c r="AX19" i="44" s="1"/>
  <c r="AU62" i="48"/>
  <c r="AX11" i="44" s="1"/>
  <c r="AU63" i="48"/>
  <c r="AX20" i="44" s="1"/>
  <c r="AV4" i="48"/>
  <c r="AU49" i="48"/>
  <c r="AU45" i="48"/>
  <c r="AU46" i="48"/>
  <c r="AU43" i="48"/>
  <c r="AX7" i="44" s="1"/>
  <c r="AU48" i="48"/>
  <c r="AU40" i="48"/>
  <c r="AX4" i="44" s="1"/>
  <c r="AU42" i="48"/>
  <c r="AX6" i="44" s="1"/>
  <c r="AU44" i="48"/>
  <c r="AX8" i="44" s="1"/>
  <c r="AU47" i="48"/>
  <c r="AW4" i="48"/>
  <c r="AW28" i="48"/>
  <c r="AW83" i="48"/>
  <c r="AW89" i="48" s="1"/>
  <c r="AW69" i="48"/>
  <c r="AW75" i="48" s="1"/>
  <c r="AX81" i="48"/>
  <c r="AX85" i="48"/>
  <c r="AX70" i="48"/>
  <c r="AX71" i="48"/>
  <c r="AX69" i="48"/>
  <c r="AX66" i="48"/>
  <c r="AX88" i="48"/>
  <c r="AX83" i="48"/>
  <c r="AX67" i="48"/>
  <c r="AX29" i="48"/>
  <c r="AX28" i="48"/>
  <c r="AX33" i="48"/>
  <c r="AX30" i="48"/>
  <c r="AW88" i="48"/>
  <c r="BB3" i="44"/>
  <c r="BB2" i="44" s="1"/>
  <c r="EJ3" i="48"/>
  <c r="AX9" i="44" l="1"/>
  <c r="AX25" i="44"/>
  <c r="AW90" i="48"/>
  <c r="AW76" i="48"/>
  <c r="AZ13" i="44"/>
  <c r="AZ12" i="44"/>
  <c r="AV76" i="48"/>
  <c r="AY13" i="44"/>
  <c r="AY12" i="44"/>
  <c r="AX21" i="44"/>
  <c r="AX26" i="44" s="1"/>
  <c r="AX22" i="44"/>
  <c r="AX27" i="44" s="1"/>
  <c r="AV47" i="48"/>
  <c r="AV46" i="48"/>
  <c r="AV45" i="48"/>
  <c r="AW47" i="48"/>
  <c r="AV50" i="48"/>
  <c r="AY19" i="44" s="1"/>
  <c r="AW40" i="48"/>
  <c r="AZ4" i="44" s="1"/>
  <c r="AW44" i="48"/>
  <c r="AZ8" i="44" s="1"/>
  <c r="AV40" i="48"/>
  <c r="AY4" i="44" s="1"/>
  <c r="AV41" i="48"/>
  <c r="AY5" i="44" s="1"/>
  <c r="AV49" i="48"/>
  <c r="AY10" i="44" s="1"/>
  <c r="AW42" i="48"/>
  <c r="AZ6" i="44" s="1"/>
  <c r="AW45" i="48"/>
  <c r="AV43" i="48"/>
  <c r="AY7" i="44" s="1"/>
  <c r="AW41" i="48"/>
  <c r="AZ5" i="44" s="1"/>
  <c r="AV44" i="48"/>
  <c r="AY8" i="44" s="1"/>
  <c r="AW48" i="48"/>
  <c r="AV48" i="48"/>
  <c r="AW50" i="48"/>
  <c r="AZ19" i="44" s="1"/>
  <c r="AW49" i="48"/>
  <c r="AW63" i="48"/>
  <c r="AZ20" i="44" s="1"/>
  <c r="AV63" i="48"/>
  <c r="AY20" i="44" s="1"/>
  <c r="AV62" i="48"/>
  <c r="AY11" i="44" s="1"/>
  <c r="AW43" i="48"/>
  <c r="AZ7" i="44" s="1"/>
  <c r="AX10" i="44"/>
  <c r="AX24" i="44" s="1"/>
  <c r="AW62" i="48"/>
  <c r="AZ11" i="44" s="1"/>
  <c r="AX31" i="48"/>
  <c r="AX82" i="48"/>
  <c r="AX84" i="48"/>
  <c r="AX80" i="48"/>
  <c r="AX34" i="48"/>
  <c r="AX72" i="48"/>
  <c r="AX87" i="48"/>
  <c r="AX73" i="48"/>
  <c r="AX32" i="48"/>
  <c r="AX74" i="48"/>
  <c r="AY72" i="48"/>
  <c r="AY74" i="48"/>
  <c r="AY83" i="48"/>
  <c r="AY81" i="48"/>
  <c r="AY32" i="48"/>
  <c r="AY28" i="48"/>
  <c r="AX6" i="48"/>
  <c r="AX4" i="48" s="1"/>
  <c r="AX86" i="48"/>
  <c r="AX35" i="48"/>
  <c r="AX27" i="48"/>
  <c r="AX68" i="48"/>
  <c r="BC3" i="44"/>
  <c r="BC2" i="44" s="1"/>
  <c r="EK3" i="48"/>
  <c r="AZ9" i="44" l="1"/>
  <c r="AY9" i="44"/>
  <c r="AY25" i="44"/>
  <c r="AY24" i="44"/>
  <c r="AZ25" i="44"/>
  <c r="AZ22" i="44"/>
  <c r="AZ27" i="44" s="1"/>
  <c r="AZ21" i="44"/>
  <c r="AZ26" i="44" s="1"/>
  <c r="AY22" i="44"/>
  <c r="AY27" i="44" s="1"/>
  <c r="AY21" i="44"/>
  <c r="AY26" i="44" s="1"/>
  <c r="AX75" i="48"/>
  <c r="AX90" i="48"/>
  <c r="AX89" i="48"/>
  <c r="AZ10" i="44"/>
  <c r="AZ24" i="44" s="1"/>
  <c r="AX37" i="48"/>
  <c r="AX62" i="48"/>
  <c r="BA11" i="44" s="1"/>
  <c r="AX63" i="48"/>
  <c r="BA20" i="44" s="1"/>
  <c r="AX5" i="48"/>
  <c r="AX36" i="48"/>
  <c r="AY66" i="48"/>
  <c r="AY87" i="48"/>
  <c r="AY29" i="48"/>
  <c r="AY69" i="48"/>
  <c r="AY73" i="48"/>
  <c r="AY33" i="48"/>
  <c r="AY68" i="48"/>
  <c r="AZ72" i="48"/>
  <c r="AZ68" i="48"/>
  <c r="AZ73" i="48"/>
  <c r="AZ27" i="48"/>
  <c r="AY6" i="48"/>
  <c r="AY37" i="48" s="1"/>
  <c r="AY82" i="48"/>
  <c r="AY86" i="48"/>
  <c r="AY35" i="48"/>
  <c r="AY27" i="48"/>
  <c r="AY85" i="48"/>
  <c r="AY70" i="48"/>
  <c r="AY71" i="48"/>
  <c r="AY31" i="48"/>
  <c r="AY84" i="48"/>
  <c r="AY30" i="48"/>
  <c r="AY88" i="48"/>
  <c r="AY34" i="48"/>
  <c r="AY80" i="48"/>
  <c r="AY67" i="48"/>
  <c r="BD3" i="44"/>
  <c r="BD2" i="44" s="1"/>
  <c r="EL3" i="48"/>
  <c r="AX76" i="48" l="1"/>
  <c r="BA13" i="44"/>
  <c r="BA12" i="44"/>
  <c r="BA25" i="44"/>
  <c r="AY75" i="48"/>
  <c r="AY90" i="48"/>
  <c r="AY89" i="48"/>
  <c r="AX50" i="48"/>
  <c r="BA19" i="44" s="1"/>
  <c r="AX42" i="48"/>
  <c r="BA6" i="44" s="1"/>
  <c r="AX49" i="48"/>
  <c r="BA10" i="44" s="1"/>
  <c r="AY4" i="48"/>
  <c r="AY63" i="48" s="1"/>
  <c r="BB20" i="44" s="1"/>
  <c r="AY36" i="48"/>
  <c r="AY5" i="48"/>
  <c r="AX41" i="48"/>
  <c r="BA5" i="44" s="1"/>
  <c r="AX43" i="48"/>
  <c r="BA7" i="44" s="1"/>
  <c r="AX44" i="48"/>
  <c r="BA8" i="44" s="1"/>
  <c r="AX40" i="48"/>
  <c r="BA4" i="44" s="1"/>
  <c r="AX45" i="48"/>
  <c r="AX46" i="48"/>
  <c r="AX48" i="48"/>
  <c r="AX47" i="48"/>
  <c r="BA6" i="48"/>
  <c r="AZ34" i="48"/>
  <c r="AZ88" i="48"/>
  <c r="AZ71" i="48"/>
  <c r="AZ32" i="48"/>
  <c r="AZ86" i="48"/>
  <c r="AZ35" i="48"/>
  <c r="AZ6" i="48"/>
  <c r="AZ82" i="48"/>
  <c r="AZ84" i="48"/>
  <c r="AZ67" i="48"/>
  <c r="AZ29" i="48"/>
  <c r="AZ28" i="48"/>
  <c r="AZ81" i="48"/>
  <c r="AZ80" i="48"/>
  <c r="BA69" i="48"/>
  <c r="BA70" i="48"/>
  <c r="BA71" i="48"/>
  <c r="BA67" i="48"/>
  <c r="BA74" i="48"/>
  <c r="BA87" i="48"/>
  <c r="BA86" i="48"/>
  <c r="BA35" i="48"/>
  <c r="BA28" i="48"/>
  <c r="AZ83" i="48"/>
  <c r="AZ74" i="48"/>
  <c r="AZ87" i="48"/>
  <c r="AZ31" i="48"/>
  <c r="AZ69" i="48"/>
  <c r="AZ85" i="48"/>
  <c r="AZ30" i="48"/>
  <c r="AZ33" i="48"/>
  <c r="AZ66" i="48"/>
  <c r="AZ70" i="48"/>
  <c r="BE3" i="44"/>
  <c r="BE2" i="44" s="1"/>
  <c r="EM3" i="48"/>
  <c r="BA9" i="44" l="1"/>
  <c r="BA24" i="44"/>
  <c r="AY76" i="48"/>
  <c r="BB13" i="44"/>
  <c r="BB12" i="44"/>
  <c r="BA22" i="44"/>
  <c r="BA27" i="44" s="1"/>
  <c r="BA21" i="44"/>
  <c r="BA26" i="44" s="1"/>
  <c r="AZ75" i="48"/>
  <c r="AZ89" i="48"/>
  <c r="AZ90" i="48"/>
  <c r="AY62" i="48"/>
  <c r="BB11" i="44" s="1"/>
  <c r="BB25" i="44" s="1"/>
  <c r="AY43" i="48"/>
  <c r="BB7" i="44" s="1"/>
  <c r="AY49" i="48"/>
  <c r="BB10" i="44" s="1"/>
  <c r="AY47" i="48"/>
  <c r="AY41" i="48"/>
  <c r="BB5" i="44" s="1"/>
  <c r="AY42" i="48"/>
  <c r="BB6" i="44" s="1"/>
  <c r="AY40" i="48"/>
  <c r="BB4" i="44" s="1"/>
  <c r="AY45" i="48"/>
  <c r="AY48" i="48"/>
  <c r="AY50" i="48"/>
  <c r="BB19" i="44" s="1"/>
  <c r="AY44" i="48"/>
  <c r="BB8" i="44" s="1"/>
  <c r="AZ36" i="48"/>
  <c r="AY46" i="48"/>
  <c r="BA4" i="48"/>
  <c r="AZ5" i="48"/>
  <c r="AZ37" i="48"/>
  <c r="AZ4" i="48"/>
  <c r="BA34" i="48"/>
  <c r="BA66" i="48"/>
  <c r="BA82" i="48"/>
  <c r="BA31" i="48"/>
  <c r="BA81" i="48"/>
  <c r="BA73" i="48"/>
  <c r="BA32" i="48"/>
  <c r="BA29" i="48"/>
  <c r="BA5" i="48"/>
  <c r="BA68" i="48"/>
  <c r="BA88" i="48"/>
  <c r="BA27" i="48"/>
  <c r="BA37" i="48"/>
  <c r="BA72" i="48"/>
  <c r="BA84" i="48"/>
  <c r="BA30" i="48"/>
  <c r="BA83" i="48"/>
  <c r="BA85" i="48"/>
  <c r="BA80" i="48"/>
  <c r="BA33" i="48"/>
  <c r="BA36" i="48"/>
  <c r="BB70" i="48"/>
  <c r="BB71" i="48"/>
  <c r="BB74" i="48"/>
  <c r="BF3" i="44"/>
  <c r="BF2" i="44" s="1"/>
  <c r="EN3" i="48"/>
  <c r="EO3" i="48" s="1"/>
  <c r="EP3" i="48" s="1"/>
  <c r="EQ3" i="48" s="1"/>
  <c r="ER3" i="48" s="1"/>
  <c r="ES3" i="48" s="1"/>
  <c r="ET3" i="48" s="1"/>
  <c r="EU3" i="48" s="1"/>
  <c r="EV3" i="48" s="1"/>
  <c r="EW3" i="48" s="1"/>
  <c r="EX3" i="48" s="1"/>
  <c r="EY3" i="48" s="1"/>
  <c r="EZ3" i="48" s="1"/>
  <c r="FA3" i="48" s="1"/>
  <c r="FB3" i="48" s="1"/>
  <c r="FC3" i="48" s="1"/>
  <c r="FD3" i="48" s="1"/>
  <c r="FE3" i="48" s="1"/>
  <c r="FF3" i="48" s="1"/>
  <c r="FG3" i="48" s="1"/>
  <c r="FH3" i="48" s="1"/>
  <c r="FI3" i="48" s="1"/>
  <c r="FJ3" i="48" s="1"/>
  <c r="FK3" i="48" s="1"/>
  <c r="FL3" i="48" s="1"/>
  <c r="FM3" i="48" s="1"/>
  <c r="FN3" i="48" s="1"/>
  <c r="FO3" i="48" s="1"/>
  <c r="FP3" i="48" s="1"/>
  <c r="FQ3" i="48" s="1"/>
  <c r="FR3" i="48" s="1"/>
  <c r="FS3" i="48" s="1"/>
  <c r="FT3" i="48" s="1"/>
  <c r="FU3" i="48" s="1"/>
  <c r="FV3" i="48" s="1"/>
  <c r="FW3" i="48" s="1"/>
  <c r="FX3" i="48" s="1"/>
  <c r="FY3" i="48" s="1"/>
  <c r="FZ3" i="48" s="1"/>
  <c r="GA3" i="48" s="1"/>
  <c r="GB3" i="48" s="1"/>
  <c r="GC3" i="48" s="1"/>
  <c r="GD3" i="48" s="1"/>
  <c r="GE3" i="48" s="1"/>
  <c r="GF3" i="48" s="1"/>
  <c r="GG3" i="48" s="1"/>
  <c r="GH3" i="48" s="1"/>
  <c r="GI3" i="48" s="1"/>
  <c r="GJ3" i="48" s="1"/>
  <c r="GK3" i="48" s="1"/>
  <c r="GL3" i="48" s="1"/>
  <c r="GM3" i="48" s="1"/>
  <c r="GN3" i="48" s="1"/>
  <c r="GO3" i="48" s="1"/>
  <c r="GP3" i="48" s="1"/>
  <c r="GQ3" i="48" s="1"/>
  <c r="GR3" i="48" s="1"/>
  <c r="GS3" i="48" s="1"/>
  <c r="GT3" i="48" s="1"/>
  <c r="GU3" i="48" s="1"/>
  <c r="GV3" i="48" s="1"/>
  <c r="GW3" i="48" s="1"/>
  <c r="GX3" i="48" s="1"/>
  <c r="GY3" i="48" s="1"/>
  <c r="GZ3" i="48" s="1"/>
  <c r="HA3" i="48" s="1"/>
  <c r="HB3" i="48" s="1"/>
  <c r="HC3" i="48" s="1"/>
  <c r="HD3" i="48" s="1"/>
  <c r="HE3" i="48" s="1"/>
  <c r="HF3" i="48" s="1"/>
  <c r="HG3" i="48" s="1"/>
  <c r="HH3" i="48" s="1"/>
  <c r="HI3" i="48" s="1"/>
  <c r="HJ3" i="48" s="1"/>
  <c r="HK3" i="48" s="1"/>
  <c r="HL3" i="48" s="1"/>
  <c r="HM3" i="48" s="1"/>
  <c r="HN3" i="48" s="1"/>
  <c r="HO3" i="48" s="1"/>
  <c r="HP3" i="48" s="1"/>
  <c r="HQ3" i="48" s="1"/>
  <c r="HR3" i="48" s="1"/>
  <c r="HS3" i="48" s="1"/>
  <c r="HT3" i="48" s="1"/>
  <c r="HU3" i="48" s="1"/>
  <c r="HV3" i="48" s="1"/>
  <c r="HW3" i="48" s="1"/>
  <c r="HX3" i="48" s="1"/>
  <c r="HY3" i="48" s="1"/>
  <c r="HZ3" i="48" s="1"/>
  <c r="IA3" i="48" s="1"/>
  <c r="IB3" i="48" s="1"/>
  <c r="IC3" i="48" s="1"/>
  <c r="ID3" i="48" s="1"/>
  <c r="IE3" i="48" s="1"/>
  <c r="IF3" i="48" s="1"/>
  <c r="IG3" i="48" s="1"/>
  <c r="IH3" i="48" s="1"/>
  <c r="II3" i="48" s="1"/>
  <c r="IJ3" i="48" s="1"/>
  <c r="IK3" i="48" s="1"/>
  <c r="IL3" i="48" s="1"/>
  <c r="IM3" i="48" s="1"/>
  <c r="IN3" i="48" s="1"/>
  <c r="IO3" i="48" s="1"/>
  <c r="IP3" i="48" s="1"/>
  <c r="IQ3" i="48" s="1"/>
  <c r="IR3" i="48" s="1"/>
  <c r="IS3" i="48" s="1"/>
  <c r="IT3" i="48" s="1"/>
  <c r="IU3" i="48" s="1"/>
  <c r="IV3" i="48" s="1"/>
  <c r="IW3" i="48" s="1"/>
  <c r="IX3" i="48" s="1"/>
  <c r="IY3" i="48" s="1"/>
  <c r="IZ3" i="48" s="1"/>
  <c r="JA3" i="48" s="1"/>
  <c r="JB3" i="48" s="1"/>
  <c r="JC3" i="48" s="1"/>
  <c r="JD3" i="48" s="1"/>
  <c r="JE3" i="48" s="1"/>
  <c r="JF3" i="48" s="1"/>
  <c r="JG3" i="48" s="1"/>
  <c r="JH3" i="48" s="1"/>
  <c r="JI3" i="48" s="1"/>
  <c r="JJ3" i="48" s="1"/>
  <c r="JK3" i="48" s="1"/>
  <c r="JL3" i="48" s="1"/>
  <c r="JM3" i="48" s="1"/>
  <c r="JN3" i="48" s="1"/>
  <c r="JO3" i="48" s="1"/>
  <c r="JP3" i="48" s="1"/>
  <c r="JQ3" i="48" s="1"/>
  <c r="JR3" i="48" s="1"/>
  <c r="JS3" i="48" s="1"/>
  <c r="JT3" i="48" s="1"/>
  <c r="JU3" i="48" s="1"/>
  <c r="JV3" i="48" s="1"/>
  <c r="JW3" i="48" s="1"/>
  <c r="JX3" i="48" s="1"/>
  <c r="JY3" i="48" s="1"/>
  <c r="JZ3" i="48" s="1"/>
  <c r="KA3" i="48" s="1"/>
  <c r="KB3" i="48" s="1"/>
  <c r="KC3" i="48" s="1"/>
  <c r="KD3" i="48" s="1"/>
  <c r="KE3" i="48" s="1"/>
  <c r="KF3" i="48" s="1"/>
  <c r="KG3" i="48" s="1"/>
  <c r="KH3" i="48" s="1"/>
  <c r="KI3" i="48" s="1"/>
  <c r="KJ3" i="48" s="1"/>
  <c r="KK3" i="48" s="1"/>
  <c r="KL3" i="48" s="1"/>
  <c r="KM3" i="48" s="1"/>
  <c r="KN3" i="48" s="1"/>
  <c r="KO3" i="48" s="1"/>
  <c r="KP3" i="48" s="1"/>
  <c r="KQ3" i="48" s="1"/>
  <c r="KR3" i="48" s="1"/>
  <c r="KS3" i="48" s="1"/>
  <c r="KT3" i="48" s="1"/>
  <c r="KU3" i="48" s="1"/>
  <c r="KV3" i="48" s="1"/>
  <c r="KW3" i="48" s="1"/>
  <c r="KX3" i="48" s="1"/>
  <c r="KY3" i="48" s="1"/>
  <c r="KZ3" i="48" s="1"/>
  <c r="LA3" i="48" s="1"/>
  <c r="LB3" i="48" s="1"/>
  <c r="LC3" i="48" s="1"/>
  <c r="LD3" i="48" s="1"/>
  <c r="LE3" i="48" s="1"/>
  <c r="LF3" i="48" s="1"/>
  <c r="LG3" i="48" s="1"/>
  <c r="LH3" i="48" s="1"/>
  <c r="LI3" i="48" s="1"/>
  <c r="LJ3" i="48" s="1"/>
  <c r="LK3" i="48" s="1"/>
  <c r="LL3" i="48" s="1"/>
  <c r="LM3" i="48" s="1"/>
  <c r="LN3" i="48" s="1"/>
  <c r="LO3" i="48" s="1"/>
  <c r="LP3" i="48" s="1"/>
  <c r="LQ3" i="48" s="1"/>
  <c r="LR3" i="48" s="1"/>
  <c r="LS3" i="48" s="1"/>
  <c r="LT3" i="48" s="1"/>
  <c r="LU3" i="48" s="1"/>
  <c r="LV3" i="48" s="1"/>
  <c r="LW3" i="48" s="1"/>
  <c r="LX3" i="48" s="1"/>
  <c r="LY3" i="48" s="1"/>
  <c r="LZ3" i="48" s="1"/>
  <c r="MA3" i="48" s="1"/>
  <c r="MB3" i="48" s="1"/>
  <c r="MC3" i="48" s="1"/>
  <c r="MD3" i="48" s="1"/>
  <c r="ME3" i="48" s="1"/>
  <c r="MF3" i="48" s="1"/>
  <c r="MG3" i="48" s="1"/>
  <c r="MH3" i="48" s="1"/>
  <c r="MI3" i="48" s="1"/>
  <c r="MJ3" i="48" s="1"/>
  <c r="MK3" i="48" s="1"/>
  <c r="ML3" i="48" s="1"/>
  <c r="MM3" i="48" s="1"/>
  <c r="MN3" i="48" s="1"/>
  <c r="MO3" i="48" s="1"/>
  <c r="MP3" i="48" s="1"/>
  <c r="MQ3" i="48" s="1"/>
  <c r="MR3" i="48" s="1"/>
  <c r="MS3" i="48" s="1"/>
  <c r="MT3" i="48" s="1"/>
  <c r="MU3" i="48" s="1"/>
  <c r="MV3" i="48" s="1"/>
  <c r="MW3" i="48" s="1"/>
  <c r="MX3" i="48" s="1"/>
  <c r="MY3" i="48" s="1"/>
  <c r="MZ3" i="48" s="1"/>
  <c r="NA3" i="48" s="1"/>
  <c r="NB3" i="48" s="1"/>
  <c r="NC3" i="48" s="1"/>
  <c r="ND3" i="48" s="1"/>
  <c r="NE3" i="48" s="1"/>
  <c r="NF3" i="48" s="1"/>
  <c r="NG3" i="48" s="1"/>
  <c r="NH3" i="48" s="1"/>
  <c r="NI3" i="48" s="1"/>
  <c r="NJ3" i="48" s="1"/>
  <c r="NK3" i="48" s="1"/>
  <c r="NL3" i="48" s="1"/>
  <c r="NM3" i="48" s="1"/>
  <c r="NN3" i="48" s="1"/>
  <c r="NO3" i="48" s="1"/>
  <c r="NP3" i="48" s="1"/>
  <c r="NQ3" i="48" s="1"/>
  <c r="NR3" i="48" s="1"/>
  <c r="NS3" i="48" s="1"/>
  <c r="NT3" i="48" s="1"/>
  <c r="NU3" i="48" s="1"/>
  <c r="NV3" i="48" s="1"/>
  <c r="NW3" i="48" s="1"/>
  <c r="NX3" i="48" s="1"/>
  <c r="NY3" i="48" s="1"/>
  <c r="NZ3" i="48" s="1"/>
  <c r="OA3" i="48" s="1"/>
  <c r="OB3" i="48" s="1"/>
  <c r="OC3" i="48" s="1"/>
  <c r="OD3" i="48" s="1"/>
  <c r="OE3" i="48" s="1"/>
  <c r="OF3" i="48" s="1"/>
  <c r="OG3" i="48" s="1"/>
  <c r="OH3" i="48" s="1"/>
  <c r="OI3" i="48" s="1"/>
  <c r="OJ3" i="48" s="1"/>
  <c r="OK3" i="48" s="1"/>
  <c r="OL3" i="48" s="1"/>
  <c r="OM3" i="48" s="1"/>
  <c r="ON3" i="48" s="1"/>
  <c r="OO3" i="48" s="1"/>
  <c r="OP3" i="48" s="1"/>
  <c r="OQ3" i="48" s="1"/>
  <c r="OR3" i="48" s="1"/>
  <c r="OS3" i="48" s="1"/>
  <c r="OT3" i="48" s="1"/>
  <c r="OU3" i="48" s="1"/>
  <c r="OV3" i="48" s="1"/>
  <c r="OW3" i="48" s="1"/>
  <c r="OX3" i="48" s="1"/>
  <c r="OY3" i="48" s="1"/>
  <c r="OZ3" i="48" s="1"/>
  <c r="PA3" i="48" s="1"/>
  <c r="PB3" i="48" s="1"/>
  <c r="PC3" i="48" s="1"/>
  <c r="PD3" i="48" s="1"/>
  <c r="PE3" i="48" s="1"/>
  <c r="PF3" i="48" s="1"/>
  <c r="PG3" i="48" s="1"/>
  <c r="PH3" i="48" s="1"/>
  <c r="PI3" i="48" s="1"/>
  <c r="PJ3" i="48" s="1"/>
  <c r="PK3" i="48" s="1"/>
  <c r="PL3" i="48" s="1"/>
  <c r="PM3" i="48" s="1"/>
  <c r="PN3" i="48" s="1"/>
  <c r="PO3" i="48" s="1"/>
  <c r="PP3" i="48" s="1"/>
  <c r="PQ3" i="48" s="1"/>
  <c r="PR3" i="48" s="1"/>
  <c r="PS3" i="48" s="1"/>
  <c r="PT3" i="48" s="1"/>
  <c r="PU3" i="48" s="1"/>
  <c r="PV3" i="48" s="1"/>
  <c r="PW3" i="48" s="1"/>
  <c r="PX3" i="48" s="1"/>
  <c r="PY3" i="48" s="1"/>
  <c r="PZ3" i="48" s="1"/>
  <c r="QA3" i="48" s="1"/>
  <c r="QB3" i="48" s="1"/>
  <c r="QC3" i="48" s="1"/>
  <c r="QD3" i="48" s="1"/>
  <c r="QE3" i="48" s="1"/>
  <c r="QF3" i="48" s="1"/>
  <c r="QG3" i="48" s="1"/>
  <c r="QH3" i="48" s="1"/>
  <c r="QI3" i="48" s="1"/>
  <c r="QJ3" i="48" s="1"/>
  <c r="QK3" i="48" s="1"/>
  <c r="QL3" i="48" s="1"/>
  <c r="QM3" i="48" s="1"/>
  <c r="QN3" i="48" s="1"/>
  <c r="QO3" i="48" s="1"/>
  <c r="QP3" i="48" s="1"/>
  <c r="QQ3" i="48" s="1"/>
  <c r="QR3" i="48" s="1"/>
  <c r="QS3" i="48" s="1"/>
  <c r="QT3" i="48" s="1"/>
  <c r="QU3" i="48" s="1"/>
  <c r="QV3" i="48" s="1"/>
  <c r="QW3" i="48" s="1"/>
  <c r="QX3" i="48" s="1"/>
  <c r="QY3" i="48" s="1"/>
  <c r="QZ3" i="48" s="1"/>
  <c r="RA3" i="48" s="1"/>
  <c r="RB3" i="48" s="1"/>
  <c r="RC3" i="48" s="1"/>
  <c r="RD3" i="48" s="1"/>
  <c r="RE3" i="48" s="1"/>
  <c r="RF3" i="48" s="1"/>
  <c r="RG3" i="48" s="1"/>
  <c r="RH3" i="48" s="1"/>
  <c r="RI3" i="48" s="1"/>
  <c r="RJ3" i="48" s="1"/>
  <c r="RK3" i="48" s="1"/>
  <c r="RL3" i="48" s="1"/>
  <c r="RM3" i="48" s="1"/>
  <c r="RN3" i="48" s="1"/>
  <c r="RO3" i="48" s="1"/>
  <c r="RP3" i="48" s="1"/>
  <c r="RQ3" i="48" s="1"/>
  <c r="RR3" i="48" s="1"/>
  <c r="RS3" i="48" s="1"/>
  <c r="RT3" i="48" s="1"/>
  <c r="RU3" i="48" s="1"/>
  <c r="RV3" i="48" s="1"/>
  <c r="RW3" i="48" s="1"/>
  <c r="RX3" i="48" s="1"/>
  <c r="RY3" i="48" s="1"/>
  <c r="RZ3" i="48" s="1"/>
  <c r="SA3" i="48" s="1"/>
  <c r="SB3" i="48" s="1"/>
  <c r="SC3" i="48" s="1"/>
  <c r="SD3" i="48" s="1"/>
  <c r="SE3" i="48" s="1"/>
  <c r="SF3" i="48" s="1"/>
  <c r="SG3" i="48" s="1"/>
  <c r="SH3" i="48" s="1"/>
  <c r="SI3" i="48" s="1"/>
  <c r="SJ3" i="48" s="1"/>
  <c r="SK3" i="48" s="1"/>
  <c r="SL3" i="48" s="1"/>
  <c r="SM3" i="48" s="1"/>
  <c r="SN3" i="48" s="1"/>
  <c r="SO3" i="48" s="1"/>
  <c r="SP3" i="48" s="1"/>
  <c r="SQ3" i="48" s="1"/>
  <c r="SR3" i="48" s="1"/>
  <c r="SS3" i="48" s="1"/>
  <c r="ST3" i="48" s="1"/>
  <c r="SU3" i="48" s="1"/>
  <c r="SV3" i="48" s="1"/>
  <c r="SW3" i="48" s="1"/>
  <c r="BB9" i="44" l="1"/>
  <c r="BB24" i="44"/>
  <c r="AZ76" i="48"/>
  <c r="BC12" i="44"/>
  <c r="BC13" i="44"/>
  <c r="BB22" i="44"/>
  <c r="BB27" i="44" s="1"/>
  <c r="BB21" i="44"/>
  <c r="BB26" i="44" s="1"/>
  <c r="BA75" i="48"/>
  <c r="BA90" i="48"/>
  <c r="BA89" i="48"/>
  <c r="BA63" i="48"/>
  <c r="BD20" i="44" s="1"/>
  <c r="BA48" i="48"/>
  <c r="BA62" i="48"/>
  <c r="BD11" i="44" s="1"/>
  <c r="AZ49" i="48"/>
  <c r="AZ50" i="48"/>
  <c r="BC19" i="44" s="1"/>
  <c r="AZ46" i="48"/>
  <c r="AZ42" i="48"/>
  <c r="BC6" i="44" s="1"/>
  <c r="AZ41" i="48"/>
  <c r="BC5" i="44" s="1"/>
  <c r="AZ47" i="48"/>
  <c r="AZ44" i="48"/>
  <c r="BC8" i="44" s="1"/>
  <c r="BC9" i="44" s="1"/>
  <c r="BA42" i="48"/>
  <c r="BD6" i="44" s="1"/>
  <c r="BA46" i="48"/>
  <c r="BA50" i="48"/>
  <c r="BD19" i="44" s="1"/>
  <c r="BA49" i="48"/>
  <c r="AZ40" i="48"/>
  <c r="BC4" i="44" s="1"/>
  <c r="AZ48" i="48"/>
  <c r="BA47" i="48"/>
  <c r="AZ43" i="48"/>
  <c r="BC7" i="44" s="1"/>
  <c r="BA45" i="48"/>
  <c r="BA40" i="48"/>
  <c r="BD4" i="44" s="1"/>
  <c r="AZ45" i="48"/>
  <c r="BA43" i="48"/>
  <c r="BD7" i="44" s="1"/>
  <c r="AZ63" i="48"/>
  <c r="BC20" i="44" s="1"/>
  <c r="AZ62" i="48"/>
  <c r="BC11" i="44" s="1"/>
  <c r="BA44" i="48"/>
  <c r="BD8" i="44" s="1"/>
  <c r="BA41" i="48"/>
  <c r="BD5" i="44" s="1"/>
  <c r="BB82" i="48"/>
  <c r="BB35" i="48"/>
  <c r="BB85" i="48"/>
  <c r="BB87" i="48"/>
  <c r="BB80" i="48"/>
  <c r="BB73" i="48"/>
  <c r="BB32" i="48"/>
  <c r="BB84" i="48"/>
  <c r="BB72" i="48"/>
  <c r="BB88" i="48"/>
  <c r="BB29" i="48"/>
  <c r="BB86" i="48"/>
  <c r="BB69" i="48"/>
  <c r="BB33" i="48"/>
  <c r="BB31" i="48"/>
  <c r="BB81" i="48"/>
  <c r="BC70" i="48"/>
  <c r="BB6" i="48"/>
  <c r="BB36" i="48" s="1"/>
  <c r="BB83" i="48"/>
  <c r="BB68" i="48"/>
  <c r="BB30" i="48"/>
  <c r="BB66" i="48"/>
  <c r="BC83" i="48"/>
  <c r="BC87" i="48"/>
  <c r="BC84" i="48"/>
  <c r="BC72" i="48"/>
  <c r="BB27" i="48"/>
  <c r="BB28" i="48"/>
  <c r="BB34" i="48"/>
  <c r="BB67" i="48"/>
  <c r="BG3" i="44"/>
  <c r="BG2" i="44" s="1"/>
  <c r="BD9" i="44" l="1"/>
  <c r="BC25" i="44"/>
  <c r="BA76" i="48"/>
  <c r="BD13" i="44"/>
  <c r="BD12" i="44"/>
  <c r="BD25" i="44"/>
  <c r="BC22" i="44"/>
  <c r="BC27" i="44" s="1"/>
  <c r="BC21" i="44"/>
  <c r="BC26" i="44" s="1"/>
  <c r="BB75" i="48"/>
  <c r="BB90" i="48"/>
  <c r="BB89" i="48"/>
  <c r="BB37" i="48"/>
  <c r="BB4" i="48"/>
  <c r="BB5" i="48"/>
  <c r="BD10" i="44"/>
  <c r="BD24" i="44" s="1"/>
  <c r="BC10" i="44"/>
  <c r="BC24" i="44" s="1"/>
  <c r="BC68" i="48"/>
  <c r="BC34" i="48"/>
  <c r="BC82" i="48"/>
  <c r="BC28" i="48"/>
  <c r="BC73" i="48"/>
  <c r="BC35" i="48"/>
  <c r="BC31" i="48"/>
  <c r="BC88" i="48"/>
  <c r="BC86" i="48"/>
  <c r="BC6" i="48"/>
  <c r="BC5" i="48" s="1"/>
  <c r="BC46" i="48" s="1"/>
  <c r="BC80" i="48"/>
  <c r="BC71" i="48"/>
  <c r="BC29" i="48"/>
  <c r="BC32" i="48"/>
  <c r="BC33" i="48"/>
  <c r="BC85" i="48"/>
  <c r="BC69" i="48"/>
  <c r="BC27" i="48"/>
  <c r="BC30" i="48"/>
  <c r="BC81" i="48"/>
  <c r="BC74" i="48"/>
  <c r="BC66" i="48"/>
  <c r="BD67" i="48"/>
  <c r="BD33" i="48"/>
  <c r="BD35" i="48"/>
  <c r="BD34" i="48"/>
  <c r="BD83" i="48"/>
  <c r="BC67" i="48"/>
  <c r="BH3" i="44"/>
  <c r="BH2" i="44" s="1"/>
  <c r="BD21" i="44" l="1"/>
  <c r="BD26" i="44" s="1"/>
  <c r="BD22" i="44"/>
  <c r="BD27" i="44" s="1"/>
  <c r="BB76" i="48"/>
  <c r="BE13" i="44"/>
  <c r="BE12" i="44"/>
  <c r="BC75" i="48"/>
  <c r="BC90" i="48"/>
  <c r="BC89" i="48"/>
  <c r="BB63" i="48"/>
  <c r="BE20" i="44" s="1"/>
  <c r="BB62" i="48"/>
  <c r="BE11" i="44" s="1"/>
  <c r="BC37" i="48"/>
  <c r="BC50" i="48"/>
  <c r="BF19" i="44" s="1"/>
  <c r="BC41" i="48"/>
  <c r="BF5" i="44" s="1"/>
  <c r="BC45" i="48"/>
  <c r="BC42" i="48"/>
  <c r="BF6" i="44" s="1"/>
  <c r="BC47" i="48"/>
  <c r="BC44" i="48"/>
  <c r="BF8" i="44" s="1"/>
  <c r="BC48" i="48"/>
  <c r="BC49" i="48"/>
  <c r="BC4" i="48"/>
  <c r="BC43" i="48"/>
  <c r="BF7" i="44" s="1"/>
  <c r="BC36" i="48"/>
  <c r="BC40" i="48"/>
  <c r="BF4" i="44" s="1"/>
  <c r="BB45" i="48"/>
  <c r="BB48" i="48"/>
  <c r="BB44" i="48"/>
  <c r="BE8" i="44" s="1"/>
  <c r="BB42" i="48"/>
  <c r="BE6" i="44" s="1"/>
  <c r="BB41" i="48"/>
  <c r="BE5" i="44" s="1"/>
  <c r="BB49" i="48"/>
  <c r="BB43" i="48"/>
  <c r="BE7" i="44" s="1"/>
  <c r="BB46" i="48"/>
  <c r="BB47" i="48"/>
  <c r="BB40" i="48"/>
  <c r="BE4" i="44" s="1"/>
  <c r="BB50" i="48"/>
  <c r="BE19" i="44" s="1"/>
  <c r="BD6" i="48"/>
  <c r="BD5" i="48" s="1"/>
  <c r="BD86" i="48"/>
  <c r="BD71" i="48"/>
  <c r="BD27" i="48"/>
  <c r="BD88" i="48"/>
  <c r="BD69" i="48"/>
  <c r="BD29" i="48"/>
  <c r="BD74" i="48"/>
  <c r="BD82" i="48"/>
  <c r="BD73" i="48"/>
  <c r="BD85" i="48"/>
  <c r="BD68" i="48"/>
  <c r="BD32" i="48"/>
  <c r="BD66" i="48"/>
  <c r="BD30" i="48"/>
  <c r="BD81" i="48"/>
  <c r="BD72" i="48"/>
  <c r="BE66" i="48"/>
  <c r="BE68" i="48"/>
  <c r="BE87" i="48"/>
  <c r="BE85" i="48"/>
  <c r="BE70" i="48"/>
  <c r="BE72" i="48"/>
  <c r="BE83" i="48"/>
  <c r="BE69" i="48"/>
  <c r="BE71" i="48"/>
  <c r="BE73" i="48"/>
  <c r="BE67" i="48"/>
  <c r="BE80" i="48"/>
  <c r="BE74" i="48"/>
  <c r="BE81" i="48"/>
  <c r="BE86" i="48"/>
  <c r="BE6" i="48"/>
  <c r="BE84" i="48"/>
  <c r="BE27" i="48"/>
  <c r="BE28" i="48"/>
  <c r="BE32" i="48"/>
  <c r="BE30" i="48"/>
  <c r="BE35" i="48"/>
  <c r="BE29" i="48"/>
  <c r="BE34" i="48"/>
  <c r="BE31" i="48"/>
  <c r="BD70" i="48"/>
  <c r="BD84" i="48"/>
  <c r="BD28" i="48"/>
  <c r="BD87" i="48"/>
  <c r="BD31" i="48"/>
  <c r="BD80" i="48"/>
  <c r="BI3" i="44"/>
  <c r="BI2" i="44" s="1"/>
  <c r="BE9" i="44" l="1"/>
  <c r="BF9" i="44"/>
  <c r="BE25" i="44"/>
  <c r="BC76" i="48"/>
  <c r="BF13" i="44"/>
  <c r="BF12" i="44"/>
  <c r="BE21" i="44"/>
  <c r="BE26" i="44" s="1"/>
  <c r="BE22" i="44"/>
  <c r="BE27" i="44" s="1"/>
  <c r="BE75" i="48"/>
  <c r="BD75" i="48"/>
  <c r="BD90" i="48"/>
  <c r="BD89" i="48"/>
  <c r="BE36" i="48"/>
  <c r="BE5" i="48"/>
  <c r="BE47" i="48" s="1"/>
  <c r="BD47" i="48"/>
  <c r="BC62" i="48"/>
  <c r="BF11" i="44" s="1"/>
  <c r="BD37" i="48"/>
  <c r="BE4" i="48"/>
  <c r="BD4" i="48"/>
  <c r="BD40" i="48"/>
  <c r="BG4" i="44" s="1"/>
  <c r="BD48" i="48"/>
  <c r="BD46" i="48"/>
  <c r="BD36" i="48"/>
  <c r="BD42" i="48"/>
  <c r="BG6" i="44" s="1"/>
  <c r="BC63" i="48"/>
  <c r="BF20" i="44" s="1"/>
  <c r="BD50" i="48"/>
  <c r="BG19" i="44" s="1"/>
  <c r="BD45" i="48"/>
  <c r="BD44" i="48"/>
  <c r="BG8" i="44" s="1"/>
  <c r="BD43" i="48"/>
  <c r="BG7" i="44" s="1"/>
  <c r="BD41" i="48"/>
  <c r="BG5" i="44" s="1"/>
  <c r="BD49" i="48"/>
  <c r="BF10" i="44"/>
  <c r="BF24" i="44" s="1"/>
  <c r="BE10" i="44"/>
  <c r="BE24" i="44" s="1"/>
  <c r="BE88" i="48"/>
  <c r="BF29" i="48"/>
  <c r="BE33" i="48"/>
  <c r="BE37" i="48"/>
  <c r="BE82" i="48"/>
  <c r="BJ3" i="44"/>
  <c r="BJ2" i="44" s="1"/>
  <c r="BG9" i="44" l="1"/>
  <c r="BF25" i="44"/>
  <c r="BD76" i="48"/>
  <c r="BG13" i="44"/>
  <c r="BG12" i="44"/>
  <c r="BE76" i="48"/>
  <c r="BH12" i="44"/>
  <c r="BH13" i="44"/>
  <c r="BF22" i="44"/>
  <c r="BF27" i="44" s="1"/>
  <c r="BF21" i="44"/>
  <c r="BF26" i="44" s="1"/>
  <c r="BE90" i="48"/>
  <c r="BE89" i="48"/>
  <c r="BD62" i="48"/>
  <c r="BG11" i="44" s="1"/>
  <c r="BE46" i="48"/>
  <c r="BD63" i="48"/>
  <c r="BG20" i="44" s="1"/>
  <c r="BE43" i="48"/>
  <c r="BH7" i="44" s="1"/>
  <c r="BE44" i="48"/>
  <c r="BH8" i="44" s="1"/>
  <c r="BE48" i="48"/>
  <c r="BE41" i="48"/>
  <c r="BH5" i="44" s="1"/>
  <c r="BE40" i="48"/>
  <c r="BH4" i="44" s="1"/>
  <c r="BE42" i="48"/>
  <c r="BH6" i="44" s="1"/>
  <c r="BE45" i="48"/>
  <c r="BE49" i="48"/>
  <c r="BH10" i="44" s="1"/>
  <c r="BE62" i="48"/>
  <c r="BH11" i="44" s="1"/>
  <c r="BE63" i="48"/>
  <c r="BH20" i="44" s="1"/>
  <c r="BE50" i="48"/>
  <c r="BH19" i="44" s="1"/>
  <c r="BG10" i="44"/>
  <c r="BG24" i="44" s="1"/>
  <c r="BF68" i="48"/>
  <c r="BF34" i="48"/>
  <c r="BF74" i="48"/>
  <c r="BF72" i="48"/>
  <c r="BF31" i="48"/>
  <c r="BF30" i="48"/>
  <c r="BF88" i="48"/>
  <c r="BF85" i="48"/>
  <c r="BG28" i="48"/>
  <c r="BG86" i="48"/>
  <c r="BF35" i="48"/>
  <c r="BF71" i="48"/>
  <c r="BF73" i="48"/>
  <c r="BF86" i="48"/>
  <c r="BF6" i="48"/>
  <c r="BF37" i="48" s="1"/>
  <c r="BF28" i="48"/>
  <c r="BF82" i="48"/>
  <c r="BF32" i="48"/>
  <c r="BF83" i="48"/>
  <c r="BF69" i="48"/>
  <c r="BF66" i="48"/>
  <c r="BF27" i="48"/>
  <c r="BF33" i="48"/>
  <c r="BF81" i="48"/>
  <c r="BF84" i="48"/>
  <c r="BF87" i="48"/>
  <c r="BF80" i="48"/>
  <c r="BF67" i="48"/>
  <c r="BF70" i="48"/>
  <c r="BK3" i="44"/>
  <c r="BK2" i="44" s="1"/>
  <c r="BH25" i="44" l="1"/>
  <c r="BH9" i="44"/>
  <c r="BH21" i="44"/>
  <c r="BH26" i="44" s="1"/>
  <c r="BH22" i="44"/>
  <c r="BH27" i="44" s="1"/>
  <c r="BG25" i="44"/>
  <c r="BH24" i="44"/>
  <c r="BG21" i="44"/>
  <c r="BG26" i="44" s="1"/>
  <c r="BG22" i="44"/>
  <c r="BG27" i="44" s="1"/>
  <c r="BF75" i="48"/>
  <c r="BF90" i="48"/>
  <c r="BF89" i="48"/>
  <c r="BF4" i="48"/>
  <c r="BF62" i="48" s="1"/>
  <c r="BI11" i="44" s="1"/>
  <c r="BF36" i="48"/>
  <c r="BF5" i="48"/>
  <c r="BF43" i="48" s="1"/>
  <c r="BI7" i="44" s="1"/>
  <c r="BG66" i="48"/>
  <c r="BG74" i="48"/>
  <c r="BG88" i="48"/>
  <c r="BG27" i="48"/>
  <c r="BG80" i="48"/>
  <c r="BG84" i="48"/>
  <c r="BG87" i="48"/>
  <c r="BG72" i="48"/>
  <c r="BG69" i="48"/>
  <c r="BG34" i="48"/>
  <c r="BG6" i="48"/>
  <c r="BG4" i="48" s="1"/>
  <c r="BG33" i="48"/>
  <c r="BG32" i="48"/>
  <c r="BG35" i="48"/>
  <c r="BG71" i="48"/>
  <c r="BG85" i="48"/>
  <c r="BG83" i="48"/>
  <c r="BH81" i="48"/>
  <c r="BH82" i="48"/>
  <c r="BH85" i="48"/>
  <c r="BG67" i="48"/>
  <c r="BG31" i="48"/>
  <c r="BG73" i="48"/>
  <c r="BG68" i="48"/>
  <c r="BG81" i="48"/>
  <c r="BH88" i="48"/>
  <c r="BG29" i="48"/>
  <c r="BG30" i="48"/>
  <c r="BG70" i="48"/>
  <c r="BG82" i="48"/>
  <c r="BL3" i="44"/>
  <c r="BL2" i="44" s="1"/>
  <c r="BF76" i="48" l="1"/>
  <c r="BI12" i="44"/>
  <c r="BI13" i="44"/>
  <c r="BG75" i="48"/>
  <c r="BG90" i="48"/>
  <c r="BG89" i="48"/>
  <c r="BF63" i="48"/>
  <c r="BI20" i="44" s="1"/>
  <c r="BI25" i="44" s="1"/>
  <c r="BF50" i="48"/>
  <c r="BI19" i="44" s="1"/>
  <c r="BG62" i="48"/>
  <c r="BJ11" i="44" s="1"/>
  <c r="BG63" i="48"/>
  <c r="BJ20" i="44" s="1"/>
  <c r="BG36" i="48"/>
  <c r="BG5" i="48"/>
  <c r="BG46" i="48" s="1"/>
  <c r="BF48" i="48"/>
  <c r="BF47" i="48"/>
  <c r="BF40" i="48"/>
  <c r="BI4" i="44" s="1"/>
  <c r="BF41" i="48"/>
  <c r="BI5" i="44" s="1"/>
  <c r="BF46" i="48"/>
  <c r="BF44" i="48"/>
  <c r="BI8" i="44" s="1"/>
  <c r="BF42" i="48"/>
  <c r="BI6" i="44" s="1"/>
  <c r="BF45" i="48"/>
  <c r="BG37" i="48"/>
  <c r="BF49" i="48"/>
  <c r="BH33" i="48"/>
  <c r="BH27" i="48"/>
  <c r="BH28" i="48"/>
  <c r="BH30" i="48"/>
  <c r="BH70" i="48"/>
  <c r="BH34" i="48"/>
  <c r="BH66" i="48"/>
  <c r="BH87" i="48"/>
  <c r="BH67" i="48"/>
  <c r="BH72" i="48"/>
  <c r="BH73" i="48"/>
  <c r="BH68" i="48"/>
  <c r="BH69" i="48"/>
  <c r="BH29" i="48"/>
  <c r="BH74" i="48"/>
  <c r="BH84" i="48"/>
  <c r="BH71" i="48"/>
  <c r="BH6" i="48"/>
  <c r="BH31" i="48"/>
  <c r="BH32" i="48"/>
  <c r="BH35" i="48"/>
  <c r="BH86" i="48"/>
  <c r="BH80" i="48"/>
  <c r="BH83" i="48"/>
  <c r="BM3" i="44"/>
  <c r="BM2" i="44" s="1"/>
  <c r="BI9" i="44" l="1"/>
  <c r="BJ25" i="44"/>
  <c r="BG76" i="48"/>
  <c r="BJ13" i="44"/>
  <c r="BJ12" i="44"/>
  <c r="BI21" i="44"/>
  <c r="BI26" i="44" s="1"/>
  <c r="BI22" i="44"/>
  <c r="BI27" i="44" s="1"/>
  <c r="BH75" i="48"/>
  <c r="BH90" i="48"/>
  <c r="BH89" i="48"/>
  <c r="BG49" i="48"/>
  <c r="BJ10" i="44" s="1"/>
  <c r="BH4" i="48"/>
  <c r="BG40" i="48"/>
  <c r="BJ4" i="44" s="1"/>
  <c r="BG44" i="48"/>
  <c r="BJ8" i="44" s="1"/>
  <c r="BG41" i="48"/>
  <c r="BJ5" i="44" s="1"/>
  <c r="BG47" i="48"/>
  <c r="BG43" i="48"/>
  <c r="BJ7" i="44" s="1"/>
  <c r="BG50" i="48"/>
  <c r="BJ19" i="44" s="1"/>
  <c r="BG45" i="48"/>
  <c r="BG42" i="48"/>
  <c r="BJ6" i="44" s="1"/>
  <c r="BH36" i="48"/>
  <c r="BH37" i="48"/>
  <c r="BG48" i="48"/>
  <c r="BI10" i="44"/>
  <c r="BI24" i="44" s="1"/>
  <c r="BH5" i="48"/>
  <c r="BI6" i="48"/>
  <c r="BI4" i="48" s="1"/>
  <c r="BI74" i="48"/>
  <c r="BI35" i="48"/>
  <c r="BI69" i="48"/>
  <c r="BI31" i="48"/>
  <c r="BI73" i="48"/>
  <c r="BI27" i="48"/>
  <c r="BI88" i="48"/>
  <c r="BI34" i="48"/>
  <c r="BI71" i="48"/>
  <c r="BI33" i="48"/>
  <c r="BI28" i="48"/>
  <c r="BI32" i="48"/>
  <c r="BI82" i="48"/>
  <c r="BI67" i="48"/>
  <c r="BI30" i="48"/>
  <c r="BI29" i="48"/>
  <c r="BI86" i="48"/>
  <c r="BI87" i="48"/>
  <c r="BI85" i="48"/>
  <c r="BI72" i="48"/>
  <c r="BI83" i="48"/>
  <c r="BI80" i="48"/>
  <c r="BI84" i="48"/>
  <c r="BI70" i="48"/>
  <c r="BI66" i="48"/>
  <c r="BI81" i="48"/>
  <c r="BI68" i="48"/>
  <c r="BN3" i="44"/>
  <c r="BN2" i="44" s="1"/>
  <c r="BJ9" i="44" l="1"/>
  <c r="BH76" i="48"/>
  <c r="BK13" i="44"/>
  <c r="BK12" i="44"/>
  <c r="BJ24" i="44"/>
  <c r="BJ21" i="44"/>
  <c r="BJ26" i="44" s="1"/>
  <c r="BJ22" i="44"/>
  <c r="BJ27" i="44" s="1"/>
  <c r="BI75" i="48"/>
  <c r="BI89" i="48"/>
  <c r="BI90" i="48"/>
  <c r="BI36" i="48"/>
  <c r="BI5" i="48"/>
  <c r="BI43" i="48" s="1"/>
  <c r="BL7" i="44" s="1"/>
  <c r="BI37" i="48"/>
  <c r="BH62" i="48"/>
  <c r="BK11" i="44" s="1"/>
  <c r="BH63" i="48"/>
  <c r="BK20" i="44" s="1"/>
  <c r="BH50" i="48"/>
  <c r="BK19" i="44" s="1"/>
  <c r="BH41" i="48"/>
  <c r="BK5" i="44" s="1"/>
  <c r="BH42" i="48"/>
  <c r="BK6" i="44" s="1"/>
  <c r="BH44" i="48"/>
  <c r="BK8" i="44" s="1"/>
  <c r="BH46" i="48"/>
  <c r="BI62" i="48"/>
  <c r="BL11" i="44" s="1"/>
  <c r="BI63" i="48"/>
  <c r="BL20" i="44" s="1"/>
  <c r="BH40" i="48"/>
  <c r="BK4" i="44" s="1"/>
  <c r="BH48" i="48"/>
  <c r="BH45" i="48"/>
  <c r="BH43" i="48"/>
  <c r="BK7" i="44" s="1"/>
  <c r="BH49" i="48"/>
  <c r="BH47" i="48"/>
  <c r="BJ82" i="48"/>
  <c r="BJ81" i="48"/>
  <c r="BJ34" i="48"/>
  <c r="BJ84" i="48"/>
  <c r="BJ69" i="48"/>
  <c r="BJ67" i="48"/>
  <c r="BK84" i="48"/>
  <c r="BK86" i="48"/>
  <c r="BK67" i="48"/>
  <c r="BK29" i="48"/>
  <c r="BK31" i="48"/>
  <c r="BK33" i="48"/>
  <c r="BK34" i="48"/>
  <c r="BK35" i="48"/>
  <c r="BJ29" i="48"/>
  <c r="BJ32" i="48"/>
  <c r="BJ9" i="48"/>
  <c r="BJ74" i="48"/>
  <c r="BJ30" i="48"/>
  <c r="BJ71" i="48"/>
  <c r="BJ83" i="48"/>
  <c r="BJ86" i="48"/>
  <c r="BJ68" i="48"/>
  <c r="BJ31" i="48"/>
  <c r="BJ7" i="48"/>
  <c r="BJ72" i="48"/>
  <c r="BJ88" i="48"/>
  <c r="BJ80" i="48"/>
  <c r="BJ6" i="48"/>
  <c r="BJ4" i="48" s="1"/>
  <c r="BJ35" i="48"/>
  <c r="BJ73" i="48"/>
  <c r="BJ85" i="48"/>
  <c r="BJ70" i="48"/>
  <c r="BJ27" i="48"/>
  <c r="BJ33" i="48"/>
  <c r="BJ28" i="48"/>
  <c r="BJ66" i="48"/>
  <c r="BJ87" i="48"/>
  <c r="BO3" i="44"/>
  <c r="BO2" i="44" s="1"/>
  <c r="BK9" i="44" l="1"/>
  <c r="BL25" i="44"/>
  <c r="BI50" i="48"/>
  <c r="BL19" i="44" s="1"/>
  <c r="BI76" i="48"/>
  <c r="BL13" i="44"/>
  <c r="BL12" i="44"/>
  <c r="BI40" i="48"/>
  <c r="BL4" i="44" s="1"/>
  <c r="BI42" i="48"/>
  <c r="BL6" i="44" s="1"/>
  <c r="BI45" i="48"/>
  <c r="BK25" i="44"/>
  <c r="BK22" i="44"/>
  <c r="BK27" i="44" s="1"/>
  <c r="BK21" i="44"/>
  <c r="BK26" i="44" s="1"/>
  <c r="BJ75" i="48"/>
  <c r="BJ90" i="48"/>
  <c r="BJ89" i="48"/>
  <c r="BI46" i="48"/>
  <c r="BI47" i="48"/>
  <c r="BI49" i="48"/>
  <c r="BL10" i="44" s="1"/>
  <c r="BI41" i="48"/>
  <c r="BL5" i="44" s="1"/>
  <c r="BI48" i="48"/>
  <c r="BI44" i="48"/>
  <c r="BL8" i="44" s="1"/>
  <c r="BJ36" i="48"/>
  <c r="BJ37" i="48"/>
  <c r="BJ63" i="48"/>
  <c r="BM20" i="44" s="1"/>
  <c r="BJ62" i="48"/>
  <c r="BM11" i="44" s="1"/>
  <c r="BK10" i="44"/>
  <c r="BK24" i="44" s="1"/>
  <c r="AI7" i="48"/>
  <c r="AJ7" i="48" s="1"/>
  <c r="BK7" i="48"/>
  <c r="BK32" i="48"/>
  <c r="BK30" i="48"/>
  <c r="BK88" i="48"/>
  <c r="BK74" i="48"/>
  <c r="BK9" i="48"/>
  <c r="BK81" i="48"/>
  <c r="BK80" i="48"/>
  <c r="BK66" i="48"/>
  <c r="BK6" i="48"/>
  <c r="BK72" i="48"/>
  <c r="BK69" i="48"/>
  <c r="BK27" i="48"/>
  <c r="BK87" i="48"/>
  <c r="BK70" i="48"/>
  <c r="BK28" i="48"/>
  <c r="BK85" i="48"/>
  <c r="BK68" i="48"/>
  <c r="BK73" i="48"/>
  <c r="BK83" i="48"/>
  <c r="BL73" i="48"/>
  <c r="BK71" i="48"/>
  <c r="BK82" i="48"/>
  <c r="BP3" i="44"/>
  <c r="BP2" i="44" s="1"/>
  <c r="BL9" i="44" l="1"/>
  <c r="BM25" i="44"/>
  <c r="BJ76" i="48"/>
  <c r="BM13" i="44"/>
  <c r="BL22" i="44"/>
  <c r="BL27" i="44" s="1"/>
  <c r="BL21" i="44"/>
  <c r="BL26" i="44" s="1"/>
  <c r="BL24" i="44"/>
  <c r="BK75" i="48"/>
  <c r="BK90" i="48"/>
  <c r="BK89" i="48"/>
  <c r="BK4" i="48"/>
  <c r="BK62" i="48" s="1"/>
  <c r="BN11" i="44" s="1"/>
  <c r="BK37" i="48"/>
  <c r="BK36" i="48"/>
  <c r="BK5" i="48"/>
  <c r="AK7" i="48"/>
  <c r="AL7" i="48" s="1"/>
  <c r="AM7" i="48" s="1"/>
  <c r="BL71" i="48"/>
  <c r="BL68" i="48"/>
  <c r="BL27" i="48"/>
  <c r="BL82" i="48"/>
  <c r="BL88" i="48"/>
  <c r="BL83" i="48"/>
  <c r="BL87" i="48"/>
  <c r="BL84" i="48"/>
  <c r="BL34" i="48"/>
  <c r="BL80" i="48"/>
  <c r="BL70" i="48"/>
  <c r="BL35" i="48"/>
  <c r="BL72" i="48"/>
  <c r="BL33" i="48"/>
  <c r="BL74" i="48"/>
  <c r="BL7" i="48"/>
  <c r="BL28" i="48"/>
  <c r="BL86" i="48"/>
  <c r="BL31" i="48"/>
  <c r="BL67" i="48"/>
  <c r="BL66" i="48"/>
  <c r="BL85" i="48"/>
  <c r="BL29" i="48"/>
  <c r="BM71" i="48"/>
  <c r="BM32" i="48"/>
  <c r="BM27" i="48"/>
  <c r="BL9" i="48"/>
  <c r="BL69" i="48"/>
  <c r="BL32" i="48"/>
  <c r="BL30" i="48"/>
  <c r="BL6" i="48"/>
  <c r="BL37" i="48" s="1"/>
  <c r="BL81" i="48"/>
  <c r="BQ3" i="44"/>
  <c r="BQ2" i="44" s="1"/>
  <c r="BK76" i="48" l="1"/>
  <c r="BN13" i="44"/>
  <c r="BN12" i="44"/>
  <c r="BM22" i="44"/>
  <c r="BM27" i="44" s="1"/>
  <c r="BL75" i="48"/>
  <c r="BL89" i="48"/>
  <c r="BL90" i="48"/>
  <c r="BK63" i="48"/>
  <c r="BN20" i="44" s="1"/>
  <c r="BN25" i="44" s="1"/>
  <c r="BK40" i="48"/>
  <c r="BN4" i="44" s="1"/>
  <c r="BK45" i="48"/>
  <c r="BK50" i="48"/>
  <c r="BN19" i="44" s="1"/>
  <c r="BK42" i="48"/>
  <c r="BN6" i="44" s="1"/>
  <c r="BK47" i="48"/>
  <c r="BK41" i="48"/>
  <c r="BN5" i="44" s="1"/>
  <c r="BK46" i="48"/>
  <c r="BK49" i="48"/>
  <c r="BK43" i="48"/>
  <c r="BN7" i="44" s="1"/>
  <c r="BK48" i="48"/>
  <c r="BK8" i="48"/>
  <c r="BL5" i="48"/>
  <c r="BK44" i="48"/>
  <c r="BN8" i="44" s="1"/>
  <c r="BL4" i="48"/>
  <c r="BL36" i="48"/>
  <c r="AN7" i="48"/>
  <c r="BM6" i="48"/>
  <c r="BM35" i="48"/>
  <c r="BM86" i="48"/>
  <c r="BM69" i="48"/>
  <c r="BM73" i="48"/>
  <c r="BM68" i="48"/>
  <c r="BM67" i="48"/>
  <c r="BM88" i="48"/>
  <c r="BM87" i="48"/>
  <c r="BM28" i="48"/>
  <c r="BM30" i="48"/>
  <c r="BM70" i="48"/>
  <c r="BM66" i="48"/>
  <c r="BM80" i="48"/>
  <c r="BM29" i="48"/>
  <c r="BM83" i="48"/>
  <c r="BM31" i="48"/>
  <c r="BM9" i="48"/>
  <c r="BM74" i="48"/>
  <c r="BM72" i="48"/>
  <c r="BM82" i="48"/>
  <c r="BM34" i="48"/>
  <c r="BM81" i="48"/>
  <c r="BN71" i="48"/>
  <c r="BN72" i="48"/>
  <c r="BN70" i="48"/>
  <c r="BN66" i="48"/>
  <c r="BN88" i="48"/>
  <c r="BN68" i="48"/>
  <c r="BN74" i="48"/>
  <c r="BN28" i="48"/>
  <c r="BN6" i="48"/>
  <c r="BN9" i="48"/>
  <c r="BM7" i="48"/>
  <c r="BM33" i="48"/>
  <c r="BM85" i="48"/>
  <c r="BM84" i="48"/>
  <c r="BR3" i="44"/>
  <c r="BR2" i="44" s="1"/>
  <c r="BL76" i="48" l="1"/>
  <c r="BO13" i="44"/>
  <c r="BO12" i="44"/>
  <c r="BN22" i="44"/>
  <c r="BN27" i="44" s="1"/>
  <c r="BN21" i="44"/>
  <c r="BN26" i="44" s="1"/>
  <c r="BM75" i="48"/>
  <c r="BM90" i="48"/>
  <c r="BM89" i="48"/>
  <c r="BL46" i="48"/>
  <c r="BL8" i="48"/>
  <c r="BL63" i="48"/>
  <c r="BO20" i="44" s="1"/>
  <c r="BL42" i="48"/>
  <c r="BO6" i="44" s="1"/>
  <c r="BL62" i="48"/>
  <c r="BO11" i="44" s="1"/>
  <c r="BL47" i="48"/>
  <c r="BL43" i="48"/>
  <c r="BO7" i="44" s="1"/>
  <c r="BL41" i="48"/>
  <c r="BO5" i="44" s="1"/>
  <c r="BL44" i="48"/>
  <c r="BO8" i="44" s="1"/>
  <c r="BL45" i="48"/>
  <c r="BL50" i="48"/>
  <c r="BO19" i="44" s="1"/>
  <c r="BL49" i="48"/>
  <c r="BO10" i="44" s="1"/>
  <c r="BM5" i="48"/>
  <c r="BM48" i="48" s="1"/>
  <c r="BL40" i="48"/>
  <c r="BO4" i="44" s="1"/>
  <c r="BL48" i="48"/>
  <c r="AO7" i="48"/>
  <c r="BM4" i="48"/>
  <c r="BM37" i="48"/>
  <c r="BM36" i="48"/>
  <c r="BN31" i="48"/>
  <c r="BN85" i="48"/>
  <c r="BN7" i="48"/>
  <c r="BN34" i="48"/>
  <c r="BN84" i="48"/>
  <c r="BN27" i="48"/>
  <c r="BN32" i="48"/>
  <c r="BN87" i="48"/>
  <c r="BN5" i="48"/>
  <c r="BN48" i="48" s="1"/>
  <c r="BN67" i="48"/>
  <c r="BN69" i="48"/>
  <c r="BO35" i="48"/>
  <c r="BO83" i="48"/>
  <c r="BN37" i="48"/>
  <c r="BN33" i="48"/>
  <c r="BN30" i="48"/>
  <c r="BN81" i="48"/>
  <c r="BN73" i="48"/>
  <c r="BN35" i="48"/>
  <c r="BN86" i="48"/>
  <c r="BN80" i="48"/>
  <c r="BN36" i="48"/>
  <c r="BN29" i="48"/>
  <c r="BN4" i="48"/>
  <c r="BN83" i="48"/>
  <c r="BN82" i="48"/>
  <c r="BS3" i="44"/>
  <c r="BS2" i="44" s="1"/>
  <c r="BO25" i="44" l="1"/>
  <c r="BO24" i="44"/>
  <c r="BM76" i="48"/>
  <c r="BP12" i="44"/>
  <c r="BP13" i="44"/>
  <c r="BO22" i="44"/>
  <c r="BO27" i="44" s="1"/>
  <c r="BO21" i="44"/>
  <c r="BO26" i="44" s="1"/>
  <c r="BN90" i="48"/>
  <c r="BN75" i="48"/>
  <c r="BN89" i="48"/>
  <c r="BM43" i="48"/>
  <c r="BP7" i="44" s="1"/>
  <c r="BM44" i="48"/>
  <c r="BP8" i="44" s="1"/>
  <c r="BM45" i="48"/>
  <c r="BM50" i="48"/>
  <c r="BP19" i="44" s="1"/>
  <c r="BM47" i="48"/>
  <c r="BM8" i="48"/>
  <c r="BM40" i="48"/>
  <c r="BP4" i="44" s="1"/>
  <c r="BN8" i="48"/>
  <c r="BM41" i="48"/>
  <c r="BP5" i="44" s="1"/>
  <c r="BN62" i="48"/>
  <c r="BQ11" i="44" s="1"/>
  <c r="BM42" i="48"/>
  <c r="BP6" i="44" s="1"/>
  <c r="BM49" i="48"/>
  <c r="BP10" i="44" s="1"/>
  <c r="BN49" i="48"/>
  <c r="BM46" i="48"/>
  <c r="BM62" i="48"/>
  <c r="BP11" i="44" s="1"/>
  <c r="AP7" i="48"/>
  <c r="BN41" i="48"/>
  <c r="BQ5" i="44" s="1"/>
  <c r="BN45" i="48"/>
  <c r="BN43" i="48"/>
  <c r="BQ7" i="44" s="1"/>
  <c r="BM63" i="48"/>
  <c r="BP20" i="44" s="1"/>
  <c r="BN50" i="48"/>
  <c r="BQ19" i="44" s="1"/>
  <c r="BN46" i="48"/>
  <c r="BN63" i="48"/>
  <c r="BQ20" i="44" s="1"/>
  <c r="BN40" i="48"/>
  <c r="BQ4" i="44" s="1"/>
  <c r="BN47" i="48"/>
  <c r="BN44" i="48"/>
  <c r="BQ8" i="44" s="1"/>
  <c r="BN42" i="48"/>
  <c r="BQ6" i="44" s="1"/>
  <c r="BO30" i="48"/>
  <c r="BO88" i="48"/>
  <c r="BO68" i="48"/>
  <c r="BO67" i="48"/>
  <c r="BP69" i="48"/>
  <c r="BP66" i="48"/>
  <c r="BP27" i="48"/>
  <c r="BP28" i="48"/>
  <c r="BP33" i="48"/>
  <c r="BO34" i="48"/>
  <c r="BO27" i="48"/>
  <c r="BO6" i="48"/>
  <c r="BO5" i="48" s="1"/>
  <c r="BO29" i="48"/>
  <c r="BO7" i="48"/>
  <c r="BO74" i="48"/>
  <c r="BO80" i="48"/>
  <c r="BO84" i="48"/>
  <c r="BO9" i="48"/>
  <c r="BO71" i="48"/>
  <c r="BO85" i="48"/>
  <c r="BO86" i="48"/>
  <c r="BO87" i="48"/>
  <c r="BO32" i="48"/>
  <c r="BO73" i="48"/>
  <c r="BO82" i="48"/>
  <c r="BO70" i="48"/>
  <c r="BO33" i="48"/>
  <c r="BO31" i="48"/>
  <c r="BO69" i="48"/>
  <c r="BP87" i="48"/>
  <c r="BO28" i="48"/>
  <c r="BO66" i="48"/>
  <c r="BO81" i="48"/>
  <c r="BO72" i="48"/>
  <c r="BT3" i="44"/>
  <c r="BT2" i="44" s="1"/>
  <c r="BQ25" i="44" l="1"/>
  <c r="BP24" i="44"/>
  <c r="BN76" i="48"/>
  <c r="BQ12" i="44"/>
  <c r="BQ13" i="44"/>
  <c r="BP25" i="44"/>
  <c r="BP21" i="44"/>
  <c r="BP26" i="44" s="1"/>
  <c r="BP22" i="44"/>
  <c r="BP27" i="44" s="1"/>
  <c r="BO75" i="48"/>
  <c r="BO89" i="48"/>
  <c r="BO90" i="48"/>
  <c r="BO46" i="48"/>
  <c r="BO43" i="48"/>
  <c r="BR7" i="44" s="1"/>
  <c r="BO47" i="48"/>
  <c r="BO37" i="48"/>
  <c r="BQ10" i="44"/>
  <c r="BQ24" i="44" s="1"/>
  <c r="BO48" i="48"/>
  <c r="BO49" i="48"/>
  <c r="BR10" i="44" s="1"/>
  <c r="BO8" i="48"/>
  <c r="BO50" i="48"/>
  <c r="BR19" i="44" s="1"/>
  <c r="BO45" i="48"/>
  <c r="BO42" i="48"/>
  <c r="BR6" i="44" s="1"/>
  <c r="BO36" i="48"/>
  <c r="BO40" i="48"/>
  <c r="BR4" i="44" s="1"/>
  <c r="BO41" i="48"/>
  <c r="BR5" i="44" s="1"/>
  <c r="BO4" i="48"/>
  <c r="BO63" i="48" s="1"/>
  <c r="BR20" i="44" s="1"/>
  <c r="BO44" i="48"/>
  <c r="BR8" i="44" s="1"/>
  <c r="BP7" i="48"/>
  <c r="AQ7" i="48"/>
  <c r="BP85" i="48"/>
  <c r="BP74" i="48"/>
  <c r="BP9" i="48"/>
  <c r="BP34" i="48"/>
  <c r="BP68" i="48"/>
  <c r="BP6" i="48"/>
  <c r="BP86" i="48"/>
  <c r="BP31" i="48"/>
  <c r="BP32" i="48"/>
  <c r="BP84" i="48"/>
  <c r="BP80" i="48"/>
  <c r="BP88" i="48"/>
  <c r="BP30" i="48"/>
  <c r="BP82" i="48"/>
  <c r="BP83" i="48"/>
  <c r="BP35" i="48"/>
  <c r="BP70" i="48"/>
  <c r="BP81" i="48"/>
  <c r="BP71" i="48"/>
  <c r="BP29" i="48"/>
  <c r="BP73" i="48"/>
  <c r="BP67" i="48"/>
  <c r="BP72" i="48"/>
  <c r="BU3" i="44"/>
  <c r="BU2" i="44" s="1"/>
  <c r="BR24" i="44" l="1"/>
  <c r="BO76" i="48"/>
  <c r="BR13" i="44"/>
  <c r="BR12" i="44"/>
  <c r="BQ21" i="44"/>
  <c r="BQ26" i="44" s="1"/>
  <c r="BQ22" i="44"/>
  <c r="BQ27" i="44" s="1"/>
  <c r="BP75" i="48"/>
  <c r="BP90" i="48"/>
  <c r="BP89" i="48"/>
  <c r="BP36" i="48"/>
  <c r="BO62" i="48"/>
  <c r="BR11" i="44" s="1"/>
  <c r="BR25" i="44" s="1"/>
  <c r="BP5" i="48"/>
  <c r="BP49" i="48" s="1"/>
  <c r="AR7" i="48"/>
  <c r="AS7" i="48" s="1"/>
  <c r="AT7" i="48" s="1"/>
  <c r="BP4" i="48"/>
  <c r="BP63" i="48" s="1"/>
  <c r="BS20" i="44" s="1"/>
  <c r="BP37" i="48"/>
  <c r="BQ6" i="48"/>
  <c r="BQ5" i="48" s="1"/>
  <c r="BQ82" i="48"/>
  <c r="BQ9" i="48"/>
  <c r="BQ69" i="48"/>
  <c r="BQ31" i="48"/>
  <c r="BQ86" i="48"/>
  <c r="BQ32" i="48"/>
  <c r="BQ34" i="48"/>
  <c r="BQ67" i="48"/>
  <c r="BQ85" i="48"/>
  <c r="BQ28" i="48"/>
  <c r="BQ88" i="48"/>
  <c r="BQ87" i="48"/>
  <c r="BQ81" i="48"/>
  <c r="BQ68" i="48"/>
  <c r="BQ71" i="48"/>
  <c r="BQ73" i="48"/>
  <c r="BQ80" i="48"/>
  <c r="BQ29" i="48"/>
  <c r="BQ7" i="48"/>
  <c r="BQ33" i="48"/>
  <c r="BQ30" i="48"/>
  <c r="BQ27" i="48"/>
  <c r="BQ74" i="48"/>
  <c r="BQ84" i="48"/>
  <c r="BQ72" i="48"/>
  <c r="BQ66" i="48"/>
  <c r="BQ35" i="48"/>
  <c r="BQ83" i="48"/>
  <c r="BQ70" i="48"/>
  <c r="BR82" i="48"/>
  <c r="BR86" i="48"/>
  <c r="BR72" i="48"/>
  <c r="BR85" i="48"/>
  <c r="BR87" i="48"/>
  <c r="BR68" i="48"/>
  <c r="BR71" i="48"/>
  <c r="BR70" i="48"/>
  <c r="BR80" i="48"/>
  <c r="BR84" i="48"/>
  <c r="BR73" i="48"/>
  <c r="BR74" i="48"/>
  <c r="BR83" i="48"/>
  <c r="BR81" i="48"/>
  <c r="BR35" i="48"/>
  <c r="BR28" i="48"/>
  <c r="BR33" i="48"/>
  <c r="BR32" i="48"/>
  <c r="BR29" i="48"/>
  <c r="BR30" i="48"/>
  <c r="BR34" i="48"/>
  <c r="BR31" i="48"/>
  <c r="BR9" i="48"/>
  <c r="BR6" i="48"/>
  <c r="BV3" i="44"/>
  <c r="BV2" i="44" s="1"/>
  <c r="BP76" i="48" l="1"/>
  <c r="BS13" i="44"/>
  <c r="BS12" i="44"/>
  <c r="BR22" i="44"/>
  <c r="BR27" i="44" s="1"/>
  <c r="BR21" i="44"/>
  <c r="BR26" i="44" s="1"/>
  <c r="BQ75" i="48"/>
  <c r="BQ89" i="48"/>
  <c r="BR89" i="48"/>
  <c r="BQ90" i="48"/>
  <c r="BR37" i="48"/>
  <c r="BQ8" i="48"/>
  <c r="BP41" i="48"/>
  <c r="BS5" i="44" s="1"/>
  <c r="BP42" i="48"/>
  <c r="BS6" i="44" s="1"/>
  <c r="BP8" i="48"/>
  <c r="BP46" i="48"/>
  <c r="BP47" i="48"/>
  <c r="BQ46" i="48"/>
  <c r="BQ44" i="48"/>
  <c r="BT8" i="44" s="1"/>
  <c r="BP48" i="48"/>
  <c r="BQ50" i="48"/>
  <c r="BT19" i="44" s="1"/>
  <c r="BP40" i="48"/>
  <c r="BS4" i="44" s="1"/>
  <c r="BP43" i="48"/>
  <c r="BS7" i="44" s="1"/>
  <c r="BQ48" i="48"/>
  <c r="BQ47" i="48"/>
  <c r="BP45" i="48"/>
  <c r="BQ45" i="48"/>
  <c r="BQ43" i="48"/>
  <c r="BT7" i="44" s="1"/>
  <c r="BR4" i="48"/>
  <c r="BQ40" i="48"/>
  <c r="BT4" i="44" s="1"/>
  <c r="BP44" i="48"/>
  <c r="BS8" i="44" s="1"/>
  <c r="BQ42" i="48"/>
  <c r="BT6" i="44" s="1"/>
  <c r="BP50" i="48"/>
  <c r="BS19" i="44" s="1"/>
  <c r="BQ37" i="48"/>
  <c r="BQ36" i="48"/>
  <c r="BS10" i="44"/>
  <c r="BQ49" i="48"/>
  <c r="BQ4" i="48"/>
  <c r="BQ63" i="48" s="1"/>
  <c r="BT20" i="44" s="1"/>
  <c r="AU7" i="48"/>
  <c r="AV7" i="48" s="1"/>
  <c r="AW7" i="48" s="1"/>
  <c r="AX7" i="48" s="1"/>
  <c r="AY7" i="48" s="1"/>
  <c r="AZ7" i="48" s="1"/>
  <c r="BA7" i="48" s="1"/>
  <c r="BB7" i="48" s="1"/>
  <c r="BC7" i="48" s="1"/>
  <c r="BD7" i="48" s="1"/>
  <c r="BE7" i="48" s="1"/>
  <c r="BF7" i="48" s="1"/>
  <c r="BG7" i="48" s="1"/>
  <c r="BH7" i="48" s="1"/>
  <c r="BI7" i="48" s="1"/>
  <c r="BQ41" i="48"/>
  <c r="BT5" i="44" s="1"/>
  <c r="BP62" i="48"/>
  <c r="BS11" i="44" s="1"/>
  <c r="BS25" i="44" s="1"/>
  <c r="BR5" i="48"/>
  <c r="BR69" i="48"/>
  <c r="BR88" i="48"/>
  <c r="BR90" i="48" s="1"/>
  <c r="BR27" i="48"/>
  <c r="BR7" i="48"/>
  <c r="BR36" i="48"/>
  <c r="BR66" i="48"/>
  <c r="BR67" i="48"/>
  <c r="BW3" i="44"/>
  <c r="BW2" i="44" s="1"/>
  <c r="BT9" i="44" l="1"/>
  <c r="BS24" i="44"/>
  <c r="BQ76" i="48"/>
  <c r="BT13" i="44"/>
  <c r="BT12" i="44"/>
  <c r="BS22" i="44"/>
  <c r="BS27" i="44" s="1"/>
  <c r="BS21" i="44"/>
  <c r="BS26" i="44" s="1"/>
  <c r="BR75" i="48"/>
  <c r="BR62" i="48"/>
  <c r="BU11" i="44" s="1"/>
  <c r="BR46" i="48"/>
  <c r="BR47" i="48"/>
  <c r="BR43" i="48"/>
  <c r="BU7" i="44" s="1"/>
  <c r="BQ62" i="48"/>
  <c r="BT11" i="44" s="1"/>
  <c r="BT25" i="44" s="1"/>
  <c r="BR63" i="48"/>
  <c r="BU20" i="44" s="1"/>
  <c r="BT10" i="44"/>
  <c r="BT24" i="44" s="1"/>
  <c r="BR45" i="48"/>
  <c r="BR41" i="48"/>
  <c r="BU5" i="44" s="1"/>
  <c r="BR8" i="48"/>
  <c r="BR48" i="48"/>
  <c r="BR44" i="48"/>
  <c r="BU8" i="44" s="1"/>
  <c r="BR50" i="48"/>
  <c r="BU19" i="44" s="1"/>
  <c r="BR42" i="48"/>
  <c r="BU6" i="44" s="1"/>
  <c r="BR40" i="48"/>
  <c r="BU4" i="44" s="1"/>
  <c r="BR49" i="48"/>
  <c r="BS83" i="48"/>
  <c r="BS6" i="48"/>
  <c r="BS4" i="48" s="1"/>
  <c r="BS80" i="48"/>
  <c r="BS73" i="48"/>
  <c r="BS82" i="48"/>
  <c r="BS84" i="48"/>
  <c r="BS69" i="48"/>
  <c r="BS87" i="48"/>
  <c r="BS35" i="48"/>
  <c r="BS9" i="48"/>
  <c r="BS32" i="48"/>
  <c r="BS31" i="48"/>
  <c r="BS88" i="48"/>
  <c r="BS70" i="48"/>
  <c r="BS7" i="48"/>
  <c r="BS85" i="48"/>
  <c r="BS81" i="48"/>
  <c r="BS86" i="48"/>
  <c r="BS30" i="48"/>
  <c r="BS66" i="48"/>
  <c r="BS67" i="48"/>
  <c r="BS71" i="48"/>
  <c r="BS29" i="48"/>
  <c r="BS74" i="48"/>
  <c r="BS34" i="48"/>
  <c r="BS33" i="48"/>
  <c r="BS28" i="48"/>
  <c r="BS27" i="48"/>
  <c r="BS68" i="48"/>
  <c r="BS72" i="48"/>
  <c r="BT69" i="48"/>
  <c r="BT66" i="48"/>
  <c r="BT71" i="48"/>
  <c r="BT73" i="48"/>
  <c r="BT74" i="48"/>
  <c r="BT84" i="48"/>
  <c r="BT70" i="48"/>
  <c r="BT68" i="48"/>
  <c r="BT88" i="48"/>
  <c r="BT72" i="48"/>
  <c r="BT83" i="48"/>
  <c r="BT85" i="48"/>
  <c r="BT67" i="48"/>
  <c r="BT80" i="48"/>
  <c r="BT86" i="48"/>
  <c r="BT87" i="48"/>
  <c r="BT81" i="48"/>
  <c r="BT82" i="48"/>
  <c r="BT34" i="48"/>
  <c r="BT35" i="48"/>
  <c r="BT33" i="48"/>
  <c r="BT27" i="48"/>
  <c r="BT31" i="48"/>
  <c r="BT29" i="48"/>
  <c r="BT28" i="48"/>
  <c r="BT32" i="48"/>
  <c r="BT30" i="48"/>
  <c r="BT6" i="48"/>
  <c r="BT9" i="48"/>
  <c r="BX3" i="44"/>
  <c r="BX2" i="44" s="1"/>
  <c r="BU9" i="44" l="1"/>
  <c r="BR76" i="48"/>
  <c r="BU13" i="44"/>
  <c r="BU12" i="44"/>
  <c r="BU25" i="44"/>
  <c r="BT21" i="44"/>
  <c r="BT26" i="44" s="1"/>
  <c r="BT22" i="44"/>
  <c r="BT27" i="44" s="1"/>
  <c r="BT75" i="48"/>
  <c r="BS75" i="48"/>
  <c r="BT90" i="48"/>
  <c r="BS90" i="48"/>
  <c r="BT89" i="48"/>
  <c r="BS89" i="48"/>
  <c r="BT5" i="48"/>
  <c r="BT48" i="48" s="1"/>
  <c r="BS36" i="48"/>
  <c r="BS5" i="48"/>
  <c r="BS42" i="48" s="1"/>
  <c r="BV6" i="44" s="1"/>
  <c r="BT46" i="48"/>
  <c r="BT4" i="48"/>
  <c r="BT36" i="48"/>
  <c r="BS63" i="48"/>
  <c r="BV20" i="44" s="1"/>
  <c r="BT37" i="48"/>
  <c r="BS37" i="48"/>
  <c r="BT50" i="48"/>
  <c r="BW19" i="44" s="1"/>
  <c r="BS62" i="48"/>
  <c r="BV11" i="44" s="1"/>
  <c r="BT7" i="48"/>
  <c r="BU10" i="44"/>
  <c r="BU24" i="44" s="1"/>
  <c r="BU83" i="48"/>
  <c r="BY3" i="44"/>
  <c r="BY2" i="44" s="1"/>
  <c r="BV25" i="44" l="1"/>
  <c r="BT49" i="48"/>
  <c r="BS76" i="48"/>
  <c r="BV13" i="44"/>
  <c r="BV12" i="44"/>
  <c r="BT76" i="48"/>
  <c r="BW12" i="44"/>
  <c r="BW13" i="44"/>
  <c r="BU21" i="44"/>
  <c r="BU26" i="44" s="1"/>
  <c r="BU22" i="44"/>
  <c r="BU27" i="44" s="1"/>
  <c r="BT40" i="48"/>
  <c r="BW4" i="44" s="1"/>
  <c r="BT8" i="48"/>
  <c r="BT45" i="48"/>
  <c r="BT44" i="48"/>
  <c r="BW8" i="44" s="1"/>
  <c r="BT47" i="48"/>
  <c r="BT42" i="48"/>
  <c r="BW6" i="44" s="1"/>
  <c r="BT41" i="48"/>
  <c r="BW5" i="44" s="1"/>
  <c r="BS43" i="48"/>
  <c r="BV7" i="44" s="1"/>
  <c r="BT43" i="48"/>
  <c r="BW7" i="44" s="1"/>
  <c r="BS46" i="48"/>
  <c r="BT63" i="48"/>
  <c r="BW20" i="44" s="1"/>
  <c r="BS40" i="48"/>
  <c r="BV4" i="44" s="1"/>
  <c r="BS47" i="48"/>
  <c r="BS41" i="48"/>
  <c r="BV5" i="44" s="1"/>
  <c r="BS49" i="48"/>
  <c r="BS8" i="48"/>
  <c r="BS50" i="48"/>
  <c r="BV19" i="44" s="1"/>
  <c r="BS44" i="48"/>
  <c r="BV8" i="44" s="1"/>
  <c r="BS48" i="48"/>
  <c r="BS45" i="48"/>
  <c r="BT62" i="48"/>
  <c r="BW11" i="44" s="1"/>
  <c r="BU86" i="48"/>
  <c r="BU66" i="48"/>
  <c r="BU82" i="48"/>
  <c r="BU35" i="48"/>
  <c r="BU33" i="48"/>
  <c r="BU27" i="48"/>
  <c r="BU68" i="48"/>
  <c r="BU7" i="48"/>
  <c r="BU6" i="48"/>
  <c r="BU9" i="48"/>
  <c r="BU80" i="48"/>
  <c r="BU29" i="48"/>
  <c r="BU88" i="48"/>
  <c r="BU71" i="48"/>
  <c r="BU84" i="48"/>
  <c r="BU34" i="48"/>
  <c r="BU87" i="48"/>
  <c r="BV70" i="48"/>
  <c r="BV71" i="48"/>
  <c r="BV67" i="48"/>
  <c r="BV74" i="48"/>
  <c r="BV66" i="48"/>
  <c r="BV84" i="48"/>
  <c r="BV82" i="48"/>
  <c r="BV80" i="48"/>
  <c r="BV86" i="48"/>
  <c r="BV32" i="48"/>
  <c r="BV33" i="48"/>
  <c r="BV34" i="48"/>
  <c r="BV35" i="48"/>
  <c r="BV9" i="48"/>
  <c r="BV6" i="48"/>
  <c r="BV36" i="48" s="1"/>
  <c r="BU73" i="48"/>
  <c r="BU69" i="48"/>
  <c r="BU74" i="48"/>
  <c r="BU85" i="48"/>
  <c r="BU67" i="48"/>
  <c r="BU81" i="48"/>
  <c r="BU72" i="48"/>
  <c r="BU30" i="48"/>
  <c r="BU32" i="48"/>
  <c r="BU28" i="48"/>
  <c r="BU31" i="48"/>
  <c r="BU70" i="48"/>
  <c r="BZ3" i="44"/>
  <c r="BZ2" i="44" s="1"/>
  <c r="BW10" i="44" l="1"/>
  <c r="BW24" i="44" s="1"/>
  <c r="BV9" i="44"/>
  <c r="BW9" i="44"/>
  <c r="BW25" i="44"/>
  <c r="BW21" i="44"/>
  <c r="BW26" i="44" s="1"/>
  <c r="BW22" i="44"/>
  <c r="BW27" i="44" s="1"/>
  <c r="BV22" i="44"/>
  <c r="BV27" i="44" s="1"/>
  <c r="BV21" i="44"/>
  <c r="BV26" i="44" s="1"/>
  <c r="BU89" i="48"/>
  <c r="BU75" i="48"/>
  <c r="BU90" i="48"/>
  <c r="BV10" i="44"/>
  <c r="BV24" i="44" s="1"/>
  <c r="BV5" i="48"/>
  <c r="BV41" i="48" s="1"/>
  <c r="BY5" i="44" s="1"/>
  <c r="BU36" i="48"/>
  <c r="BU4" i="48"/>
  <c r="BU37" i="48"/>
  <c r="BU5" i="48"/>
  <c r="BU8" i="48" s="1"/>
  <c r="BV7" i="48"/>
  <c r="BV72" i="48"/>
  <c r="BV88" i="48"/>
  <c r="BV31" i="48"/>
  <c r="BV28" i="48"/>
  <c r="BV87" i="48"/>
  <c r="BV81" i="48"/>
  <c r="BV69" i="48"/>
  <c r="BV27" i="48"/>
  <c r="BV73" i="48"/>
  <c r="BV68" i="48"/>
  <c r="BV37" i="48"/>
  <c r="BV83" i="48"/>
  <c r="BV85" i="48"/>
  <c r="BV4" i="48"/>
  <c r="BV29" i="48"/>
  <c r="BV30" i="48"/>
  <c r="BW88" i="48"/>
  <c r="BW85" i="48"/>
  <c r="CA3" i="44"/>
  <c r="CA2" i="44" s="1"/>
  <c r="BU76" i="48" l="1"/>
  <c r="BX13" i="44"/>
  <c r="BX12" i="44"/>
  <c r="BV75" i="48"/>
  <c r="BV90" i="48"/>
  <c r="BV89" i="48"/>
  <c r="BV45" i="48"/>
  <c r="BV43" i="48"/>
  <c r="BY7" i="44" s="1"/>
  <c r="BV40" i="48"/>
  <c r="BY4" i="44" s="1"/>
  <c r="BV48" i="48"/>
  <c r="BV44" i="48"/>
  <c r="BY8" i="44" s="1"/>
  <c r="BV46" i="48"/>
  <c r="BV42" i="48"/>
  <c r="BY6" i="44" s="1"/>
  <c r="BV47" i="48"/>
  <c r="BV8" i="48"/>
  <c r="BU49" i="48"/>
  <c r="BX10" i="44" s="1"/>
  <c r="BU44" i="48"/>
  <c r="BX8" i="44" s="1"/>
  <c r="BU48" i="48"/>
  <c r="BU43" i="48"/>
  <c r="BX7" i="44" s="1"/>
  <c r="BU40" i="48"/>
  <c r="BX4" i="44" s="1"/>
  <c r="BU62" i="48"/>
  <c r="BX11" i="44" s="1"/>
  <c r="BU46" i="48"/>
  <c r="BU42" i="48"/>
  <c r="BX6" i="44" s="1"/>
  <c r="BU63" i="48"/>
  <c r="BX20" i="44" s="1"/>
  <c r="BX25" i="44" s="1"/>
  <c r="BU45" i="48"/>
  <c r="BU50" i="48"/>
  <c r="BX19" i="44" s="1"/>
  <c r="BU47" i="48"/>
  <c r="BV50" i="48"/>
  <c r="BY19" i="44" s="1"/>
  <c r="BV62" i="48"/>
  <c r="BY11" i="44" s="1"/>
  <c r="BU41" i="48"/>
  <c r="BX5" i="44" s="1"/>
  <c r="BV63" i="48"/>
  <c r="BY20" i="44" s="1"/>
  <c r="BV49" i="48"/>
  <c r="BW87" i="48"/>
  <c r="BW81" i="48"/>
  <c r="BW72" i="48"/>
  <c r="BW35" i="48"/>
  <c r="BW34" i="48"/>
  <c r="BW30" i="48"/>
  <c r="BW32" i="48"/>
  <c r="BW29" i="48"/>
  <c r="BW33" i="48"/>
  <c r="BW82" i="48"/>
  <c r="BW7" i="48"/>
  <c r="BW27" i="48"/>
  <c r="BW86" i="48"/>
  <c r="BW67" i="48"/>
  <c r="BW68" i="48"/>
  <c r="BW70" i="48"/>
  <c r="BW73" i="48"/>
  <c r="BW71" i="48"/>
  <c r="BW74" i="48"/>
  <c r="BW31" i="48"/>
  <c r="BW84" i="48"/>
  <c r="BW9" i="48"/>
  <c r="BW28" i="48"/>
  <c r="BW69" i="48"/>
  <c r="BW66" i="48"/>
  <c r="BW6" i="48"/>
  <c r="BW36" i="48" s="1"/>
  <c r="BW83" i="48"/>
  <c r="BX73" i="48"/>
  <c r="BX74" i="48"/>
  <c r="BX80" i="48"/>
  <c r="BX84" i="48"/>
  <c r="BX88" i="48"/>
  <c r="BX69" i="48"/>
  <c r="BX81" i="48"/>
  <c r="BX70" i="48"/>
  <c r="BX72" i="48"/>
  <c r="BX67" i="48"/>
  <c r="BX83" i="48"/>
  <c r="BX71" i="48"/>
  <c r="BX68" i="48"/>
  <c r="BX66" i="48"/>
  <c r="BX87" i="48"/>
  <c r="BX85" i="48"/>
  <c r="BX30" i="48"/>
  <c r="BX31" i="48"/>
  <c r="BX32" i="48"/>
  <c r="BX27" i="48"/>
  <c r="BX28" i="48"/>
  <c r="BX35" i="48"/>
  <c r="BX29" i="48"/>
  <c r="BX34" i="48"/>
  <c r="BX6" i="48"/>
  <c r="BX9" i="48"/>
  <c r="BW80" i="48"/>
  <c r="CB3" i="44"/>
  <c r="CB2" i="44" s="1"/>
  <c r="BY9" i="44" l="1"/>
  <c r="BX9" i="44"/>
  <c r="BY25" i="44"/>
  <c r="BX24" i="44"/>
  <c r="BV76" i="48"/>
  <c r="BY13" i="44"/>
  <c r="BY12" i="44"/>
  <c r="BX22" i="44"/>
  <c r="BX27" i="44" s="1"/>
  <c r="BX21" i="44"/>
  <c r="BX26" i="44" s="1"/>
  <c r="BX75" i="48"/>
  <c r="BW75" i="48"/>
  <c r="BW90" i="48"/>
  <c r="BW89" i="48"/>
  <c r="BW4" i="48"/>
  <c r="BW63" i="48" s="1"/>
  <c r="BZ20" i="44" s="1"/>
  <c r="BW37" i="48"/>
  <c r="BW5" i="48"/>
  <c r="BX37" i="48"/>
  <c r="BX36" i="48"/>
  <c r="BY10" i="44"/>
  <c r="BY24" i="44" s="1"/>
  <c r="BX7" i="48"/>
  <c r="BX5" i="48"/>
  <c r="BX4" i="48"/>
  <c r="BX33" i="48"/>
  <c r="BX86" i="48"/>
  <c r="BX82" i="48"/>
  <c r="BY86" i="48"/>
  <c r="BY81" i="48"/>
  <c r="BY87" i="48"/>
  <c r="CC3" i="44"/>
  <c r="CC2" i="44" s="1"/>
  <c r="BW76" i="48" l="1"/>
  <c r="BZ13" i="44"/>
  <c r="BZ12" i="44"/>
  <c r="BY22" i="44"/>
  <c r="BY27" i="44" s="1"/>
  <c r="BY21" i="44"/>
  <c r="BY26" i="44" s="1"/>
  <c r="BX76" i="48"/>
  <c r="CA12" i="44"/>
  <c r="CA13" i="44"/>
  <c r="BX89" i="48"/>
  <c r="BX90" i="48"/>
  <c r="BW62" i="48"/>
  <c r="BZ11" i="44" s="1"/>
  <c r="BZ25" i="44" s="1"/>
  <c r="BX42" i="48"/>
  <c r="CA6" i="44" s="1"/>
  <c r="BW42" i="48"/>
  <c r="BZ6" i="44" s="1"/>
  <c r="BW50" i="48"/>
  <c r="BZ19" i="44" s="1"/>
  <c r="BW41" i="48"/>
  <c r="BZ5" i="44" s="1"/>
  <c r="BW49" i="48"/>
  <c r="BZ10" i="44" s="1"/>
  <c r="BW40" i="48"/>
  <c r="BZ4" i="44" s="1"/>
  <c r="BW44" i="48"/>
  <c r="BZ8" i="44" s="1"/>
  <c r="BW45" i="48"/>
  <c r="BW8" i="48"/>
  <c r="BX49" i="48"/>
  <c r="BW43" i="48"/>
  <c r="BZ7" i="44" s="1"/>
  <c r="BW46" i="48"/>
  <c r="BX41" i="48"/>
  <c r="CA5" i="44" s="1"/>
  <c r="BX48" i="48"/>
  <c r="BX62" i="48"/>
  <c r="CA11" i="44" s="1"/>
  <c r="BX40" i="48"/>
  <c r="CA4" i="44" s="1"/>
  <c r="BW48" i="48"/>
  <c r="BW47" i="48"/>
  <c r="BX50" i="48"/>
  <c r="CA19" i="44" s="1"/>
  <c r="BX47" i="48"/>
  <c r="BX63" i="48"/>
  <c r="CA20" i="44" s="1"/>
  <c r="BX43" i="48"/>
  <c r="CA7" i="44" s="1"/>
  <c r="BX44" i="48"/>
  <c r="CA8" i="44" s="1"/>
  <c r="BX45" i="48"/>
  <c r="BX46" i="48"/>
  <c r="BX8" i="48"/>
  <c r="BY73" i="48"/>
  <c r="BY84" i="48"/>
  <c r="BY82" i="48"/>
  <c r="BY80" i="48"/>
  <c r="BY6" i="48"/>
  <c r="BY36" i="48" s="1"/>
  <c r="BY88" i="48"/>
  <c r="BY34" i="48"/>
  <c r="BY33" i="48"/>
  <c r="BY29" i="48"/>
  <c r="BY72" i="48"/>
  <c r="BY28" i="48"/>
  <c r="BY71" i="48"/>
  <c r="BY67" i="48"/>
  <c r="BY74" i="48"/>
  <c r="BY69" i="48"/>
  <c r="BY32" i="48"/>
  <c r="BY31" i="48"/>
  <c r="BZ86" i="48"/>
  <c r="BZ84" i="48"/>
  <c r="BZ85" i="48"/>
  <c r="BZ31" i="48"/>
  <c r="BY35" i="48"/>
  <c r="BY30" i="48"/>
  <c r="BY83" i="48"/>
  <c r="BY70" i="48"/>
  <c r="BY7" i="48"/>
  <c r="BY9" i="48"/>
  <c r="BY27" i="48"/>
  <c r="BY85" i="48"/>
  <c r="BY66" i="48"/>
  <c r="BY68" i="48"/>
  <c r="CD3" i="44"/>
  <c r="CD2" i="44" s="1"/>
  <c r="CA9" i="44" l="1"/>
  <c r="BZ9" i="44"/>
  <c r="CA25" i="44"/>
  <c r="CA22" i="44"/>
  <c r="CA27" i="44" s="1"/>
  <c r="CA21" i="44"/>
  <c r="CA26" i="44" s="1"/>
  <c r="BZ24" i="44"/>
  <c r="BZ22" i="44"/>
  <c r="BZ27" i="44" s="1"/>
  <c r="BZ21" i="44"/>
  <c r="BZ26" i="44" s="1"/>
  <c r="BY75" i="48"/>
  <c r="BY90" i="48"/>
  <c r="BY89" i="48"/>
  <c r="CA10" i="44"/>
  <c r="CA24" i="44" s="1"/>
  <c r="BY37" i="48"/>
  <c r="BY4" i="48"/>
  <c r="BY62" i="48" s="1"/>
  <c r="CB11" i="44" s="1"/>
  <c r="BY5" i="48"/>
  <c r="BZ69" i="48"/>
  <c r="BZ66" i="48"/>
  <c r="BZ68" i="48"/>
  <c r="BZ7" i="48"/>
  <c r="BZ82" i="48"/>
  <c r="BZ9" i="48"/>
  <c r="BZ27" i="48"/>
  <c r="BZ28" i="48"/>
  <c r="BZ83" i="48"/>
  <c r="BZ6" i="48"/>
  <c r="BZ5" i="48" s="1"/>
  <c r="BZ74" i="48"/>
  <c r="CA66" i="48"/>
  <c r="CA33" i="48"/>
  <c r="BZ33" i="48"/>
  <c r="BZ67" i="48"/>
  <c r="BZ29" i="48"/>
  <c r="BZ88" i="48"/>
  <c r="BZ70" i="48"/>
  <c r="BZ34" i="48"/>
  <c r="BZ81" i="48"/>
  <c r="BZ73" i="48"/>
  <c r="BZ80" i="48"/>
  <c r="BZ71" i="48"/>
  <c r="BZ30" i="48"/>
  <c r="BZ87" i="48"/>
  <c r="BZ35" i="48"/>
  <c r="BZ32" i="48"/>
  <c r="BZ72" i="48"/>
  <c r="CE3" i="44"/>
  <c r="CE2" i="44" s="1"/>
  <c r="BY76" i="48" l="1"/>
  <c r="CB12" i="44"/>
  <c r="CB13" i="44"/>
  <c r="BY63" i="48"/>
  <c r="CB20" i="44" s="1"/>
  <c r="CB25" i="44" s="1"/>
  <c r="BZ75" i="48"/>
  <c r="BZ89" i="48"/>
  <c r="BZ90" i="48"/>
  <c r="BZ50" i="48"/>
  <c r="CC19" i="44" s="1"/>
  <c r="BZ46" i="48"/>
  <c r="BZ41" i="48"/>
  <c r="CC5" i="44" s="1"/>
  <c r="BZ8" i="48"/>
  <c r="BZ40" i="48"/>
  <c r="CC4" i="44" s="1"/>
  <c r="BZ45" i="48"/>
  <c r="BZ43" i="48"/>
  <c r="CC7" i="44" s="1"/>
  <c r="BZ47" i="48"/>
  <c r="BZ42" i="48"/>
  <c r="CC6" i="44" s="1"/>
  <c r="BY48" i="48"/>
  <c r="BZ4" i="48"/>
  <c r="BZ63" i="48" s="1"/>
  <c r="CC20" i="44" s="1"/>
  <c r="BY49" i="48"/>
  <c r="BZ48" i="48"/>
  <c r="BZ37" i="48"/>
  <c r="BY8" i="48"/>
  <c r="BZ36" i="48"/>
  <c r="BY44" i="48"/>
  <c r="CB8" i="44" s="1"/>
  <c r="BZ44" i="48"/>
  <c r="CC8" i="44" s="1"/>
  <c r="BY47" i="48"/>
  <c r="BY46" i="48"/>
  <c r="BY45" i="48"/>
  <c r="BY41" i="48"/>
  <c r="CB5" i="44" s="1"/>
  <c r="BY42" i="48"/>
  <c r="CB6" i="44" s="1"/>
  <c r="BY43" i="48"/>
  <c r="CB7" i="44" s="1"/>
  <c r="BZ49" i="48"/>
  <c r="BY40" i="48"/>
  <c r="CB4" i="44" s="1"/>
  <c r="BY50" i="48"/>
  <c r="CB19" i="44" s="1"/>
  <c r="CA9" i="48"/>
  <c r="CA85" i="48"/>
  <c r="CA70" i="48"/>
  <c r="CA80" i="48"/>
  <c r="CA7" i="48"/>
  <c r="CB7" i="48" s="1"/>
  <c r="CB87" i="48"/>
  <c r="CA27" i="48"/>
  <c r="CA83" i="48"/>
  <c r="CA84" i="48"/>
  <c r="CB68" i="48"/>
  <c r="CB83" i="48"/>
  <c r="CB73" i="48"/>
  <c r="CB70" i="48"/>
  <c r="CB82" i="48"/>
  <c r="CB84" i="48"/>
  <c r="CB66" i="48"/>
  <c r="CB81" i="48"/>
  <c r="CB88" i="48"/>
  <c r="CB74" i="48"/>
  <c r="CB72" i="48"/>
  <c r="CB71" i="48"/>
  <c r="CB69" i="48"/>
  <c r="CB85" i="48"/>
  <c r="CB67" i="48"/>
  <c r="CB86" i="48"/>
  <c r="CB27" i="48"/>
  <c r="CB28" i="48"/>
  <c r="CB29" i="48"/>
  <c r="CB30" i="48"/>
  <c r="CB31" i="48"/>
  <c r="CB32" i="48"/>
  <c r="CB34" i="48"/>
  <c r="CB35" i="48"/>
  <c r="CB33" i="48"/>
  <c r="CB9" i="48"/>
  <c r="CB6" i="48"/>
  <c r="CA29" i="48"/>
  <c r="CA35" i="48"/>
  <c r="CA31" i="48"/>
  <c r="CA72" i="48"/>
  <c r="CA74" i="48"/>
  <c r="CA6" i="48"/>
  <c r="CA37" i="48" s="1"/>
  <c r="CA88" i="48"/>
  <c r="CA34" i="48"/>
  <c r="CA28" i="48"/>
  <c r="CA67" i="48"/>
  <c r="CA73" i="48"/>
  <c r="CA69" i="48"/>
  <c r="CA30" i="48"/>
  <c r="CA68" i="48"/>
  <c r="CA82" i="48"/>
  <c r="CA81" i="48"/>
  <c r="CA87" i="48"/>
  <c r="CA32" i="48"/>
  <c r="CA86" i="48"/>
  <c r="CA71" i="48"/>
  <c r="CF3" i="44"/>
  <c r="CF2" i="44" s="1"/>
  <c r="CC9" i="44" l="1"/>
  <c r="CB9" i="44"/>
  <c r="BZ76" i="48"/>
  <c r="CC12" i="44"/>
  <c r="CC13" i="44"/>
  <c r="CB21" i="44"/>
  <c r="CB26" i="44" s="1"/>
  <c r="CB22" i="44"/>
  <c r="CB27" i="44" s="1"/>
  <c r="CA75" i="48"/>
  <c r="CB75" i="48"/>
  <c r="CB90" i="48"/>
  <c r="CA90" i="48"/>
  <c r="CA89" i="48"/>
  <c r="CA36" i="48"/>
  <c r="CA4" i="48"/>
  <c r="CA62" i="48" s="1"/>
  <c r="CD11" i="44" s="1"/>
  <c r="CB37" i="48"/>
  <c r="BZ62" i="48"/>
  <c r="CC11" i="44" s="1"/>
  <c r="CC25" i="44" s="1"/>
  <c r="CB36" i="48"/>
  <c r="CB4" i="48"/>
  <c r="CC10" i="44"/>
  <c r="CC24" i="44" s="1"/>
  <c r="CB10" i="44"/>
  <c r="CB24" i="44" s="1"/>
  <c r="CB5" i="48"/>
  <c r="CA5" i="48"/>
  <c r="CB80" i="48"/>
  <c r="CB89" i="48" s="1"/>
  <c r="CC70" i="48"/>
  <c r="CC82" i="48"/>
  <c r="CC67" i="48"/>
  <c r="CC81" i="48"/>
  <c r="CC69" i="48"/>
  <c r="CC83" i="48"/>
  <c r="CC88" i="48"/>
  <c r="CC29" i="48"/>
  <c r="CG3" i="44"/>
  <c r="CG2" i="44" s="1"/>
  <c r="CA63" i="48" l="1"/>
  <c r="CD20" i="44" s="1"/>
  <c r="CD25" i="44" s="1"/>
  <c r="CB76" i="48"/>
  <c r="CE13" i="44"/>
  <c r="CE12" i="44"/>
  <c r="CC21" i="44"/>
  <c r="CC26" i="44" s="1"/>
  <c r="CC22" i="44"/>
  <c r="CC27" i="44" s="1"/>
  <c r="CA76" i="48"/>
  <c r="CD12" i="44"/>
  <c r="CD13" i="44"/>
  <c r="CA44" i="48"/>
  <c r="CD8" i="44" s="1"/>
  <c r="CB42" i="48"/>
  <c r="CE6" i="44" s="1"/>
  <c r="CA49" i="48"/>
  <c r="CD10" i="44" s="1"/>
  <c r="CB50" i="48"/>
  <c r="CE19" i="44" s="1"/>
  <c r="CA47" i="48"/>
  <c r="CB49" i="48"/>
  <c r="CB63" i="48"/>
  <c r="CE20" i="44" s="1"/>
  <c r="CB62" i="48"/>
  <c r="CE11" i="44" s="1"/>
  <c r="CA45" i="48"/>
  <c r="CA48" i="48"/>
  <c r="CA43" i="48"/>
  <c r="CD7" i="44" s="1"/>
  <c r="CA40" i="48"/>
  <c r="CD4" i="44" s="1"/>
  <c r="CA41" i="48"/>
  <c r="CD5" i="44" s="1"/>
  <c r="CA50" i="48"/>
  <c r="CD19" i="44" s="1"/>
  <c r="CB45" i="48"/>
  <c r="CB47" i="48"/>
  <c r="CB43" i="48"/>
  <c r="CE7" i="44" s="1"/>
  <c r="CB41" i="48"/>
  <c r="CE5" i="44" s="1"/>
  <c r="CB48" i="48"/>
  <c r="CB40" i="48"/>
  <c r="CE4" i="44" s="1"/>
  <c r="CB44" i="48"/>
  <c r="CE8" i="44" s="1"/>
  <c r="CB46" i="48"/>
  <c r="CA46" i="48"/>
  <c r="CA8" i="48"/>
  <c r="CA42" i="48"/>
  <c r="CD6" i="44" s="1"/>
  <c r="CB8" i="48"/>
  <c r="CC30" i="48"/>
  <c r="CC87" i="48"/>
  <c r="CC68" i="48"/>
  <c r="CC34" i="48"/>
  <c r="CC80" i="48"/>
  <c r="CC7" i="48"/>
  <c r="CC33" i="48"/>
  <c r="CC85" i="48"/>
  <c r="CC35" i="48"/>
  <c r="CC28" i="48"/>
  <c r="CC74" i="48"/>
  <c r="CC72" i="48"/>
  <c r="CC27" i="48"/>
  <c r="CC86" i="48"/>
  <c r="CD67" i="48"/>
  <c r="CD72" i="48"/>
  <c r="CD82" i="48"/>
  <c r="CD86" i="48"/>
  <c r="CD80" i="48"/>
  <c r="CD71" i="48"/>
  <c r="CD66" i="48"/>
  <c r="CD70" i="48"/>
  <c r="CD73" i="48"/>
  <c r="CD87" i="48"/>
  <c r="CD81" i="48"/>
  <c r="CD85" i="48"/>
  <c r="CD83" i="48"/>
  <c r="CD84" i="48"/>
  <c r="CD74" i="48"/>
  <c r="CD69" i="48"/>
  <c r="CD88" i="48"/>
  <c r="CD68" i="48"/>
  <c r="CD27" i="48"/>
  <c r="CD28" i="48"/>
  <c r="CD29" i="48"/>
  <c r="CD33" i="48"/>
  <c r="CD32" i="48"/>
  <c r="CD31" i="48"/>
  <c r="CD30" i="48"/>
  <c r="CD34" i="48"/>
  <c r="CD35" i="48"/>
  <c r="CD6" i="48"/>
  <c r="CD9" i="48"/>
  <c r="CC32" i="48"/>
  <c r="CC73" i="48"/>
  <c r="CC6" i="48"/>
  <c r="CC5" i="48" s="1"/>
  <c r="CC31" i="48"/>
  <c r="CC9" i="48"/>
  <c r="CC84" i="48"/>
  <c r="CC66" i="48"/>
  <c r="CC71" i="48"/>
  <c r="CH3" i="44"/>
  <c r="CH2" i="44" s="1"/>
  <c r="CD9" i="44" l="1"/>
  <c r="CE9" i="44"/>
  <c r="CD24" i="44"/>
  <c r="CD22" i="44"/>
  <c r="CD27" i="44" s="1"/>
  <c r="CD21" i="44"/>
  <c r="CD26" i="44" s="1"/>
  <c r="CE25" i="44"/>
  <c r="CE22" i="44"/>
  <c r="CE27" i="44" s="1"/>
  <c r="CE21" i="44"/>
  <c r="CE26" i="44" s="1"/>
  <c r="CC75" i="48"/>
  <c r="CD75" i="48"/>
  <c r="CC90" i="48"/>
  <c r="CD89" i="48"/>
  <c r="CC89" i="48"/>
  <c r="CD90" i="48"/>
  <c r="CE10" i="44"/>
  <c r="CE24" i="44" s="1"/>
  <c r="CC48" i="48"/>
  <c r="CC49" i="48"/>
  <c r="CF10" i="44" s="1"/>
  <c r="AM6" i="52" s="1"/>
  <c r="AN6" i="52" s="1"/>
  <c r="CC47" i="48"/>
  <c r="CC4" i="48"/>
  <c r="CC62" i="48" s="1"/>
  <c r="CF11" i="44" s="1"/>
  <c r="CC36" i="48"/>
  <c r="CC44" i="48"/>
  <c r="CF8" i="44" s="1"/>
  <c r="CD5" i="48"/>
  <c r="CD36" i="48"/>
  <c r="CC46" i="48"/>
  <c r="CC50" i="48"/>
  <c r="CF19" i="44" s="1"/>
  <c r="CD4" i="48"/>
  <c r="CC40" i="48"/>
  <c r="CF4" i="44" s="1"/>
  <c r="CD37" i="48"/>
  <c r="CC8" i="48"/>
  <c r="CD7" i="48"/>
  <c r="CC37" i="48"/>
  <c r="CC41" i="48"/>
  <c r="CF5" i="44" s="1"/>
  <c r="CC42" i="48"/>
  <c r="CF6" i="44" s="1"/>
  <c r="CC45" i="48"/>
  <c r="CC43" i="48"/>
  <c r="CF7" i="44" s="1"/>
  <c r="CE82" i="48"/>
  <c r="CE86" i="48"/>
  <c r="CE69" i="48"/>
  <c r="CE85" i="48"/>
  <c r="CE29" i="48"/>
  <c r="CE32" i="48"/>
  <c r="CE6" i="48"/>
  <c r="CE9" i="48"/>
  <c r="CI3" i="44"/>
  <c r="CI2" i="44" s="1"/>
  <c r="CF9" i="44" l="1"/>
  <c r="CF24" i="44"/>
  <c r="CD76" i="48"/>
  <c r="CG13" i="44"/>
  <c r="CG12" i="44"/>
  <c r="CC76" i="48"/>
  <c r="CF13" i="44"/>
  <c r="CF12" i="44"/>
  <c r="CD8" i="48"/>
  <c r="CC63" i="48"/>
  <c r="CF20" i="44" s="1"/>
  <c r="CF25" i="44" s="1"/>
  <c r="CE36" i="48"/>
  <c r="CD41" i="48"/>
  <c r="CG5" i="44" s="1"/>
  <c r="CD48" i="48"/>
  <c r="CD45" i="48"/>
  <c r="CD43" i="48"/>
  <c r="CG7" i="44" s="1"/>
  <c r="CD46" i="48"/>
  <c r="CD47" i="48"/>
  <c r="CD42" i="48"/>
  <c r="CG6" i="44" s="1"/>
  <c r="CE7" i="48"/>
  <c r="CD40" i="48"/>
  <c r="CG4" i="44" s="1"/>
  <c r="CD63" i="48"/>
  <c r="CG20" i="44" s="1"/>
  <c r="CD44" i="48"/>
  <c r="CG8" i="44" s="1"/>
  <c r="CD49" i="48"/>
  <c r="CD62" i="48"/>
  <c r="CG11" i="44" s="1"/>
  <c r="CD50" i="48"/>
  <c r="CG19" i="44" s="1"/>
  <c r="CE81" i="48"/>
  <c r="CE27" i="48"/>
  <c r="CE71" i="48"/>
  <c r="CE84" i="48"/>
  <c r="CE80" i="48"/>
  <c r="CE83" i="48"/>
  <c r="CE5" i="48"/>
  <c r="CE31" i="48"/>
  <c r="CE35" i="48"/>
  <c r="CE4" i="48"/>
  <c r="CE34" i="48"/>
  <c r="CE33" i="48"/>
  <c r="CE28" i="48"/>
  <c r="CE88" i="48"/>
  <c r="CE72" i="48"/>
  <c r="CE67" i="48"/>
  <c r="CE70" i="48"/>
  <c r="CE73" i="48"/>
  <c r="CF84" i="48"/>
  <c r="CF72" i="48"/>
  <c r="CF6" i="48"/>
  <c r="CE66" i="48"/>
  <c r="CE37" i="48"/>
  <c r="CE30" i="48"/>
  <c r="CE68" i="48"/>
  <c r="CE87" i="48"/>
  <c r="CE74" i="48"/>
  <c r="CJ3" i="44"/>
  <c r="CJ2" i="44" s="1"/>
  <c r="CG9" i="44" l="1"/>
  <c r="CG25" i="44"/>
  <c r="CF21" i="44"/>
  <c r="CF26" i="44" s="1"/>
  <c r="CF22" i="44"/>
  <c r="CF27" i="44" s="1"/>
  <c r="CG22" i="44"/>
  <c r="CG27" i="44" s="1"/>
  <c r="CG21" i="44"/>
  <c r="CG26" i="44" s="1"/>
  <c r="CE75" i="48"/>
  <c r="CE90" i="48"/>
  <c r="CE89" i="48"/>
  <c r="CE41" i="48"/>
  <c r="CH5" i="44" s="1"/>
  <c r="CE8" i="48"/>
  <c r="CE45" i="48"/>
  <c r="CE42" i="48"/>
  <c r="CH6" i="44" s="1"/>
  <c r="CE47" i="48"/>
  <c r="CE49" i="48"/>
  <c r="CH10" i="44" s="1"/>
  <c r="CE44" i="48"/>
  <c r="CH8" i="44" s="1"/>
  <c r="CE48" i="48"/>
  <c r="CE50" i="48"/>
  <c r="CH19" i="44" s="1"/>
  <c r="CE43" i="48"/>
  <c r="CH7" i="44" s="1"/>
  <c r="CE40" i="48"/>
  <c r="CH4" i="44" s="1"/>
  <c r="CE62" i="48"/>
  <c r="CH11" i="44" s="1"/>
  <c r="CG10" i="44"/>
  <c r="CG24" i="44" s="1"/>
  <c r="CE63" i="48"/>
  <c r="CH20" i="44" s="1"/>
  <c r="CE46" i="48"/>
  <c r="CF29" i="48"/>
  <c r="CF66" i="48"/>
  <c r="CF67" i="48"/>
  <c r="CF33" i="48"/>
  <c r="CF27" i="48"/>
  <c r="CG72" i="48"/>
  <c r="CG69" i="48"/>
  <c r="CG86" i="48"/>
  <c r="CG70" i="48"/>
  <c r="CG68" i="48"/>
  <c r="CG83" i="48"/>
  <c r="CG67" i="48"/>
  <c r="CG30" i="48"/>
  <c r="CG28" i="48"/>
  <c r="CG9" i="48"/>
  <c r="CG6" i="48"/>
  <c r="CG37" i="48" s="1"/>
  <c r="CF37" i="48"/>
  <c r="CF32" i="48"/>
  <c r="CF87" i="48"/>
  <c r="CF68" i="48"/>
  <c r="CF71" i="48"/>
  <c r="CF31" i="48"/>
  <c r="CF70" i="48"/>
  <c r="CF85" i="48"/>
  <c r="CF73" i="48"/>
  <c r="CF74" i="48"/>
  <c r="CF7" i="48"/>
  <c r="CF86" i="48"/>
  <c r="CF80" i="48"/>
  <c r="CF69" i="48"/>
  <c r="CF28" i="48"/>
  <c r="CF83" i="48"/>
  <c r="CF88" i="48"/>
  <c r="CF4" i="48"/>
  <c r="CF5" i="48"/>
  <c r="CF46" i="48" s="1"/>
  <c r="CF82" i="48"/>
  <c r="CF36" i="48"/>
  <c r="CF35" i="48"/>
  <c r="CF9" i="48"/>
  <c r="CF30" i="48"/>
  <c r="CF34" i="48"/>
  <c r="CF81" i="48"/>
  <c r="CK3" i="44"/>
  <c r="CK2" i="44" s="1"/>
  <c r="CH25" i="44" l="1"/>
  <c r="CH9" i="44"/>
  <c r="CH24" i="44"/>
  <c r="CE76" i="48"/>
  <c r="CH13" i="44"/>
  <c r="CH12" i="44"/>
  <c r="CF75" i="48"/>
  <c r="CF90" i="48"/>
  <c r="CF89" i="48"/>
  <c r="CF40" i="48"/>
  <c r="CI4" i="44" s="1"/>
  <c r="CF8" i="48"/>
  <c r="CF44" i="48"/>
  <c r="CI8" i="44" s="1"/>
  <c r="CF41" i="48"/>
  <c r="CI5" i="44" s="1"/>
  <c r="CF48" i="48"/>
  <c r="CF47" i="48"/>
  <c r="CF45" i="48"/>
  <c r="CF50" i="48"/>
  <c r="CI19" i="44" s="1"/>
  <c r="CF62" i="48"/>
  <c r="CI11" i="44" s="1"/>
  <c r="CF42" i="48"/>
  <c r="CI6" i="44" s="1"/>
  <c r="CF63" i="48"/>
  <c r="CI20" i="44" s="1"/>
  <c r="CF43" i="48"/>
  <c r="CI7" i="44" s="1"/>
  <c r="CF49" i="48"/>
  <c r="CG74" i="48"/>
  <c r="CG27" i="48"/>
  <c r="CG80" i="48"/>
  <c r="CG29" i="48"/>
  <c r="CG34" i="48"/>
  <c r="CG88" i="48"/>
  <c r="CG31" i="48"/>
  <c r="CG33" i="48"/>
  <c r="CG82" i="48"/>
  <c r="CG85" i="48"/>
  <c r="CG5" i="48"/>
  <c r="CG81" i="48"/>
  <c r="CG4" i="48"/>
  <c r="CG32" i="48"/>
  <c r="CG84" i="48"/>
  <c r="CG87" i="48"/>
  <c r="CH71" i="48"/>
  <c r="CH70" i="48"/>
  <c r="CH82" i="48"/>
  <c r="CH33" i="48"/>
  <c r="CH34" i="48"/>
  <c r="CH9" i="48"/>
  <c r="CG71" i="48"/>
  <c r="CG66" i="48"/>
  <c r="CG73" i="48"/>
  <c r="CG7" i="48"/>
  <c r="CG36" i="48"/>
  <c r="CG35" i="48"/>
  <c r="CL3" i="44"/>
  <c r="CL2" i="44" s="1"/>
  <c r="CI9" i="44" l="1"/>
  <c r="CI25" i="44"/>
  <c r="CF76" i="48"/>
  <c r="CI12" i="44"/>
  <c r="CI13" i="44"/>
  <c r="CH21" i="44"/>
  <c r="CH26" i="44" s="1"/>
  <c r="CH22" i="44"/>
  <c r="CH27" i="44" s="1"/>
  <c r="CG75" i="48"/>
  <c r="CG90" i="48"/>
  <c r="CG89" i="48"/>
  <c r="CG49" i="48"/>
  <c r="CJ10" i="44" s="1"/>
  <c r="CG8" i="48"/>
  <c r="CG45" i="48"/>
  <c r="CG63" i="48"/>
  <c r="CJ20" i="44" s="1"/>
  <c r="CG42" i="48"/>
  <c r="CJ6" i="44" s="1"/>
  <c r="CG46" i="48"/>
  <c r="CG40" i="48"/>
  <c r="CJ4" i="44" s="1"/>
  <c r="CG50" i="48"/>
  <c r="CJ19" i="44" s="1"/>
  <c r="CG48" i="48"/>
  <c r="CG62" i="48"/>
  <c r="CJ11" i="44" s="1"/>
  <c r="CG47" i="48"/>
  <c r="CG43" i="48"/>
  <c r="CJ7" i="44" s="1"/>
  <c r="CG41" i="48"/>
  <c r="CJ5" i="44" s="1"/>
  <c r="CI10" i="44"/>
  <c r="CI24" i="44" s="1"/>
  <c r="CG44" i="48"/>
  <c r="CJ8" i="44" s="1"/>
  <c r="CH6" i="48"/>
  <c r="CH36" i="48" s="1"/>
  <c r="CH72" i="48"/>
  <c r="CH86" i="48"/>
  <c r="CH83" i="48"/>
  <c r="CH85" i="48"/>
  <c r="CH31" i="48"/>
  <c r="CH68" i="48"/>
  <c r="CH32" i="48"/>
  <c r="CH74" i="48"/>
  <c r="CI66" i="48"/>
  <c r="CH28" i="48"/>
  <c r="CH67" i="48"/>
  <c r="CH69" i="48"/>
  <c r="CH66" i="48"/>
  <c r="CI67" i="48"/>
  <c r="CI71" i="48"/>
  <c r="CI87" i="48"/>
  <c r="CI27" i="48"/>
  <c r="CH88" i="48"/>
  <c r="CH29" i="48"/>
  <c r="CH81" i="48"/>
  <c r="CH84" i="48"/>
  <c r="CH80" i="48"/>
  <c r="CH73" i="48"/>
  <c r="CH27" i="48"/>
  <c r="CH87" i="48"/>
  <c r="CH7" i="48"/>
  <c r="CH30" i="48"/>
  <c r="CH35" i="48"/>
  <c r="CM3" i="44"/>
  <c r="CM2" i="44" s="1"/>
  <c r="CJ9" i="44" l="1"/>
  <c r="CJ24" i="44"/>
  <c r="CG76" i="48"/>
  <c r="CJ12" i="44"/>
  <c r="CJ13" i="44"/>
  <c r="CJ25" i="44"/>
  <c r="CI22" i="44"/>
  <c r="CI27" i="44" s="1"/>
  <c r="CI21" i="44"/>
  <c r="CI26" i="44" s="1"/>
  <c r="CH75" i="48"/>
  <c r="CH90" i="48"/>
  <c r="CH89" i="48"/>
  <c r="CH5" i="48"/>
  <c r="CH4" i="48"/>
  <c r="CH63" i="48" s="1"/>
  <c r="CK20" i="44" s="1"/>
  <c r="CH37" i="48"/>
  <c r="CI72" i="48"/>
  <c r="CI29" i="48"/>
  <c r="CI68" i="48"/>
  <c r="CI28" i="48"/>
  <c r="CI82" i="48"/>
  <c r="CI69" i="48"/>
  <c r="CI85" i="48"/>
  <c r="CI73" i="48"/>
  <c r="CI35" i="48"/>
  <c r="CI74" i="48"/>
  <c r="CI84" i="48"/>
  <c r="CI7" i="48"/>
  <c r="CJ7" i="48" s="1"/>
  <c r="CI34" i="48"/>
  <c r="CI80" i="48"/>
  <c r="CI33" i="48"/>
  <c r="CI88" i="48"/>
  <c r="CI83" i="48"/>
  <c r="CJ83" i="48"/>
  <c r="CJ85" i="48"/>
  <c r="CJ87" i="48"/>
  <c r="CJ86" i="48"/>
  <c r="CJ81" i="48"/>
  <c r="CJ31" i="48"/>
  <c r="CJ32" i="48"/>
  <c r="CJ30" i="48"/>
  <c r="CJ6" i="48"/>
  <c r="CJ37" i="48" s="1"/>
  <c r="CJ9" i="48"/>
  <c r="CI31" i="48"/>
  <c r="CI6" i="48"/>
  <c r="CI4" i="48" s="1"/>
  <c r="CI32" i="48"/>
  <c r="CI70" i="48"/>
  <c r="CI30" i="48"/>
  <c r="CI81" i="48"/>
  <c r="CI9" i="48"/>
  <c r="CI86" i="48"/>
  <c r="CN3" i="44"/>
  <c r="CN2" i="44" s="1"/>
  <c r="CH76" i="48" l="1"/>
  <c r="CK13" i="44"/>
  <c r="CK12" i="44"/>
  <c r="CJ21" i="44"/>
  <c r="CJ26" i="44" s="1"/>
  <c r="CJ22" i="44"/>
  <c r="CJ27" i="44" s="1"/>
  <c r="CI75" i="48"/>
  <c r="CI90" i="48"/>
  <c r="CI89" i="48"/>
  <c r="CH42" i="48"/>
  <c r="CK6" i="44" s="1"/>
  <c r="CH49" i="48"/>
  <c r="CK10" i="44" s="1"/>
  <c r="CH46" i="48"/>
  <c r="CH8" i="48"/>
  <c r="CH45" i="48"/>
  <c r="CH40" i="48"/>
  <c r="CK4" i="44" s="1"/>
  <c r="CH50" i="48"/>
  <c r="CK19" i="44" s="1"/>
  <c r="CH43" i="48"/>
  <c r="CK7" i="44" s="1"/>
  <c r="CH44" i="48"/>
  <c r="CK8" i="44" s="1"/>
  <c r="CH47" i="48"/>
  <c r="CH62" i="48"/>
  <c r="CK11" i="44" s="1"/>
  <c r="CK25" i="44" s="1"/>
  <c r="CH48" i="48"/>
  <c r="CH41" i="48"/>
  <c r="CK5" i="44" s="1"/>
  <c r="CI63" i="48"/>
  <c r="CL20" i="44" s="1"/>
  <c r="CI62" i="48"/>
  <c r="CL11" i="44" s="1"/>
  <c r="CI37" i="48"/>
  <c r="CI36" i="48"/>
  <c r="CI5" i="48"/>
  <c r="CJ36" i="48"/>
  <c r="CJ33" i="48"/>
  <c r="CJ73" i="48"/>
  <c r="CJ72" i="48"/>
  <c r="CJ88" i="48"/>
  <c r="CJ68" i="48"/>
  <c r="CJ74" i="48"/>
  <c r="CJ84" i="48"/>
  <c r="CJ27" i="48"/>
  <c r="CJ28" i="48"/>
  <c r="CJ67" i="48"/>
  <c r="CJ80" i="48"/>
  <c r="CK83" i="48"/>
  <c r="CK30" i="48"/>
  <c r="CJ5" i="48"/>
  <c r="CJ29" i="48"/>
  <c r="CJ71" i="48"/>
  <c r="CJ69" i="48"/>
  <c r="CJ35" i="48"/>
  <c r="CJ70" i="48"/>
  <c r="CJ4" i="48"/>
  <c r="CJ34" i="48"/>
  <c r="CJ82" i="48"/>
  <c r="CJ66" i="48"/>
  <c r="CO3" i="44"/>
  <c r="CO2" i="44" s="1"/>
  <c r="AM7" i="52"/>
  <c r="AN7" i="52" s="1"/>
  <c r="CK9" i="44" l="1"/>
  <c r="CL25" i="44"/>
  <c r="CI76" i="48"/>
  <c r="CL13" i="44"/>
  <c r="CL12" i="44"/>
  <c r="CK24" i="44"/>
  <c r="CK22" i="44"/>
  <c r="CK27" i="44" s="1"/>
  <c r="CK21" i="44"/>
  <c r="CK26" i="44" s="1"/>
  <c r="CJ75" i="48"/>
  <c r="CJ90" i="48"/>
  <c r="CJ89" i="48"/>
  <c r="CJ48" i="48"/>
  <c r="CJ42" i="48"/>
  <c r="CM6" i="44" s="1"/>
  <c r="CJ41" i="48"/>
  <c r="CM5" i="44" s="1"/>
  <c r="CJ49" i="48"/>
  <c r="CI48" i="48"/>
  <c r="CJ47" i="48"/>
  <c r="CI49" i="48"/>
  <c r="CI43" i="48"/>
  <c r="CL7" i="44" s="1"/>
  <c r="CJ50" i="48"/>
  <c r="CM19" i="44" s="1"/>
  <c r="CI8" i="48"/>
  <c r="CJ44" i="48"/>
  <c r="CM8" i="44" s="1"/>
  <c r="CJ40" i="48"/>
  <c r="CM4" i="44" s="1"/>
  <c r="CJ62" i="48"/>
  <c r="CM11" i="44" s="1"/>
  <c r="CJ46" i="48"/>
  <c r="CJ8" i="48"/>
  <c r="CJ63" i="48"/>
  <c r="CM20" i="44" s="1"/>
  <c r="CJ43" i="48"/>
  <c r="CM7" i="44" s="1"/>
  <c r="CJ45" i="48"/>
  <c r="CI41" i="48"/>
  <c r="CL5" i="44" s="1"/>
  <c r="CI42" i="48"/>
  <c r="CL6" i="44" s="1"/>
  <c r="CI45" i="48"/>
  <c r="CI50" i="48"/>
  <c r="CL19" i="44" s="1"/>
  <c r="CI40" i="48"/>
  <c r="CL4" i="44" s="1"/>
  <c r="CI46" i="48"/>
  <c r="CI44" i="48"/>
  <c r="CL8" i="44" s="1"/>
  <c r="CI47" i="48"/>
  <c r="CK9" i="48"/>
  <c r="CK6" i="48"/>
  <c r="CK28" i="48"/>
  <c r="CK67" i="48"/>
  <c r="CK35" i="48"/>
  <c r="CK70" i="48"/>
  <c r="CK82" i="48"/>
  <c r="CK27" i="48"/>
  <c r="CK69" i="48"/>
  <c r="CK87" i="48"/>
  <c r="CK85" i="48"/>
  <c r="CK74" i="48"/>
  <c r="CK84" i="48"/>
  <c r="CK33" i="48"/>
  <c r="CK72" i="48"/>
  <c r="CL6" i="48"/>
  <c r="CK29" i="48"/>
  <c r="CK81" i="48"/>
  <c r="CK32" i="48"/>
  <c r="CK86" i="48"/>
  <c r="CK88" i="48"/>
  <c r="CK34" i="48"/>
  <c r="CK31" i="48"/>
  <c r="CK73" i="48"/>
  <c r="CK71" i="48"/>
  <c r="CK80" i="48"/>
  <c r="CK7" i="48"/>
  <c r="CK66" i="48"/>
  <c r="CK68" i="48"/>
  <c r="CP3" i="44"/>
  <c r="CP2" i="44" s="1"/>
  <c r="CL9" i="44" l="1"/>
  <c r="CM9" i="44"/>
  <c r="CJ76" i="48"/>
  <c r="CM13" i="44"/>
  <c r="CM12" i="44"/>
  <c r="CM25" i="44"/>
  <c r="CL22" i="44"/>
  <c r="CL27" i="44" s="1"/>
  <c r="CL21" i="44"/>
  <c r="CL26" i="44" s="1"/>
  <c r="CK75" i="48"/>
  <c r="CK90" i="48"/>
  <c r="CK89" i="48"/>
  <c r="CM10" i="44"/>
  <c r="CM24" i="44" s="1"/>
  <c r="CL10" i="44"/>
  <c r="CL24" i="44" s="1"/>
  <c r="CK36" i="48"/>
  <c r="CK5" i="48"/>
  <c r="CK4" i="48"/>
  <c r="CK37" i="48"/>
  <c r="CL85" i="48"/>
  <c r="CL82" i="48"/>
  <c r="CL7" i="48"/>
  <c r="CM7" i="48" s="1"/>
  <c r="CL81" i="48"/>
  <c r="CL67" i="48"/>
  <c r="CL80" i="48"/>
  <c r="CL27" i="48"/>
  <c r="CL33" i="48"/>
  <c r="CL4" i="48"/>
  <c r="CM87" i="48"/>
  <c r="CL37" i="48"/>
  <c r="CL9" i="48"/>
  <c r="CL71" i="48"/>
  <c r="CL83" i="48"/>
  <c r="CL87" i="48"/>
  <c r="CL73" i="48"/>
  <c r="CL84" i="48"/>
  <c r="CL88" i="48"/>
  <c r="CL74" i="48"/>
  <c r="CL32" i="48"/>
  <c r="CL5" i="48"/>
  <c r="CL29" i="48"/>
  <c r="CL35" i="48"/>
  <c r="CL66" i="48"/>
  <c r="CL69" i="48"/>
  <c r="CL72" i="48"/>
  <c r="CL36" i="48"/>
  <c r="CL30" i="48"/>
  <c r="CM69" i="48"/>
  <c r="CM66" i="48"/>
  <c r="CM73" i="48"/>
  <c r="CM67" i="48"/>
  <c r="CM71" i="48"/>
  <c r="CM85" i="48"/>
  <c r="CM80" i="48"/>
  <c r="CM35" i="48"/>
  <c r="CL28" i="48"/>
  <c r="CL86" i="48"/>
  <c r="CL70" i="48"/>
  <c r="CL31" i="48"/>
  <c r="CL34" i="48"/>
  <c r="CL68" i="48"/>
  <c r="CQ3" i="44"/>
  <c r="CQ2" i="44" s="1"/>
  <c r="AM11" i="52"/>
  <c r="AN11" i="52" s="1"/>
  <c r="AM9" i="52"/>
  <c r="AN9" i="52" s="1"/>
  <c r="AM10" i="52"/>
  <c r="AN10" i="52" s="1"/>
  <c r="CK76" i="48" l="1"/>
  <c r="CN13" i="44"/>
  <c r="CN12" i="44"/>
  <c r="CM22" i="44"/>
  <c r="CM27" i="44" s="1"/>
  <c r="CM21" i="44"/>
  <c r="CM26" i="44" s="1"/>
  <c r="CL75" i="48"/>
  <c r="CL90" i="48"/>
  <c r="CL89" i="48"/>
  <c r="CL42" i="48"/>
  <c r="CO6" i="44" s="1"/>
  <c r="CL46" i="48"/>
  <c r="CK42" i="48"/>
  <c r="CN6" i="44" s="1"/>
  <c r="CL57" i="48"/>
  <c r="CL61" i="48"/>
  <c r="CO17" i="44" s="1"/>
  <c r="CL45" i="48"/>
  <c r="CK63" i="48"/>
  <c r="CN20" i="44" s="1"/>
  <c r="CL41" i="48"/>
  <c r="CO5" i="44" s="1"/>
  <c r="CL55" i="48"/>
  <c r="CL58" i="48"/>
  <c r="CO14" i="44" s="1"/>
  <c r="CL54" i="48"/>
  <c r="CL48" i="48"/>
  <c r="CL63" i="48"/>
  <c r="CO20" i="44" s="1"/>
  <c r="CL40" i="48"/>
  <c r="CO4" i="44" s="1"/>
  <c r="CL60" i="48"/>
  <c r="CO16" i="44" s="1"/>
  <c r="CL50" i="48"/>
  <c r="CO19" i="44" s="1"/>
  <c r="CK40" i="48"/>
  <c r="CN4" i="44" s="1"/>
  <c r="CL53" i="48"/>
  <c r="CL59" i="48"/>
  <c r="CO15" i="44" s="1"/>
  <c r="CL43" i="48"/>
  <c r="CO7" i="44" s="1"/>
  <c r="CK8" i="48"/>
  <c r="CL62" i="48"/>
  <c r="CO11" i="44" s="1"/>
  <c r="CL49" i="48"/>
  <c r="CL44" i="48"/>
  <c r="CO8" i="44" s="1"/>
  <c r="CL56" i="48"/>
  <c r="CK47" i="48"/>
  <c r="CK41" i="48"/>
  <c r="CN5" i="44" s="1"/>
  <c r="CK48" i="48"/>
  <c r="CK62" i="48"/>
  <c r="CN11" i="44" s="1"/>
  <c r="CK46" i="48"/>
  <c r="CK49" i="48"/>
  <c r="CK45" i="48"/>
  <c r="CK43" i="48"/>
  <c r="CN7" i="44" s="1"/>
  <c r="CL47" i="48"/>
  <c r="CK44" i="48"/>
  <c r="CN8" i="44" s="1"/>
  <c r="CL8" i="48"/>
  <c r="CK50" i="48"/>
  <c r="CN19" i="44" s="1"/>
  <c r="CM9" i="48"/>
  <c r="CM74" i="48"/>
  <c r="CM70" i="48"/>
  <c r="CM81" i="48"/>
  <c r="CM68" i="48"/>
  <c r="CM6" i="48"/>
  <c r="CM5" i="48" s="1"/>
  <c r="CM28" i="48"/>
  <c r="CM29" i="48"/>
  <c r="CM33" i="48"/>
  <c r="CM32" i="48"/>
  <c r="CM82" i="48"/>
  <c r="CM83" i="48"/>
  <c r="CM34" i="48"/>
  <c r="CM86" i="48"/>
  <c r="CM27" i="48"/>
  <c r="CM84" i="48"/>
  <c r="CM30" i="48"/>
  <c r="CM72" i="48"/>
  <c r="CM31" i="48"/>
  <c r="CM88" i="48"/>
  <c r="CN7" i="48"/>
  <c r="CN66" i="48"/>
  <c r="CN84" i="48"/>
  <c r="CR3" i="44"/>
  <c r="CR2" i="44" s="1"/>
  <c r="AM3" i="52"/>
  <c r="AN3" i="52" s="1"/>
  <c r="AM4" i="52"/>
  <c r="AN4" i="52" s="1"/>
  <c r="AM12" i="52"/>
  <c r="AN12" i="52" s="1"/>
  <c r="AM14" i="52"/>
  <c r="AN14" i="52" s="1"/>
  <c r="AM13" i="52"/>
  <c r="AN13" i="52" s="1"/>
  <c r="CN9" i="44" l="1"/>
  <c r="CO9" i="44"/>
  <c r="CO25" i="44"/>
  <c r="CN25" i="44"/>
  <c r="CL76" i="48"/>
  <c r="CO13" i="44"/>
  <c r="CO12" i="44"/>
  <c r="CN21" i="44"/>
  <c r="CN26" i="44" s="1"/>
  <c r="CN22" i="44"/>
  <c r="CN27" i="44" s="1"/>
  <c r="CM75" i="48"/>
  <c r="CM90" i="48"/>
  <c r="CM89" i="48"/>
  <c r="CM37" i="48"/>
  <c r="CM48" i="48"/>
  <c r="CM41" i="48"/>
  <c r="CP5" i="44" s="1"/>
  <c r="CM43" i="48"/>
  <c r="CP7" i="44" s="1"/>
  <c r="CM46" i="48"/>
  <c r="CM8" i="48"/>
  <c r="CM42" i="48"/>
  <c r="CP6" i="44" s="1"/>
  <c r="CM44" i="48"/>
  <c r="CP8" i="44" s="1"/>
  <c r="CO10" i="44"/>
  <c r="CO24" i="44" s="1"/>
  <c r="CN10" i="44"/>
  <c r="CN24" i="44" s="1"/>
  <c r="CM47" i="48"/>
  <c r="CM36" i="48"/>
  <c r="CM4" i="48"/>
  <c r="CM40" i="48"/>
  <c r="CP4" i="44" s="1"/>
  <c r="CM49" i="48"/>
  <c r="CM50" i="48"/>
  <c r="CP19" i="44" s="1"/>
  <c r="CM45" i="48"/>
  <c r="CN73" i="48"/>
  <c r="CN67" i="48"/>
  <c r="CN31" i="48"/>
  <c r="CN86" i="48"/>
  <c r="CN74" i="48"/>
  <c r="CN72" i="48"/>
  <c r="CN29" i="48"/>
  <c r="CN30" i="48"/>
  <c r="CN70" i="48"/>
  <c r="CN69" i="48"/>
  <c r="CN82" i="48"/>
  <c r="CN68" i="48"/>
  <c r="CN32" i="48"/>
  <c r="CN28" i="48"/>
  <c r="CN6" i="48"/>
  <c r="CN5" i="48" s="1"/>
  <c r="CN33" i="48"/>
  <c r="CN85" i="48"/>
  <c r="CN88" i="48"/>
  <c r="CN83" i="48"/>
  <c r="CN35" i="48"/>
  <c r="CN87" i="48"/>
  <c r="CN9" i="48"/>
  <c r="CN81" i="48"/>
  <c r="CO83" i="48"/>
  <c r="CO87" i="48"/>
  <c r="CO86" i="48"/>
  <c r="CO82" i="48"/>
  <c r="CO80" i="48"/>
  <c r="CO81" i="48"/>
  <c r="CO85" i="48"/>
  <c r="CO84" i="48"/>
  <c r="CO88" i="48"/>
  <c r="CO74" i="48"/>
  <c r="CO70" i="48"/>
  <c r="CO72" i="48"/>
  <c r="CO67" i="48"/>
  <c r="CO66" i="48"/>
  <c r="CO73" i="48"/>
  <c r="CO69" i="48"/>
  <c r="CO68" i="48"/>
  <c r="CO71" i="48"/>
  <c r="CO29" i="48"/>
  <c r="CO30" i="48"/>
  <c r="CO31" i="48"/>
  <c r="CO32" i="48"/>
  <c r="CO33" i="48"/>
  <c r="CO28" i="48"/>
  <c r="CO34" i="48"/>
  <c r="CO35" i="48"/>
  <c r="CO6" i="48"/>
  <c r="CO36" i="48" s="1"/>
  <c r="CO27" i="48"/>
  <c r="CO9" i="48"/>
  <c r="CO7" i="48"/>
  <c r="CN27" i="48"/>
  <c r="CN71" i="48"/>
  <c r="CN80" i="48"/>
  <c r="CN34" i="48"/>
  <c r="CS3" i="44"/>
  <c r="CS2" i="44" s="1"/>
  <c r="AM5" i="52"/>
  <c r="AN5" i="52" s="1"/>
  <c r="AM18" i="52"/>
  <c r="AN18" i="52" s="1"/>
  <c r="AM21" i="52"/>
  <c r="AN21" i="52" s="1"/>
  <c r="AM19" i="52"/>
  <c r="AN19" i="52" s="1"/>
  <c r="AM20" i="52"/>
  <c r="AN20" i="52" s="1"/>
  <c r="AM17" i="52"/>
  <c r="AN17" i="52" s="1"/>
  <c r="AM22" i="52"/>
  <c r="AN22" i="52" s="1"/>
  <c r="AM16" i="52"/>
  <c r="AN16" i="52" s="1"/>
  <c r="AM15" i="52"/>
  <c r="AN15" i="52" s="1"/>
  <c r="AM23" i="52"/>
  <c r="AN23" i="52" s="1"/>
  <c r="CP9" i="44" l="1"/>
  <c r="CM76" i="48"/>
  <c r="CP12" i="44"/>
  <c r="CP13" i="44"/>
  <c r="CO21" i="44"/>
  <c r="CO26" i="44" s="1"/>
  <c r="CO22" i="44"/>
  <c r="CO27" i="44" s="1"/>
  <c r="CN75" i="48"/>
  <c r="CO75" i="48"/>
  <c r="CN90" i="48"/>
  <c r="CO90" i="48"/>
  <c r="CN89" i="48"/>
  <c r="CO89" i="48"/>
  <c r="CM62" i="48"/>
  <c r="CP11" i="44" s="1"/>
  <c r="CM55" i="48"/>
  <c r="CN42" i="48"/>
  <c r="CQ6" i="44" s="1"/>
  <c r="CN37" i="48"/>
  <c r="CN49" i="48"/>
  <c r="CQ10" i="44" s="1"/>
  <c r="CN45" i="48"/>
  <c r="CN47" i="48"/>
  <c r="CN48" i="48"/>
  <c r="CN44" i="48"/>
  <c r="CQ8" i="44" s="1"/>
  <c r="CN40" i="48"/>
  <c r="CQ4" i="44" s="1"/>
  <c r="CN43" i="48"/>
  <c r="CQ7" i="44" s="1"/>
  <c r="CN8" i="48"/>
  <c r="CN46" i="48"/>
  <c r="CN41" i="48"/>
  <c r="CQ5" i="44" s="1"/>
  <c r="CM56" i="48"/>
  <c r="CO4" i="48"/>
  <c r="CO63" i="48" s="1"/>
  <c r="CR20" i="44" s="1"/>
  <c r="CO37" i="48"/>
  <c r="CM53" i="48"/>
  <c r="CM60" i="48"/>
  <c r="CP16" i="44" s="1"/>
  <c r="CM58" i="48"/>
  <c r="CP14" i="44" s="1"/>
  <c r="CM63" i="48"/>
  <c r="CP20" i="44" s="1"/>
  <c r="CN50" i="48"/>
  <c r="CQ19" i="44" s="1"/>
  <c r="CM54" i="48"/>
  <c r="CN4" i="48"/>
  <c r="CN36" i="48"/>
  <c r="CM59" i="48"/>
  <c r="CP15" i="44" s="1"/>
  <c r="CP10" i="44"/>
  <c r="CP24" i="44" s="1"/>
  <c r="CM57" i="48"/>
  <c r="CM61" i="48"/>
  <c r="CP17" i="44" s="1"/>
  <c r="CP84" i="48"/>
  <c r="CP80" i="48"/>
  <c r="CP73" i="48"/>
  <c r="CP71" i="48"/>
  <c r="CP69" i="48"/>
  <c r="CP28" i="48"/>
  <c r="CP29" i="48"/>
  <c r="CP33" i="48"/>
  <c r="CP6" i="48"/>
  <c r="CP5" i="48" s="1"/>
  <c r="CP7" i="48"/>
  <c r="CT3" i="44"/>
  <c r="CT2" i="44" s="1"/>
  <c r="CQ9" i="44" l="1"/>
  <c r="CQ24" i="44"/>
  <c r="CP25" i="44"/>
  <c r="CN76" i="48"/>
  <c r="CQ13" i="44"/>
  <c r="CQ12" i="44"/>
  <c r="CO76" i="48"/>
  <c r="CR13" i="44"/>
  <c r="CP22" i="44"/>
  <c r="CP27" i="44" s="1"/>
  <c r="CP21" i="44"/>
  <c r="CP26" i="44" s="1"/>
  <c r="CP8" i="48"/>
  <c r="CP37" i="48"/>
  <c r="CN54" i="48"/>
  <c r="CN57" i="48"/>
  <c r="CN56" i="48"/>
  <c r="CN53" i="48"/>
  <c r="CN55" i="48"/>
  <c r="CN62" i="48"/>
  <c r="CQ11" i="44" s="1"/>
  <c r="CN58" i="48"/>
  <c r="CQ14" i="44" s="1"/>
  <c r="CN59" i="48"/>
  <c r="CQ15" i="44" s="1"/>
  <c r="CN63" i="48"/>
  <c r="CQ20" i="44" s="1"/>
  <c r="CN61" i="48"/>
  <c r="CQ17" i="44" s="1"/>
  <c r="CN60" i="48"/>
  <c r="CQ16" i="44" s="1"/>
  <c r="CO62" i="48"/>
  <c r="CR11" i="44" s="1"/>
  <c r="CR25" i="44" s="1"/>
  <c r="CP4" i="48"/>
  <c r="CP36" i="48"/>
  <c r="CP32" i="48"/>
  <c r="CP66" i="48"/>
  <c r="CP9" i="48"/>
  <c r="CP87" i="48"/>
  <c r="CP70" i="48"/>
  <c r="CP47" i="48"/>
  <c r="CP86" i="48"/>
  <c r="CQ82" i="48"/>
  <c r="CP27" i="48"/>
  <c r="CP31" i="48"/>
  <c r="CP82" i="48"/>
  <c r="CP67" i="48"/>
  <c r="CP88" i="48"/>
  <c r="CP85" i="48"/>
  <c r="CP68" i="48"/>
  <c r="CP81" i="48"/>
  <c r="CP83" i="48"/>
  <c r="CQ84" i="48"/>
  <c r="CQ83" i="48"/>
  <c r="CQ88" i="48"/>
  <c r="CQ87" i="48"/>
  <c r="CQ71" i="48"/>
  <c r="CQ70" i="48"/>
  <c r="CQ67" i="48"/>
  <c r="CQ73" i="48"/>
  <c r="CQ66" i="48"/>
  <c r="CQ33" i="48"/>
  <c r="CQ31" i="48"/>
  <c r="CQ28" i="48"/>
  <c r="CQ27" i="48"/>
  <c r="CQ35" i="48"/>
  <c r="CQ32" i="48"/>
  <c r="CQ30" i="48"/>
  <c r="CQ34" i="48"/>
  <c r="CQ6" i="48"/>
  <c r="CQ4" i="48" s="1"/>
  <c r="CQ37" i="48"/>
  <c r="CP74" i="48"/>
  <c r="CP48" i="48" s="1"/>
  <c r="CP35" i="48"/>
  <c r="CP30" i="48"/>
  <c r="CP34" i="48"/>
  <c r="CP72" i="48"/>
  <c r="CU3" i="44"/>
  <c r="CU2" i="44" s="1"/>
  <c r="CQ25" i="44" l="1"/>
  <c r="CR22" i="44"/>
  <c r="CR27" i="44" s="1"/>
  <c r="CQ21" i="44"/>
  <c r="CQ26" i="44" s="1"/>
  <c r="CQ22" i="44"/>
  <c r="CQ27" i="44" s="1"/>
  <c r="CP75" i="48"/>
  <c r="CP90" i="48"/>
  <c r="CP89" i="48"/>
  <c r="CP50" i="48"/>
  <c r="CS19" i="44" s="1"/>
  <c r="CQ5" i="48"/>
  <c r="CQ47" i="48" s="1"/>
  <c r="CQ36" i="48"/>
  <c r="CP62" i="48"/>
  <c r="CS11" i="44" s="1"/>
  <c r="CP63" i="48"/>
  <c r="CS20" i="44" s="1"/>
  <c r="CP49" i="48"/>
  <c r="CQ68" i="48"/>
  <c r="CQ9" i="48"/>
  <c r="CQ29" i="48"/>
  <c r="CQ74" i="48"/>
  <c r="CQ81" i="48"/>
  <c r="CQ72" i="48"/>
  <c r="CQ85" i="48"/>
  <c r="CQ86" i="48"/>
  <c r="CQ69" i="48"/>
  <c r="CQ80" i="48"/>
  <c r="CQ7" i="48"/>
  <c r="CV3" i="44"/>
  <c r="CV2" i="44" s="1"/>
  <c r="CP76" i="48" l="1"/>
  <c r="CS13" i="44"/>
  <c r="CS12" i="44"/>
  <c r="CQ75" i="48"/>
  <c r="CQ76" i="48" s="1"/>
  <c r="CS25" i="44"/>
  <c r="CQ89" i="48"/>
  <c r="CQ90" i="48"/>
  <c r="CQ48" i="48"/>
  <c r="CQ8" i="48"/>
  <c r="CQ49" i="48"/>
  <c r="CT10" i="44" s="1"/>
  <c r="CQ50" i="48"/>
  <c r="CT19" i="44" s="1"/>
  <c r="CQ63" i="48"/>
  <c r="CT20" i="44" s="1"/>
  <c r="CQ62" i="48"/>
  <c r="CT11" i="44" s="1"/>
  <c r="CR83" i="48"/>
  <c r="CR6" i="48"/>
  <c r="CR4" i="48" s="1"/>
  <c r="CR28" i="48"/>
  <c r="CR9" i="48"/>
  <c r="CR27" i="48"/>
  <c r="CR68" i="48"/>
  <c r="CS80" i="48"/>
  <c r="CR80" i="48"/>
  <c r="CR29" i="48"/>
  <c r="CR35" i="48"/>
  <c r="CR85" i="48"/>
  <c r="CR69" i="48"/>
  <c r="CR88" i="48"/>
  <c r="CR33" i="48"/>
  <c r="CR71" i="48"/>
  <c r="CR81" i="48"/>
  <c r="CR86" i="48"/>
  <c r="CR72" i="48"/>
  <c r="CR73" i="48"/>
  <c r="CR82" i="48"/>
  <c r="CR32" i="48"/>
  <c r="CR87" i="48"/>
  <c r="CR67" i="48"/>
  <c r="CR31" i="48"/>
  <c r="CR66" i="48"/>
  <c r="CR74" i="48"/>
  <c r="CR30" i="48"/>
  <c r="CR34" i="48"/>
  <c r="CR7" i="48"/>
  <c r="CR70" i="48"/>
  <c r="CR84" i="48"/>
  <c r="CS84" i="48"/>
  <c r="CS66" i="48"/>
  <c r="CS71" i="48"/>
  <c r="CS33" i="48"/>
  <c r="CW3" i="44"/>
  <c r="CW2" i="44" s="1"/>
  <c r="CT25" i="44" l="1"/>
  <c r="CT21" i="44"/>
  <c r="CT22" i="44"/>
  <c r="CT13" i="44"/>
  <c r="CT12" i="44"/>
  <c r="CS21" i="44"/>
  <c r="CS26" i="44" s="1"/>
  <c r="CS22" i="44"/>
  <c r="CS27" i="44" s="1"/>
  <c r="CT24" i="44"/>
  <c r="CR75" i="48"/>
  <c r="CR90" i="48"/>
  <c r="CR89" i="48"/>
  <c r="CR36" i="48"/>
  <c r="CR37" i="48"/>
  <c r="CR5" i="48"/>
  <c r="CR8" i="48" s="1"/>
  <c r="CR50" i="48"/>
  <c r="CU19" i="44" s="1"/>
  <c r="CR62" i="48"/>
  <c r="CU11" i="44" s="1"/>
  <c r="CR63" i="48"/>
  <c r="CU20" i="44" s="1"/>
  <c r="CS87" i="48"/>
  <c r="CS7" i="48"/>
  <c r="CS83" i="48"/>
  <c r="CS70" i="48"/>
  <c r="CS68" i="48"/>
  <c r="CS34" i="48"/>
  <c r="CS69" i="48"/>
  <c r="CS30" i="48"/>
  <c r="CS28" i="48"/>
  <c r="CS86" i="48"/>
  <c r="CS32" i="48"/>
  <c r="CS29" i="48"/>
  <c r="CS85" i="48"/>
  <c r="CS81" i="48"/>
  <c r="CS88" i="48"/>
  <c r="CS82" i="48"/>
  <c r="CS74" i="48"/>
  <c r="CT81" i="48"/>
  <c r="CT85" i="48"/>
  <c r="CT80" i="48"/>
  <c r="CT82" i="48"/>
  <c r="CT83" i="48"/>
  <c r="CT69" i="48"/>
  <c r="CT74" i="48"/>
  <c r="CT67" i="48"/>
  <c r="CT71" i="48"/>
  <c r="CT33" i="48"/>
  <c r="CT34" i="48"/>
  <c r="CT31" i="48"/>
  <c r="CT9" i="48"/>
  <c r="CS35" i="48"/>
  <c r="CS67" i="48"/>
  <c r="CS9" i="48"/>
  <c r="CS31" i="48"/>
  <c r="CS73" i="48"/>
  <c r="CS6" i="48"/>
  <c r="CS27" i="48"/>
  <c r="CS72" i="48"/>
  <c r="CX3" i="44"/>
  <c r="CX2" i="44" s="1"/>
  <c r="CU25" i="44" l="1"/>
  <c r="CT27" i="44"/>
  <c r="CR49" i="48"/>
  <c r="CU10" i="44" s="1"/>
  <c r="CU24" i="44" s="1"/>
  <c r="CR76" i="48"/>
  <c r="CU12" i="44"/>
  <c r="CU13" i="44"/>
  <c r="CT26" i="44"/>
  <c r="CS75" i="48"/>
  <c r="CS90" i="48"/>
  <c r="CS89" i="48"/>
  <c r="CR47" i="48"/>
  <c r="CR48" i="48"/>
  <c r="CS37" i="48"/>
  <c r="CS5" i="48"/>
  <c r="CS4" i="48"/>
  <c r="CS63" i="48" s="1"/>
  <c r="CV20" i="44" s="1"/>
  <c r="CS36" i="48"/>
  <c r="CT6" i="48"/>
  <c r="CT29" i="48"/>
  <c r="CT28" i="48"/>
  <c r="CT88" i="48"/>
  <c r="CT7" i="48"/>
  <c r="CT68" i="48"/>
  <c r="CT73" i="48"/>
  <c r="CT32" i="48"/>
  <c r="CT35" i="48"/>
  <c r="CT66" i="48"/>
  <c r="CT84" i="48"/>
  <c r="CT72" i="48"/>
  <c r="CT70" i="48"/>
  <c r="CT27" i="48"/>
  <c r="CT30" i="48"/>
  <c r="CT86" i="48"/>
  <c r="CU82" i="48"/>
  <c r="CU83" i="48"/>
  <c r="CU68" i="48"/>
  <c r="CU66" i="48"/>
  <c r="CU34" i="48"/>
  <c r="CU6" i="48"/>
  <c r="CT87" i="48"/>
  <c r="CY3" i="44"/>
  <c r="CY2" i="44" s="1"/>
  <c r="CS76" i="48" l="1"/>
  <c r="CV12" i="44"/>
  <c r="CV13" i="44"/>
  <c r="CU21" i="44"/>
  <c r="CU26" i="44" s="1"/>
  <c r="CU22" i="44"/>
  <c r="CU27" i="44" s="1"/>
  <c r="CT75" i="48"/>
  <c r="CT89" i="48"/>
  <c r="CT90" i="48"/>
  <c r="CS8" i="48"/>
  <c r="CS50" i="48"/>
  <c r="CV19" i="44" s="1"/>
  <c r="CS49" i="48"/>
  <c r="CV10" i="44" s="1"/>
  <c r="CS48" i="48"/>
  <c r="CT36" i="48"/>
  <c r="CT5" i="48"/>
  <c r="CT48" i="48" s="1"/>
  <c r="CT4" i="48"/>
  <c r="CS47" i="48"/>
  <c r="CS62" i="48"/>
  <c r="CV11" i="44" s="1"/>
  <c r="CV25" i="44" s="1"/>
  <c r="CU4" i="48"/>
  <c r="CT37" i="48"/>
  <c r="CU87" i="48"/>
  <c r="CU69" i="48"/>
  <c r="CU29" i="48"/>
  <c r="CU31" i="48"/>
  <c r="CU27" i="48"/>
  <c r="CU67" i="48"/>
  <c r="CU32" i="48"/>
  <c r="CU73" i="48"/>
  <c r="CU30" i="48"/>
  <c r="CU74" i="48"/>
  <c r="CU85" i="48"/>
  <c r="CU5" i="48"/>
  <c r="CU81" i="48"/>
  <c r="CU80" i="48"/>
  <c r="CU7" i="48"/>
  <c r="CU37" i="48"/>
  <c r="CU72" i="48"/>
  <c r="CU28" i="48"/>
  <c r="CU86" i="48"/>
  <c r="CU88" i="48"/>
  <c r="CU35" i="48"/>
  <c r="CU36" i="48"/>
  <c r="CU9" i="48"/>
  <c r="CU33" i="48"/>
  <c r="CU71" i="48"/>
  <c r="CU70" i="48"/>
  <c r="CU84" i="48"/>
  <c r="CZ3" i="44"/>
  <c r="CZ2" i="44" s="1"/>
  <c r="CT76" i="48" l="1"/>
  <c r="CW12" i="44"/>
  <c r="CW13" i="44"/>
  <c r="CV24" i="44"/>
  <c r="CV22" i="44"/>
  <c r="CV27" i="44" s="1"/>
  <c r="CV21" i="44"/>
  <c r="CV26" i="44" s="1"/>
  <c r="CU75" i="48"/>
  <c r="CU89" i="48"/>
  <c r="CU90" i="48"/>
  <c r="CT49" i="48"/>
  <c r="CW10" i="44" s="1"/>
  <c r="CT50" i="48"/>
  <c r="CW19" i="44" s="1"/>
  <c r="CT63" i="48"/>
  <c r="CW20" i="44" s="1"/>
  <c r="CT47" i="48"/>
  <c r="CT8" i="48"/>
  <c r="CT62" i="48"/>
  <c r="CW11" i="44" s="1"/>
  <c r="CU48" i="48"/>
  <c r="CU62" i="48"/>
  <c r="CX11" i="44" s="1"/>
  <c r="CU8" i="48"/>
  <c r="CU49" i="48"/>
  <c r="CU47" i="48"/>
  <c r="CU50" i="48"/>
  <c r="CX19" i="44" s="1"/>
  <c r="CU63" i="48"/>
  <c r="CX20" i="44" s="1"/>
  <c r="CV33" i="48"/>
  <c r="CV82" i="48"/>
  <c r="CV85" i="48"/>
  <c r="CV67" i="48"/>
  <c r="CW85" i="48"/>
  <c r="CW82" i="48"/>
  <c r="CW71" i="48"/>
  <c r="CW27" i="48"/>
  <c r="CW31" i="48"/>
  <c r="CW9" i="48"/>
  <c r="CV9" i="48"/>
  <c r="CV29" i="48"/>
  <c r="CV28" i="48"/>
  <c r="CV32" i="48"/>
  <c r="CV71" i="48"/>
  <c r="CV84" i="48"/>
  <c r="CV86" i="48"/>
  <c r="CV73" i="48"/>
  <c r="CV74" i="48"/>
  <c r="CV69" i="48"/>
  <c r="CV88" i="48"/>
  <c r="CV27" i="48"/>
  <c r="CV70" i="48"/>
  <c r="CV66" i="48"/>
  <c r="CW88" i="48"/>
  <c r="CV30" i="48"/>
  <c r="CV87" i="48"/>
  <c r="CV7" i="48"/>
  <c r="CW7" i="48" s="1"/>
  <c r="CV83" i="48"/>
  <c r="CV31" i="48"/>
  <c r="CV34" i="48"/>
  <c r="CV6" i="48"/>
  <c r="CV5" i="48" s="1"/>
  <c r="CV35" i="48"/>
  <c r="CV68" i="48"/>
  <c r="CV81" i="48"/>
  <c r="CV72" i="48"/>
  <c r="CV80" i="48"/>
  <c r="DA3" i="44"/>
  <c r="DA2" i="44" s="1"/>
  <c r="CX25" i="44" l="1"/>
  <c r="CW25" i="44"/>
  <c r="CW24" i="44"/>
  <c r="CU76" i="48"/>
  <c r="CX13" i="44"/>
  <c r="CX12" i="44"/>
  <c r="CW22" i="44"/>
  <c r="CW27" i="44" s="1"/>
  <c r="CW21" i="44"/>
  <c r="CW26" i="44" s="1"/>
  <c r="CV75" i="48"/>
  <c r="CV89" i="48"/>
  <c r="CV90" i="48"/>
  <c r="CX10" i="44"/>
  <c r="CX24" i="44" s="1"/>
  <c r="CV36" i="48"/>
  <c r="CV4" i="48"/>
  <c r="CV62" i="48" s="1"/>
  <c r="CY11" i="44" s="1"/>
  <c r="CV50" i="48"/>
  <c r="CY19" i="44" s="1"/>
  <c r="CV47" i="48"/>
  <c r="CV48" i="48"/>
  <c r="CV49" i="48"/>
  <c r="CY10" i="44" s="1"/>
  <c r="CV37" i="48"/>
  <c r="CV8" i="48"/>
  <c r="CW81" i="48"/>
  <c r="CW83" i="48"/>
  <c r="CW28" i="48"/>
  <c r="CW72" i="48"/>
  <c r="CW80" i="48"/>
  <c r="CW35" i="48"/>
  <c r="CW66" i="48"/>
  <c r="CW69" i="48"/>
  <c r="CW6" i="48"/>
  <c r="CW29" i="48"/>
  <c r="CW74" i="48"/>
  <c r="CW30" i="48"/>
  <c r="CW33" i="48"/>
  <c r="CW67" i="48"/>
  <c r="CW70" i="48"/>
  <c r="CW34" i="48"/>
  <c r="CW68" i="48"/>
  <c r="CW73" i="48"/>
  <c r="CW86" i="48"/>
  <c r="CX35" i="48"/>
  <c r="CW32" i="48"/>
  <c r="CW87" i="48"/>
  <c r="CW84" i="48"/>
  <c r="DB3" i="44"/>
  <c r="DB2" i="44" s="1"/>
  <c r="CV76" i="48" l="1"/>
  <c r="CY13" i="44"/>
  <c r="CY12" i="44"/>
  <c r="CX22" i="44"/>
  <c r="CX27" i="44" s="1"/>
  <c r="CX21" i="44"/>
  <c r="CX26" i="44" s="1"/>
  <c r="CY24" i="44"/>
  <c r="CV63" i="48"/>
  <c r="CY20" i="44" s="1"/>
  <c r="CY25" i="44" s="1"/>
  <c r="CW75" i="48"/>
  <c r="CW89" i="48"/>
  <c r="CW90" i="48"/>
  <c r="CW36" i="48"/>
  <c r="CW4" i="48"/>
  <c r="CW37" i="48"/>
  <c r="CW5" i="48"/>
  <c r="CW50" i="48" s="1"/>
  <c r="CZ19" i="44" s="1"/>
  <c r="CX81" i="48"/>
  <c r="CX82" i="48"/>
  <c r="CX30" i="48"/>
  <c r="CX83" i="48"/>
  <c r="CX70" i="48"/>
  <c r="CX31" i="48"/>
  <c r="CX29" i="48"/>
  <c r="CX68" i="48"/>
  <c r="CX9" i="48"/>
  <c r="CX34" i="48"/>
  <c r="CX6" i="48"/>
  <c r="CX32" i="48"/>
  <c r="CX7" i="48"/>
  <c r="CY7" i="48" s="1"/>
  <c r="CX71" i="48"/>
  <c r="CX87" i="48"/>
  <c r="CX73" i="48"/>
  <c r="CX86" i="48"/>
  <c r="CX84" i="48"/>
  <c r="CX28" i="48"/>
  <c r="CX33" i="48"/>
  <c r="CX72" i="48"/>
  <c r="CX67" i="48"/>
  <c r="CX88" i="48"/>
  <c r="CX69" i="48"/>
  <c r="CX80" i="48"/>
  <c r="CX74" i="48"/>
  <c r="CX27" i="48"/>
  <c r="CX66" i="48"/>
  <c r="CX85" i="48"/>
  <c r="CY83" i="48"/>
  <c r="CY80" i="48"/>
  <c r="CY86" i="48"/>
  <c r="CY81" i="48"/>
  <c r="CY87" i="48"/>
  <c r="CY84" i="48"/>
  <c r="CY88" i="48"/>
  <c r="CY82" i="48"/>
  <c r="CY85" i="48"/>
  <c r="CY68" i="48"/>
  <c r="CY70" i="48"/>
  <c r="CY73" i="48"/>
  <c r="CY71" i="48"/>
  <c r="CY72" i="48"/>
  <c r="CY67" i="48"/>
  <c r="CY74" i="48"/>
  <c r="CY69" i="48"/>
  <c r="CY66" i="48"/>
  <c r="CY29" i="48"/>
  <c r="CY34" i="48"/>
  <c r="CY27" i="48"/>
  <c r="CY32" i="48"/>
  <c r="CY33" i="48"/>
  <c r="CY30" i="48"/>
  <c r="CY31" i="48"/>
  <c r="CY35" i="48"/>
  <c r="CY28" i="48"/>
  <c r="CY9" i="48"/>
  <c r="CY6" i="48"/>
  <c r="DC3" i="44"/>
  <c r="DC2" i="44" s="1"/>
  <c r="CW76" i="48" l="1"/>
  <c r="CZ13" i="44"/>
  <c r="CZ12" i="44"/>
  <c r="CY22" i="44"/>
  <c r="CY27" i="44" s="1"/>
  <c r="CY21" i="44"/>
  <c r="CY26" i="44" s="1"/>
  <c r="CX75" i="48"/>
  <c r="CY75" i="48"/>
  <c r="CX89" i="48"/>
  <c r="CX90" i="48"/>
  <c r="CY90" i="48"/>
  <c r="CY89" i="48"/>
  <c r="CY36" i="48"/>
  <c r="CY5" i="48"/>
  <c r="CY8" i="48" s="1"/>
  <c r="CY49" i="48"/>
  <c r="CY4" i="48"/>
  <c r="CW49" i="48"/>
  <c r="CZ10" i="44" s="1"/>
  <c r="CZ24" i="44" s="1"/>
  <c r="CW47" i="48"/>
  <c r="CX5" i="48"/>
  <c r="CX48" i="48" s="1"/>
  <c r="CX37" i="48"/>
  <c r="CX4" i="48"/>
  <c r="CY37" i="48"/>
  <c r="CX36" i="48"/>
  <c r="CW63" i="48"/>
  <c r="CZ20" i="44" s="1"/>
  <c r="CW62" i="48"/>
  <c r="CZ11" i="44" s="1"/>
  <c r="CW8" i="48"/>
  <c r="CW48" i="48"/>
  <c r="DD3" i="44"/>
  <c r="DD2" i="44" s="1"/>
  <c r="CZ25" i="44" l="1"/>
  <c r="CY76" i="48"/>
  <c r="DB12" i="44"/>
  <c r="DB13" i="44"/>
  <c r="CX76" i="48"/>
  <c r="DA13" i="44"/>
  <c r="DA12" i="44"/>
  <c r="CZ21" i="44"/>
  <c r="CZ26" i="44" s="1"/>
  <c r="CZ22" i="44"/>
  <c r="CZ27" i="44" s="1"/>
  <c r="CY50" i="48"/>
  <c r="DB19" i="44" s="1"/>
  <c r="CY48" i="48"/>
  <c r="CY47" i="48"/>
  <c r="CX62" i="48"/>
  <c r="DA11" i="44" s="1"/>
  <c r="CX63" i="48"/>
  <c r="DA20" i="44" s="1"/>
  <c r="CX8" i="48"/>
  <c r="CY62" i="48"/>
  <c r="DB11" i="44" s="1"/>
  <c r="CY63" i="48"/>
  <c r="DB20" i="44" s="1"/>
  <c r="CX49" i="48"/>
  <c r="CX50" i="48"/>
  <c r="DA19" i="44" s="1"/>
  <c r="CX47" i="48"/>
  <c r="CZ68" i="48"/>
  <c r="CZ80" i="48"/>
  <c r="CZ85" i="48"/>
  <c r="CZ84" i="48"/>
  <c r="CZ74" i="48"/>
  <c r="CZ30" i="48"/>
  <c r="CZ82" i="48"/>
  <c r="CZ33" i="48"/>
  <c r="CZ70" i="48"/>
  <c r="CZ35" i="48"/>
  <c r="CZ34" i="48"/>
  <c r="CZ7" i="48"/>
  <c r="CZ83" i="48"/>
  <c r="CZ67" i="48"/>
  <c r="CZ69" i="48"/>
  <c r="DA86" i="48"/>
  <c r="DA67" i="48"/>
  <c r="DA72" i="48"/>
  <c r="DA73" i="48"/>
  <c r="DA31" i="48"/>
  <c r="DA27" i="48"/>
  <c r="DA33" i="48"/>
  <c r="DA6" i="48"/>
  <c r="DA9" i="48"/>
  <c r="CZ87" i="48"/>
  <c r="CZ9" i="48"/>
  <c r="CZ32" i="48"/>
  <c r="CZ71" i="48"/>
  <c r="CZ72" i="48"/>
  <c r="CZ88" i="48"/>
  <c r="CZ66" i="48"/>
  <c r="DA87" i="48"/>
  <c r="CZ28" i="48"/>
  <c r="CZ73" i="48"/>
  <c r="CZ81" i="48"/>
  <c r="CZ29" i="48"/>
  <c r="CZ31" i="48"/>
  <c r="CZ6" i="48"/>
  <c r="CZ27" i="48"/>
  <c r="CZ86" i="48"/>
  <c r="DE3" i="44"/>
  <c r="DE2" i="44" s="1"/>
  <c r="CZ36" i="48" l="1"/>
  <c r="DB25" i="44"/>
  <c r="DA21" i="44"/>
  <c r="DA26" i="44" s="1"/>
  <c r="DA22" i="44"/>
  <c r="DA27" i="44" s="1"/>
  <c r="DA25" i="44"/>
  <c r="DB22" i="44"/>
  <c r="DB27" i="44" s="1"/>
  <c r="DB21" i="44"/>
  <c r="DB26" i="44" s="1"/>
  <c r="CZ75" i="48"/>
  <c r="CZ89" i="48"/>
  <c r="CZ90" i="48"/>
  <c r="DB10" i="44"/>
  <c r="DB24" i="44" s="1"/>
  <c r="DA10" i="44"/>
  <c r="DA24" i="44" s="1"/>
  <c r="CZ4" i="48"/>
  <c r="CZ37" i="48"/>
  <c r="CZ5" i="48"/>
  <c r="DA71" i="48"/>
  <c r="DA34" i="48"/>
  <c r="DA35" i="48"/>
  <c r="DA66" i="48"/>
  <c r="DA84" i="48"/>
  <c r="DA69" i="48"/>
  <c r="DA37" i="48"/>
  <c r="DA32" i="48"/>
  <c r="DA70" i="48"/>
  <c r="DA28" i="48"/>
  <c r="DA30" i="48"/>
  <c r="DA68" i="48"/>
  <c r="DA74" i="48"/>
  <c r="DA85" i="48"/>
  <c r="DA88" i="48"/>
  <c r="DA80" i="48"/>
  <c r="DA36" i="48"/>
  <c r="DA83" i="48"/>
  <c r="DA82" i="48"/>
  <c r="DA29" i="48"/>
  <c r="DA7" i="48"/>
  <c r="DB7" i="48" s="1"/>
  <c r="DA4" i="48"/>
  <c r="DA5" i="48"/>
  <c r="DA81" i="48"/>
  <c r="DB86" i="48"/>
  <c r="DB83" i="48"/>
  <c r="DB80" i="48"/>
  <c r="DB81" i="48"/>
  <c r="DB69" i="48"/>
  <c r="DB71" i="48"/>
  <c r="DB68" i="48"/>
  <c r="DB73" i="48"/>
  <c r="DB72" i="48"/>
  <c r="DB70" i="48"/>
  <c r="DB31" i="48"/>
  <c r="DB34" i="48"/>
  <c r="DB35" i="48"/>
  <c r="DB32" i="48"/>
  <c r="DB28" i="48"/>
  <c r="DB9" i="48"/>
  <c r="DB6" i="48"/>
  <c r="DB5" i="48" s="1"/>
  <c r="DF3" i="44"/>
  <c r="DF2" i="44" s="1"/>
  <c r="CS42" i="48"/>
  <c r="CV6" i="44" s="1"/>
  <c r="CS41" i="48"/>
  <c r="CV5" i="44" s="1"/>
  <c r="CZ76" i="48" l="1"/>
  <c r="DC12" i="44"/>
  <c r="DC13" i="44"/>
  <c r="DA75" i="48"/>
  <c r="DA90" i="48"/>
  <c r="DA89" i="48"/>
  <c r="DB4" i="48"/>
  <c r="DA50" i="48"/>
  <c r="DD19" i="44" s="1"/>
  <c r="DA48" i="48"/>
  <c r="CZ63" i="48"/>
  <c r="DC20" i="44" s="1"/>
  <c r="DA44" i="48"/>
  <c r="DD8" i="44" s="1"/>
  <c r="DA42" i="48"/>
  <c r="DD6" i="44" s="1"/>
  <c r="DA40" i="48"/>
  <c r="DD4" i="44" s="1"/>
  <c r="CZ44" i="48"/>
  <c r="DC8" i="44" s="1"/>
  <c r="CZ47" i="48"/>
  <c r="DA43" i="48"/>
  <c r="DD7" i="44" s="1"/>
  <c r="CZ8" i="48"/>
  <c r="DA62" i="48"/>
  <c r="DD11" i="44" s="1"/>
  <c r="CZ41" i="48"/>
  <c r="DC5" i="44" s="1"/>
  <c r="CZ49" i="48"/>
  <c r="DC10" i="44" s="1"/>
  <c r="DB44" i="48"/>
  <c r="DE8" i="44" s="1"/>
  <c r="DA46" i="48"/>
  <c r="DA49" i="48"/>
  <c r="DA41" i="48"/>
  <c r="DD5" i="44" s="1"/>
  <c r="DA47" i="48"/>
  <c r="DA45" i="48"/>
  <c r="CZ62" i="48"/>
  <c r="DC11" i="44" s="1"/>
  <c r="DB8" i="48"/>
  <c r="CZ45" i="48"/>
  <c r="CZ43" i="48"/>
  <c r="DC7" i="44" s="1"/>
  <c r="CZ42" i="48"/>
  <c r="DC6" i="44" s="1"/>
  <c r="CZ48" i="48"/>
  <c r="CZ50" i="48"/>
  <c r="DC19" i="44" s="1"/>
  <c r="CZ46" i="48"/>
  <c r="CZ40" i="48"/>
  <c r="DC4" i="44" s="1"/>
  <c r="DA8" i="48"/>
  <c r="DA63" i="48"/>
  <c r="DD20" i="44" s="1"/>
  <c r="DB42" i="48"/>
  <c r="DE6" i="44" s="1"/>
  <c r="DB30" i="48"/>
  <c r="DB87" i="48"/>
  <c r="DC87" i="48"/>
  <c r="DC81" i="48"/>
  <c r="DC67" i="48"/>
  <c r="DC72" i="48"/>
  <c r="DC70" i="48"/>
  <c r="DC31" i="48"/>
  <c r="DC35" i="48"/>
  <c r="DB29" i="48"/>
  <c r="DB45" i="48"/>
  <c r="DB82" i="48"/>
  <c r="DB84" i="48"/>
  <c r="DB43" i="48"/>
  <c r="DE7" i="44" s="1"/>
  <c r="DB66" i="48"/>
  <c r="DB85" i="48"/>
  <c r="DB46" i="48"/>
  <c r="DB27" i="48"/>
  <c r="DB37" i="48"/>
  <c r="DB67" i="48"/>
  <c r="DB88" i="48"/>
  <c r="DB47" i="48"/>
  <c r="DB36" i="48"/>
  <c r="DB33" i="48"/>
  <c r="DB74" i="48"/>
  <c r="DB48" i="48" s="1"/>
  <c r="DG3" i="44"/>
  <c r="DG2" i="44" s="1"/>
  <c r="CY42" i="48"/>
  <c r="DB6" i="44" s="1"/>
  <c r="CY41" i="48"/>
  <c r="DB5" i="44" s="1"/>
  <c r="CX41" i="48"/>
  <c r="DA5" i="44" s="1"/>
  <c r="CV41" i="48"/>
  <c r="CY5" i="44" s="1"/>
  <c r="CW41" i="48"/>
  <c r="CZ5" i="44" s="1"/>
  <c r="CV42" i="48"/>
  <c r="CY6" i="44" s="1"/>
  <c r="CW42" i="48"/>
  <c r="CZ6" i="44" s="1"/>
  <c r="CX42" i="48"/>
  <c r="DA6" i="44" s="1"/>
  <c r="CT42" i="48"/>
  <c r="CW6" i="44" s="1"/>
  <c r="CT41" i="48"/>
  <c r="CW5" i="44" s="1"/>
  <c r="CU42" i="48"/>
  <c r="CX6" i="44" s="1"/>
  <c r="CU41" i="48"/>
  <c r="CX5" i="44" s="1"/>
  <c r="CR41" i="48"/>
  <c r="CU5" i="44" s="1"/>
  <c r="CQ41" i="48"/>
  <c r="CT5" i="44" s="1"/>
  <c r="CP41" i="48"/>
  <c r="CS5" i="44" s="1"/>
  <c r="CR42" i="48"/>
  <c r="CU6" i="44" s="1"/>
  <c r="CQ42" i="48"/>
  <c r="CT6" i="44" s="1"/>
  <c r="CP42" i="48"/>
  <c r="CS6" i="44" s="1"/>
  <c r="DD9" i="44" l="1"/>
  <c r="DC9" i="44"/>
  <c r="DD25" i="44"/>
  <c r="DC25" i="44"/>
  <c r="DC24" i="44"/>
  <c r="DA76" i="48"/>
  <c r="DD12" i="44"/>
  <c r="DD13" i="44"/>
  <c r="DC22" i="44"/>
  <c r="DC27" i="44" s="1"/>
  <c r="DC21" i="44"/>
  <c r="DC26" i="44" s="1"/>
  <c r="DB41" i="48"/>
  <c r="DE5" i="44" s="1"/>
  <c r="DE9" i="44" s="1"/>
  <c r="DB40" i="48"/>
  <c r="DE4" i="44" s="1"/>
  <c r="DB75" i="48"/>
  <c r="DB90" i="48"/>
  <c r="DB89" i="48"/>
  <c r="DD10" i="44"/>
  <c r="DD24" i="44" s="1"/>
  <c r="DB62" i="48"/>
  <c r="DE11" i="44" s="1"/>
  <c r="DB50" i="48"/>
  <c r="DE19" i="44" s="1"/>
  <c r="DB49" i="48"/>
  <c r="DE10" i="44" s="1"/>
  <c r="DB63" i="48"/>
  <c r="DE20" i="44" s="1"/>
  <c r="DC9" i="48"/>
  <c r="DC7" i="48"/>
  <c r="DC27" i="48"/>
  <c r="DC80" i="48"/>
  <c r="DC32" i="48"/>
  <c r="DC71" i="48"/>
  <c r="DC30" i="48"/>
  <c r="DC69" i="48"/>
  <c r="DC88" i="48"/>
  <c r="DC83" i="48"/>
  <c r="DC33" i="48"/>
  <c r="DC82" i="48"/>
  <c r="DC28" i="48"/>
  <c r="DC73" i="48"/>
  <c r="DC84" i="48"/>
  <c r="DC29" i="48"/>
  <c r="DC66" i="48"/>
  <c r="DC68" i="48"/>
  <c r="DC6" i="48"/>
  <c r="DC74" i="48"/>
  <c r="DD27" i="48"/>
  <c r="DC85" i="48"/>
  <c r="DC34" i="48"/>
  <c r="DC86" i="48"/>
  <c r="DH3" i="44"/>
  <c r="DH2" i="44" s="1"/>
  <c r="DC5" i="48" l="1"/>
  <c r="DE25" i="44"/>
  <c r="DD21" i="44"/>
  <c r="DD26" i="44" s="1"/>
  <c r="DD22" i="44"/>
  <c r="DD27" i="44" s="1"/>
  <c r="DB76" i="48"/>
  <c r="DE13" i="44"/>
  <c r="DE12" i="44"/>
  <c r="DE24" i="44"/>
  <c r="DC75" i="48"/>
  <c r="DC90" i="48"/>
  <c r="DC89" i="48"/>
  <c r="DC37" i="48"/>
  <c r="DC36" i="48"/>
  <c r="DC4" i="48"/>
  <c r="DC48" i="48"/>
  <c r="DC43" i="48"/>
  <c r="DF7" i="44" s="1"/>
  <c r="DC41" i="48"/>
  <c r="DF5" i="44" s="1"/>
  <c r="DC44" i="48"/>
  <c r="DF8" i="44" s="1"/>
  <c r="DC42" i="48"/>
  <c r="DF6" i="44" s="1"/>
  <c r="DC49" i="48"/>
  <c r="DC46" i="48"/>
  <c r="DC40" i="48"/>
  <c r="DF4" i="44" s="1"/>
  <c r="DC8" i="48"/>
  <c r="DC50" i="48"/>
  <c r="DF19" i="44" s="1"/>
  <c r="DC47" i="48"/>
  <c r="DC45" i="48"/>
  <c r="DD66" i="48"/>
  <c r="DD85" i="48"/>
  <c r="DD88" i="48"/>
  <c r="DD72" i="48"/>
  <c r="DD35" i="48"/>
  <c r="DD87" i="48"/>
  <c r="DD28" i="48"/>
  <c r="DD84" i="48"/>
  <c r="DD69" i="48"/>
  <c r="DD83" i="48"/>
  <c r="DD6" i="48"/>
  <c r="DD4" i="48" s="1"/>
  <c r="DD70" i="48"/>
  <c r="DD9" i="48"/>
  <c r="DD30" i="48"/>
  <c r="DD81" i="48"/>
  <c r="DD80" i="48"/>
  <c r="DD31" i="48"/>
  <c r="DD68" i="48"/>
  <c r="DD32" i="48"/>
  <c r="DD34" i="48"/>
  <c r="DD67" i="48"/>
  <c r="DD33" i="48"/>
  <c r="DD86" i="48"/>
  <c r="DD7" i="48"/>
  <c r="DE7" i="48" s="1"/>
  <c r="DD29" i="48"/>
  <c r="DD74" i="48"/>
  <c r="DD73" i="48"/>
  <c r="DD82" i="48"/>
  <c r="DD71" i="48"/>
  <c r="DE84" i="48"/>
  <c r="DE86" i="48"/>
  <c r="DE87" i="48"/>
  <c r="DE88" i="48"/>
  <c r="DE82" i="48"/>
  <c r="DE83" i="48"/>
  <c r="DE81" i="48"/>
  <c r="DE80" i="48"/>
  <c r="DE66" i="48"/>
  <c r="DE71" i="48"/>
  <c r="DE68" i="48"/>
  <c r="DE74" i="48"/>
  <c r="DE69" i="48"/>
  <c r="DE67" i="48"/>
  <c r="DE72" i="48"/>
  <c r="DE73" i="48"/>
  <c r="DE35" i="48"/>
  <c r="DE28" i="48"/>
  <c r="DE33" i="48"/>
  <c r="DE31" i="48"/>
  <c r="DE34" i="48"/>
  <c r="DE29" i="48"/>
  <c r="DE30" i="48"/>
  <c r="DE32" i="48"/>
  <c r="DE27" i="48"/>
  <c r="DE9" i="48"/>
  <c r="DE6" i="48"/>
  <c r="DI3" i="44"/>
  <c r="DI2" i="44" s="1"/>
  <c r="DF9" i="44" l="1"/>
  <c r="DC76" i="48"/>
  <c r="DF13" i="44"/>
  <c r="DF12" i="44"/>
  <c r="DE21" i="44"/>
  <c r="DE26" i="44" s="1"/>
  <c r="DE22" i="44"/>
  <c r="DE27" i="44" s="1"/>
  <c r="DD75" i="48"/>
  <c r="DD89" i="48"/>
  <c r="DD90" i="48"/>
  <c r="DC63" i="48"/>
  <c r="DF20" i="44" s="1"/>
  <c r="DE37" i="48"/>
  <c r="DC62" i="48"/>
  <c r="DF11" i="44" s="1"/>
  <c r="DD37" i="48"/>
  <c r="DD62" i="48"/>
  <c r="DG11" i="44" s="1"/>
  <c r="DD63" i="48"/>
  <c r="DG20" i="44" s="1"/>
  <c r="DD5" i="48"/>
  <c r="DD41" i="48" s="1"/>
  <c r="DG5" i="44" s="1"/>
  <c r="DD36" i="48"/>
  <c r="DE5" i="48"/>
  <c r="DE4" i="48"/>
  <c r="DE36" i="48"/>
  <c r="DF10" i="44"/>
  <c r="DF24" i="44" s="1"/>
  <c r="DF81" i="48"/>
  <c r="DF85" i="48"/>
  <c r="DF83" i="48"/>
  <c r="DF86" i="48"/>
  <c r="DF87" i="48"/>
  <c r="DF88" i="48"/>
  <c r="DF82" i="48"/>
  <c r="DF84" i="48"/>
  <c r="DF80" i="48"/>
  <c r="DF68" i="48"/>
  <c r="DF72" i="48"/>
  <c r="DF67" i="48"/>
  <c r="DF69" i="48"/>
  <c r="DF70" i="48"/>
  <c r="DF71" i="48"/>
  <c r="DF66" i="48"/>
  <c r="DF73" i="48"/>
  <c r="DF74" i="48"/>
  <c r="DF30" i="48"/>
  <c r="DF35" i="48"/>
  <c r="DF28" i="48"/>
  <c r="DF33" i="48"/>
  <c r="DF32" i="48"/>
  <c r="DF29" i="48"/>
  <c r="DF31" i="48"/>
  <c r="DF27" i="48"/>
  <c r="DF34" i="48"/>
  <c r="DF6" i="48"/>
  <c r="DF9" i="48"/>
  <c r="DF7" i="48"/>
  <c r="DE70" i="48"/>
  <c r="DE75" i="48" s="1"/>
  <c r="DE85" i="48"/>
  <c r="DE90" i="48" s="1"/>
  <c r="DJ3" i="44"/>
  <c r="DJ2" i="44" s="1"/>
  <c r="DF37" i="48" l="1"/>
  <c r="DG25" i="44"/>
  <c r="DF25" i="44"/>
  <c r="DD76" i="48"/>
  <c r="DG12" i="44"/>
  <c r="DG13" i="44"/>
  <c r="DE76" i="48"/>
  <c r="DH12" i="44"/>
  <c r="DH13" i="44"/>
  <c r="DF21" i="44"/>
  <c r="DF26" i="44" s="1"/>
  <c r="DF22" i="44"/>
  <c r="DF27" i="44" s="1"/>
  <c r="DF75" i="48"/>
  <c r="DF89" i="48"/>
  <c r="DF90" i="48"/>
  <c r="DE89" i="48"/>
  <c r="DF4" i="48"/>
  <c r="DE47" i="48"/>
  <c r="DE40" i="48"/>
  <c r="DH4" i="44" s="1"/>
  <c r="DE43" i="48"/>
  <c r="DH7" i="44" s="1"/>
  <c r="DE46" i="48"/>
  <c r="DE41" i="48"/>
  <c r="DH5" i="44" s="1"/>
  <c r="DE50" i="48"/>
  <c r="DH19" i="44" s="1"/>
  <c r="DD50" i="48"/>
  <c r="DG19" i="44" s="1"/>
  <c r="DE44" i="48"/>
  <c r="DH8" i="44" s="1"/>
  <c r="DE49" i="48"/>
  <c r="DE48" i="48"/>
  <c r="DE45" i="48"/>
  <c r="DD42" i="48"/>
  <c r="DG6" i="44" s="1"/>
  <c r="DF5" i="48"/>
  <c r="DF40" i="48" s="1"/>
  <c r="DI4" i="44" s="1"/>
  <c r="DD43" i="48"/>
  <c r="DG7" i="44" s="1"/>
  <c r="DD45" i="48"/>
  <c r="DD46" i="48"/>
  <c r="DD47" i="48"/>
  <c r="DE63" i="48"/>
  <c r="DH20" i="44" s="1"/>
  <c r="DD44" i="48"/>
  <c r="DG8" i="44" s="1"/>
  <c r="DD8" i="48"/>
  <c r="DD40" i="48"/>
  <c r="DG4" i="44" s="1"/>
  <c r="DE62" i="48"/>
  <c r="DH11" i="44" s="1"/>
  <c r="DE8" i="48"/>
  <c r="DF36" i="48"/>
  <c r="DD49" i="48"/>
  <c r="DE42" i="48"/>
  <c r="DH6" i="44" s="1"/>
  <c r="DD48" i="48"/>
  <c r="DG81" i="48"/>
  <c r="DG83" i="48"/>
  <c r="DG71" i="48"/>
  <c r="DG68" i="48"/>
  <c r="DG35" i="48"/>
  <c r="DG27" i="48"/>
  <c r="DG7" i="48"/>
  <c r="DK3" i="44"/>
  <c r="DK2" i="44" s="1"/>
  <c r="DH9" i="44" l="1"/>
  <c r="DG9" i="44"/>
  <c r="DH22" i="44"/>
  <c r="DH27" i="44" s="1"/>
  <c r="DH21" i="44"/>
  <c r="DH26" i="44" s="1"/>
  <c r="DF76" i="48"/>
  <c r="DI13" i="44"/>
  <c r="DI12" i="44"/>
  <c r="DH25" i="44"/>
  <c r="DG21" i="44"/>
  <c r="DG26" i="44" s="1"/>
  <c r="DG22" i="44"/>
  <c r="DG27" i="44" s="1"/>
  <c r="DF62" i="48"/>
  <c r="DI11" i="44" s="1"/>
  <c r="DF63" i="48"/>
  <c r="DI20" i="44" s="1"/>
  <c r="DI25" i="44" s="1"/>
  <c r="DF49" i="48"/>
  <c r="DI10" i="44" s="1"/>
  <c r="DF48" i="48"/>
  <c r="DF43" i="48"/>
  <c r="DI7" i="44" s="1"/>
  <c r="DF8" i="48"/>
  <c r="DF50" i="48"/>
  <c r="DI19" i="44" s="1"/>
  <c r="DF45" i="48"/>
  <c r="DF46" i="48"/>
  <c r="DF41" i="48"/>
  <c r="DI5" i="44" s="1"/>
  <c r="DF47" i="48"/>
  <c r="DF44" i="48"/>
  <c r="DI8" i="44" s="1"/>
  <c r="DH10" i="44"/>
  <c r="DH24" i="44" s="1"/>
  <c r="DG10" i="44"/>
  <c r="DG24" i="44" s="1"/>
  <c r="DF42" i="48"/>
  <c r="DI6" i="44" s="1"/>
  <c r="DG29" i="48"/>
  <c r="DG66" i="48"/>
  <c r="DG85" i="48"/>
  <c r="DG31" i="48"/>
  <c r="DG30" i="48"/>
  <c r="DG9" i="48"/>
  <c r="DG32" i="48"/>
  <c r="DG6" i="48"/>
  <c r="DG72" i="48"/>
  <c r="DG69" i="48"/>
  <c r="DG67" i="48"/>
  <c r="DG87" i="48"/>
  <c r="DG84" i="48"/>
  <c r="DH85" i="48"/>
  <c r="DH27" i="48"/>
  <c r="DG33" i="48"/>
  <c r="DG86" i="48"/>
  <c r="DG82" i="48"/>
  <c r="DG73" i="48"/>
  <c r="DG80" i="48"/>
  <c r="DG34" i="48"/>
  <c r="DG28" i="48"/>
  <c r="DG70" i="48"/>
  <c r="DG74" i="48"/>
  <c r="DG88" i="48"/>
  <c r="DL3" i="44"/>
  <c r="DL2" i="44" s="1"/>
  <c r="DG4" i="48" l="1"/>
  <c r="DI9" i="44"/>
  <c r="DI24" i="44"/>
  <c r="DI21" i="44"/>
  <c r="DI26" i="44" s="1"/>
  <c r="DI22" i="44"/>
  <c r="DI27" i="44" s="1"/>
  <c r="DG75" i="48"/>
  <c r="DG90" i="48"/>
  <c r="DG89" i="48"/>
  <c r="DG62" i="48"/>
  <c r="DJ11" i="44" s="1"/>
  <c r="DG36" i="48"/>
  <c r="DG37" i="48"/>
  <c r="DG63" i="48"/>
  <c r="DJ20" i="44" s="1"/>
  <c r="DG5" i="48"/>
  <c r="DG44" i="48" s="1"/>
  <c r="DJ8" i="44" s="1"/>
  <c r="DH30" i="48"/>
  <c r="DH87" i="48"/>
  <c r="DH67" i="48"/>
  <c r="DH82" i="48"/>
  <c r="DH84" i="48"/>
  <c r="DH80" i="48"/>
  <c r="DH74" i="48"/>
  <c r="DH73" i="48"/>
  <c r="DH81" i="48"/>
  <c r="DI80" i="48"/>
  <c r="DI84" i="48"/>
  <c r="DI88" i="48"/>
  <c r="DI87" i="48"/>
  <c r="DI82" i="48"/>
  <c r="DI81" i="48"/>
  <c r="DI83" i="48"/>
  <c r="DI85" i="48"/>
  <c r="DI68" i="48"/>
  <c r="DI72" i="48"/>
  <c r="DI70" i="48"/>
  <c r="DI66" i="48"/>
  <c r="DI73" i="48"/>
  <c r="DI67" i="48"/>
  <c r="DI69" i="48"/>
  <c r="DI71" i="48"/>
  <c r="DI74" i="48"/>
  <c r="DI27" i="48"/>
  <c r="DI32" i="48"/>
  <c r="DI30" i="48"/>
  <c r="DI35" i="48"/>
  <c r="DI34" i="48"/>
  <c r="DI31" i="48"/>
  <c r="DI33" i="48"/>
  <c r="DI28" i="48"/>
  <c r="DI29" i="48"/>
  <c r="DI6" i="48"/>
  <c r="DI9" i="48"/>
  <c r="DH29" i="48"/>
  <c r="DH68" i="48"/>
  <c r="DH9" i="48"/>
  <c r="DH33" i="48"/>
  <c r="DH28" i="48"/>
  <c r="DH32" i="48"/>
  <c r="DH86" i="48"/>
  <c r="DH7" i="48"/>
  <c r="DI7" i="48" s="1"/>
  <c r="DH6" i="48"/>
  <c r="DH71" i="48"/>
  <c r="DH66" i="48"/>
  <c r="DH83" i="48"/>
  <c r="DH88" i="48"/>
  <c r="DH31" i="48"/>
  <c r="DH72" i="48"/>
  <c r="DH69" i="48"/>
  <c r="DH70" i="48"/>
  <c r="DH34" i="48"/>
  <c r="DH35" i="48"/>
  <c r="DM3" i="44"/>
  <c r="DM2" i="44" s="1"/>
  <c r="CS44" i="48"/>
  <c r="CV8" i="44" s="1"/>
  <c r="CS46" i="48"/>
  <c r="DJ25" i="44" l="1"/>
  <c r="DG76" i="48"/>
  <c r="DJ13" i="44"/>
  <c r="DJ12" i="44"/>
  <c r="DH75" i="48"/>
  <c r="DI75" i="48"/>
  <c r="DH90" i="48"/>
  <c r="DH89" i="48"/>
  <c r="DI37" i="48"/>
  <c r="DI36" i="48"/>
  <c r="DG50" i="48"/>
  <c r="DJ19" i="44" s="1"/>
  <c r="DG43" i="48"/>
  <c r="DJ7" i="44" s="1"/>
  <c r="DG49" i="48"/>
  <c r="DG46" i="48"/>
  <c r="DH5" i="48"/>
  <c r="DI5" i="48"/>
  <c r="DG47" i="48"/>
  <c r="DG45" i="48"/>
  <c r="DG40" i="48"/>
  <c r="DJ4" i="44" s="1"/>
  <c r="DG8" i="48"/>
  <c r="DG48" i="48"/>
  <c r="DG42" i="48"/>
  <c r="DJ6" i="44" s="1"/>
  <c r="DH37" i="48"/>
  <c r="DH36" i="48"/>
  <c r="DH4" i="48"/>
  <c r="DG41" i="48"/>
  <c r="DJ5" i="44" s="1"/>
  <c r="DI4" i="48"/>
  <c r="DJ73" i="48"/>
  <c r="DJ80" i="48"/>
  <c r="DI86" i="48"/>
  <c r="DI90" i="48" s="1"/>
  <c r="DN3" i="44"/>
  <c r="DN2" i="44" s="1"/>
  <c r="DJ9" i="44" l="1"/>
  <c r="DI76" i="48"/>
  <c r="DL13" i="44"/>
  <c r="DL12" i="44"/>
  <c r="DH76" i="48"/>
  <c r="DK13" i="44"/>
  <c r="DK12" i="44"/>
  <c r="DJ22" i="44"/>
  <c r="DJ27" i="44" s="1"/>
  <c r="DJ21" i="44"/>
  <c r="DJ26" i="44" s="1"/>
  <c r="DI89" i="48"/>
  <c r="DI8" i="48"/>
  <c r="DI50" i="48"/>
  <c r="DL19" i="44" s="1"/>
  <c r="DI49" i="48"/>
  <c r="DI63" i="48"/>
  <c r="DL20" i="44" s="1"/>
  <c r="DH63" i="48"/>
  <c r="DK20" i="44" s="1"/>
  <c r="DH62" i="48"/>
  <c r="DK11" i="44" s="1"/>
  <c r="DH45" i="48"/>
  <c r="DI44" i="48"/>
  <c r="DL8" i="44" s="1"/>
  <c r="DJ10" i="44"/>
  <c r="DJ24" i="44" s="1"/>
  <c r="DH47" i="48"/>
  <c r="DH50" i="48"/>
  <c r="DK19" i="44" s="1"/>
  <c r="DI48" i="48"/>
  <c r="DH43" i="48"/>
  <c r="DK7" i="44" s="1"/>
  <c r="DH40" i="48"/>
  <c r="DK4" i="44" s="1"/>
  <c r="DH8" i="48"/>
  <c r="DH42" i="48"/>
  <c r="DK6" i="44" s="1"/>
  <c r="DH44" i="48"/>
  <c r="DK8" i="44" s="1"/>
  <c r="DH48" i="48"/>
  <c r="DH46" i="48"/>
  <c r="DH41" i="48"/>
  <c r="DK5" i="44" s="1"/>
  <c r="DI40" i="48"/>
  <c r="DL4" i="44" s="1"/>
  <c r="DI47" i="48"/>
  <c r="DI45" i="48"/>
  <c r="DI42" i="48"/>
  <c r="DL6" i="44" s="1"/>
  <c r="DI41" i="48"/>
  <c r="DL5" i="44" s="1"/>
  <c r="DI43" i="48"/>
  <c r="DL7" i="44" s="1"/>
  <c r="DI62" i="48"/>
  <c r="DL11" i="44" s="1"/>
  <c r="DH49" i="48"/>
  <c r="DI46" i="48"/>
  <c r="DJ83" i="48"/>
  <c r="DJ85" i="48"/>
  <c r="DJ31" i="48"/>
  <c r="DJ68" i="48"/>
  <c r="DJ28" i="48"/>
  <c r="DJ29" i="48"/>
  <c r="DJ27" i="48"/>
  <c r="DJ71" i="48"/>
  <c r="DJ81" i="48"/>
  <c r="DJ88" i="48"/>
  <c r="DJ32" i="48"/>
  <c r="DJ82" i="48"/>
  <c r="DJ7" i="48"/>
  <c r="DJ69" i="48"/>
  <c r="DJ87" i="48"/>
  <c r="DJ84" i="48"/>
  <c r="DK87" i="48"/>
  <c r="DK66" i="48"/>
  <c r="DK73" i="48"/>
  <c r="DK67" i="48"/>
  <c r="DK71" i="48"/>
  <c r="DK27" i="48"/>
  <c r="DK32" i="48"/>
  <c r="DK35" i="48"/>
  <c r="DJ74" i="48"/>
  <c r="DJ35" i="48"/>
  <c r="DJ67" i="48"/>
  <c r="DJ86" i="48"/>
  <c r="DJ72" i="48"/>
  <c r="DJ33" i="48"/>
  <c r="DJ30" i="48"/>
  <c r="DJ34" i="48"/>
  <c r="DJ66" i="48"/>
  <c r="DJ70" i="48"/>
  <c r="DJ9" i="48"/>
  <c r="DJ6" i="48"/>
  <c r="DJ37" i="48" s="1"/>
  <c r="DO3" i="44"/>
  <c r="DO2" i="44" s="1"/>
  <c r="CS40" i="48"/>
  <c r="CV4" i="44" s="1"/>
  <c r="CQ46" i="48"/>
  <c r="CR46" i="48"/>
  <c r="CP46" i="48"/>
  <c r="DL9" i="44" l="1"/>
  <c r="DK9" i="44"/>
  <c r="DK25" i="44"/>
  <c r="DL25" i="44"/>
  <c r="DK22" i="44"/>
  <c r="DK27" i="44" s="1"/>
  <c r="DK21" i="44"/>
  <c r="DK26" i="44" s="1"/>
  <c r="DL21" i="44"/>
  <c r="DL26" i="44" s="1"/>
  <c r="DL22" i="44"/>
  <c r="DL27" i="44" s="1"/>
  <c r="DJ75" i="48"/>
  <c r="DJ90" i="48"/>
  <c r="DJ89" i="48"/>
  <c r="DJ36" i="48"/>
  <c r="DL10" i="44"/>
  <c r="DL24" i="44" s="1"/>
  <c r="DJ5" i="48"/>
  <c r="DJ42" i="48" s="1"/>
  <c r="DM6" i="44" s="1"/>
  <c r="DJ4" i="48"/>
  <c r="DK10" i="44"/>
  <c r="DK24" i="44" s="1"/>
  <c r="DK31" i="48"/>
  <c r="DK69" i="48"/>
  <c r="DK86" i="48"/>
  <c r="DK82" i="48"/>
  <c r="DK28" i="48"/>
  <c r="DK34" i="48"/>
  <c r="DK72" i="48"/>
  <c r="DK88" i="48"/>
  <c r="DK83" i="48"/>
  <c r="DK81" i="48"/>
  <c r="DK7" i="48"/>
  <c r="DL7" i="48" s="1"/>
  <c r="DK74" i="48"/>
  <c r="DK84" i="48"/>
  <c r="DK85" i="48"/>
  <c r="DK30" i="48"/>
  <c r="DK70" i="48"/>
  <c r="DK80" i="48"/>
  <c r="DL87" i="48"/>
  <c r="DL85" i="48"/>
  <c r="DL88" i="48"/>
  <c r="DL68" i="48"/>
  <c r="DL71" i="48"/>
  <c r="DL70" i="48"/>
  <c r="DL69" i="48"/>
  <c r="DL74" i="48"/>
  <c r="DL67" i="48"/>
  <c r="DL34" i="48"/>
  <c r="DL27" i="48"/>
  <c r="DL31" i="48"/>
  <c r="DL9" i="48"/>
  <c r="DK9" i="48"/>
  <c r="DK33" i="48"/>
  <c r="DK29" i="48"/>
  <c r="DK6" i="48"/>
  <c r="DK68" i="48"/>
  <c r="DP3" i="44"/>
  <c r="DP2" i="44" s="1"/>
  <c r="CU46" i="48"/>
  <c r="CT46" i="48"/>
  <c r="DJ76" i="48" l="1"/>
  <c r="DM13" i="44"/>
  <c r="DM12" i="44"/>
  <c r="DK75" i="48"/>
  <c r="DK90" i="48"/>
  <c r="DK89" i="48"/>
  <c r="DJ8" i="48"/>
  <c r="DJ44" i="48"/>
  <c r="DM8" i="44" s="1"/>
  <c r="DJ45" i="48"/>
  <c r="DJ50" i="48"/>
  <c r="DM19" i="44" s="1"/>
  <c r="DJ49" i="48"/>
  <c r="DM10" i="44" s="1"/>
  <c r="DJ41" i="48"/>
  <c r="DM5" i="44" s="1"/>
  <c r="DJ47" i="48"/>
  <c r="DJ48" i="48"/>
  <c r="DJ40" i="48"/>
  <c r="DM4" i="44" s="1"/>
  <c r="DJ46" i="48"/>
  <c r="DK4" i="48"/>
  <c r="DJ43" i="48"/>
  <c r="DM7" i="44" s="1"/>
  <c r="DK36" i="48"/>
  <c r="DK5" i="48"/>
  <c r="DJ62" i="48"/>
  <c r="DM11" i="44" s="1"/>
  <c r="DK37" i="48"/>
  <c r="DJ63" i="48"/>
  <c r="DM20" i="44" s="1"/>
  <c r="DM25" i="44" s="1"/>
  <c r="DL6" i="48"/>
  <c r="DL36" i="48" s="1"/>
  <c r="DL83" i="48"/>
  <c r="DL82" i="48"/>
  <c r="DL28" i="48"/>
  <c r="DL29" i="48"/>
  <c r="DL73" i="48"/>
  <c r="DL84" i="48"/>
  <c r="DL30" i="48"/>
  <c r="DL81" i="48"/>
  <c r="DL86" i="48"/>
  <c r="DL33" i="48"/>
  <c r="DL80" i="48"/>
  <c r="DL32" i="48"/>
  <c r="DL72" i="48"/>
  <c r="DL66" i="48"/>
  <c r="DM81" i="48"/>
  <c r="DM86" i="48"/>
  <c r="DM72" i="48"/>
  <c r="DM70" i="48"/>
  <c r="DM69" i="48"/>
  <c r="DM35" i="48"/>
  <c r="DM32" i="48"/>
  <c r="DM6" i="48"/>
  <c r="DM37" i="48" s="1"/>
  <c r="DM9" i="48"/>
  <c r="DM7" i="48"/>
  <c r="DL35" i="48"/>
  <c r="DQ3" i="44"/>
  <c r="DQ2" i="44" s="1"/>
  <c r="CY46" i="48"/>
  <c r="CR45" i="48"/>
  <c r="CQ45" i="48"/>
  <c r="CP45" i="48"/>
  <c r="CP44" i="48"/>
  <c r="CS8" i="44" s="1"/>
  <c r="CR44" i="48"/>
  <c r="CU8" i="44" s="1"/>
  <c r="CQ44" i="48"/>
  <c r="CT8" i="44" s="1"/>
  <c r="DM9" i="44" l="1"/>
  <c r="DM24" i="44"/>
  <c r="DK76" i="48"/>
  <c r="DN13" i="44"/>
  <c r="DN12" i="44"/>
  <c r="DM21" i="44"/>
  <c r="DM26" i="44" s="1"/>
  <c r="DM22" i="44"/>
  <c r="DM27" i="44" s="1"/>
  <c r="DL75" i="48"/>
  <c r="DL90" i="48"/>
  <c r="DL89" i="48"/>
  <c r="DK62" i="48"/>
  <c r="DN11" i="44" s="1"/>
  <c r="DK63" i="48"/>
  <c r="DN20" i="44" s="1"/>
  <c r="DL5" i="48"/>
  <c r="DL45" i="48" s="1"/>
  <c r="DK49" i="48"/>
  <c r="DN10" i="44" s="1"/>
  <c r="DK8" i="48"/>
  <c r="DK44" i="48"/>
  <c r="DN8" i="44" s="1"/>
  <c r="DL37" i="48"/>
  <c r="DK42" i="48"/>
  <c r="DN6" i="44" s="1"/>
  <c r="DK50" i="48"/>
  <c r="DN19" i="44" s="1"/>
  <c r="DL4" i="48"/>
  <c r="DL63" i="48" s="1"/>
  <c r="DO20" i="44" s="1"/>
  <c r="DK45" i="48"/>
  <c r="DK40" i="48"/>
  <c r="DN4" i="44" s="1"/>
  <c r="DK47" i="48"/>
  <c r="DK46" i="48"/>
  <c r="DK41" i="48"/>
  <c r="DN5" i="44" s="1"/>
  <c r="DK48" i="48"/>
  <c r="DK43" i="48"/>
  <c r="DN7" i="44" s="1"/>
  <c r="DM5" i="48"/>
  <c r="DM74" i="48"/>
  <c r="DM31" i="48"/>
  <c r="DM88" i="48"/>
  <c r="DM82" i="48"/>
  <c r="DM4" i="48"/>
  <c r="DM27" i="48"/>
  <c r="DM68" i="48"/>
  <c r="DM87" i="48"/>
  <c r="DM28" i="48"/>
  <c r="DM73" i="48"/>
  <c r="DM83" i="48"/>
  <c r="DM36" i="48"/>
  <c r="DM85" i="48"/>
  <c r="DN80" i="48"/>
  <c r="DN82" i="48"/>
  <c r="DN84" i="48"/>
  <c r="DN85" i="48"/>
  <c r="DN69" i="48"/>
  <c r="DN72" i="48"/>
  <c r="DN66" i="48"/>
  <c r="DN34" i="48"/>
  <c r="DN28" i="48"/>
  <c r="DN33" i="48"/>
  <c r="DN9" i="48"/>
  <c r="DM33" i="48"/>
  <c r="DM34" i="48"/>
  <c r="DM66" i="48"/>
  <c r="DM80" i="48"/>
  <c r="DM67" i="48"/>
  <c r="DM71" i="48"/>
  <c r="DM84" i="48"/>
  <c r="DM29" i="48"/>
  <c r="DN81" i="48"/>
  <c r="DM30" i="48"/>
  <c r="DR3" i="44"/>
  <c r="DR2" i="44" s="1"/>
  <c r="CV46" i="48"/>
  <c r="CX46" i="48"/>
  <c r="CW46" i="48"/>
  <c r="CU44" i="48"/>
  <c r="CX8" i="44" s="1"/>
  <c r="CT44" i="48"/>
  <c r="CW8" i="44" s="1"/>
  <c r="CQ40" i="48"/>
  <c r="CT4" i="44" s="1"/>
  <c r="CR40" i="48"/>
  <c r="CU4" i="44" s="1"/>
  <c r="CP40" i="48"/>
  <c r="CS4" i="44" s="1"/>
  <c r="DN9" i="44" l="1"/>
  <c r="DN25" i="44"/>
  <c r="DL76" i="48"/>
  <c r="DO12" i="44"/>
  <c r="DO13" i="44"/>
  <c r="DN24" i="44"/>
  <c r="DN22" i="44"/>
  <c r="DN27" i="44" s="1"/>
  <c r="DN21" i="44"/>
  <c r="DN26" i="44" s="1"/>
  <c r="DM75" i="48"/>
  <c r="DL47" i="48"/>
  <c r="DM90" i="48"/>
  <c r="DM89" i="48"/>
  <c r="DL43" i="48"/>
  <c r="DO7" i="44" s="1"/>
  <c r="DL46" i="48"/>
  <c r="DL50" i="48"/>
  <c r="DO19" i="44" s="1"/>
  <c r="DL40" i="48"/>
  <c r="DO4" i="44" s="1"/>
  <c r="DL42" i="48"/>
  <c r="DO6" i="44" s="1"/>
  <c r="DM42" i="48"/>
  <c r="DP6" i="44" s="1"/>
  <c r="DL44" i="48"/>
  <c r="DO8" i="44" s="1"/>
  <c r="DL49" i="48"/>
  <c r="DO10" i="44" s="1"/>
  <c r="DL41" i="48"/>
  <c r="DO5" i="44" s="1"/>
  <c r="DL8" i="48"/>
  <c r="DM43" i="48"/>
  <c r="DP7" i="44" s="1"/>
  <c r="DL48" i="48"/>
  <c r="DM44" i="48"/>
  <c r="DP8" i="44" s="1"/>
  <c r="DM40" i="48"/>
  <c r="DP4" i="44" s="1"/>
  <c r="DM8" i="48"/>
  <c r="DM47" i="48"/>
  <c r="DM48" i="48"/>
  <c r="DM49" i="48"/>
  <c r="DM62" i="48"/>
  <c r="DP11" i="44" s="1"/>
  <c r="DM50" i="48"/>
  <c r="DP19" i="44" s="1"/>
  <c r="DM41" i="48"/>
  <c r="DP5" i="44" s="1"/>
  <c r="DM63" i="48"/>
  <c r="DP20" i="44" s="1"/>
  <c r="DM46" i="48"/>
  <c r="DM45" i="48"/>
  <c r="DL62" i="48"/>
  <c r="DO11" i="44" s="1"/>
  <c r="DO25" i="44" s="1"/>
  <c r="DN6" i="48"/>
  <c r="DN4" i="48" s="1"/>
  <c r="DN71" i="48"/>
  <c r="DN74" i="48"/>
  <c r="DN30" i="48"/>
  <c r="DN67" i="48"/>
  <c r="DN29" i="48"/>
  <c r="DN88" i="48"/>
  <c r="DN87" i="48"/>
  <c r="DN27" i="48"/>
  <c r="DN86" i="48"/>
  <c r="DN35" i="48"/>
  <c r="DN68" i="48"/>
  <c r="DN73" i="48"/>
  <c r="DN32" i="48"/>
  <c r="DN83" i="48"/>
  <c r="DN7" i="48"/>
  <c r="DN31" i="48"/>
  <c r="DN70" i="48"/>
  <c r="DO71" i="48"/>
  <c r="DS3" i="44"/>
  <c r="DS2" i="44" s="1"/>
  <c r="CU40" i="48"/>
  <c r="CX4" i="44" s="1"/>
  <c r="CT40" i="48"/>
  <c r="CW4" i="44" s="1"/>
  <c r="CR43" i="48"/>
  <c r="CU7" i="44" s="1"/>
  <c r="CQ43" i="48"/>
  <c r="CT7" i="44" s="1"/>
  <c r="CP43" i="48"/>
  <c r="CS7" i="44" s="1"/>
  <c r="DP25" i="44" l="1"/>
  <c r="DP9" i="44"/>
  <c r="DO9" i="44"/>
  <c r="DM76" i="48"/>
  <c r="DP12" i="44"/>
  <c r="DP13" i="44"/>
  <c r="DO24" i="44"/>
  <c r="DO22" i="44"/>
  <c r="DO27" i="44" s="1"/>
  <c r="DO21" i="44"/>
  <c r="DO26" i="44" s="1"/>
  <c r="DN75" i="48"/>
  <c r="DN89" i="48"/>
  <c r="DN90" i="48"/>
  <c r="DP10" i="44"/>
  <c r="DP24" i="44" s="1"/>
  <c r="DN62" i="48"/>
  <c r="DQ11" i="44" s="1"/>
  <c r="DN5" i="48"/>
  <c r="DN37" i="48"/>
  <c r="DN36" i="48"/>
  <c r="DN63" i="48"/>
  <c r="DQ20" i="44" s="1"/>
  <c r="DO80" i="48"/>
  <c r="DO31" i="48"/>
  <c r="DO67" i="48"/>
  <c r="DO86" i="48"/>
  <c r="DO82" i="48"/>
  <c r="DO81" i="48"/>
  <c r="DO87" i="48"/>
  <c r="DO34" i="48"/>
  <c r="DO85" i="48"/>
  <c r="DO6" i="48"/>
  <c r="DO4" i="48" s="1"/>
  <c r="DO33" i="48"/>
  <c r="DO70" i="48"/>
  <c r="DO35" i="48"/>
  <c r="DO29" i="48"/>
  <c r="DO84" i="48"/>
  <c r="DO88" i="48"/>
  <c r="DO69" i="48"/>
  <c r="DO30" i="48"/>
  <c r="DO7" i="48"/>
  <c r="DO83" i="48"/>
  <c r="DO27" i="48"/>
  <c r="DO32" i="48"/>
  <c r="DO73" i="48"/>
  <c r="DO66" i="48"/>
  <c r="DO68" i="48"/>
  <c r="DO9" i="48"/>
  <c r="DO28" i="48"/>
  <c r="DO72" i="48"/>
  <c r="DO74" i="48"/>
  <c r="DT3" i="44"/>
  <c r="DT2" i="44" s="1"/>
  <c r="CY40" i="48"/>
  <c r="DB4" i="44" s="1"/>
  <c r="CY44" i="48"/>
  <c r="DB8" i="44" s="1"/>
  <c r="CY45" i="48"/>
  <c r="CV45" i="48"/>
  <c r="CX44" i="48"/>
  <c r="DA8" i="44" s="1"/>
  <c r="CW44" i="48"/>
  <c r="CZ8" i="44" s="1"/>
  <c r="CV44" i="48"/>
  <c r="CY8" i="44" s="1"/>
  <c r="CX45" i="48"/>
  <c r="CW45" i="48"/>
  <c r="CS45" i="48"/>
  <c r="CU45" i="48"/>
  <c r="CT45" i="48"/>
  <c r="DN76" i="48" l="1"/>
  <c r="DQ12" i="44"/>
  <c r="DQ13" i="44"/>
  <c r="DQ25" i="44"/>
  <c r="DP21" i="44"/>
  <c r="DP26" i="44" s="1"/>
  <c r="DP22" i="44"/>
  <c r="DP27" i="44" s="1"/>
  <c r="DO75" i="48"/>
  <c r="DO89" i="48"/>
  <c r="DO90" i="48"/>
  <c r="DO62" i="48"/>
  <c r="DR11" i="44" s="1"/>
  <c r="DN41" i="48"/>
  <c r="DQ5" i="44" s="1"/>
  <c r="DO37" i="48"/>
  <c r="DO5" i="48"/>
  <c r="DO63" i="48"/>
  <c r="DR20" i="44" s="1"/>
  <c r="DN47" i="48"/>
  <c r="DN49" i="48"/>
  <c r="DN8" i="48"/>
  <c r="DO36" i="48"/>
  <c r="DN40" i="48"/>
  <c r="DQ4" i="44" s="1"/>
  <c r="DN43" i="48"/>
  <c r="DQ7" i="44" s="1"/>
  <c r="DN45" i="48"/>
  <c r="DN42" i="48"/>
  <c r="DQ6" i="44" s="1"/>
  <c r="DN46" i="48"/>
  <c r="DN48" i="48"/>
  <c r="DN50" i="48"/>
  <c r="DQ19" i="44" s="1"/>
  <c r="DN44" i="48"/>
  <c r="DQ8" i="44" s="1"/>
  <c r="DP83" i="48"/>
  <c r="DP35" i="48"/>
  <c r="DP32" i="48"/>
  <c r="DP31" i="48"/>
  <c r="DP71" i="48"/>
  <c r="DP30" i="48"/>
  <c r="DP67" i="48"/>
  <c r="DP73" i="48"/>
  <c r="DP70" i="48"/>
  <c r="DP27" i="48"/>
  <c r="DP33" i="48"/>
  <c r="DP87" i="48"/>
  <c r="DP86" i="48"/>
  <c r="DP7" i="48"/>
  <c r="DP69" i="48"/>
  <c r="DP74" i="48"/>
  <c r="DP82" i="48"/>
  <c r="DP72" i="48"/>
  <c r="DQ85" i="48"/>
  <c r="DQ87" i="48"/>
  <c r="DQ88" i="48"/>
  <c r="DQ83" i="48"/>
  <c r="DQ70" i="48"/>
  <c r="DQ30" i="48"/>
  <c r="DP6" i="48"/>
  <c r="DP37" i="48" s="1"/>
  <c r="DP28" i="48"/>
  <c r="DP81" i="48"/>
  <c r="DP88" i="48"/>
  <c r="DP29" i="48"/>
  <c r="DP9" i="48"/>
  <c r="DP85" i="48"/>
  <c r="DP66" i="48"/>
  <c r="DP84" i="48"/>
  <c r="DP68" i="48"/>
  <c r="DP34" i="48"/>
  <c r="DP80" i="48"/>
  <c r="DU3" i="44"/>
  <c r="DU2" i="44" s="1"/>
  <c r="CV40" i="48"/>
  <c r="CY4" i="44" s="1"/>
  <c r="CX40" i="48"/>
  <c r="DA4" i="44" s="1"/>
  <c r="CW40" i="48"/>
  <c r="CZ4" i="44" s="1"/>
  <c r="DQ9" i="44" l="1"/>
  <c r="DR25" i="44"/>
  <c r="DO76" i="48"/>
  <c r="DR13" i="44"/>
  <c r="DR12" i="44"/>
  <c r="DQ22" i="44"/>
  <c r="DQ27" i="44" s="1"/>
  <c r="DQ21" i="44"/>
  <c r="DP75" i="48"/>
  <c r="DP89" i="48"/>
  <c r="DP90" i="48"/>
  <c r="DO50" i="48"/>
  <c r="DR19" i="44" s="1"/>
  <c r="DO49" i="48"/>
  <c r="DR10" i="44" s="1"/>
  <c r="DO40" i="48"/>
  <c r="DR4" i="44" s="1"/>
  <c r="DO45" i="48"/>
  <c r="DO8" i="48"/>
  <c r="DO43" i="48"/>
  <c r="DR7" i="44" s="1"/>
  <c r="DP36" i="48"/>
  <c r="DP5" i="48"/>
  <c r="DO48" i="48"/>
  <c r="DO41" i="48"/>
  <c r="DR5" i="44" s="1"/>
  <c r="DO44" i="48"/>
  <c r="DR8" i="44" s="1"/>
  <c r="DO42" i="48"/>
  <c r="DR6" i="44" s="1"/>
  <c r="DO47" i="48"/>
  <c r="DO46" i="48"/>
  <c r="DP4" i="48"/>
  <c r="DQ10" i="44"/>
  <c r="DQ24" i="44" s="1"/>
  <c r="DQ71" i="48"/>
  <c r="DQ32" i="48"/>
  <c r="DQ33" i="48"/>
  <c r="DQ73" i="48"/>
  <c r="DQ68" i="48"/>
  <c r="DQ82" i="48"/>
  <c r="DQ28" i="48"/>
  <c r="DQ84" i="48"/>
  <c r="DQ7" i="48"/>
  <c r="DQ34" i="48"/>
  <c r="DQ74" i="48"/>
  <c r="DQ81" i="48"/>
  <c r="DQ66" i="48"/>
  <c r="DR87" i="48"/>
  <c r="DR70" i="48"/>
  <c r="DR31" i="48"/>
  <c r="DQ6" i="48"/>
  <c r="DQ27" i="48"/>
  <c r="DQ35" i="48"/>
  <c r="DQ72" i="48"/>
  <c r="DQ9" i="48"/>
  <c r="DQ31" i="48"/>
  <c r="DQ80" i="48"/>
  <c r="DR80" i="48"/>
  <c r="DQ29" i="48"/>
  <c r="DQ69" i="48"/>
  <c r="DQ67" i="48"/>
  <c r="DQ86" i="48"/>
  <c r="DV3" i="44"/>
  <c r="CY43" i="48"/>
  <c r="DB7" i="44" s="1"/>
  <c r="CX43" i="48"/>
  <c r="DA7" i="44" s="1"/>
  <c r="CV43" i="48"/>
  <c r="CY7" i="44" s="1"/>
  <c r="CW43" i="48"/>
  <c r="CZ7" i="44" s="1"/>
  <c r="CS43" i="48"/>
  <c r="CV7" i="44" s="1"/>
  <c r="CT43" i="48"/>
  <c r="CW7" i="44" s="1"/>
  <c r="CU43" i="48"/>
  <c r="CX7" i="44" s="1"/>
  <c r="CZ9" i="44" l="1"/>
  <c r="DB9" i="44"/>
  <c r="CY9" i="44"/>
  <c r="CV9" i="44"/>
  <c r="CX9" i="44"/>
  <c r="CW9" i="44"/>
  <c r="DR9" i="44"/>
  <c r="DA9" i="44"/>
  <c r="DR24" i="44"/>
  <c r="DP76" i="48"/>
  <c r="DS12" i="44"/>
  <c r="DS13" i="44"/>
  <c r="DQ26" i="44"/>
  <c r="DR21" i="44"/>
  <c r="DR22" i="44"/>
  <c r="DR27" i="44" s="1"/>
  <c r="DQ75" i="48"/>
  <c r="DQ89" i="48"/>
  <c r="DQ90" i="48"/>
  <c r="DW3" i="44"/>
  <c r="DV2" i="44"/>
  <c r="DP63" i="48"/>
  <c r="DS20" i="44" s="1"/>
  <c r="DP49" i="48"/>
  <c r="DS10" i="44" s="1"/>
  <c r="DP43" i="48"/>
  <c r="DS7" i="44" s="1"/>
  <c r="DP47" i="48"/>
  <c r="DP42" i="48"/>
  <c r="DS6" i="44" s="1"/>
  <c r="DP8" i="48"/>
  <c r="DP46" i="48"/>
  <c r="DP45" i="48"/>
  <c r="DP50" i="48"/>
  <c r="DS19" i="44" s="1"/>
  <c r="DP40" i="48"/>
  <c r="DS4" i="44" s="1"/>
  <c r="DP44" i="48"/>
  <c r="DS8" i="44" s="1"/>
  <c r="DP48" i="48"/>
  <c r="DP62" i="48"/>
  <c r="DS11" i="44" s="1"/>
  <c r="DP41" i="48"/>
  <c r="DS5" i="44" s="1"/>
  <c r="DQ36" i="48"/>
  <c r="DQ4" i="48"/>
  <c r="DQ63" i="48" s="1"/>
  <c r="DT20" i="44" s="1"/>
  <c r="DQ37" i="48"/>
  <c r="DQ5" i="48"/>
  <c r="DQ44" i="48" s="1"/>
  <c r="DR6" i="48"/>
  <c r="DR4" i="48" s="1"/>
  <c r="DR88" i="48"/>
  <c r="DR71" i="48"/>
  <c r="DR85" i="48"/>
  <c r="DR34" i="48"/>
  <c r="DR28" i="48"/>
  <c r="DR72" i="48"/>
  <c r="DR81" i="48"/>
  <c r="DR69" i="48"/>
  <c r="DR74" i="48"/>
  <c r="DR29" i="48"/>
  <c r="DR68" i="48"/>
  <c r="DR67" i="48"/>
  <c r="DR27" i="48"/>
  <c r="DR35" i="48"/>
  <c r="DR7" i="48"/>
  <c r="DR32" i="48"/>
  <c r="DR9" i="48"/>
  <c r="DR30" i="48"/>
  <c r="DR66" i="48"/>
  <c r="DR86" i="48"/>
  <c r="DR82" i="48"/>
  <c r="DR84" i="48"/>
  <c r="DS84" i="48"/>
  <c r="DS86" i="48"/>
  <c r="DS70" i="48"/>
  <c r="DS82" i="48"/>
  <c r="DS67" i="48"/>
  <c r="DS73" i="48"/>
  <c r="DS35" i="48"/>
  <c r="DS28" i="48"/>
  <c r="DS31" i="48"/>
  <c r="DR33" i="48"/>
  <c r="DR83" i="48"/>
  <c r="DR73" i="48"/>
  <c r="DS9" i="44" l="1"/>
  <c r="DS24" i="44"/>
  <c r="DS25" i="44"/>
  <c r="DQ76" i="48"/>
  <c r="DT12" i="44"/>
  <c r="DT13" i="44"/>
  <c r="DR26" i="44"/>
  <c r="DS22" i="44"/>
  <c r="DS27" i="44" s="1"/>
  <c r="DS21" i="44"/>
  <c r="DQ47" i="48"/>
  <c r="DQ41" i="48"/>
  <c r="DT5" i="44" s="1"/>
  <c r="DQ40" i="48"/>
  <c r="DT4" i="44" s="1"/>
  <c r="DQ42" i="48"/>
  <c r="DT6" i="44" s="1"/>
  <c r="DQ46" i="48"/>
  <c r="DQ48" i="48"/>
  <c r="DQ43" i="48"/>
  <c r="DT7" i="44" s="1"/>
  <c r="DQ45" i="48"/>
  <c r="DR75" i="48"/>
  <c r="DR90" i="48"/>
  <c r="DR89" i="48"/>
  <c r="DQ49" i="48"/>
  <c r="DT10" i="44" s="1"/>
  <c r="DX3" i="44"/>
  <c r="DW2" i="44"/>
  <c r="DR36" i="48"/>
  <c r="DR62" i="48"/>
  <c r="DU11" i="44" s="1"/>
  <c r="DR37" i="48"/>
  <c r="DR5" i="48"/>
  <c r="DR43" i="48" s="1"/>
  <c r="DU7" i="44" s="1"/>
  <c r="DQ62" i="48"/>
  <c r="DT11" i="44" s="1"/>
  <c r="DT25" i="44" s="1"/>
  <c r="DQ8" i="48"/>
  <c r="DQ50" i="48"/>
  <c r="DT19" i="44" s="1"/>
  <c r="DT8" i="44"/>
  <c r="DR63" i="48"/>
  <c r="DU20" i="44" s="1"/>
  <c r="DS27" i="48"/>
  <c r="DS32" i="48"/>
  <c r="DS80" i="48"/>
  <c r="DS74" i="48"/>
  <c r="DS72" i="48"/>
  <c r="DS30" i="48"/>
  <c r="DT84" i="48"/>
  <c r="DS88" i="48"/>
  <c r="DS87" i="48"/>
  <c r="DS29" i="48"/>
  <c r="DS83" i="48"/>
  <c r="DS85" i="48"/>
  <c r="DS68" i="48"/>
  <c r="DS9" i="48"/>
  <c r="DS71" i="48"/>
  <c r="DS81" i="48"/>
  <c r="DS69" i="48"/>
  <c r="DS66" i="48"/>
  <c r="DS33" i="48"/>
  <c r="DS7" i="48"/>
  <c r="DS34" i="48"/>
  <c r="DS6" i="48"/>
  <c r="DT9" i="44" l="1"/>
  <c r="DS5" i="48"/>
  <c r="DS47" i="48" s="1"/>
  <c r="DT24" i="44"/>
  <c r="DR76" i="48"/>
  <c r="DU13" i="44"/>
  <c r="DU12" i="44"/>
  <c r="DS26" i="44"/>
  <c r="DU25" i="44"/>
  <c r="DT21" i="44"/>
  <c r="DT22" i="44"/>
  <c r="DT27" i="44" s="1"/>
  <c r="DS75" i="48"/>
  <c r="DS90" i="48"/>
  <c r="DS89" i="48"/>
  <c r="DR41" i="48"/>
  <c r="DU5" i="44" s="1"/>
  <c r="DY3" i="44"/>
  <c r="DX2" i="44"/>
  <c r="DR46" i="48"/>
  <c r="DR40" i="48"/>
  <c r="DU4" i="44" s="1"/>
  <c r="DR50" i="48"/>
  <c r="DU19" i="44" s="1"/>
  <c r="DR42" i="48"/>
  <c r="DU6" i="44" s="1"/>
  <c r="DR45" i="48"/>
  <c r="DR8" i="48"/>
  <c r="DR47" i="48"/>
  <c r="DR48" i="48"/>
  <c r="DR44" i="48"/>
  <c r="DU8" i="44" s="1"/>
  <c r="DR49" i="48"/>
  <c r="DU10" i="44" s="1"/>
  <c r="DS37" i="48"/>
  <c r="DS4" i="48"/>
  <c r="DS62" i="48" s="1"/>
  <c r="DV11" i="44" s="1"/>
  <c r="DS36" i="48"/>
  <c r="DT35" i="48"/>
  <c r="DT80" i="48"/>
  <c r="DT87" i="48"/>
  <c r="DT83" i="48"/>
  <c r="DT33" i="48"/>
  <c r="DT82" i="48"/>
  <c r="DT29" i="48"/>
  <c r="DT71" i="48"/>
  <c r="DT32" i="48"/>
  <c r="DU86" i="48"/>
  <c r="DU6" i="48"/>
  <c r="DU27" i="48"/>
  <c r="DU30" i="48"/>
  <c r="DU34" i="48"/>
  <c r="DT70" i="48"/>
  <c r="DT30" i="48"/>
  <c r="DT34" i="48"/>
  <c r="DT88" i="48"/>
  <c r="DT73" i="48"/>
  <c r="DT6" i="48"/>
  <c r="DT67" i="48"/>
  <c r="DT68" i="48"/>
  <c r="DT31" i="48"/>
  <c r="DT66" i="48"/>
  <c r="DT74" i="48"/>
  <c r="DT81" i="48"/>
  <c r="DT9" i="48"/>
  <c r="DT85" i="48"/>
  <c r="DT86" i="48"/>
  <c r="DT72" i="48"/>
  <c r="DT7" i="48"/>
  <c r="DT27" i="48"/>
  <c r="DT28" i="48"/>
  <c r="DT69" i="48"/>
  <c r="AI8" i="48"/>
  <c r="AI9" i="48" s="1"/>
  <c r="AZ8" i="48"/>
  <c r="AZ9" i="48" s="1"/>
  <c r="AO8" i="48"/>
  <c r="AO9" i="48" s="1"/>
  <c r="AM8" i="48"/>
  <c r="AM9" i="48" s="1"/>
  <c r="BD8" i="48"/>
  <c r="BD9" i="48" s="1"/>
  <c r="AK8" i="48"/>
  <c r="AK9" i="48" s="1"/>
  <c r="BB8" i="48"/>
  <c r="BB9" i="48" s="1"/>
  <c r="BC8" i="48"/>
  <c r="BC9" i="48" s="1"/>
  <c r="BI8" i="48"/>
  <c r="BI9" i="48" s="1"/>
  <c r="BF8" i="48"/>
  <c r="BF9" i="48" s="1"/>
  <c r="AL8" i="48"/>
  <c r="AL9" i="48" s="1"/>
  <c r="AV8" i="48"/>
  <c r="AV9" i="48" s="1"/>
  <c r="AX8" i="48"/>
  <c r="AX9" i="48" s="1"/>
  <c r="BH8" i="48"/>
  <c r="BH9" i="48" s="1"/>
  <c r="AP8" i="48"/>
  <c r="AP9" i="48" s="1"/>
  <c r="AS8" i="48"/>
  <c r="AS9" i="48" s="1"/>
  <c r="BE8" i="48"/>
  <c r="BE9" i="48" s="1"/>
  <c r="AQ8" i="48"/>
  <c r="AQ9" i="48" s="1"/>
  <c r="AJ8" i="48"/>
  <c r="AJ9" i="48" s="1"/>
  <c r="AY8" i="48"/>
  <c r="AY9" i="48" s="1"/>
  <c r="AN8" i="48"/>
  <c r="AN9" i="48" s="1"/>
  <c r="BA8" i="48"/>
  <c r="BA9" i="48" s="1"/>
  <c r="AT8" i="48"/>
  <c r="AT9" i="48" s="1"/>
  <c r="BG8" i="48"/>
  <c r="BG9" i="48" s="1"/>
  <c r="AR8" i="48"/>
  <c r="AR9" i="48" s="1"/>
  <c r="AU8" i="48"/>
  <c r="AU9" i="48" s="1"/>
  <c r="AW8" i="48"/>
  <c r="AW9" i="48" s="1"/>
  <c r="AG55" i="48"/>
  <c r="AG54" i="48"/>
  <c r="AG57" i="48"/>
  <c r="AG53" i="48"/>
  <c r="AG59" i="48"/>
  <c r="AJ15" i="44" s="1"/>
  <c r="AG56" i="48"/>
  <c r="AG61" i="48"/>
  <c r="AJ17" i="44" s="1"/>
  <c r="AG58" i="48"/>
  <c r="AJ14" i="44" s="1"/>
  <c r="AG60" i="48"/>
  <c r="AJ16" i="44" s="1"/>
  <c r="AI53" i="48"/>
  <c r="AI60" i="48"/>
  <c r="AL16" i="44" s="1"/>
  <c r="AI54" i="48"/>
  <c r="AI56" i="48"/>
  <c r="AI59" i="48"/>
  <c r="AL15" i="44" s="1"/>
  <c r="AI61" i="48"/>
  <c r="AL17" i="44" s="1"/>
  <c r="AI57" i="48"/>
  <c r="AI58" i="48"/>
  <c r="AL14" i="44" s="1"/>
  <c r="AI55" i="48"/>
  <c r="CU55" i="48"/>
  <c r="CR55" i="48"/>
  <c r="CX60" i="48"/>
  <c r="DA16" i="44" s="1"/>
  <c r="CH60" i="48"/>
  <c r="CK16" i="44" s="1"/>
  <c r="CC60" i="48"/>
  <c r="CF16" i="44" s="1"/>
  <c r="BT54" i="48"/>
  <c r="BF53" i="48"/>
  <c r="BR56" i="48"/>
  <c r="BP60" i="48"/>
  <c r="BS16" i="44" s="1"/>
  <c r="AT54" i="48"/>
  <c r="BB55" i="48"/>
  <c r="AH60" i="48"/>
  <c r="AK16" i="44" s="1"/>
  <c r="AH59" i="48"/>
  <c r="AK15" i="44" s="1"/>
  <c r="AH58" i="48"/>
  <c r="AK14" i="44" s="1"/>
  <c r="AH54" i="48"/>
  <c r="AH56" i="48"/>
  <c r="AH53" i="48"/>
  <c r="AH61" i="48"/>
  <c r="AK17" i="44" s="1"/>
  <c r="AH55" i="48"/>
  <c r="AH57" i="48"/>
  <c r="AU54" i="48"/>
  <c r="DQ54" i="48"/>
  <c r="DD53" i="48"/>
  <c r="AH5" i="48"/>
  <c r="CQ56" i="48"/>
  <c r="AK55" i="48"/>
  <c r="AK54" i="48"/>
  <c r="AK61" i="48"/>
  <c r="AN17" i="44" s="1"/>
  <c r="AK53" i="48"/>
  <c r="AK57" i="48"/>
  <c r="AK58" i="48"/>
  <c r="AN14" i="44" s="1"/>
  <c r="AK60" i="48"/>
  <c r="AN16" i="44" s="1"/>
  <c r="AK56" i="48"/>
  <c r="AK59" i="48"/>
  <c r="AN15" i="44" s="1"/>
  <c r="AJ59" i="48"/>
  <c r="AM15" i="44" s="1"/>
  <c r="AJ57" i="48"/>
  <c r="AJ60" i="48"/>
  <c r="AM16" i="44" s="1"/>
  <c r="AJ54" i="48"/>
  <c r="AJ53" i="48"/>
  <c r="AJ58" i="48"/>
  <c r="AM14" i="44" s="1"/>
  <c r="AJ56" i="48"/>
  <c r="AJ61" i="48"/>
  <c r="AM17" i="44" s="1"/>
  <c r="AJ55" i="48"/>
  <c r="CW55" i="48"/>
  <c r="AL60" i="48"/>
  <c r="AO16" i="44" s="1"/>
  <c r="DR53" i="48"/>
  <c r="AO54" i="48"/>
  <c r="CB56" i="48"/>
  <c r="AN18" i="44" l="1"/>
  <c r="AM18" i="44"/>
  <c r="AK18" i="44"/>
  <c r="AL18" i="44"/>
  <c r="AJ18" i="44"/>
  <c r="AJ23" i="44" s="1"/>
  <c r="DU9" i="44"/>
  <c r="DS49" i="48"/>
  <c r="DV10" i="44" s="1"/>
  <c r="DS41" i="48"/>
  <c r="DV5" i="44" s="1"/>
  <c r="DS50" i="48"/>
  <c r="DV19" i="44" s="1"/>
  <c r="DS46" i="48"/>
  <c r="DT37" i="48"/>
  <c r="DS40" i="48"/>
  <c r="DV4" i="44" s="1"/>
  <c r="DS42" i="48"/>
  <c r="DV6" i="44" s="1"/>
  <c r="DS45" i="48"/>
  <c r="DS43" i="48"/>
  <c r="DV7" i="44" s="1"/>
  <c r="DS8" i="48"/>
  <c r="DS44" i="48"/>
  <c r="DV8" i="44" s="1"/>
  <c r="DS48" i="48"/>
  <c r="DS76" i="48"/>
  <c r="DV12" i="44"/>
  <c r="DV13" i="44"/>
  <c r="DT26" i="44"/>
  <c r="DU24" i="44"/>
  <c r="DU21" i="44"/>
  <c r="DU22" i="44"/>
  <c r="DU27" i="44" s="1"/>
  <c r="AK12" i="44"/>
  <c r="AK21" i="44"/>
  <c r="DT75" i="48"/>
  <c r="DT90" i="48"/>
  <c r="DT89" i="48"/>
  <c r="DZ3" i="44"/>
  <c r="DY2" i="44"/>
  <c r="DT4" i="48"/>
  <c r="DT36" i="48"/>
  <c r="DS63" i="48"/>
  <c r="DV20" i="44" s="1"/>
  <c r="DV25" i="44" s="1"/>
  <c r="DT5" i="48"/>
  <c r="DT46" i="48" s="1"/>
  <c r="DU4" i="48"/>
  <c r="DU59" i="48" s="1"/>
  <c r="DX15" i="44" s="1"/>
  <c r="DU81" i="48"/>
  <c r="DU69" i="48"/>
  <c r="DU36" i="48"/>
  <c r="DU74" i="48"/>
  <c r="DU82" i="48"/>
  <c r="DU67" i="48"/>
  <c r="DU35" i="48"/>
  <c r="DU66" i="48"/>
  <c r="DU31" i="48"/>
  <c r="DU33" i="48"/>
  <c r="DU32" i="48"/>
  <c r="DU37" i="48"/>
  <c r="DU72" i="48"/>
  <c r="DU88" i="48"/>
  <c r="DU7" i="48"/>
  <c r="DU87" i="48"/>
  <c r="DU9" i="48"/>
  <c r="DU84" i="48"/>
  <c r="DU73" i="48"/>
  <c r="DU29" i="48"/>
  <c r="DU28" i="48"/>
  <c r="DU5" i="48"/>
  <c r="DU85" i="48"/>
  <c r="DU83" i="48"/>
  <c r="DU71" i="48"/>
  <c r="DV67" i="48"/>
  <c r="DU80" i="48"/>
  <c r="DU68" i="48"/>
  <c r="DU70" i="48"/>
  <c r="AH50" i="48"/>
  <c r="AK19" i="44" s="1"/>
  <c r="AH49" i="48"/>
  <c r="CO5" i="48"/>
  <c r="AR60" i="48"/>
  <c r="AU16" i="44" s="1"/>
  <c r="AR54" i="48"/>
  <c r="AW55" i="48"/>
  <c r="DG60" i="48"/>
  <c r="DJ16" i="44" s="1"/>
  <c r="BK54" i="48"/>
  <c r="AW60" i="48"/>
  <c r="AZ16" i="44" s="1"/>
  <c r="BB57" i="48"/>
  <c r="DN61" i="48"/>
  <c r="DQ17" i="44" s="1"/>
  <c r="CU54" i="48"/>
  <c r="DP60" i="48"/>
  <c r="DS16" i="44" s="1"/>
  <c r="DP57" i="48"/>
  <c r="AX58" i="48"/>
  <c r="BA14" i="44" s="1"/>
  <c r="DG55" i="48"/>
  <c r="AX57" i="48"/>
  <c r="BO58" i="48"/>
  <c r="BR14" i="44" s="1"/>
  <c r="CU53" i="48"/>
  <c r="BJ5" i="48"/>
  <c r="CA53" i="48"/>
  <c r="CZ59" i="48"/>
  <c r="DC15" i="44" s="1"/>
  <c r="CU58" i="48"/>
  <c r="CX14" i="44" s="1"/>
  <c r="DM55" i="48"/>
  <c r="CA61" i="48"/>
  <c r="CD17" i="44" s="1"/>
  <c r="CQ53" i="48"/>
  <c r="BO53" i="48"/>
  <c r="DH54" i="48"/>
  <c r="CQ58" i="48"/>
  <c r="CT14" i="44" s="1"/>
  <c r="CO57" i="48"/>
  <c r="CQ57" i="48"/>
  <c r="AU61" i="48"/>
  <c r="AX17" i="44" s="1"/>
  <c r="CR59" i="48"/>
  <c r="CU15" i="44" s="1"/>
  <c r="CU57" i="48"/>
  <c r="DE54" i="48"/>
  <c r="DN53" i="48"/>
  <c r="DE55" i="48"/>
  <c r="DH53" i="48"/>
  <c r="DN56" i="48"/>
  <c r="DP61" i="48"/>
  <c r="DS17" i="44" s="1"/>
  <c r="BO60" i="48"/>
  <c r="BR16" i="44" s="1"/>
  <c r="BB56" i="48"/>
  <c r="CT61" i="48"/>
  <c r="CW17" i="44" s="1"/>
  <c r="DM56" i="48"/>
  <c r="AQ53" i="48"/>
  <c r="CR60" i="48"/>
  <c r="CU16" i="44" s="1"/>
  <c r="DP53" i="48"/>
  <c r="CR61" i="48"/>
  <c r="CU17" i="44" s="1"/>
  <c r="DM53" i="48"/>
  <c r="DH60" i="48"/>
  <c r="DK16" i="44" s="1"/>
  <c r="CO54" i="48"/>
  <c r="AO59" i="48"/>
  <c r="AR15" i="44" s="1"/>
  <c r="CQ55" i="48"/>
  <c r="BO61" i="48"/>
  <c r="BR17" i="44" s="1"/>
  <c r="BL53" i="48"/>
  <c r="BA55" i="48"/>
  <c r="DQ60" i="48"/>
  <c r="DT16" i="44" s="1"/>
  <c r="AW58" i="48"/>
  <c r="AZ14" i="44" s="1"/>
  <c r="DI56" i="48"/>
  <c r="AW53" i="48"/>
  <c r="BG57" i="48"/>
  <c r="CI57" i="48"/>
  <c r="DQ56" i="48"/>
  <c r="BH54" i="48"/>
  <c r="CP55" i="48"/>
  <c r="AR53" i="48"/>
  <c r="AR55" i="48"/>
  <c r="AN58" i="48"/>
  <c r="AQ14" i="44" s="1"/>
  <c r="CF55" i="48"/>
  <c r="CX55" i="48"/>
  <c r="CS55" i="48"/>
  <c r="BX58" i="48"/>
  <c r="CA14" i="44" s="1"/>
  <c r="DS61" i="48"/>
  <c r="DV17" i="44" s="1"/>
  <c r="DI57" i="48"/>
  <c r="AW54" i="48"/>
  <c r="CB53" i="48"/>
  <c r="CB55" i="48"/>
  <c r="AO56" i="48"/>
  <c r="CA59" i="48"/>
  <c r="CD15" i="44" s="1"/>
  <c r="BH58" i="48"/>
  <c r="BK14" i="44" s="1"/>
  <c r="BH61" i="48"/>
  <c r="BK17" i="44" s="1"/>
  <c r="AM60" i="48"/>
  <c r="AP16" i="44" s="1"/>
  <c r="CQ60" i="48"/>
  <c r="CT16" i="44" s="1"/>
  <c r="AW57" i="48"/>
  <c r="DJ57" i="48"/>
  <c r="DQ55" i="48"/>
  <c r="AZ59" i="48"/>
  <c r="BC15" i="44" s="1"/>
  <c r="BL57" i="48"/>
  <c r="AN56" i="48"/>
  <c r="CY53" i="48"/>
  <c r="DG53" i="48"/>
  <c r="DN55" i="48"/>
  <c r="DM57" i="48"/>
  <c r="DQ53" i="48"/>
  <c r="DF59" i="48"/>
  <c r="DI15" i="44" s="1"/>
  <c r="DP55" i="48"/>
  <c r="AW59" i="48"/>
  <c r="AZ15" i="44" s="1"/>
  <c r="DJ58" i="48"/>
  <c r="DM14" i="44" s="1"/>
  <c r="BA61" i="48"/>
  <c r="BD17" i="44" s="1"/>
  <c r="BL60" i="48"/>
  <c r="BO16" i="44" s="1"/>
  <c r="AT59" i="48"/>
  <c r="AW15" i="44" s="1"/>
  <c r="CS57" i="48"/>
  <c r="DS55" i="48"/>
  <c r="BH57" i="48"/>
  <c r="BH60" i="48"/>
  <c r="BK16" i="44" s="1"/>
  <c r="DI61" i="48"/>
  <c r="DL17" i="44" s="1"/>
  <c r="BZ54" i="48"/>
  <c r="DP58" i="48"/>
  <c r="DS14" i="44" s="1"/>
  <c r="CZ54" i="48"/>
  <c r="BL58" i="48"/>
  <c r="BO14" i="44" s="1"/>
  <c r="AT53" i="48"/>
  <c r="CF53" i="48"/>
  <c r="CG58" i="48"/>
  <c r="CJ14" i="44" s="1"/>
  <c r="CX59" i="48"/>
  <c r="DA15" i="44" s="1"/>
  <c r="CI58" i="48"/>
  <c r="CL14" i="44" s="1"/>
  <c r="CV56" i="48"/>
  <c r="DS54" i="48"/>
  <c r="BL54" i="48"/>
  <c r="AY55" i="48"/>
  <c r="BX53" i="48"/>
  <c r="DC61" i="48"/>
  <c r="DF17" i="44" s="1"/>
  <c r="DI60" i="48"/>
  <c r="DL16" i="44" s="1"/>
  <c r="DP59" i="48"/>
  <c r="DS15" i="44" s="1"/>
  <c r="DP54" i="48"/>
  <c r="DQ57" i="48"/>
  <c r="DN60" i="48"/>
  <c r="DQ16" i="44" s="1"/>
  <c r="DM59" i="48"/>
  <c r="DP15" i="44" s="1"/>
  <c r="DS56" i="48"/>
  <c r="CS53" i="48"/>
  <c r="CP59" i="48"/>
  <c r="CS15" i="44" s="1"/>
  <c r="AN60" i="48"/>
  <c r="AQ16" i="44" s="1"/>
  <c r="DF53" i="48"/>
  <c r="BE54" i="48"/>
  <c r="DJ56" i="48"/>
  <c r="AZ53" i="48"/>
  <c r="BL59" i="48"/>
  <c r="BO15" i="44" s="1"/>
  <c r="BO57" i="48"/>
  <c r="AT58" i="48"/>
  <c r="AW14" i="44" s="1"/>
  <c r="AR56" i="48"/>
  <c r="CW61" i="48"/>
  <c r="CZ17" i="44" s="1"/>
  <c r="CD54" i="48"/>
  <c r="CW57" i="48"/>
  <c r="CW60" i="48"/>
  <c r="CZ16" i="44" s="1"/>
  <c r="AV61" i="48"/>
  <c r="AY17" i="44" s="1"/>
  <c r="AV56" i="48"/>
  <c r="AV58" i="48"/>
  <c r="AY14" i="44" s="1"/>
  <c r="AV55" i="48"/>
  <c r="AV60" i="48"/>
  <c r="AY16" i="44" s="1"/>
  <c r="AV54" i="48"/>
  <c r="AH40" i="48"/>
  <c r="AK4" i="44" s="1"/>
  <c r="AH46" i="48"/>
  <c r="AH8" i="48"/>
  <c r="AM58" i="48"/>
  <c r="AP14" i="44" s="1"/>
  <c r="CD57" i="48"/>
  <c r="CD58" i="48"/>
  <c r="CG14" i="44" s="1"/>
  <c r="AS61" i="48"/>
  <c r="AV17" i="44" s="1"/>
  <c r="BV54" i="48"/>
  <c r="BQ60" i="48"/>
  <c r="BT16" i="44" s="1"/>
  <c r="BQ61" i="48"/>
  <c r="BT17" i="44" s="1"/>
  <c r="CJ55" i="48"/>
  <c r="CJ54" i="48"/>
  <c r="CJ58" i="48"/>
  <c r="CM14" i="44" s="1"/>
  <c r="CJ53" i="48"/>
  <c r="BQ57" i="48"/>
  <c r="BD53" i="48"/>
  <c r="BZ61" i="48"/>
  <c r="CC17" i="44" s="1"/>
  <c r="BT58" i="48"/>
  <c r="BW14" i="44" s="1"/>
  <c r="BT60" i="48"/>
  <c r="BW16" i="44" s="1"/>
  <c r="BT56" i="48"/>
  <c r="BT55" i="48"/>
  <c r="BT59" i="48"/>
  <c r="BW15" i="44" s="1"/>
  <c r="BZ55" i="48"/>
  <c r="BZ53" i="48"/>
  <c r="BZ58" i="48"/>
  <c r="CC14" i="44" s="1"/>
  <c r="BZ59" i="48"/>
  <c r="CC15" i="44" s="1"/>
  <c r="BE57" i="48"/>
  <c r="BE55" i="48"/>
  <c r="BE56" i="48"/>
  <c r="AP60" i="48"/>
  <c r="AS16" i="44" s="1"/>
  <c r="BZ57" i="48"/>
  <c r="DB57" i="48"/>
  <c r="DB59" i="48"/>
  <c r="DE15" i="44" s="1"/>
  <c r="BK53" i="48"/>
  <c r="BK58" i="48"/>
  <c r="BN14" i="44" s="1"/>
  <c r="AM56" i="48"/>
  <c r="AM53" i="48"/>
  <c r="AM61" i="48"/>
  <c r="AP17" i="44" s="1"/>
  <c r="AM55" i="48"/>
  <c r="CW58" i="48"/>
  <c r="CZ14" i="44" s="1"/>
  <c r="DI53" i="48"/>
  <c r="CP60" i="48"/>
  <c r="CS16" i="44" s="1"/>
  <c r="CP54" i="48"/>
  <c r="CP57" i="48"/>
  <c r="CP56" i="48"/>
  <c r="CP53" i="48"/>
  <c r="CJ56" i="48"/>
  <c r="BI60" i="48"/>
  <c r="BL16" i="44" s="1"/>
  <c r="BI55" i="48"/>
  <c r="BY60" i="48"/>
  <c r="CB16" i="44" s="1"/>
  <c r="DL55" i="48"/>
  <c r="DL61" i="48"/>
  <c r="DO17" i="44" s="1"/>
  <c r="DL56" i="48"/>
  <c r="DL57" i="48"/>
  <c r="DL59" i="48"/>
  <c r="DO15" i="44" s="1"/>
  <c r="DA57" i="48"/>
  <c r="DA58" i="48"/>
  <c r="DD14" i="44" s="1"/>
  <c r="CO55" i="48"/>
  <c r="BH59" i="48"/>
  <c r="BK15" i="44" s="1"/>
  <c r="CQ61" i="48"/>
  <c r="CT17" i="44" s="1"/>
  <c r="CZ60" i="48"/>
  <c r="DC16" i="44" s="1"/>
  <c r="CZ58" i="48"/>
  <c r="DC14" i="44" s="1"/>
  <c r="CZ56" i="48"/>
  <c r="BY59" i="48"/>
  <c r="CB15" i="44" s="1"/>
  <c r="BC54" i="48"/>
  <c r="CX61" i="48"/>
  <c r="DA17" i="44" s="1"/>
  <c r="CX54" i="48"/>
  <c r="CX56" i="48"/>
  <c r="CX57" i="48"/>
  <c r="CI61" i="48"/>
  <c r="CL17" i="44" s="1"/>
  <c r="CI59" i="48"/>
  <c r="CL15" i="44" s="1"/>
  <c r="CI55" i="48"/>
  <c r="CR57" i="48"/>
  <c r="CR58" i="48"/>
  <c r="CU14" i="44" s="1"/>
  <c r="CU61" i="48"/>
  <c r="CX17" i="44" s="1"/>
  <c r="CU56" i="48"/>
  <c r="DA53" i="48"/>
  <c r="CT53" i="48"/>
  <c r="CT56" i="48"/>
  <c r="CT55" i="48"/>
  <c r="CT59" i="48"/>
  <c r="CW15" i="44" s="1"/>
  <c r="CT60" i="48"/>
  <c r="CW16" i="44" s="1"/>
  <c r="CT54" i="48"/>
  <c r="CV61" i="48"/>
  <c r="CY17" i="44" s="1"/>
  <c r="CV57" i="48"/>
  <c r="CV53" i="48"/>
  <c r="CY57" i="48"/>
  <c r="CY56" i="48"/>
  <c r="CY60" i="48"/>
  <c r="DB16" i="44" s="1"/>
  <c r="BA54" i="48"/>
  <c r="BA56" i="48"/>
  <c r="BA58" i="48"/>
  <c r="BD14" i="44" s="1"/>
  <c r="AX56" i="48"/>
  <c r="AX61" i="48"/>
  <c r="BA17" i="44" s="1"/>
  <c r="AX54" i="48"/>
  <c r="CS60" i="48"/>
  <c r="CV16" i="44" s="1"/>
  <c r="CS54" i="48"/>
  <c r="CS58" i="48"/>
  <c r="CV14" i="44" s="1"/>
  <c r="CS59" i="48"/>
  <c r="CV15" i="44" s="1"/>
  <c r="DL53" i="48"/>
  <c r="BN55" i="48"/>
  <c r="BN58" i="48"/>
  <c r="BQ14" i="44" s="1"/>
  <c r="DD60" i="48"/>
  <c r="DG16" i="44" s="1"/>
  <c r="AO61" i="48"/>
  <c r="AR17" i="44" s="1"/>
  <c r="AO60" i="48"/>
  <c r="AR16" i="44" s="1"/>
  <c r="BH53" i="48"/>
  <c r="CQ59" i="48"/>
  <c r="CT15" i="44" s="1"/>
  <c r="DD55" i="48"/>
  <c r="CZ57" i="48"/>
  <c r="BX59" i="48"/>
  <c r="CA15" i="44" s="1"/>
  <c r="BX55" i="48"/>
  <c r="AX55" i="48"/>
  <c r="AX60" i="48"/>
  <c r="BA16" i="44" s="1"/>
  <c r="AY54" i="48"/>
  <c r="CU59" i="48"/>
  <c r="CX15" i="44" s="1"/>
  <c r="CS56" i="48"/>
  <c r="DG58" i="48"/>
  <c r="DJ14" i="44" s="1"/>
  <c r="DG57" i="48"/>
  <c r="DG56" i="48"/>
  <c r="BB59" i="48"/>
  <c r="BE15" i="44" s="1"/>
  <c r="BO56" i="48"/>
  <c r="AT55" i="48"/>
  <c r="AR57" i="48"/>
  <c r="CG56" i="48"/>
  <c r="DE58" i="48"/>
  <c r="DH14" i="44" s="1"/>
  <c r="DS53" i="48"/>
  <c r="AZ54" i="48"/>
  <c r="AR58" i="48"/>
  <c r="AU14" i="44" s="1"/>
  <c r="DN57" i="48"/>
  <c r="DM54" i="48"/>
  <c r="DS57" i="48"/>
  <c r="DJ55" i="48"/>
  <c r="BO55" i="48"/>
  <c r="DH56" i="48"/>
  <c r="DH55" i="48"/>
  <c r="DS58" i="48"/>
  <c r="DV14" i="44" s="1"/>
  <c r="AT60" i="48"/>
  <c r="AW16" i="44" s="1"/>
  <c r="BF56" i="48"/>
  <c r="DE57" i="48"/>
  <c r="DE53" i="48"/>
  <c r="DH57" i="48"/>
  <c r="DJ54" i="48"/>
  <c r="BG53" i="48"/>
  <c r="CF58" i="48"/>
  <c r="CI14" i="44" s="1"/>
  <c r="DE60" i="48"/>
  <c r="DH16" i="44" s="1"/>
  <c r="DN58" i="48"/>
  <c r="DQ14" i="44" s="1"/>
  <c r="DM60" i="48"/>
  <c r="DP16" i="44" s="1"/>
  <c r="DR61" i="48"/>
  <c r="DU17" i="44" s="1"/>
  <c r="CA54" i="48"/>
  <c r="AP55" i="48"/>
  <c r="BW59" i="48"/>
  <c r="BZ15" i="44" s="1"/>
  <c r="DC59" i="48"/>
  <c r="DF15" i="44" s="1"/>
  <c r="AY56" i="48"/>
  <c r="AY58" i="48"/>
  <c r="BB14" i="44" s="1"/>
  <c r="AY61" i="48"/>
  <c r="BB17" i="44" s="1"/>
  <c r="AY57" i="48"/>
  <c r="AY53" i="48"/>
  <c r="AY60" i="48"/>
  <c r="BB16" i="44" s="1"/>
  <c r="BJ54" i="48"/>
  <c r="DK60" i="48"/>
  <c r="DN16" i="44" s="1"/>
  <c r="DK59" i="48"/>
  <c r="DN15" i="44" s="1"/>
  <c r="DK56" i="48"/>
  <c r="BW61" i="48"/>
  <c r="BZ17" i="44" s="1"/>
  <c r="BW53" i="48"/>
  <c r="BW55" i="48"/>
  <c r="BW57" i="48"/>
  <c r="BW58" i="48"/>
  <c r="BZ14" i="44" s="1"/>
  <c r="DK57" i="48"/>
  <c r="DR58" i="48"/>
  <c r="DU14" i="44" s="1"/>
  <c r="BD56" i="48"/>
  <c r="BD55" i="48"/>
  <c r="BP59" i="48"/>
  <c r="BS15" i="44" s="1"/>
  <c r="BP53" i="48"/>
  <c r="BP55" i="48"/>
  <c r="BP56" i="48"/>
  <c r="BP54" i="48"/>
  <c r="BP58" i="48"/>
  <c r="BS14" i="44" s="1"/>
  <c r="AP59" i="48"/>
  <c r="AS15" i="44" s="1"/>
  <c r="AP56" i="48"/>
  <c r="AP57" i="48"/>
  <c r="AP54" i="48"/>
  <c r="AP58" i="48"/>
  <c r="AS14" i="44" s="1"/>
  <c r="DO57" i="48"/>
  <c r="CB61" i="48"/>
  <c r="CE17" i="44" s="1"/>
  <c r="AL54" i="48"/>
  <c r="CB59" i="48"/>
  <c r="CE15" i="44" s="1"/>
  <c r="DR54" i="48"/>
  <c r="CW53" i="48"/>
  <c r="CW54" i="48"/>
  <c r="CW59" i="48"/>
  <c r="CZ15" i="44" s="1"/>
  <c r="DC55" i="48"/>
  <c r="DC53" i="48"/>
  <c r="DC54" i="48"/>
  <c r="DC56" i="48"/>
  <c r="DC60" i="48"/>
  <c r="DF16" i="44" s="1"/>
  <c r="BP57" i="48"/>
  <c r="AO53" i="48"/>
  <c r="CO53" i="48"/>
  <c r="CO58" i="48"/>
  <c r="CR14" i="44" s="1"/>
  <c r="CO59" i="48"/>
  <c r="CR15" i="44" s="1"/>
  <c r="CO56" i="48"/>
  <c r="BD60" i="48"/>
  <c r="BG16" i="44" s="1"/>
  <c r="DR60" i="48"/>
  <c r="DU16" i="44" s="1"/>
  <c r="CA58" i="48"/>
  <c r="CD14" i="44" s="1"/>
  <c r="CO60" i="48"/>
  <c r="CR16" i="44" s="1"/>
  <c r="AH48" i="48"/>
  <c r="AH42" i="48"/>
  <c r="AK6" i="44" s="1"/>
  <c r="AH43" i="48"/>
  <c r="AK7" i="44" s="1"/>
  <c r="AH45" i="48"/>
  <c r="AH44" i="48"/>
  <c r="AK8" i="44" s="1"/>
  <c r="AH47" i="48"/>
  <c r="DD58" i="48"/>
  <c r="DG14" i="44" s="1"/>
  <c r="DD57" i="48"/>
  <c r="DD59" i="48"/>
  <c r="DG15" i="44" s="1"/>
  <c r="DD61" i="48"/>
  <c r="DG17" i="44" s="1"/>
  <c r="DD54" i="48"/>
  <c r="DD56" i="48"/>
  <c r="AZ58" i="48"/>
  <c r="BC14" i="44" s="1"/>
  <c r="AZ55" i="48"/>
  <c r="AZ60" i="48"/>
  <c r="BC16" i="44" s="1"/>
  <c r="AZ56" i="48"/>
  <c r="AZ61" i="48"/>
  <c r="BC17" i="44" s="1"/>
  <c r="BB53" i="48"/>
  <c r="BB60" i="48"/>
  <c r="BE16" i="44" s="1"/>
  <c r="BB61" i="48"/>
  <c r="BE17" i="44" s="1"/>
  <c r="BB54" i="48"/>
  <c r="AL56" i="48"/>
  <c r="DK61" i="48"/>
  <c r="DN17" i="44" s="1"/>
  <c r="BW56" i="48"/>
  <c r="DK58" i="48"/>
  <c r="DN14" i="44" s="1"/>
  <c r="DR57" i="48"/>
  <c r="AP53" i="48"/>
  <c r="DC58" i="48"/>
  <c r="DF14" i="44" s="1"/>
  <c r="BN53" i="48"/>
  <c r="BN54" i="48"/>
  <c r="BN56" i="48"/>
  <c r="BN59" i="48"/>
  <c r="BQ15" i="44" s="1"/>
  <c r="BN57" i="48"/>
  <c r="BN61" i="48"/>
  <c r="BQ17" i="44" s="1"/>
  <c r="AU56" i="48"/>
  <c r="AU59" i="48"/>
  <c r="AX15" i="44" s="1"/>
  <c r="AU57" i="48"/>
  <c r="AU60" i="48"/>
  <c r="AX16" i="44" s="1"/>
  <c r="AU58" i="48"/>
  <c r="AX14" i="44" s="1"/>
  <c r="AU55" i="48"/>
  <c r="AU53" i="48"/>
  <c r="BP61" i="48"/>
  <c r="BS17" i="44" s="1"/>
  <c r="AL57" i="48"/>
  <c r="AL59" i="48"/>
  <c r="AO15" i="44" s="1"/>
  <c r="AL55" i="48"/>
  <c r="BD57" i="48"/>
  <c r="CB60" i="48"/>
  <c r="CE16" i="44" s="1"/>
  <c r="CB57" i="48"/>
  <c r="CB54" i="48"/>
  <c r="CB58" i="48"/>
  <c r="CE14" i="44" s="1"/>
  <c r="BK60" i="48"/>
  <c r="BN16" i="44" s="1"/>
  <c r="BK56" i="48"/>
  <c r="BK55" i="48"/>
  <c r="BK57" i="48"/>
  <c r="DF57" i="48"/>
  <c r="BK61" i="48"/>
  <c r="BN17" i="44" s="1"/>
  <c r="BE59" i="48"/>
  <c r="BH15" i="44" s="1"/>
  <c r="BE61" i="48"/>
  <c r="BH17" i="44" s="1"/>
  <c r="BE60" i="48"/>
  <c r="BH16" i="44" s="1"/>
  <c r="BE53" i="48"/>
  <c r="BK59" i="48"/>
  <c r="BN15" i="44" s="1"/>
  <c r="CD60" i="48"/>
  <c r="CG16" i="44" s="1"/>
  <c r="CD56" i="48"/>
  <c r="CD59" i="48"/>
  <c r="CG15" i="44" s="1"/>
  <c r="AY59" i="48"/>
  <c r="BB15" i="44" s="1"/>
  <c r="DO59" i="48"/>
  <c r="DR15" i="44" s="1"/>
  <c r="DO61" i="48"/>
  <c r="DR17" i="44" s="1"/>
  <c r="DO58" i="48"/>
  <c r="DR14" i="44" s="1"/>
  <c r="DO56" i="48"/>
  <c r="DO55" i="48"/>
  <c r="DO53" i="48"/>
  <c r="DO60" i="48"/>
  <c r="DR16" i="44" s="1"/>
  <c r="DO54" i="48"/>
  <c r="BD54" i="48"/>
  <c r="BD59" i="48"/>
  <c r="BG15" i="44" s="1"/>
  <c r="BD61" i="48"/>
  <c r="BG17" i="44" s="1"/>
  <c r="AL58" i="48"/>
  <c r="AO14" i="44" s="1"/>
  <c r="AL61" i="48"/>
  <c r="AO17" i="44" s="1"/>
  <c r="BW54" i="48"/>
  <c r="BJ56" i="48"/>
  <c r="BJ57" i="48"/>
  <c r="BJ58" i="48"/>
  <c r="BM14" i="44" s="1"/>
  <c r="BJ60" i="48"/>
  <c r="BM16" i="44" s="1"/>
  <c r="BJ53" i="48"/>
  <c r="BJ55" i="48"/>
  <c r="BJ59" i="48"/>
  <c r="BM15" i="44" s="1"/>
  <c r="BJ61" i="48"/>
  <c r="BM17" i="44" s="1"/>
  <c r="DF56" i="48"/>
  <c r="DF58" i="48"/>
  <c r="DI14" i="44" s="1"/>
  <c r="DF55" i="48"/>
  <c r="DF54" i="48"/>
  <c r="DF61" i="48"/>
  <c r="DI17" i="44" s="1"/>
  <c r="DK53" i="48"/>
  <c r="DF60" i="48"/>
  <c r="DI16" i="44" s="1"/>
  <c r="CA57" i="48"/>
  <c r="CA60" i="48"/>
  <c r="CD16" i="44" s="1"/>
  <c r="DK55" i="48"/>
  <c r="DR55" i="48"/>
  <c r="AO57" i="48"/>
  <c r="AO58" i="48"/>
  <c r="AR14" i="44" s="1"/>
  <c r="DR56" i="48"/>
  <c r="DR59" i="48"/>
  <c r="DU15" i="44" s="1"/>
  <c r="CA56" i="48"/>
  <c r="AP61" i="48"/>
  <c r="AS17" i="44" s="1"/>
  <c r="BW60" i="48"/>
  <c r="BZ16" i="44" s="1"/>
  <c r="CD53" i="48"/>
  <c r="AO55" i="48"/>
  <c r="DK54" i="48"/>
  <c r="BD58" i="48"/>
  <c r="BG14" i="44" s="1"/>
  <c r="CA55" i="48"/>
  <c r="BE58" i="48"/>
  <c r="BH14" i="44" s="1"/>
  <c r="AL53" i="48"/>
  <c r="CD61" i="48"/>
  <c r="CG17" i="44" s="1"/>
  <c r="CD55" i="48"/>
  <c r="CW56" i="48"/>
  <c r="CO61" i="48"/>
  <c r="CR17" i="44" s="1"/>
  <c r="DC57" i="48"/>
  <c r="AH41" i="48"/>
  <c r="AK5" i="44" s="1"/>
  <c r="BN60" i="48"/>
  <c r="BQ16" i="44" s="1"/>
  <c r="AZ57" i="48"/>
  <c r="BB58" i="48"/>
  <c r="BE14" i="44" s="1"/>
  <c r="DJ53" i="48"/>
  <c r="BQ55" i="48"/>
  <c r="CK55" i="48"/>
  <c r="CK54" i="48"/>
  <c r="CK56" i="48"/>
  <c r="CK58" i="48"/>
  <c r="CN14" i="44" s="1"/>
  <c r="CK57" i="48"/>
  <c r="CK60" i="48"/>
  <c r="CN16" i="44" s="1"/>
  <c r="CK59" i="48"/>
  <c r="CN15" i="44" s="1"/>
  <c r="CK61" i="48"/>
  <c r="CN17" i="44" s="1"/>
  <c r="DJ61" i="48"/>
  <c r="DM17" i="44" s="1"/>
  <c r="DJ59" i="48"/>
  <c r="DM15" i="44" s="1"/>
  <c r="DJ60" i="48"/>
  <c r="DM16" i="44" s="1"/>
  <c r="DB55" i="48"/>
  <c r="DB54" i="48"/>
  <c r="DB58" i="48"/>
  <c r="DE14" i="44" s="1"/>
  <c r="DB56" i="48"/>
  <c r="BQ54" i="48"/>
  <c r="BQ56" i="48"/>
  <c r="BQ59" i="48"/>
  <c r="BT15" i="44" s="1"/>
  <c r="BV58" i="48"/>
  <c r="BY14" i="44" s="1"/>
  <c r="BV56" i="48"/>
  <c r="BV59" i="48"/>
  <c r="BY15" i="44" s="1"/>
  <c r="BV60" i="48"/>
  <c r="BY16" i="44" s="1"/>
  <c r="BV55" i="48"/>
  <c r="BV57" i="48"/>
  <c r="BV53" i="48"/>
  <c r="BC61" i="48"/>
  <c r="BF17" i="44" s="1"/>
  <c r="BC60" i="48"/>
  <c r="BF16" i="44" s="1"/>
  <c r="BC53" i="48"/>
  <c r="BC58" i="48"/>
  <c r="BF14" i="44" s="1"/>
  <c r="BC59" i="48"/>
  <c r="BF15" i="44" s="1"/>
  <c r="BC55" i="48"/>
  <c r="BC56" i="48"/>
  <c r="BR55" i="48"/>
  <c r="BR54" i="48"/>
  <c r="BR57" i="48"/>
  <c r="BR59" i="48"/>
  <c r="BU15" i="44" s="1"/>
  <c r="BR60" i="48"/>
  <c r="BU16" i="44" s="1"/>
  <c r="BR58" i="48"/>
  <c r="BU14" i="44" s="1"/>
  <c r="BR53" i="48"/>
  <c r="BR61" i="48"/>
  <c r="BU17" i="44" s="1"/>
  <c r="AS60" i="48"/>
  <c r="AV16" i="44" s="1"/>
  <c r="AS57" i="48"/>
  <c r="AS59" i="48"/>
  <c r="AV15" i="44" s="1"/>
  <c r="AS56" i="48"/>
  <c r="AS55" i="48"/>
  <c r="AS53" i="48"/>
  <c r="AS58" i="48"/>
  <c r="AV14" i="44" s="1"/>
  <c r="AN55" i="48"/>
  <c r="AN53" i="48"/>
  <c r="AN54" i="48"/>
  <c r="AN57" i="48"/>
  <c r="AN61" i="48"/>
  <c r="AQ17" i="44" s="1"/>
  <c r="AN59" i="48"/>
  <c r="AQ15" i="44" s="1"/>
  <c r="BU53" i="48"/>
  <c r="BU54" i="48"/>
  <c r="BU61" i="48"/>
  <c r="BX17" i="44" s="1"/>
  <c r="BU60" i="48"/>
  <c r="BX16" i="44" s="1"/>
  <c r="BU55" i="48"/>
  <c r="BU57" i="48"/>
  <c r="BU59" i="48"/>
  <c r="BX15" i="44" s="1"/>
  <c r="BU58" i="48"/>
  <c r="BX14" i="44" s="1"/>
  <c r="BS59" i="48"/>
  <c r="BV15" i="44" s="1"/>
  <c r="BS57" i="48"/>
  <c r="BS58" i="48"/>
  <c r="BV14" i="44" s="1"/>
  <c r="BS60" i="48"/>
  <c r="BV16" i="44" s="1"/>
  <c r="BS54" i="48"/>
  <c r="BS56" i="48"/>
  <c r="BS61" i="48"/>
  <c r="BV17" i="44" s="1"/>
  <c r="BS55" i="48"/>
  <c r="BM53" i="48"/>
  <c r="BM56" i="48"/>
  <c r="BM58" i="48"/>
  <c r="BP14" i="44" s="1"/>
  <c r="BM57" i="48"/>
  <c r="BM55" i="48"/>
  <c r="BM61" i="48"/>
  <c r="BP17" i="44" s="1"/>
  <c r="BM60" i="48"/>
  <c r="BP16" i="44" s="1"/>
  <c r="BM54" i="48"/>
  <c r="BI53" i="48"/>
  <c r="BI61" i="48"/>
  <c r="BL17" i="44" s="1"/>
  <c r="BI54" i="48"/>
  <c r="BI57" i="48"/>
  <c r="BI58" i="48"/>
  <c r="BL14" i="44" s="1"/>
  <c r="BI59" i="48"/>
  <c r="BL15" i="44" s="1"/>
  <c r="AQ55" i="48"/>
  <c r="AQ56" i="48"/>
  <c r="AQ61" i="48"/>
  <c r="AT17" i="44" s="1"/>
  <c r="AQ54" i="48"/>
  <c r="AQ58" i="48"/>
  <c r="AT14" i="44" s="1"/>
  <c r="AQ60" i="48"/>
  <c r="AT16" i="44" s="1"/>
  <c r="AQ57" i="48"/>
  <c r="BF61" i="48"/>
  <c r="BI17" i="44" s="1"/>
  <c r="BF58" i="48"/>
  <c r="BI14" i="44" s="1"/>
  <c r="BF54" i="48"/>
  <c r="BF55" i="48"/>
  <c r="BF57" i="48"/>
  <c r="BF59" i="48"/>
  <c r="BI15" i="44" s="1"/>
  <c r="BF60" i="48"/>
  <c r="BI16" i="44" s="1"/>
  <c r="AW56" i="48"/>
  <c r="CJ61" i="48"/>
  <c r="CM17" i="44" s="1"/>
  <c r="DB61" i="48"/>
  <c r="DE17" i="44" s="1"/>
  <c r="BU56" i="48"/>
  <c r="CH61" i="48"/>
  <c r="CK17" i="44" s="1"/>
  <c r="CH56" i="48"/>
  <c r="CH55" i="48"/>
  <c r="CH59" i="48"/>
  <c r="CK15" i="44" s="1"/>
  <c r="CH57" i="48"/>
  <c r="CH54" i="48"/>
  <c r="CH58" i="48"/>
  <c r="CK14" i="44" s="1"/>
  <c r="CH53" i="48"/>
  <c r="DI54" i="48"/>
  <c r="DI55" i="48"/>
  <c r="DI58" i="48"/>
  <c r="DL14" i="44" s="1"/>
  <c r="DI59" i="48"/>
  <c r="DL15" i="44" s="1"/>
  <c r="CJ60" i="48"/>
  <c r="CM16" i="44" s="1"/>
  <c r="DQ58" i="48"/>
  <c r="DT14" i="44" s="1"/>
  <c r="DQ59" i="48"/>
  <c r="DT15" i="44" s="1"/>
  <c r="DA56" i="48"/>
  <c r="DA55" i="48"/>
  <c r="DA61" i="48"/>
  <c r="DD17" i="44" s="1"/>
  <c r="DA54" i="48"/>
  <c r="BG55" i="48"/>
  <c r="BG61" i="48"/>
  <c r="BJ17" i="44" s="1"/>
  <c r="BG58" i="48"/>
  <c r="BJ14" i="44" s="1"/>
  <c r="BG60" i="48"/>
  <c r="BJ16" i="44" s="1"/>
  <c r="BG56" i="48"/>
  <c r="BG59" i="48"/>
  <c r="BJ15" i="44" s="1"/>
  <c r="BQ53" i="48"/>
  <c r="AS54" i="48"/>
  <c r="AQ59" i="48"/>
  <c r="AT15" i="44" s="1"/>
  <c r="CK53" i="48"/>
  <c r="BH55" i="48"/>
  <c r="AM54" i="48"/>
  <c r="AW61" i="48"/>
  <c r="AZ17" i="44" s="1"/>
  <c r="CJ59" i="48"/>
  <c r="CM15" i="44" s="1"/>
  <c r="DQ61" i="48"/>
  <c r="DT17" i="44" s="1"/>
  <c r="CZ53" i="48"/>
  <c r="CZ61" i="48"/>
  <c r="DC17" i="44" s="1"/>
  <c r="DA60" i="48"/>
  <c r="DD16" i="44" s="1"/>
  <c r="DB60" i="48"/>
  <c r="DE16" i="44" s="1"/>
  <c r="BQ58" i="48"/>
  <c r="BT14" i="44" s="1"/>
  <c r="BY58" i="48"/>
  <c r="CB14" i="44" s="1"/>
  <c r="BY57" i="48"/>
  <c r="BY61" i="48"/>
  <c r="CB17" i="44" s="1"/>
  <c r="BY53" i="48"/>
  <c r="BY54" i="48"/>
  <c r="BY56" i="48"/>
  <c r="BV61" i="48"/>
  <c r="BY17" i="44" s="1"/>
  <c r="BC57" i="48"/>
  <c r="BM59" i="48"/>
  <c r="BP15" i="44" s="1"/>
  <c r="BI56" i="48"/>
  <c r="BH56" i="48"/>
  <c r="AM57" i="48"/>
  <c r="AM59" i="48"/>
  <c r="AP15" i="44" s="1"/>
  <c r="CJ57" i="48"/>
  <c r="CZ55" i="48"/>
  <c r="DA59" i="48"/>
  <c r="DD15" i="44" s="1"/>
  <c r="DB53" i="48"/>
  <c r="BG54" i="48"/>
  <c r="BY55" i="48"/>
  <c r="BS53" i="48"/>
  <c r="CG55" i="48"/>
  <c r="CG61" i="48"/>
  <c r="CJ17" i="44" s="1"/>
  <c r="CG60" i="48"/>
  <c r="CJ16" i="44" s="1"/>
  <c r="CG54" i="48"/>
  <c r="CG59" i="48"/>
  <c r="CJ15" i="44" s="1"/>
  <c r="CG57" i="48"/>
  <c r="CG53" i="48"/>
  <c r="BA60" i="48"/>
  <c r="BD16" i="44" s="1"/>
  <c r="BA57" i="48"/>
  <c r="BX56" i="48"/>
  <c r="BX61" i="48"/>
  <c r="CA17" i="44" s="1"/>
  <c r="BX57" i="48"/>
  <c r="BO59" i="48"/>
  <c r="BR15" i="44" s="1"/>
  <c r="AR61" i="48"/>
  <c r="AU17" i="44" s="1"/>
  <c r="CC59" i="48"/>
  <c r="CF15" i="44" s="1"/>
  <c r="CC57" i="48"/>
  <c r="CC56" i="48"/>
  <c r="CC58" i="48"/>
  <c r="CF14" i="44" s="1"/>
  <c r="CC53" i="48"/>
  <c r="CC54" i="48"/>
  <c r="CC61" i="48"/>
  <c r="CF17" i="44" s="1"/>
  <c r="BZ60" i="48"/>
  <c r="CC16" i="44" s="1"/>
  <c r="BZ56" i="48"/>
  <c r="CP61" i="48"/>
  <c r="CS17" i="44" s="1"/>
  <c r="CQ54" i="48"/>
  <c r="DP56" i="48"/>
  <c r="CC55" i="48"/>
  <c r="CE56" i="48"/>
  <c r="CE57" i="48"/>
  <c r="CE54" i="48"/>
  <c r="CE53" i="48"/>
  <c r="CE60" i="48"/>
  <c r="CH16" i="44" s="1"/>
  <c r="CE55" i="48"/>
  <c r="CE61" i="48"/>
  <c r="CH17" i="44" s="1"/>
  <c r="CE58" i="48"/>
  <c r="CH14" i="44" s="1"/>
  <c r="AV57" i="48"/>
  <c r="AV53" i="48"/>
  <c r="CE59" i="48"/>
  <c r="CH15" i="44" s="1"/>
  <c r="CP58" i="48"/>
  <c r="CS14" i="44" s="1"/>
  <c r="AV59" i="48"/>
  <c r="AY15" i="44" s="1"/>
  <c r="BA53" i="48"/>
  <c r="BA59" i="48"/>
  <c r="BD15" i="44" s="1"/>
  <c r="BL61" i="48"/>
  <c r="BO17" i="44" s="1"/>
  <c r="BL56" i="48"/>
  <c r="BL55" i="48"/>
  <c r="BX54" i="48"/>
  <c r="BX60" i="48"/>
  <c r="CA16" i="44" s="1"/>
  <c r="AX53" i="48"/>
  <c r="AX59" i="48"/>
  <c r="BA15" i="44" s="1"/>
  <c r="BO54" i="48"/>
  <c r="AT56" i="48"/>
  <c r="AT61" i="48"/>
  <c r="AW17" i="44" s="1"/>
  <c r="AT57" i="48"/>
  <c r="AR59" i="48"/>
  <c r="AU15" i="44" s="1"/>
  <c r="BT61" i="48"/>
  <c r="BW17" i="44" s="1"/>
  <c r="BT53" i="48"/>
  <c r="CF61" i="48"/>
  <c r="CI17" i="44" s="1"/>
  <c r="CF54" i="48"/>
  <c r="CF59" i="48"/>
  <c r="CI15" i="44" s="1"/>
  <c r="CF56" i="48"/>
  <c r="CF57" i="48"/>
  <c r="BT57" i="48"/>
  <c r="CF60" i="48"/>
  <c r="CI16" i="44" s="1"/>
  <c r="CI54" i="48"/>
  <c r="CT57" i="48"/>
  <c r="CI56" i="48"/>
  <c r="CR56" i="48"/>
  <c r="CU60" i="48"/>
  <c r="CX16" i="44" s="1"/>
  <c r="CV59" i="48"/>
  <c r="CY15" i="44" s="1"/>
  <c r="CV58" i="48"/>
  <c r="CY14" i="44" s="1"/>
  <c r="CV55" i="48"/>
  <c r="CY58" i="48"/>
  <c r="DB14" i="44" s="1"/>
  <c r="CY55" i="48"/>
  <c r="DE61" i="48"/>
  <c r="DH17" i="44" s="1"/>
  <c r="DH61" i="48"/>
  <c r="DK17" i="44" s="1"/>
  <c r="DH59" i="48"/>
  <c r="DK15" i="44" s="1"/>
  <c r="DL60" i="48"/>
  <c r="DO16" i="44" s="1"/>
  <c r="DN54" i="48"/>
  <c r="DM58" i="48"/>
  <c r="DP14" i="44" s="1"/>
  <c r="DS59" i="48"/>
  <c r="DV15" i="44" s="1"/>
  <c r="CV60" i="48"/>
  <c r="CY16" i="44" s="1"/>
  <c r="DG61" i="48"/>
  <c r="DJ17" i="44" s="1"/>
  <c r="DG54" i="48"/>
  <c r="DM61" i="48"/>
  <c r="DP17" i="44" s="1"/>
  <c r="DS60" i="48"/>
  <c r="DV16" i="44" s="1"/>
  <c r="CX53" i="48"/>
  <c r="CI60" i="48"/>
  <c r="CL16" i="44" s="1"/>
  <c r="CI53" i="48"/>
  <c r="CR54" i="48"/>
  <c r="CT58" i="48"/>
  <c r="CW14" i="44" s="1"/>
  <c r="CV54" i="48"/>
  <c r="CY61" i="48"/>
  <c r="DB17" i="44" s="1"/>
  <c r="CS61" i="48"/>
  <c r="CV17" i="44" s="1"/>
  <c r="DE59" i="48"/>
  <c r="DH15" i="44" s="1"/>
  <c r="DE56" i="48"/>
  <c r="DL58" i="48"/>
  <c r="DO14" i="44" s="1"/>
  <c r="DN59" i="48"/>
  <c r="DQ15" i="44" s="1"/>
  <c r="CX58" i="48"/>
  <c r="DA14" i="44" s="1"/>
  <c r="CR53" i="48"/>
  <c r="CY59" i="48"/>
  <c r="DB15" i="44" s="1"/>
  <c r="CY54" i="48"/>
  <c r="DG59" i="48"/>
  <c r="DJ15" i="44" s="1"/>
  <c r="DH58" i="48"/>
  <c r="DK14" i="44" s="1"/>
  <c r="DL54" i="48"/>
  <c r="AU18" i="44" l="1"/>
  <c r="AT18" i="44"/>
  <c r="CO18" i="44"/>
  <c r="CO23" i="44" s="1"/>
  <c r="AP18" i="44"/>
  <c r="BN18" i="44"/>
  <c r="DL18" i="44"/>
  <c r="DE18" i="44"/>
  <c r="DU18" i="44"/>
  <c r="DF18" i="44"/>
  <c r="BK18" i="44"/>
  <c r="CD18" i="44"/>
  <c r="CQ18" i="44"/>
  <c r="DK18" i="44"/>
  <c r="BO18" i="44"/>
  <c r="CA18" i="44"/>
  <c r="BY18" i="44"/>
  <c r="CM18" i="44"/>
  <c r="BI18" i="44"/>
  <c r="BP18" i="44"/>
  <c r="AO18" i="44"/>
  <c r="BZ18" i="44"/>
  <c r="BB18" i="44"/>
  <c r="CX18" i="44"/>
  <c r="AY18" i="44"/>
  <c r="AY23" i="44" s="1"/>
  <c r="CU18" i="44"/>
  <c r="DS18" i="44"/>
  <c r="AX18" i="44"/>
  <c r="CP18" i="44"/>
  <c r="CL18" i="44"/>
  <c r="CV18" i="44"/>
  <c r="CV23" i="44" s="1"/>
  <c r="DB18" i="44"/>
  <c r="BV18" i="44"/>
  <c r="BV23" i="44" s="1"/>
  <c r="BF18" i="44"/>
  <c r="BD18" i="44"/>
  <c r="DQ18" i="44"/>
  <c r="DQ23" i="44" s="1"/>
  <c r="AS18" i="44"/>
  <c r="AW18" i="44"/>
  <c r="DN18" i="44"/>
  <c r="DO18" i="44"/>
  <c r="DH18" i="44"/>
  <c r="BJ18" i="44"/>
  <c r="BT18" i="44"/>
  <c r="CI18" i="44"/>
  <c r="DC18" i="44"/>
  <c r="DC23" i="44" s="1"/>
  <c r="DM18" i="44"/>
  <c r="CR18" i="44"/>
  <c r="DI18" i="44"/>
  <c r="BG18" i="44"/>
  <c r="BE18" i="44"/>
  <c r="CC18" i="44"/>
  <c r="BR18" i="44"/>
  <c r="CK18" i="44"/>
  <c r="BC18" i="44"/>
  <c r="BA18" i="44"/>
  <c r="AZ18" i="44"/>
  <c r="AZ23" i="44" s="1"/>
  <c r="DP18" i="44"/>
  <c r="AQ18" i="44"/>
  <c r="CY18" i="44"/>
  <c r="DJ18" i="44"/>
  <c r="DJ23" i="44" s="1"/>
  <c r="CJ18" i="44"/>
  <c r="DA18" i="44"/>
  <c r="CS18" i="44"/>
  <c r="BX18" i="44"/>
  <c r="BU18" i="44"/>
  <c r="CN18" i="44"/>
  <c r="DR18" i="44"/>
  <c r="CE18" i="44"/>
  <c r="AR18" i="44"/>
  <c r="AT23" i="44" s="1"/>
  <c r="CG18" i="44"/>
  <c r="CW18" i="44"/>
  <c r="CF18" i="44"/>
  <c r="BM18" i="44"/>
  <c r="CT18" i="44"/>
  <c r="CH18" i="44"/>
  <c r="CH23" i="44" s="1"/>
  <c r="BW18" i="44"/>
  <c r="CB18" i="44"/>
  <c r="CB23" i="44" s="1"/>
  <c r="DT18" i="44"/>
  <c r="DD18" i="44"/>
  <c r="BL18" i="44"/>
  <c r="BH18" i="44"/>
  <c r="BS18" i="44"/>
  <c r="BQ18" i="44"/>
  <c r="DG18" i="44"/>
  <c r="AV18" i="44"/>
  <c r="CZ18" i="44"/>
  <c r="DV24" i="44"/>
  <c r="DU42" i="48"/>
  <c r="DX6" i="44" s="1"/>
  <c r="DU45" i="48"/>
  <c r="DU46" i="48"/>
  <c r="DU49" i="48"/>
  <c r="DU47" i="48"/>
  <c r="DU44" i="48"/>
  <c r="DX8" i="44" s="1"/>
  <c r="DU50" i="48"/>
  <c r="DX19" i="44" s="1"/>
  <c r="DU41" i="48"/>
  <c r="DX5" i="44" s="1"/>
  <c r="DU8" i="48"/>
  <c r="DU63" i="48"/>
  <c r="DX20" i="44" s="1"/>
  <c r="DU48" i="48"/>
  <c r="DU62" i="48"/>
  <c r="DX11" i="44" s="1"/>
  <c r="DV18" i="44"/>
  <c r="DU61" i="48"/>
  <c r="DX17" i="44" s="1"/>
  <c r="DU55" i="48"/>
  <c r="DU56" i="48"/>
  <c r="DU43" i="48"/>
  <c r="DX7" i="44" s="1"/>
  <c r="DU58" i="48"/>
  <c r="DX14" i="44" s="1"/>
  <c r="DU54" i="48"/>
  <c r="DU40" i="48"/>
  <c r="DX4" i="44" s="1"/>
  <c r="DU57" i="48"/>
  <c r="DU53" i="48"/>
  <c r="DU60" i="48"/>
  <c r="DX16" i="44" s="1"/>
  <c r="AK9" i="44"/>
  <c r="AK23" i="44" s="1"/>
  <c r="AK26" i="44"/>
  <c r="AL9" i="44"/>
  <c r="AM9" i="44"/>
  <c r="AM23" i="44" s="1"/>
  <c r="AN9" i="44"/>
  <c r="AO9" i="44"/>
  <c r="AP9" i="44"/>
  <c r="AP23" i="44" s="1"/>
  <c r="AQ9" i="44"/>
  <c r="DV9" i="44"/>
  <c r="DU26" i="44"/>
  <c r="BM12" i="44"/>
  <c r="BM21" i="44"/>
  <c r="DT76" i="48"/>
  <c r="DW13" i="44"/>
  <c r="DW12" i="44"/>
  <c r="DT45" i="48"/>
  <c r="DT48" i="48"/>
  <c r="DT47" i="48"/>
  <c r="DT43" i="48"/>
  <c r="DW7" i="44" s="1"/>
  <c r="CO41" i="48"/>
  <c r="CR5" i="44" s="1"/>
  <c r="CR12" i="44"/>
  <c r="CR21" i="44"/>
  <c r="DT40" i="48"/>
  <c r="DW4" i="44" s="1"/>
  <c r="DV22" i="44"/>
  <c r="DV27" i="44" s="1"/>
  <c r="DV21" i="44"/>
  <c r="DT41" i="48"/>
  <c r="DW5" i="44" s="1"/>
  <c r="DT42" i="48"/>
  <c r="DW6" i="44" s="1"/>
  <c r="DT44" i="48"/>
  <c r="DW8" i="44" s="1"/>
  <c r="DU75" i="48"/>
  <c r="DU89" i="48"/>
  <c r="DU90" i="48"/>
  <c r="EA3" i="44"/>
  <c r="DZ2" i="44"/>
  <c r="DT49" i="48"/>
  <c r="DT57" i="48"/>
  <c r="DT63" i="48"/>
  <c r="DW20" i="44" s="1"/>
  <c r="DT62" i="48"/>
  <c r="DW11" i="44" s="1"/>
  <c r="DT53" i="48"/>
  <c r="DT60" i="48"/>
  <c r="DW16" i="44" s="1"/>
  <c r="DT58" i="48"/>
  <c r="DW14" i="44" s="1"/>
  <c r="DT55" i="48"/>
  <c r="DT8" i="48"/>
  <c r="DT50" i="48"/>
  <c r="DW19" i="44" s="1"/>
  <c r="DT56" i="48"/>
  <c r="DT61" i="48"/>
  <c r="DW17" i="44" s="1"/>
  <c r="DT54" i="48"/>
  <c r="DT59" i="48"/>
  <c r="DW15" i="44" s="1"/>
  <c r="DW83" i="48"/>
  <c r="DW74" i="48"/>
  <c r="DW88" i="48"/>
  <c r="DW32" i="48"/>
  <c r="DV34" i="48"/>
  <c r="DV29" i="48"/>
  <c r="DV35" i="48"/>
  <c r="DV87" i="48"/>
  <c r="DV88" i="48"/>
  <c r="DV85" i="48"/>
  <c r="DV74" i="48"/>
  <c r="DV83" i="48"/>
  <c r="DV31" i="48"/>
  <c r="DV86" i="48"/>
  <c r="DV68" i="48"/>
  <c r="DV84" i="48"/>
  <c r="DV7" i="48"/>
  <c r="DV32" i="48"/>
  <c r="DV9" i="48"/>
  <c r="DV80" i="48"/>
  <c r="DV69" i="48"/>
  <c r="DV66" i="48"/>
  <c r="DV70" i="48"/>
  <c r="DV81" i="48"/>
  <c r="DV28" i="48"/>
  <c r="DV27" i="48"/>
  <c r="DV72" i="48"/>
  <c r="DV6" i="48"/>
  <c r="DV71" i="48"/>
  <c r="DV30" i="48"/>
  <c r="DV33" i="48"/>
  <c r="DV73" i="48"/>
  <c r="DV82" i="48"/>
  <c r="AL10" i="44"/>
  <c r="AL24" i="44" s="1"/>
  <c r="AK10" i="44"/>
  <c r="AK24" i="44" s="1"/>
  <c r="CO42" i="48"/>
  <c r="CR6" i="44" s="1"/>
  <c r="BJ46" i="48"/>
  <c r="BJ50" i="48"/>
  <c r="BM19" i="44" s="1"/>
  <c r="BJ49" i="48"/>
  <c r="BJ8" i="48"/>
  <c r="CO49" i="48"/>
  <c r="CO50" i="48"/>
  <c r="CR19" i="44" s="1"/>
  <c r="CO44" i="48"/>
  <c r="CR8" i="44" s="1"/>
  <c r="CO48" i="48"/>
  <c r="CO47" i="48"/>
  <c r="CO8" i="48"/>
  <c r="CO46" i="48"/>
  <c r="CO40" i="48"/>
  <c r="CR4" i="44" s="1"/>
  <c r="CO43" i="48"/>
  <c r="CR7" i="44" s="1"/>
  <c r="CO45" i="48"/>
  <c r="BJ43" i="48"/>
  <c r="BM7" i="44" s="1"/>
  <c r="BJ42" i="48"/>
  <c r="BM6" i="44" s="1"/>
  <c r="BJ45" i="48"/>
  <c r="BJ48" i="48"/>
  <c r="BJ44" i="48"/>
  <c r="BM8" i="44" s="1"/>
  <c r="BJ41" i="48"/>
  <c r="BM5" i="44" s="1"/>
  <c r="BJ47" i="48"/>
  <c r="BJ40" i="48"/>
  <c r="BM4" i="44" s="1"/>
  <c r="DF23" i="44" l="1"/>
  <c r="AL23" i="44"/>
  <c r="CP23" i="44"/>
  <c r="DB23" i="44"/>
  <c r="CY23" i="44"/>
  <c r="BU23" i="44"/>
  <c r="DU23" i="44"/>
  <c r="DD23" i="44"/>
  <c r="BX23" i="44"/>
  <c r="DO23" i="44"/>
  <c r="DM23" i="44"/>
  <c r="DR23" i="44"/>
  <c r="CM23" i="44"/>
  <c r="CZ23" i="44"/>
  <c r="DA23" i="44"/>
  <c r="AV23" i="44"/>
  <c r="CJ23" i="44"/>
  <c r="BG23" i="44"/>
  <c r="BW23" i="44"/>
  <c r="BA23" i="44"/>
  <c r="AN23" i="44"/>
  <c r="BC23" i="44"/>
  <c r="DN23" i="44"/>
  <c r="CX23" i="44"/>
  <c r="CG23" i="44"/>
  <c r="CA23" i="44"/>
  <c r="DE23" i="44"/>
  <c r="AW23" i="44"/>
  <c r="CL23" i="44"/>
  <c r="BB23" i="44"/>
  <c r="DL23" i="44"/>
  <c r="DI23" i="44"/>
  <c r="CT23" i="44"/>
  <c r="CE23" i="44"/>
  <c r="AS23" i="44"/>
  <c r="DK23" i="44"/>
  <c r="AX23" i="44"/>
  <c r="AR23" i="44"/>
  <c r="CI23" i="44"/>
  <c r="AO23" i="44"/>
  <c r="CQ23" i="44"/>
  <c r="AU23" i="44"/>
  <c r="DG23" i="44"/>
  <c r="CF23" i="44"/>
  <c r="CN23" i="44"/>
  <c r="AQ23" i="44"/>
  <c r="CC23" i="44"/>
  <c r="BZ23" i="44"/>
  <c r="BT23" i="44"/>
  <c r="BD23" i="44"/>
  <c r="CD23" i="44"/>
  <c r="DH23" i="44"/>
  <c r="BY23" i="44"/>
  <c r="CK23" i="44"/>
  <c r="BH23" i="44"/>
  <c r="DT23" i="44"/>
  <c r="CW23" i="44"/>
  <c r="DP23" i="44"/>
  <c r="BE23" i="44"/>
  <c r="BJ23" i="44"/>
  <c r="BL23" i="44"/>
  <c r="BF23" i="44"/>
  <c r="DS23" i="44"/>
  <c r="BI23" i="44"/>
  <c r="BK23" i="44"/>
  <c r="DV4" i="48"/>
  <c r="DV53" i="48" s="1"/>
  <c r="DX10" i="44"/>
  <c r="DX24" i="44" s="1"/>
  <c r="DX25" i="44"/>
  <c r="DX9" i="44"/>
  <c r="DV36" i="48"/>
  <c r="DV37" i="48"/>
  <c r="DV23" i="44"/>
  <c r="DW18" i="44"/>
  <c r="DV5" i="48"/>
  <c r="DV41" i="48" s="1"/>
  <c r="DY5" i="44" s="1"/>
  <c r="DX18" i="44"/>
  <c r="CT9" i="44"/>
  <c r="CU9" i="44"/>
  <c r="CS9" i="44"/>
  <c r="CS23" i="44" s="1"/>
  <c r="DW9" i="44"/>
  <c r="BM9" i="44"/>
  <c r="BM23" i="44" s="1"/>
  <c r="BN9" i="44"/>
  <c r="BO9" i="44"/>
  <c r="BP9" i="44"/>
  <c r="BP23" i="44" s="1"/>
  <c r="BQ9" i="44"/>
  <c r="BR9" i="44"/>
  <c r="BS9" i="44"/>
  <c r="CR9" i="44"/>
  <c r="CR23" i="44" s="1"/>
  <c r="CR26" i="44"/>
  <c r="BM26" i="44"/>
  <c r="DW10" i="44"/>
  <c r="DW24" i="44" s="1"/>
  <c r="DW25" i="44"/>
  <c r="DV26" i="44"/>
  <c r="DW22" i="44"/>
  <c r="DW27" i="44" s="1"/>
  <c r="DW21" i="44"/>
  <c r="DU76" i="48"/>
  <c r="DX13" i="44"/>
  <c r="DX12" i="44"/>
  <c r="DV75" i="48"/>
  <c r="DV90" i="48"/>
  <c r="DV89" i="48"/>
  <c r="EB3" i="44"/>
  <c r="EA2" i="44"/>
  <c r="DW33" i="48"/>
  <c r="DW27" i="48"/>
  <c r="DW73" i="48"/>
  <c r="DW87" i="48"/>
  <c r="DW85" i="48"/>
  <c r="DW80" i="48"/>
  <c r="DW86" i="48"/>
  <c r="DW30" i="48"/>
  <c r="DW31" i="48"/>
  <c r="DW68" i="48"/>
  <c r="DW67" i="48"/>
  <c r="DW35" i="48"/>
  <c r="DW70" i="48"/>
  <c r="DW7" i="48"/>
  <c r="DX7" i="48" s="1"/>
  <c r="DW34" i="48"/>
  <c r="DW6" i="48"/>
  <c r="DW28" i="48"/>
  <c r="DW71" i="48"/>
  <c r="DW81" i="48"/>
  <c r="DW82" i="48"/>
  <c r="DW72" i="48"/>
  <c r="DW29" i="48"/>
  <c r="DW66" i="48"/>
  <c r="DW9" i="48"/>
  <c r="DW84" i="48"/>
  <c r="DW69" i="48"/>
  <c r="BM10" i="44"/>
  <c r="BM24" i="44" s="1"/>
  <c r="BN10" i="44"/>
  <c r="BN24" i="44" s="1"/>
  <c r="CR10" i="44"/>
  <c r="CR24" i="44" s="1"/>
  <c r="CS10" i="44"/>
  <c r="CS24" i="44" s="1"/>
  <c r="D8" i="48"/>
  <c r="D9" i="48" s="1"/>
  <c r="AG8" i="48"/>
  <c r="AG9" i="48" s="1"/>
  <c r="U8" i="48"/>
  <c r="U9" i="48" s="1"/>
  <c r="N8" i="48"/>
  <c r="N9" i="48" s="1"/>
  <c r="E8" i="48"/>
  <c r="E9" i="48" s="1"/>
  <c r="AB8" i="48"/>
  <c r="AB9" i="48" s="1"/>
  <c r="G8" i="48"/>
  <c r="G9" i="48" s="1"/>
  <c r="P8" i="48"/>
  <c r="P9" i="48" s="1"/>
  <c r="Z8" i="48"/>
  <c r="Z9" i="48" s="1"/>
  <c r="T8" i="48"/>
  <c r="T9" i="48" s="1"/>
  <c r="AD8" i="48"/>
  <c r="AD9" i="48" s="1"/>
  <c r="O8" i="48"/>
  <c r="O9" i="48" s="1"/>
  <c r="V8" i="48"/>
  <c r="V9" i="48" s="1"/>
  <c r="S8" i="48"/>
  <c r="S9" i="48" s="1"/>
  <c r="H8" i="48"/>
  <c r="H9" i="48" s="1"/>
  <c r="X8" i="48"/>
  <c r="X9" i="48" s="1"/>
  <c r="AC8" i="48"/>
  <c r="AC9" i="48" s="1"/>
  <c r="Q8" i="48"/>
  <c r="Q9" i="48" s="1"/>
  <c r="AF8" i="48"/>
  <c r="AF9" i="48" s="1"/>
  <c r="K8" i="48"/>
  <c r="K9" i="48" s="1"/>
  <c r="J8" i="48"/>
  <c r="J9" i="48" s="1"/>
  <c r="R8" i="48"/>
  <c r="R9" i="48" s="1"/>
  <c r="Y8" i="48"/>
  <c r="Y9" i="48" s="1"/>
  <c r="W8" i="48"/>
  <c r="W9" i="48" s="1"/>
  <c r="F8" i="48"/>
  <c r="F9" i="48" s="1"/>
  <c r="AA8" i="48"/>
  <c r="AA9" i="48" s="1"/>
  <c r="L8" i="48"/>
  <c r="L9" i="48" s="1"/>
  <c r="I8" i="48"/>
  <c r="I9" i="48" s="1"/>
  <c r="M8" i="48"/>
  <c r="M9" i="48" s="1"/>
  <c r="AE8" i="48"/>
  <c r="AE9" i="48" s="1"/>
  <c r="GC4" i="48" l="1"/>
  <c r="GB4" i="48"/>
  <c r="GT4" i="48"/>
  <c r="HB4" i="48"/>
  <c r="HA4" i="48"/>
  <c r="HG4" i="48"/>
  <c r="HK4" i="48"/>
  <c r="HJ4" i="48"/>
  <c r="GW4" i="48"/>
  <c r="GL4" i="48"/>
  <c r="GG4" i="48"/>
  <c r="GR4" i="48"/>
  <c r="GY4" i="48"/>
  <c r="HN4" i="48"/>
  <c r="GD4" i="48"/>
  <c r="HM4" i="48"/>
  <c r="GN4" i="48"/>
  <c r="GH4" i="48"/>
  <c r="GK4" i="48"/>
  <c r="GO4" i="48"/>
  <c r="GP4" i="48"/>
  <c r="GU4" i="48"/>
  <c r="HH4" i="48"/>
  <c r="HE4" i="48"/>
  <c r="HO4" i="48"/>
  <c r="HF4" i="48"/>
  <c r="GV4" i="48"/>
  <c r="HC4" i="48"/>
  <c r="HD4" i="48"/>
  <c r="HI4" i="48"/>
  <c r="GA4" i="48"/>
  <c r="GS4" i="48"/>
  <c r="GE4" i="48"/>
  <c r="GQ4" i="48"/>
  <c r="HL4" i="48"/>
  <c r="GX4" i="48"/>
  <c r="GI4" i="48"/>
  <c r="GF4" i="48"/>
  <c r="GM4" i="48"/>
  <c r="GJ4" i="48"/>
  <c r="GZ4" i="48"/>
  <c r="BO23" i="44"/>
  <c r="CU23" i="44"/>
  <c r="DW4" i="48"/>
  <c r="DW61" i="48" s="1"/>
  <c r="DZ17" i="44" s="1"/>
  <c r="FY4" i="48"/>
  <c r="FZ4" i="48"/>
  <c r="FQ4" i="48"/>
  <c r="FM4" i="48"/>
  <c r="FH4" i="48"/>
  <c r="FG4" i="48"/>
  <c r="FP4" i="48"/>
  <c r="FO4" i="48"/>
  <c r="FV4" i="48"/>
  <c r="FN4" i="48"/>
  <c r="EZ4" i="48"/>
  <c r="FT4" i="48"/>
  <c r="FB4" i="48"/>
  <c r="FU4" i="48"/>
  <c r="FS4" i="48"/>
  <c r="FL4" i="48"/>
  <c r="FF4" i="48"/>
  <c r="FC4" i="48"/>
  <c r="FD4" i="48"/>
  <c r="FI4" i="48"/>
  <c r="FJ4" i="48"/>
  <c r="FA4" i="48"/>
  <c r="FW4" i="48"/>
  <c r="FX4" i="48"/>
  <c r="FR4" i="48"/>
  <c r="FK4" i="48"/>
  <c r="FE4" i="48"/>
  <c r="BR23" i="44"/>
  <c r="BQ23" i="44"/>
  <c r="BS23" i="44"/>
  <c r="BN23" i="44"/>
  <c r="EY4" i="48"/>
  <c r="EY54" i="48" s="1"/>
  <c r="EY63" i="48"/>
  <c r="FB20" i="44" s="1"/>
  <c r="EX4" i="48"/>
  <c r="EU5" i="48"/>
  <c r="EW5" i="48"/>
  <c r="EV5" i="48"/>
  <c r="EW4" i="48"/>
  <c r="EV4" i="48"/>
  <c r="EU4" i="48"/>
  <c r="ER5" i="48"/>
  <c r="ER47" i="48" s="1"/>
  <c r="ET4" i="48"/>
  <c r="ET61" i="48" s="1"/>
  <c r="EW17" i="44" s="1"/>
  <c r="ER4" i="48"/>
  <c r="ES4" i="48"/>
  <c r="ES5" i="48"/>
  <c r="ET5" i="48"/>
  <c r="EQ5" i="48"/>
  <c r="EQ4" i="48"/>
  <c r="EP5" i="48"/>
  <c r="EN5" i="48"/>
  <c r="EO5" i="48"/>
  <c r="EM5" i="48"/>
  <c r="EP4" i="48"/>
  <c r="EO4" i="48"/>
  <c r="EM4" i="48"/>
  <c r="EN4" i="48"/>
  <c r="EK4" i="48"/>
  <c r="EL4" i="48"/>
  <c r="EK5" i="48"/>
  <c r="EL5" i="48"/>
  <c r="EJ5" i="48"/>
  <c r="EJ4" i="48"/>
  <c r="EI4" i="48"/>
  <c r="EI5" i="48"/>
  <c r="EG4" i="48"/>
  <c r="EG5" i="48"/>
  <c r="EH5" i="48"/>
  <c r="EH4" i="48"/>
  <c r="EF4" i="48"/>
  <c r="EF5" i="48"/>
  <c r="EC4" i="48"/>
  <c r="EC54" i="48" s="1"/>
  <c r="EC5" i="48"/>
  <c r="EC45" i="48" s="1"/>
  <c r="DV60" i="48"/>
  <c r="DY16" i="44" s="1"/>
  <c r="ED5" i="48"/>
  <c r="DV55" i="48"/>
  <c r="DV54" i="48"/>
  <c r="EE4" i="48"/>
  <c r="DV59" i="48"/>
  <c r="DY15" i="44" s="1"/>
  <c r="ED4" i="48"/>
  <c r="EE5" i="48"/>
  <c r="EB4" i="48"/>
  <c r="EB5" i="48"/>
  <c r="DV56" i="48"/>
  <c r="DZ4" i="48"/>
  <c r="DV61" i="48"/>
  <c r="DY17" i="44" s="1"/>
  <c r="EA4" i="48"/>
  <c r="DV62" i="48"/>
  <c r="DY11" i="44" s="1"/>
  <c r="EA5" i="48"/>
  <c r="DV58" i="48"/>
  <c r="DY14" i="44" s="1"/>
  <c r="DV57" i="48"/>
  <c r="DV63" i="48"/>
  <c r="DY20" i="44" s="1"/>
  <c r="DZ5" i="48"/>
  <c r="DY7" i="48"/>
  <c r="DY5" i="48"/>
  <c r="DY4" i="48"/>
  <c r="DV46" i="48"/>
  <c r="DW36" i="48"/>
  <c r="DW37" i="48"/>
  <c r="DV45" i="48"/>
  <c r="DV50" i="48"/>
  <c r="DY19" i="44" s="1"/>
  <c r="DW62" i="48"/>
  <c r="DZ11" i="44" s="1"/>
  <c r="DV40" i="48"/>
  <c r="DY4" i="44" s="1"/>
  <c r="DW59" i="48"/>
  <c r="DZ15" i="44" s="1"/>
  <c r="DX23" i="44"/>
  <c r="DV47" i="48"/>
  <c r="DW23" i="44"/>
  <c r="DX4" i="48"/>
  <c r="DX5" i="48"/>
  <c r="DV42" i="48"/>
  <c r="DY6" i="44" s="1"/>
  <c r="DW56" i="48"/>
  <c r="DW53" i="48"/>
  <c r="DW58" i="48"/>
  <c r="DZ14" i="44" s="1"/>
  <c r="DW63" i="48"/>
  <c r="DZ20" i="44" s="1"/>
  <c r="DW60" i="48"/>
  <c r="DZ16" i="44" s="1"/>
  <c r="DW57" i="48"/>
  <c r="DW55" i="48"/>
  <c r="DW54" i="48"/>
  <c r="DW5" i="48"/>
  <c r="DV43" i="48"/>
  <c r="DY7" i="44" s="1"/>
  <c r="DV44" i="48"/>
  <c r="DY8" i="44" s="1"/>
  <c r="DV8" i="48"/>
  <c r="DV48" i="48"/>
  <c r="DV49" i="48"/>
  <c r="DW26" i="44"/>
  <c r="DV76" i="48"/>
  <c r="DY13" i="44"/>
  <c r="DY12" i="44"/>
  <c r="DX21" i="44"/>
  <c r="DX22" i="44"/>
  <c r="DX27" i="44" s="1"/>
  <c r="DW75" i="48"/>
  <c r="DW90" i="48"/>
  <c r="DW89" i="48"/>
  <c r="EC3" i="44"/>
  <c r="EB2" i="44"/>
  <c r="GJ58" i="48" l="1"/>
  <c r="GJ56" i="48"/>
  <c r="GJ54" i="48"/>
  <c r="GJ61" i="48"/>
  <c r="GJ55" i="48"/>
  <c r="GJ59" i="48"/>
  <c r="GJ57" i="48"/>
  <c r="GJ60" i="48"/>
  <c r="GJ53" i="48"/>
  <c r="GJ62" i="48"/>
  <c r="GM11" i="44" s="1"/>
  <c r="GJ63" i="48"/>
  <c r="GM20" i="44" s="1"/>
  <c r="GM25" i="44" s="1"/>
  <c r="GS59" i="48"/>
  <c r="GS57" i="48"/>
  <c r="GS62" i="48"/>
  <c r="GV11" i="44" s="1"/>
  <c r="GS54" i="48"/>
  <c r="GS55" i="48"/>
  <c r="GS58" i="48"/>
  <c r="GS56" i="48"/>
  <c r="GS53" i="48"/>
  <c r="GS60" i="48"/>
  <c r="GS63" i="48"/>
  <c r="GV20" i="44" s="1"/>
  <c r="GV25" i="44" s="1"/>
  <c r="GS61" i="48"/>
  <c r="HE54" i="48"/>
  <c r="HE59" i="48"/>
  <c r="HE53" i="48"/>
  <c r="HE56" i="48"/>
  <c r="HE63" i="48"/>
  <c r="HH20" i="44" s="1"/>
  <c r="HH25" i="44" s="1"/>
  <c r="HE62" i="48"/>
  <c r="HH11" i="44" s="1"/>
  <c r="HE61" i="48"/>
  <c r="HE55" i="48"/>
  <c r="HE58" i="48"/>
  <c r="HE57" i="48"/>
  <c r="HE60" i="48"/>
  <c r="HM55" i="48"/>
  <c r="HM62" i="48"/>
  <c r="HP11" i="44" s="1"/>
  <c r="HM61" i="48"/>
  <c r="HM60" i="48"/>
  <c r="HM57" i="48"/>
  <c r="HM54" i="48"/>
  <c r="HM58" i="48"/>
  <c r="HM53" i="48"/>
  <c r="HM56" i="48"/>
  <c r="HM63" i="48"/>
  <c r="HP20" i="44" s="1"/>
  <c r="HP25" i="44" s="1"/>
  <c r="HM59" i="48"/>
  <c r="HJ61" i="48"/>
  <c r="HJ56" i="48"/>
  <c r="HJ62" i="48"/>
  <c r="HM11" i="44" s="1"/>
  <c r="HJ59" i="48"/>
  <c r="HJ57" i="48"/>
  <c r="HJ58" i="48"/>
  <c r="HJ53" i="48"/>
  <c r="HJ54" i="48"/>
  <c r="HJ60" i="48"/>
  <c r="HJ63" i="48"/>
  <c r="HM20" i="44" s="1"/>
  <c r="HJ55" i="48"/>
  <c r="GA62" i="48"/>
  <c r="GD11" i="44" s="1"/>
  <c r="GA55" i="48"/>
  <c r="GA56" i="48"/>
  <c r="GA53" i="48"/>
  <c r="GA61" i="48"/>
  <c r="GA58" i="48"/>
  <c r="GA63" i="48"/>
  <c r="GD20" i="44" s="1"/>
  <c r="GD25" i="44" s="1"/>
  <c r="GA57" i="48"/>
  <c r="GA54" i="48"/>
  <c r="GA60" i="48"/>
  <c r="GA59" i="48"/>
  <c r="GF62" i="48"/>
  <c r="GI11" i="44" s="1"/>
  <c r="GF58" i="48"/>
  <c r="GF60" i="48"/>
  <c r="GF56" i="48"/>
  <c r="GF54" i="48"/>
  <c r="GF61" i="48"/>
  <c r="GF53" i="48"/>
  <c r="GF57" i="48"/>
  <c r="GF63" i="48"/>
  <c r="GI20" i="44" s="1"/>
  <c r="GI25" i="44" s="1"/>
  <c r="GF59" i="48"/>
  <c r="GF55" i="48"/>
  <c r="HI55" i="48"/>
  <c r="HI56" i="48"/>
  <c r="HI61" i="48"/>
  <c r="HI62" i="48"/>
  <c r="HL11" i="44" s="1"/>
  <c r="HI58" i="48"/>
  <c r="HI59" i="48"/>
  <c r="HI53" i="48"/>
  <c r="HI63" i="48"/>
  <c r="HL20" i="44" s="1"/>
  <c r="HI60" i="48"/>
  <c r="HI57" i="48"/>
  <c r="HI54" i="48"/>
  <c r="GU60" i="48"/>
  <c r="GU56" i="48"/>
  <c r="GU58" i="48"/>
  <c r="GU59" i="48"/>
  <c r="GU53" i="48"/>
  <c r="GU62" i="48"/>
  <c r="GX11" i="44" s="1"/>
  <c r="GU55" i="48"/>
  <c r="GU54" i="48"/>
  <c r="GU63" i="48"/>
  <c r="GX20" i="44" s="1"/>
  <c r="GU61" i="48"/>
  <c r="GU57" i="48"/>
  <c r="HN54" i="48"/>
  <c r="HN63" i="48"/>
  <c r="HQ20" i="44" s="1"/>
  <c r="HN60" i="48"/>
  <c r="HN55" i="48"/>
  <c r="HN56" i="48"/>
  <c r="HN57" i="48"/>
  <c r="HN61" i="48"/>
  <c r="HN62" i="48"/>
  <c r="HQ11" i="44" s="1"/>
  <c r="HN58" i="48"/>
  <c r="HN53" i="48"/>
  <c r="HN59" i="48"/>
  <c r="HG55" i="48"/>
  <c r="HG5" i="48"/>
  <c r="HG60" i="48"/>
  <c r="HG61" i="48"/>
  <c r="HG59" i="48"/>
  <c r="HG58" i="48"/>
  <c r="HG56" i="48"/>
  <c r="HG53" i="48"/>
  <c r="HG57" i="48"/>
  <c r="HG63" i="48"/>
  <c r="HJ20" i="44" s="1"/>
  <c r="HG54" i="48"/>
  <c r="HG62" i="48"/>
  <c r="HJ11" i="44" s="1"/>
  <c r="GI55" i="48"/>
  <c r="GI62" i="48"/>
  <c r="GL11" i="44" s="1"/>
  <c r="GI58" i="48"/>
  <c r="GI63" i="48"/>
  <c r="GL20" i="44" s="1"/>
  <c r="GL25" i="44" s="1"/>
  <c r="GI56" i="48"/>
  <c r="GI57" i="48"/>
  <c r="GI59" i="48"/>
  <c r="GI54" i="48"/>
  <c r="GI53" i="48"/>
  <c r="GI60" i="48"/>
  <c r="GI61" i="48"/>
  <c r="HD57" i="48"/>
  <c r="HD53" i="48"/>
  <c r="HD61" i="48"/>
  <c r="HD63" i="48"/>
  <c r="HG20" i="44" s="1"/>
  <c r="HD55" i="48"/>
  <c r="HD54" i="48"/>
  <c r="HD58" i="48"/>
  <c r="HD56" i="48"/>
  <c r="HD62" i="48"/>
  <c r="HG11" i="44" s="1"/>
  <c r="HD59" i="48"/>
  <c r="HD60" i="48"/>
  <c r="GP56" i="48"/>
  <c r="GP55" i="48"/>
  <c r="GP57" i="48"/>
  <c r="GP54" i="48"/>
  <c r="GP53" i="48"/>
  <c r="GP59" i="48"/>
  <c r="GP63" i="48"/>
  <c r="GS20" i="44" s="1"/>
  <c r="GS25" i="44" s="1"/>
  <c r="GP60" i="48"/>
  <c r="GP58" i="48"/>
  <c r="GP61" i="48"/>
  <c r="GP62" i="48"/>
  <c r="GS11" i="44" s="1"/>
  <c r="GY63" i="48"/>
  <c r="HB20" i="44" s="1"/>
  <c r="GY54" i="48"/>
  <c r="GY55" i="48"/>
  <c r="GY59" i="48"/>
  <c r="GY57" i="48"/>
  <c r="GY53" i="48"/>
  <c r="GY56" i="48"/>
  <c r="GY60" i="48"/>
  <c r="GY61" i="48"/>
  <c r="GY62" i="48"/>
  <c r="HB11" i="44" s="1"/>
  <c r="GY58" i="48"/>
  <c r="HA53" i="48"/>
  <c r="HA55" i="48"/>
  <c r="HA58" i="48"/>
  <c r="HA62" i="48"/>
  <c r="HD11" i="44" s="1"/>
  <c r="HA56" i="48"/>
  <c r="HA63" i="48"/>
  <c r="HD20" i="44" s="1"/>
  <c r="HD25" i="44" s="1"/>
  <c r="HA54" i="48"/>
  <c r="HA60" i="48"/>
  <c r="HA61" i="48"/>
  <c r="HA57" i="48"/>
  <c r="HA59" i="48"/>
  <c r="HH55" i="48"/>
  <c r="HH60" i="48"/>
  <c r="HH61" i="48"/>
  <c r="HH54" i="48"/>
  <c r="HH53" i="48"/>
  <c r="HH59" i="48"/>
  <c r="HH57" i="48"/>
  <c r="HH58" i="48"/>
  <c r="HH63" i="48"/>
  <c r="HK20" i="44" s="1"/>
  <c r="HH56" i="48"/>
  <c r="HH62" i="48"/>
  <c r="HK11" i="44" s="1"/>
  <c r="GX54" i="48"/>
  <c r="GX61" i="48"/>
  <c r="GX58" i="48"/>
  <c r="GX57" i="48"/>
  <c r="GX63" i="48"/>
  <c r="HA20" i="44" s="1"/>
  <c r="GX56" i="48"/>
  <c r="GX59" i="48"/>
  <c r="GX62" i="48"/>
  <c r="HA11" i="44" s="1"/>
  <c r="GX55" i="48"/>
  <c r="GX60" i="48"/>
  <c r="GX53" i="48"/>
  <c r="HC53" i="48"/>
  <c r="HC57" i="48"/>
  <c r="HC58" i="48"/>
  <c r="HC61" i="48"/>
  <c r="HC56" i="48"/>
  <c r="HC54" i="48"/>
  <c r="HC63" i="48"/>
  <c r="HF20" i="44" s="1"/>
  <c r="HF25" i="44" s="1"/>
  <c r="HC60" i="48"/>
  <c r="HC62" i="48"/>
  <c r="HF11" i="44" s="1"/>
  <c r="HC59" i="48"/>
  <c r="HC55" i="48"/>
  <c r="GO63" i="48"/>
  <c r="GR20" i="44" s="1"/>
  <c r="GR25" i="44" s="1"/>
  <c r="GO56" i="48"/>
  <c r="GO55" i="48"/>
  <c r="GO53" i="48"/>
  <c r="GO61" i="48"/>
  <c r="GO58" i="48"/>
  <c r="GO62" i="48"/>
  <c r="GR11" i="44" s="1"/>
  <c r="GO60" i="48"/>
  <c r="GO59" i="48"/>
  <c r="GO54" i="48"/>
  <c r="GO57" i="48"/>
  <c r="GR63" i="48"/>
  <c r="GU20" i="44" s="1"/>
  <c r="GR59" i="48"/>
  <c r="GR57" i="48"/>
  <c r="GR56" i="48"/>
  <c r="GR54" i="48"/>
  <c r="GR62" i="48"/>
  <c r="GU11" i="44" s="1"/>
  <c r="GR55" i="48"/>
  <c r="GR61" i="48"/>
  <c r="GR60" i="48"/>
  <c r="GR53" i="48"/>
  <c r="GR58" i="48"/>
  <c r="HB59" i="48"/>
  <c r="HB60" i="48"/>
  <c r="HB55" i="48"/>
  <c r="HB57" i="48"/>
  <c r="HB56" i="48"/>
  <c r="HB62" i="48"/>
  <c r="HE11" i="44" s="1"/>
  <c r="HB58" i="48"/>
  <c r="HB63" i="48"/>
  <c r="HE20" i="44" s="1"/>
  <c r="HB53" i="48"/>
  <c r="HB61" i="48"/>
  <c r="HB54" i="48"/>
  <c r="HK61" i="48"/>
  <c r="HK63" i="48"/>
  <c r="HN20" i="44" s="1"/>
  <c r="HK57" i="48"/>
  <c r="HK60" i="48"/>
  <c r="HK54" i="48"/>
  <c r="HK59" i="48"/>
  <c r="HK53" i="48"/>
  <c r="HK58" i="48"/>
  <c r="HK56" i="48"/>
  <c r="HK55" i="48"/>
  <c r="HK62" i="48"/>
  <c r="HN11" i="44" s="1"/>
  <c r="HL53" i="48"/>
  <c r="HL63" i="48"/>
  <c r="HO20" i="44" s="1"/>
  <c r="HL58" i="48"/>
  <c r="HL60" i="48"/>
  <c r="HL54" i="48"/>
  <c r="HL57" i="48"/>
  <c r="HL56" i="48"/>
  <c r="HL55" i="48"/>
  <c r="HL61" i="48"/>
  <c r="HL62" i="48"/>
  <c r="HO11" i="44" s="1"/>
  <c r="HL59" i="48"/>
  <c r="GV59" i="48"/>
  <c r="GV56" i="48"/>
  <c r="GV60" i="48"/>
  <c r="GV62" i="48"/>
  <c r="GY11" i="44" s="1"/>
  <c r="GV57" i="48"/>
  <c r="GV58" i="48"/>
  <c r="GV53" i="48"/>
  <c r="GV61" i="48"/>
  <c r="GV54" i="48"/>
  <c r="GV55" i="48"/>
  <c r="GV63" i="48"/>
  <c r="GY20" i="44" s="1"/>
  <c r="GK55" i="48"/>
  <c r="GK60" i="48"/>
  <c r="GK53" i="48"/>
  <c r="GK58" i="48"/>
  <c r="GK63" i="48"/>
  <c r="GN20" i="44" s="1"/>
  <c r="GK61" i="48"/>
  <c r="GK62" i="48"/>
  <c r="GN11" i="44" s="1"/>
  <c r="GK57" i="48"/>
  <c r="GK59" i="48"/>
  <c r="GK54" i="48"/>
  <c r="GK56" i="48"/>
  <c r="GG57" i="48"/>
  <c r="GG63" i="48"/>
  <c r="GJ20" i="44" s="1"/>
  <c r="GJ25" i="44" s="1"/>
  <c r="GG62" i="48"/>
  <c r="GJ11" i="44" s="1"/>
  <c r="GG56" i="48"/>
  <c r="GG61" i="48"/>
  <c r="GG55" i="48"/>
  <c r="GG59" i="48"/>
  <c r="GG58" i="48"/>
  <c r="GG53" i="48"/>
  <c r="GG54" i="48"/>
  <c r="GG60" i="48"/>
  <c r="GT56" i="48"/>
  <c r="GT59" i="48"/>
  <c r="GT57" i="48"/>
  <c r="GT61" i="48"/>
  <c r="GT63" i="48"/>
  <c r="GW20" i="44" s="1"/>
  <c r="GW25" i="44" s="1"/>
  <c r="GT54" i="48"/>
  <c r="GT60" i="48"/>
  <c r="GT53" i="48"/>
  <c r="GT58" i="48"/>
  <c r="GT62" i="48"/>
  <c r="GW11" i="44" s="1"/>
  <c r="GT55" i="48"/>
  <c r="GM62" i="48"/>
  <c r="GP11" i="44" s="1"/>
  <c r="GM59" i="48"/>
  <c r="GM53" i="48"/>
  <c r="GM56" i="48"/>
  <c r="GM54" i="48"/>
  <c r="GM60" i="48"/>
  <c r="GM63" i="48"/>
  <c r="GP20" i="44" s="1"/>
  <c r="GM61" i="48"/>
  <c r="GM57" i="48"/>
  <c r="GM55" i="48"/>
  <c r="GM58" i="48"/>
  <c r="GQ58" i="48"/>
  <c r="GQ56" i="48"/>
  <c r="GQ53" i="48"/>
  <c r="GQ60" i="48"/>
  <c r="GQ63" i="48"/>
  <c r="GT20" i="44" s="1"/>
  <c r="GQ54" i="48"/>
  <c r="GQ61" i="48"/>
  <c r="GQ62" i="48"/>
  <c r="GT11" i="44" s="1"/>
  <c r="GQ55" i="48"/>
  <c r="GQ59" i="48"/>
  <c r="GQ57" i="48"/>
  <c r="HF63" i="48"/>
  <c r="HI20" i="44" s="1"/>
  <c r="HF60" i="48"/>
  <c r="HF57" i="48"/>
  <c r="HF61" i="48"/>
  <c r="HF54" i="48"/>
  <c r="HF58" i="48"/>
  <c r="HF59" i="48"/>
  <c r="HF62" i="48"/>
  <c r="HI11" i="44" s="1"/>
  <c r="HF56" i="48"/>
  <c r="HF53" i="48"/>
  <c r="HF55" i="48"/>
  <c r="GH63" i="48"/>
  <c r="GK20" i="44" s="1"/>
  <c r="GK25" i="44" s="1"/>
  <c r="GH57" i="48"/>
  <c r="GH61" i="48"/>
  <c r="GH58" i="48"/>
  <c r="GH53" i="48"/>
  <c r="GH54" i="48"/>
  <c r="GH56" i="48"/>
  <c r="GH60" i="48"/>
  <c r="GH59" i="48"/>
  <c r="GH55" i="48"/>
  <c r="GH62" i="48"/>
  <c r="GK11" i="44" s="1"/>
  <c r="GL60" i="48"/>
  <c r="GL54" i="48"/>
  <c r="GL61" i="48"/>
  <c r="GL62" i="48"/>
  <c r="GO11" i="44" s="1"/>
  <c r="GL57" i="48"/>
  <c r="GL56" i="48"/>
  <c r="GL55" i="48"/>
  <c r="GL53" i="48"/>
  <c r="GL59" i="48"/>
  <c r="GL58" i="48"/>
  <c r="GL63" i="48"/>
  <c r="GO20" i="44" s="1"/>
  <c r="GO25" i="44" s="1"/>
  <c r="GB54" i="48"/>
  <c r="GB60" i="48"/>
  <c r="GB63" i="48"/>
  <c r="GE20" i="44" s="1"/>
  <c r="GE25" i="44" s="1"/>
  <c r="GB55" i="48"/>
  <c r="GB53" i="48"/>
  <c r="GB58" i="48"/>
  <c r="GB57" i="48"/>
  <c r="GB62" i="48"/>
  <c r="GE11" i="44" s="1"/>
  <c r="GB61" i="48"/>
  <c r="GB5" i="48"/>
  <c r="GB56" i="48"/>
  <c r="GB59" i="48"/>
  <c r="GD53" i="48"/>
  <c r="GD63" i="48"/>
  <c r="GG20" i="44" s="1"/>
  <c r="GD57" i="48"/>
  <c r="GD60" i="48"/>
  <c r="GD56" i="48"/>
  <c r="GD62" i="48"/>
  <c r="GG11" i="44" s="1"/>
  <c r="GD58" i="48"/>
  <c r="GD55" i="48"/>
  <c r="GD54" i="48"/>
  <c r="GD61" i="48"/>
  <c r="GD59" i="48"/>
  <c r="GZ57" i="48"/>
  <c r="GZ55" i="48"/>
  <c r="GZ63" i="48"/>
  <c r="HC20" i="44" s="1"/>
  <c r="HC25" i="44" s="1"/>
  <c r="GZ59" i="48"/>
  <c r="GZ60" i="48"/>
  <c r="GZ62" i="48"/>
  <c r="HC11" i="44" s="1"/>
  <c r="GZ58" i="48"/>
  <c r="GZ61" i="48"/>
  <c r="GZ54" i="48"/>
  <c r="GZ56" i="48"/>
  <c r="GZ53" i="48"/>
  <c r="GE53" i="48"/>
  <c r="GE59" i="48"/>
  <c r="GE62" i="48"/>
  <c r="GH11" i="44" s="1"/>
  <c r="GE57" i="48"/>
  <c r="GE58" i="48"/>
  <c r="GE60" i="48"/>
  <c r="GE63" i="48"/>
  <c r="GH20" i="44" s="1"/>
  <c r="GH25" i="44" s="1"/>
  <c r="GE55" i="48"/>
  <c r="GE61" i="48"/>
  <c r="GE54" i="48"/>
  <c r="GE56" i="48"/>
  <c r="HO59" i="48"/>
  <c r="HO55" i="48"/>
  <c r="HO62" i="48"/>
  <c r="HR11" i="44" s="1"/>
  <c r="HO60" i="48"/>
  <c r="HO53" i="48"/>
  <c r="HO57" i="48"/>
  <c r="HO58" i="48"/>
  <c r="HO54" i="48"/>
  <c r="HO56" i="48"/>
  <c r="HO61" i="48"/>
  <c r="HO63" i="48"/>
  <c r="HR20" i="44" s="1"/>
  <c r="HR25" i="44" s="1"/>
  <c r="GN56" i="48"/>
  <c r="GN58" i="48"/>
  <c r="GN63" i="48"/>
  <c r="GQ20" i="44" s="1"/>
  <c r="GQ25" i="44" s="1"/>
  <c r="GN57" i="48"/>
  <c r="GN54" i="48"/>
  <c r="GN62" i="48"/>
  <c r="GQ11" i="44" s="1"/>
  <c r="GN60" i="48"/>
  <c r="GN59" i="48"/>
  <c r="GN61" i="48"/>
  <c r="GN55" i="48"/>
  <c r="GN53" i="48"/>
  <c r="GW62" i="48"/>
  <c r="GZ11" i="44" s="1"/>
  <c r="GW63" i="48"/>
  <c r="GZ20" i="44" s="1"/>
  <c r="GW56" i="48"/>
  <c r="GW58" i="48"/>
  <c r="GW59" i="48"/>
  <c r="GW61" i="48"/>
  <c r="GW57" i="48"/>
  <c r="GW54" i="48"/>
  <c r="GW60" i="48"/>
  <c r="GW55" i="48"/>
  <c r="GW53" i="48"/>
  <c r="GC54" i="48"/>
  <c r="GC61" i="48"/>
  <c r="GC63" i="48"/>
  <c r="GF20" i="44" s="1"/>
  <c r="GC56" i="48"/>
  <c r="GC59" i="48"/>
  <c r="GC53" i="48"/>
  <c r="GC62" i="48"/>
  <c r="GF11" i="44" s="1"/>
  <c r="GC57" i="48"/>
  <c r="GC55" i="48"/>
  <c r="GC58" i="48"/>
  <c r="GC60" i="48"/>
  <c r="FV61" i="48"/>
  <c r="FV59" i="48"/>
  <c r="FV54" i="48"/>
  <c r="FV58" i="48"/>
  <c r="FV57" i="48"/>
  <c r="FV53" i="48"/>
  <c r="FV55" i="48"/>
  <c r="FV62" i="48"/>
  <c r="FY11" i="44" s="1"/>
  <c r="FV60" i="48"/>
  <c r="FV56" i="48"/>
  <c r="FV63" i="48"/>
  <c r="FY20" i="44" s="1"/>
  <c r="FI56" i="48"/>
  <c r="FI57" i="48"/>
  <c r="FI61" i="48"/>
  <c r="FI60" i="48"/>
  <c r="FI62" i="48"/>
  <c r="FL11" i="44" s="1"/>
  <c r="FI59" i="48"/>
  <c r="FI58" i="48"/>
  <c r="FI55" i="48"/>
  <c r="FI54" i="48"/>
  <c r="FI63" i="48"/>
  <c r="FL20" i="44" s="1"/>
  <c r="FI53" i="48"/>
  <c r="FO54" i="48"/>
  <c r="FO58" i="48"/>
  <c r="FO59" i="48"/>
  <c r="FO60" i="48"/>
  <c r="FO61" i="48"/>
  <c r="FO55" i="48"/>
  <c r="FO56" i="48"/>
  <c r="FO62" i="48"/>
  <c r="FR11" i="44" s="1"/>
  <c r="FO57" i="48"/>
  <c r="FO53" i="48"/>
  <c r="FO63" i="48"/>
  <c r="FR20" i="44" s="1"/>
  <c r="FJ62" i="48"/>
  <c r="FM11" i="44" s="1"/>
  <c r="FJ55" i="48"/>
  <c r="FJ59" i="48"/>
  <c r="FJ60" i="48"/>
  <c r="FJ54" i="48"/>
  <c r="FJ63" i="48"/>
  <c r="FM20" i="44" s="1"/>
  <c r="FJ53" i="48"/>
  <c r="FJ61" i="48"/>
  <c r="FJ56" i="48"/>
  <c r="FJ57" i="48"/>
  <c r="FJ58" i="48"/>
  <c r="FD61" i="48"/>
  <c r="FD55" i="48"/>
  <c r="FD56" i="48"/>
  <c r="FD60" i="48"/>
  <c r="FD57" i="48"/>
  <c r="FD63" i="48"/>
  <c r="FG20" i="44" s="1"/>
  <c r="FD59" i="48"/>
  <c r="FD58" i="48"/>
  <c r="FD54" i="48"/>
  <c r="FD62" i="48"/>
  <c r="FG11" i="44" s="1"/>
  <c r="FD53" i="48"/>
  <c r="FP57" i="48"/>
  <c r="FP53" i="48"/>
  <c r="FP58" i="48"/>
  <c r="FP54" i="48"/>
  <c r="FP55" i="48"/>
  <c r="FP60" i="48"/>
  <c r="FP62" i="48"/>
  <c r="FS11" i="44" s="1"/>
  <c r="FP59" i="48"/>
  <c r="FP56" i="48"/>
  <c r="FP61" i="48"/>
  <c r="FP63" i="48"/>
  <c r="FS20" i="44" s="1"/>
  <c r="FC57" i="48"/>
  <c r="FC62" i="48"/>
  <c r="FF11" i="44" s="1"/>
  <c r="FC61" i="48"/>
  <c r="FC55" i="48"/>
  <c r="FC63" i="48"/>
  <c r="FF20" i="44" s="1"/>
  <c r="FF25" i="44" s="1"/>
  <c r="FC58" i="48"/>
  <c r="FC60" i="48"/>
  <c r="FC53" i="48"/>
  <c r="FC54" i="48"/>
  <c r="FC56" i="48"/>
  <c r="FC59" i="48"/>
  <c r="FG54" i="48"/>
  <c r="FG56" i="48"/>
  <c r="FG61" i="48"/>
  <c r="FG60" i="48"/>
  <c r="FG63" i="48"/>
  <c r="FJ20" i="44" s="1"/>
  <c r="FG53" i="48"/>
  <c r="FG55" i="48"/>
  <c r="FG59" i="48"/>
  <c r="FG58" i="48"/>
  <c r="FG57" i="48"/>
  <c r="FG62" i="48"/>
  <c r="FJ11" i="44" s="1"/>
  <c r="FF56" i="48"/>
  <c r="FF60" i="48"/>
  <c r="FF54" i="48"/>
  <c r="FF62" i="48"/>
  <c r="FI11" i="44" s="1"/>
  <c r="FF58" i="48"/>
  <c r="FF61" i="48"/>
  <c r="FF53" i="48"/>
  <c r="FF59" i="48"/>
  <c r="FF57" i="48"/>
  <c r="FF55" i="48"/>
  <c r="FF63" i="48"/>
  <c r="FI20" i="44" s="1"/>
  <c r="FH53" i="48"/>
  <c r="FH55" i="48"/>
  <c r="FH57" i="48"/>
  <c r="FH58" i="48"/>
  <c r="FH59" i="48"/>
  <c r="FH63" i="48"/>
  <c r="FK20" i="44" s="1"/>
  <c r="FH60" i="48"/>
  <c r="FH61" i="48"/>
  <c r="FH62" i="48"/>
  <c r="FK11" i="44" s="1"/>
  <c r="FH56" i="48"/>
  <c r="FH54" i="48"/>
  <c r="FL54" i="48"/>
  <c r="FL61" i="48"/>
  <c r="FL53" i="48"/>
  <c r="FL63" i="48"/>
  <c r="FO20" i="44" s="1"/>
  <c r="FL60" i="48"/>
  <c r="FL56" i="48"/>
  <c r="FL62" i="48"/>
  <c r="FO11" i="44" s="1"/>
  <c r="FL55" i="48"/>
  <c r="FL58" i="48"/>
  <c r="FL59" i="48"/>
  <c r="FL57" i="48"/>
  <c r="FM54" i="48"/>
  <c r="FM55" i="48"/>
  <c r="FM61" i="48"/>
  <c r="FM63" i="48"/>
  <c r="FP20" i="44" s="1"/>
  <c r="FM53" i="48"/>
  <c r="FM60" i="48"/>
  <c r="FM59" i="48"/>
  <c r="FM56" i="48"/>
  <c r="FM58" i="48"/>
  <c r="FM57" i="48"/>
  <c r="FM62" i="48"/>
  <c r="FP11" i="44" s="1"/>
  <c r="FE63" i="48"/>
  <c r="FH20" i="44" s="1"/>
  <c r="FE56" i="48"/>
  <c r="FE57" i="48"/>
  <c r="FE62" i="48"/>
  <c r="FH11" i="44" s="1"/>
  <c r="FE55" i="48"/>
  <c r="FE60" i="48"/>
  <c r="FE61" i="48"/>
  <c r="FE59" i="48"/>
  <c r="FE53" i="48"/>
  <c r="FE58" i="48"/>
  <c r="FE54" i="48"/>
  <c r="FS63" i="48"/>
  <c r="FV20" i="44" s="1"/>
  <c r="FS57" i="48"/>
  <c r="FS58" i="48"/>
  <c r="FS53" i="48"/>
  <c r="FS60" i="48"/>
  <c r="FS61" i="48"/>
  <c r="FS62" i="48"/>
  <c r="FV11" i="44" s="1"/>
  <c r="FS56" i="48"/>
  <c r="FS59" i="48"/>
  <c r="FS55" i="48"/>
  <c r="FS54" i="48"/>
  <c r="FQ60" i="48"/>
  <c r="FQ57" i="48"/>
  <c r="FQ63" i="48"/>
  <c r="FT20" i="44" s="1"/>
  <c r="FQ53" i="48"/>
  <c r="FQ58" i="48"/>
  <c r="FQ54" i="48"/>
  <c r="FQ55" i="48"/>
  <c r="FQ59" i="48"/>
  <c r="FQ56" i="48"/>
  <c r="FQ62" i="48"/>
  <c r="FT11" i="44" s="1"/>
  <c r="FQ61" i="48"/>
  <c r="FR60" i="48"/>
  <c r="FR57" i="48"/>
  <c r="FR63" i="48"/>
  <c r="FU20" i="44" s="1"/>
  <c r="FR53" i="48"/>
  <c r="FR61" i="48"/>
  <c r="FR59" i="48"/>
  <c r="FR56" i="48"/>
  <c r="FR58" i="48"/>
  <c r="FR62" i="48"/>
  <c r="FU11" i="44" s="1"/>
  <c r="FR55" i="48"/>
  <c r="FR54" i="48"/>
  <c r="FB53" i="48"/>
  <c r="FB57" i="48"/>
  <c r="FB60" i="48"/>
  <c r="FB58" i="48"/>
  <c r="FB61" i="48"/>
  <c r="FB62" i="48"/>
  <c r="FE11" i="44" s="1"/>
  <c r="FB54" i="48"/>
  <c r="FB59" i="48"/>
  <c r="FB63" i="48"/>
  <c r="FE20" i="44" s="1"/>
  <c r="FB55" i="48"/>
  <c r="FB56" i="48"/>
  <c r="FY54" i="48"/>
  <c r="FY63" i="48"/>
  <c r="GB20" i="44" s="1"/>
  <c r="FY62" i="48"/>
  <c r="GB11" i="44" s="1"/>
  <c r="FY53" i="48"/>
  <c r="FY56" i="48"/>
  <c r="FY58" i="48"/>
  <c r="FY57" i="48"/>
  <c r="FY61" i="48"/>
  <c r="FY59" i="48"/>
  <c r="FY60" i="48"/>
  <c r="FY55" i="48"/>
  <c r="FZ56" i="48"/>
  <c r="FZ53" i="48"/>
  <c r="FZ60" i="48"/>
  <c r="FZ58" i="48"/>
  <c r="FZ63" i="48"/>
  <c r="GC20" i="44" s="1"/>
  <c r="FZ62" i="48"/>
  <c r="GC11" i="44" s="1"/>
  <c r="FZ59" i="48"/>
  <c r="FZ55" i="48"/>
  <c r="FZ57" i="48"/>
  <c r="FZ61" i="48"/>
  <c r="FZ54" i="48"/>
  <c r="FX60" i="48"/>
  <c r="FX58" i="48"/>
  <c r="FX59" i="48"/>
  <c r="FX54" i="48"/>
  <c r="FX55" i="48"/>
  <c r="FX57" i="48"/>
  <c r="FX62" i="48"/>
  <c r="GA11" i="44" s="1"/>
  <c r="FX53" i="48"/>
  <c r="FX63" i="48"/>
  <c r="GA20" i="44" s="1"/>
  <c r="FX61" i="48"/>
  <c r="FX56" i="48"/>
  <c r="FT60" i="48"/>
  <c r="FT56" i="48"/>
  <c r="FT59" i="48"/>
  <c r="FT61" i="48"/>
  <c r="FT62" i="48"/>
  <c r="FW11" i="44" s="1"/>
  <c r="FT63" i="48"/>
  <c r="FW20" i="44" s="1"/>
  <c r="FT55" i="48"/>
  <c r="FT53" i="48"/>
  <c r="FT57" i="48"/>
  <c r="FT58" i="48"/>
  <c r="FT54" i="48"/>
  <c r="FW59" i="48"/>
  <c r="FW63" i="48"/>
  <c r="FZ20" i="44" s="1"/>
  <c r="FW57" i="48"/>
  <c r="FW61" i="48"/>
  <c r="FW53" i="48"/>
  <c r="FW62" i="48"/>
  <c r="FZ11" i="44" s="1"/>
  <c r="FW55" i="48"/>
  <c r="FW56" i="48"/>
  <c r="FW60" i="48"/>
  <c r="FW58" i="48"/>
  <c r="FW54" i="48"/>
  <c r="EZ63" i="48"/>
  <c r="FC20" i="44" s="1"/>
  <c r="EZ54" i="48"/>
  <c r="EZ53" i="48"/>
  <c r="EZ55" i="48"/>
  <c r="EZ58" i="48"/>
  <c r="EZ59" i="48"/>
  <c r="EZ61" i="48"/>
  <c r="EZ62" i="48"/>
  <c r="FC11" i="44" s="1"/>
  <c r="EZ56" i="48"/>
  <c r="EZ57" i="48"/>
  <c r="EZ60" i="48"/>
  <c r="FK56" i="48"/>
  <c r="FK62" i="48"/>
  <c r="FN11" i="44" s="1"/>
  <c r="FK63" i="48"/>
  <c r="FN20" i="44" s="1"/>
  <c r="FK57" i="48"/>
  <c r="FK53" i="48"/>
  <c r="FK55" i="48"/>
  <c r="FK54" i="48"/>
  <c r="FK58" i="48"/>
  <c r="FK59" i="48"/>
  <c r="FK61" i="48"/>
  <c r="FK60" i="48"/>
  <c r="FU59" i="48"/>
  <c r="FU63" i="48"/>
  <c r="FX20" i="44" s="1"/>
  <c r="FU56" i="48"/>
  <c r="FU57" i="48"/>
  <c r="FU62" i="48"/>
  <c r="FX11" i="44" s="1"/>
  <c r="FU55" i="48"/>
  <c r="FU54" i="48"/>
  <c r="FU60" i="48"/>
  <c r="FU58" i="48"/>
  <c r="FU53" i="48"/>
  <c r="FU61" i="48"/>
  <c r="FA55" i="48"/>
  <c r="FA59" i="48"/>
  <c r="FA62" i="48"/>
  <c r="FD11" i="44" s="1"/>
  <c r="FA54" i="48"/>
  <c r="FA56" i="48"/>
  <c r="FA57" i="48"/>
  <c r="FA53" i="48"/>
  <c r="FA60" i="48"/>
  <c r="FA61" i="48"/>
  <c r="FA58" i="48"/>
  <c r="FA63" i="48"/>
  <c r="FD20" i="44" s="1"/>
  <c r="FN55" i="48"/>
  <c r="FN63" i="48"/>
  <c r="FQ20" i="44" s="1"/>
  <c r="FQ25" i="44" s="1"/>
  <c r="FN58" i="48"/>
  <c r="FN61" i="48"/>
  <c r="FN60" i="48"/>
  <c r="FN62" i="48"/>
  <c r="FQ11" i="44" s="1"/>
  <c r="FN53" i="48"/>
  <c r="FN54" i="48"/>
  <c r="FN56" i="48"/>
  <c r="FN57" i="48"/>
  <c r="FN59" i="48"/>
  <c r="EY62" i="48"/>
  <c r="FB11" i="44" s="1"/>
  <c r="FB25" i="44" s="1"/>
  <c r="EY53" i="48"/>
  <c r="EY59" i="48"/>
  <c r="EY56" i="48"/>
  <c r="EY61" i="48"/>
  <c r="EY57" i="48"/>
  <c r="EY55" i="48"/>
  <c r="EY58" i="48"/>
  <c r="EY60" i="48"/>
  <c r="EX5" i="48"/>
  <c r="EX61" i="48"/>
  <c r="EX63" i="48"/>
  <c r="FA20" i="44" s="1"/>
  <c r="EX58" i="48"/>
  <c r="EX54" i="48"/>
  <c r="EX60" i="48"/>
  <c r="EX53" i="48"/>
  <c r="EX57" i="48"/>
  <c r="EX55" i="48"/>
  <c r="EX59" i="48"/>
  <c r="EX56" i="48"/>
  <c r="EX62" i="48"/>
  <c r="FA11" i="44" s="1"/>
  <c r="ET55" i="48"/>
  <c r="ET63" i="48"/>
  <c r="EW20" i="44" s="1"/>
  <c r="EU62" i="48"/>
  <c r="EX11" i="44" s="1"/>
  <c r="EU53" i="48"/>
  <c r="EU59" i="48"/>
  <c r="EX15" i="44" s="1"/>
  <c r="EU57" i="48"/>
  <c r="EU60" i="48"/>
  <c r="EX16" i="44" s="1"/>
  <c r="EU63" i="48"/>
  <c r="EX20" i="44" s="1"/>
  <c r="EU55" i="48"/>
  <c r="EU58" i="48"/>
  <c r="EX14" i="44" s="1"/>
  <c r="EU61" i="48"/>
  <c r="EX17" i="44" s="1"/>
  <c r="EU54" i="48"/>
  <c r="EU56" i="48"/>
  <c r="EV59" i="48"/>
  <c r="EY15" i="44" s="1"/>
  <c r="EV60" i="48"/>
  <c r="EY16" i="44" s="1"/>
  <c r="EV58" i="48"/>
  <c r="EY14" i="44" s="1"/>
  <c r="EV63" i="48"/>
  <c r="EY20" i="44" s="1"/>
  <c r="EV61" i="48"/>
  <c r="EY17" i="44" s="1"/>
  <c r="EV56" i="48"/>
  <c r="EV62" i="48"/>
  <c r="EY11" i="44" s="1"/>
  <c r="EV55" i="48"/>
  <c r="EV57" i="48"/>
  <c r="EV53" i="48"/>
  <c r="EV54" i="48"/>
  <c r="EW60" i="48"/>
  <c r="EZ16" i="44" s="1"/>
  <c r="EW53" i="48"/>
  <c r="EW56" i="48"/>
  <c r="EW54" i="48"/>
  <c r="EW61" i="48"/>
  <c r="EZ17" i="44" s="1"/>
  <c r="EW62" i="48"/>
  <c r="EZ11" i="44" s="1"/>
  <c r="EW59" i="48"/>
  <c r="EZ15" i="44" s="1"/>
  <c r="EW55" i="48"/>
  <c r="EW58" i="48"/>
  <c r="EZ14" i="44" s="1"/>
  <c r="EW63" i="48"/>
  <c r="EZ20" i="44" s="1"/>
  <c r="EW57" i="48"/>
  <c r="EV41" i="48"/>
  <c r="EY5" i="44" s="1"/>
  <c r="EV48" i="48"/>
  <c r="EV44" i="48"/>
  <c r="EY8" i="44" s="1"/>
  <c r="EV42" i="48"/>
  <c r="EY6" i="44" s="1"/>
  <c r="EV49" i="48"/>
  <c r="EV46" i="48"/>
  <c r="EV45" i="48"/>
  <c r="EV47" i="48"/>
  <c r="EV50" i="48"/>
  <c r="EY19" i="44" s="1"/>
  <c r="EV43" i="48"/>
  <c r="EY7" i="44" s="1"/>
  <c r="EV40" i="48"/>
  <c r="EY4" i="44" s="1"/>
  <c r="EY12" i="44"/>
  <c r="EY21" i="44"/>
  <c r="EW45" i="48"/>
  <c r="EW40" i="48"/>
  <c r="EZ4" i="44" s="1"/>
  <c r="EW47" i="48"/>
  <c r="EW50" i="48"/>
  <c r="EZ19" i="44" s="1"/>
  <c r="EW43" i="48"/>
  <c r="EZ7" i="44" s="1"/>
  <c r="EW49" i="48"/>
  <c r="EW46" i="48"/>
  <c r="EW42" i="48"/>
  <c r="EZ6" i="44" s="1"/>
  <c r="EW48" i="48"/>
  <c r="EW41" i="48"/>
  <c r="EZ5" i="44" s="1"/>
  <c r="EW44" i="48"/>
  <c r="EZ8" i="44" s="1"/>
  <c r="EZ12" i="44"/>
  <c r="EZ21" i="44"/>
  <c r="EU50" i="48"/>
  <c r="EX19" i="44" s="1"/>
  <c r="EU44" i="48"/>
  <c r="EX8" i="44" s="1"/>
  <c r="EU48" i="48"/>
  <c r="EU43" i="48"/>
  <c r="EX7" i="44" s="1"/>
  <c r="EU40" i="48"/>
  <c r="EX4" i="44" s="1"/>
  <c r="EU49" i="48"/>
  <c r="EU42" i="48"/>
  <c r="EX6" i="44" s="1"/>
  <c r="EU46" i="48"/>
  <c r="EU45" i="48"/>
  <c r="EU41" i="48"/>
  <c r="EX5" i="44" s="1"/>
  <c r="EU47" i="48"/>
  <c r="EX12" i="44"/>
  <c r="EX21" i="44"/>
  <c r="ET56" i="48"/>
  <c r="ET60" i="48"/>
  <c r="EW16" i="44" s="1"/>
  <c r="ET59" i="48"/>
  <c r="EW15" i="44" s="1"/>
  <c r="ET58" i="48"/>
  <c r="EW14" i="44" s="1"/>
  <c r="ET54" i="48"/>
  <c r="ET57" i="48"/>
  <c r="ET62" i="48"/>
  <c r="EW11" i="44" s="1"/>
  <c r="ET53" i="48"/>
  <c r="ER41" i="48"/>
  <c r="EU5" i="44" s="1"/>
  <c r="ER45" i="48"/>
  <c r="ER46" i="48"/>
  <c r="ER44" i="48"/>
  <c r="EU8" i="44" s="1"/>
  <c r="ER40" i="48"/>
  <c r="EU4" i="44" s="1"/>
  <c r="ER49" i="48"/>
  <c r="ER43" i="48"/>
  <c r="EU7" i="44" s="1"/>
  <c r="ER42" i="48"/>
  <c r="EU6" i="44" s="1"/>
  <c r="EU12" i="44"/>
  <c r="ER50" i="48"/>
  <c r="EU19" i="44" s="1"/>
  <c r="ER48" i="48"/>
  <c r="EU21" i="44"/>
  <c r="ET41" i="48"/>
  <c r="EW5" i="44" s="1"/>
  <c r="ET45" i="48"/>
  <c r="ET50" i="48"/>
  <c r="EW19" i="44" s="1"/>
  <c r="ET40" i="48"/>
  <c r="EW4" i="44" s="1"/>
  <c r="ET46" i="48"/>
  <c r="ET48" i="48"/>
  <c r="ET47" i="48"/>
  <c r="ET49" i="48"/>
  <c r="ET44" i="48"/>
  <c r="EW8" i="44" s="1"/>
  <c r="EW12" i="44"/>
  <c r="ET43" i="48"/>
  <c r="EW7" i="44" s="1"/>
  <c r="ET42" i="48"/>
  <c r="EW6" i="44" s="1"/>
  <c r="EW21" i="44"/>
  <c r="ES42" i="48"/>
  <c r="EV6" i="44" s="1"/>
  <c r="ES46" i="48"/>
  <c r="ES49" i="48"/>
  <c r="ES40" i="48"/>
  <c r="EV4" i="44" s="1"/>
  <c r="ES44" i="48"/>
  <c r="EV8" i="44" s="1"/>
  <c r="ES43" i="48"/>
  <c r="EV7" i="44" s="1"/>
  <c r="ES45" i="48"/>
  <c r="EV12" i="44"/>
  <c r="ES47" i="48"/>
  <c r="ES41" i="48"/>
  <c r="EV5" i="44" s="1"/>
  <c r="ES48" i="48"/>
  <c r="ES50" i="48"/>
  <c r="EV19" i="44" s="1"/>
  <c r="EV21" i="44"/>
  <c r="ES53" i="48"/>
  <c r="ES54" i="48"/>
  <c r="ES60" i="48"/>
  <c r="EV16" i="44" s="1"/>
  <c r="ES61" i="48"/>
  <c r="EV17" i="44" s="1"/>
  <c r="ES55" i="48"/>
  <c r="ES59" i="48"/>
  <c r="EV15" i="44" s="1"/>
  <c r="ES63" i="48"/>
  <c r="EV20" i="44" s="1"/>
  <c r="ES62" i="48"/>
  <c r="EV11" i="44" s="1"/>
  <c r="ES57" i="48"/>
  <c r="ES56" i="48"/>
  <c r="ES58" i="48"/>
  <c r="EV14" i="44" s="1"/>
  <c r="ER57" i="48"/>
  <c r="ER62" i="48"/>
  <c r="EU11" i="44" s="1"/>
  <c r="ER53" i="48"/>
  <c r="ER63" i="48"/>
  <c r="EU20" i="44" s="1"/>
  <c r="ER54" i="48"/>
  <c r="ER61" i="48"/>
  <c r="EU17" i="44" s="1"/>
  <c r="ER55" i="48"/>
  <c r="ER56" i="48"/>
  <c r="ER58" i="48"/>
  <c r="EU14" i="44" s="1"/>
  <c r="ER59" i="48"/>
  <c r="EU15" i="44" s="1"/>
  <c r="ER60" i="48"/>
  <c r="EU16" i="44" s="1"/>
  <c r="EQ54" i="48"/>
  <c r="EQ60" i="48"/>
  <c r="ET16" i="44" s="1"/>
  <c r="EQ63" i="48"/>
  <c r="ET20" i="44" s="1"/>
  <c r="EQ53" i="48"/>
  <c r="EQ56" i="48"/>
  <c r="EQ57" i="48"/>
  <c r="EQ62" i="48"/>
  <c r="ET11" i="44" s="1"/>
  <c r="EQ59" i="48"/>
  <c r="ET15" i="44" s="1"/>
  <c r="EQ55" i="48"/>
  <c r="EQ58" i="48"/>
  <c r="ET14" i="44" s="1"/>
  <c r="EQ61" i="48"/>
  <c r="ET17" i="44" s="1"/>
  <c r="EQ43" i="48"/>
  <c r="ET7" i="44" s="1"/>
  <c r="EQ42" i="48"/>
  <c r="ET6" i="44" s="1"/>
  <c r="EQ46" i="48"/>
  <c r="EQ41" i="48"/>
  <c r="ET5" i="44" s="1"/>
  <c r="EQ49" i="48"/>
  <c r="EQ45" i="48"/>
  <c r="ET12" i="44"/>
  <c r="EQ48" i="48"/>
  <c r="EQ40" i="48"/>
  <c r="ET4" i="44" s="1"/>
  <c r="EQ47" i="48"/>
  <c r="EQ50" i="48"/>
  <c r="ET19" i="44" s="1"/>
  <c r="EQ44" i="48"/>
  <c r="ET8" i="44" s="1"/>
  <c r="ET21" i="44"/>
  <c r="EO61" i="48"/>
  <c r="ER17" i="44" s="1"/>
  <c r="EO59" i="48"/>
  <c r="ER15" i="44" s="1"/>
  <c r="EO60" i="48"/>
  <c r="ER16" i="44" s="1"/>
  <c r="EO55" i="48"/>
  <c r="EO57" i="48"/>
  <c r="EO56" i="48"/>
  <c r="EO53" i="48"/>
  <c r="EO54" i="48"/>
  <c r="EO62" i="48"/>
  <c r="ER11" i="44" s="1"/>
  <c r="EO63" i="48"/>
  <c r="ER20" i="44" s="1"/>
  <c r="EO58" i="48"/>
  <c r="ER14" i="44" s="1"/>
  <c r="EP63" i="48"/>
  <c r="ES20" i="44" s="1"/>
  <c r="EP54" i="48"/>
  <c r="EP61" i="48"/>
  <c r="ES17" i="44" s="1"/>
  <c r="EP56" i="48"/>
  <c r="EP60" i="48"/>
  <c r="ES16" i="44" s="1"/>
  <c r="EP57" i="48"/>
  <c r="EP55" i="48"/>
  <c r="EP58" i="48"/>
  <c r="ES14" i="44" s="1"/>
  <c r="EP62" i="48"/>
  <c r="ES11" i="44" s="1"/>
  <c r="EP59" i="48"/>
  <c r="ES15" i="44" s="1"/>
  <c r="EP53" i="48"/>
  <c r="EM42" i="48"/>
  <c r="EP6" i="44" s="1"/>
  <c r="EM46" i="48"/>
  <c r="EM40" i="48"/>
  <c r="EP4" i="44" s="1"/>
  <c r="EM48" i="48"/>
  <c r="EM45" i="48"/>
  <c r="EM43" i="48"/>
  <c r="EP7" i="44" s="1"/>
  <c r="EM47" i="48"/>
  <c r="EM49" i="48"/>
  <c r="EM50" i="48"/>
  <c r="EP19" i="44" s="1"/>
  <c r="EM41" i="48"/>
  <c r="EP5" i="44" s="1"/>
  <c r="EM44" i="48"/>
  <c r="EP8" i="44" s="1"/>
  <c r="EP12" i="44"/>
  <c r="EP21" i="44"/>
  <c r="EN60" i="48"/>
  <c r="EQ16" i="44" s="1"/>
  <c r="EN54" i="48"/>
  <c r="EN61" i="48"/>
  <c r="EQ17" i="44" s="1"/>
  <c r="EN53" i="48"/>
  <c r="EN63" i="48"/>
  <c r="EQ20" i="44" s="1"/>
  <c r="EN58" i="48"/>
  <c r="EQ14" i="44" s="1"/>
  <c r="EN59" i="48"/>
  <c r="EQ15" i="44" s="1"/>
  <c r="EN55" i="48"/>
  <c r="EN56" i="48"/>
  <c r="EN62" i="48"/>
  <c r="EQ11" i="44" s="1"/>
  <c r="EN57" i="48"/>
  <c r="EO45" i="48"/>
  <c r="EO47" i="48"/>
  <c r="EO43" i="48"/>
  <c r="ER7" i="44" s="1"/>
  <c r="EO48" i="48"/>
  <c r="EO40" i="48"/>
  <c r="ER4" i="44" s="1"/>
  <c r="EO41" i="48"/>
  <c r="ER5" i="44" s="1"/>
  <c r="EO49" i="48"/>
  <c r="EO42" i="48"/>
  <c r="ER6" i="44" s="1"/>
  <c r="EO46" i="48"/>
  <c r="EO44" i="48"/>
  <c r="ER8" i="44" s="1"/>
  <c r="EO50" i="48"/>
  <c r="ER19" i="44" s="1"/>
  <c r="ER12" i="44"/>
  <c r="ER21" i="44"/>
  <c r="EN47" i="48"/>
  <c r="EN43" i="48"/>
  <c r="EQ7" i="44" s="1"/>
  <c r="EN46" i="48"/>
  <c r="EN40" i="48"/>
  <c r="EQ4" i="44" s="1"/>
  <c r="EN49" i="48"/>
  <c r="EN45" i="48"/>
  <c r="EN48" i="48"/>
  <c r="EN42" i="48"/>
  <c r="EQ6" i="44" s="1"/>
  <c r="EN50" i="48"/>
  <c r="EQ19" i="44" s="1"/>
  <c r="EN41" i="48"/>
  <c r="EQ5" i="44" s="1"/>
  <c r="EN44" i="48"/>
  <c r="EQ8" i="44" s="1"/>
  <c r="EQ12" i="44"/>
  <c r="EQ21" i="44"/>
  <c r="EM59" i="48"/>
  <c r="EP15" i="44" s="1"/>
  <c r="EM62" i="48"/>
  <c r="EP11" i="44" s="1"/>
  <c r="EM61" i="48"/>
  <c r="EP17" i="44" s="1"/>
  <c r="EM58" i="48"/>
  <c r="EP14" i="44" s="1"/>
  <c r="EM60" i="48"/>
  <c r="EP16" i="44" s="1"/>
  <c r="EM55" i="48"/>
  <c r="EM57" i="48"/>
  <c r="EM63" i="48"/>
  <c r="EP20" i="44" s="1"/>
  <c r="EM54" i="48"/>
  <c r="EM53" i="48"/>
  <c r="EM56" i="48"/>
  <c r="EP40" i="48"/>
  <c r="ES4" i="44" s="1"/>
  <c r="EP48" i="48"/>
  <c r="EP41" i="48"/>
  <c r="ES5" i="44" s="1"/>
  <c r="EP46" i="48"/>
  <c r="EP42" i="48"/>
  <c r="ES6" i="44" s="1"/>
  <c r="EP49" i="48"/>
  <c r="EP44" i="48"/>
  <c r="ES8" i="44" s="1"/>
  <c r="EP47" i="48"/>
  <c r="EP45" i="48"/>
  <c r="EP43" i="48"/>
  <c r="ES7" i="44" s="1"/>
  <c r="EP50" i="48"/>
  <c r="ES19" i="44" s="1"/>
  <c r="ES12" i="44"/>
  <c r="ES21" i="44"/>
  <c r="EL42" i="48"/>
  <c r="EO6" i="44" s="1"/>
  <c r="EO21" i="44"/>
  <c r="EL44" i="48"/>
  <c r="EO8" i="44" s="1"/>
  <c r="EL46" i="48"/>
  <c r="EL48" i="48"/>
  <c r="EL45" i="48"/>
  <c r="EO12" i="44"/>
  <c r="EL43" i="48"/>
  <c r="EO7" i="44" s="1"/>
  <c r="EL40" i="48"/>
  <c r="EO4" i="44" s="1"/>
  <c r="EL50" i="48"/>
  <c r="EO19" i="44" s="1"/>
  <c r="EL47" i="48"/>
  <c r="EL41" i="48"/>
  <c r="EO5" i="44" s="1"/>
  <c r="EL49" i="48"/>
  <c r="EK42" i="48"/>
  <c r="EN6" i="44" s="1"/>
  <c r="EK41" i="48"/>
  <c r="EN5" i="44" s="1"/>
  <c r="EK43" i="48"/>
  <c r="EN7" i="44" s="1"/>
  <c r="EK49" i="48"/>
  <c r="EN21" i="44"/>
  <c r="EK48" i="48"/>
  <c r="EK50" i="48"/>
  <c r="EN19" i="44" s="1"/>
  <c r="EK40" i="48"/>
  <c r="EN4" i="44" s="1"/>
  <c r="EK47" i="48"/>
  <c r="EK44" i="48"/>
  <c r="EN8" i="44" s="1"/>
  <c r="EK46" i="48"/>
  <c r="EK45" i="48"/>
  <c r="EN12" i="44"/>
  <c r="EL56" i="48"/>
  <c r="EL55" i="48"/>
  <c r="EL60" i="48"/>
  <c r="EO16" i="44" s="1"/>
  <c r="EL62" i="48"/>
  <c r="EO11" i="44" s="1"/>
  <c r="EL58" i="48"/>
  <c r="EO14" i="44" s="1"/>
  <c r="EL54" i="48"/>
  <c r="EL53" i="48"/>
  <c r="EL57" i="48"/>
  <c r="EL59" i="48"/>
  <c r="EO15" i="44" s="1"/>
  <c r="EL61" i="48"/>
  <c r="EO17" i="44" s="1"/>
  <c r="EL63" i="48"/>
  <c r="EO20" i="44" s="1"/>
  <c r="EK56" i="48"/>
  <c r="EK55" i="48"/>
  <c r="EK53" i="48"/>
  <c r="EK54" i="48"/>
  <c r="EK58" i="48"/>
  <c r="EN14" i="44" s="1"/>
  <c r="EK60" i="48"/>
  <c r="EN16" i="44" s="1"/>
  <c r="EK57" i="48"/>
  <c r="EK63" i="48"/>
  <c r="EN20" i="44" s="1"/>
  <c r="EK61" i="48"/>
  <c r="EN17" i="44" s="1"/>
  <c r="EK62" i="48"/>
  <c r="EN11" i="44" s="1"/>
  <c r="EK59" i="48"/>
  <c r="EN15" i="44" s="1"/>
  <c r="EJ59" i="48"/>
  <c r="EM15" i="44" s="1"/>
  <c r="EJ62" i="48"/>
  <c r="EM11" i="44" s="1"/>
  <c r="EJ58" i="48"/>
  <c r="EM14" i="44" s="1"/>
  <c r="EJ56" i="48"/>
  <c r="EJ54" i="48"/>
  <c r="EJ63" i="48"/>
  <c r="EM20" i="44" s="1"/>
  <c r="EJ55" i="48"/>
  <c r="EJ57" i="48"/>
  <c r="EJ61" i="48"/>
  <c r="EM17" i="44" s="1"/>
  <c r="EJ60" i="48"/>
  <c r="EM16" i="44" s="1"/>
  <c r="EJ53" i="48"/>
  <c r="EJ47" i="48"/>
  <c r="EJ44" i="48"/>
  <c r="EM8" i="44" s="1"/>
  <c r="EJ40" i="48"/>
  <c r="EM4" i="44" s="1"/>
  <c r="EJ50" i="48"/>
  <c r="EM19" i="44" s="1"/>
  <c r="EJ48" i="48"/>
  <c r="EJ41" i="48"/>
  <c r="EM5" i="44" s="1"/>
  <c r="EJ46" i="48"/>
  <c r="EJ49" i="48"/>
  <c r="EJ45" i="48"/>
  <c r="EJ42" i="48"/>
  <c r="EM6" i="44" s="1"/>
  <c r="EM12" i="44"/>
  <c r="EJ43" i="48"/>
  <c r="EM7" i="44" s="1"/>
  <c r="EM21" i="44"/>
  <c r="EI46" i="48"/>
  <c r="EI50" i="48"/>
  <c r="EL19" i="44" s="1"/>
  <c r="EI49" i="48"/>
  <c r="EI47" i="48"/>
  <c r="EI44" i="48"/>
  <c r="EL8" i="44" s="1"/>
  <c r="EI43" i="48"/>
  <c r="EL7" i="44" s="1"/>
  <c r="EI41" i="48"/>
  <c r="EL5" i="44" s="1"/>
  <c r="EI48" i="48"/>
  <c r="EI40" i="48"/>
  <c r="EL4" i="44" s="1"/>
  <c r="EI42" i="48"/>
  <c r="EL6" i="44" s="1"/>
  <c r="EI45" i="48"/>
  <c r="EL12" i="44"/>
  <c r="EL21" i="44"/>
  <c r="EI61" i="48"/>
  <c r="EL17" i="44" s="1"/>
  <c r="EI59" i="48"/>
  <c r="EL15" i="44" s="1"/>
  <c r="EI53" i="48"/>
  <c r="EI56" i="48"/>
  <c r="EI60" i="48"/>
  <c r="EL16" i="44" s="1"/>
  <c r="EI58" i="48"/>
  <c r="EL14" i="44" s="1"/>
  <c r="EI57" i="48"/>
  <c r="EI63" i="48"/>
  <c r="EL20" i="44" s="1"/>
  <c r="EI55" i="48"/>
  <c r="EI62" i="48"/>
  <c r="EL11" i="44" s="1"/>
  <c r="EI54" i="48"/>
  <c r="EC42" i="48"/>
  <c r="EF6" i="44" s="1"/>
  <c r="EH58" i="48"/>
  <c r="EK14" i="44" s="1"/>
  <c r="EH62" i="48"/>
  <c r="EK11" i="44" s="1"/>
  <c r="EH56" i="48"/>
  <c r="EH63" i="48"/>
  <c r="EK20" i="44" s="1"/>
  <c r="EH59" i="48"/>
  <c r="EK15" i="44" s="1"/>
  <c r="EH57" i="48"/>
  <c r="EH54" i="48"/>
  <c r="EH55" i="48"/>
  <c r="EH53" i="48"/>
  <c r="EH60" i="48"/>
  <c r="EK16" i="44" s="1"/>
  <c r="EH61" i="48"/>
  <c r="EK17" i="44" s="1"/>
  <c r="EH46" i="48"/>
  <c r="EH43" i="48"/>
  <c r="EK7" i="44" s="1"/>
  <c r="EH49" i="48"/>
  <c r="EH44" i="48"/>
  <c r="EK8" i="44" s="1"/>
  <c r="EH42" i="48"/>
  <c r="EK6" i="44" s="1"/>
  <c r="EH41" i="48"/>
  <c r="EK5" i="44" s="1"/>
  <c r="EH50" i="48"/>
  <c r="EK19" i="44" s="1"/>
  <c r="EH45" i="48"/>
  <c r="EH47" i="48"/>
  <c r="EH40" i="48"/>
  <c r="EK4" i="44" s="1"/>
  <c r="EH48" i="48"/>
  <c r="EK12" i="44"/>
  <c r="EK21" i="44"/>
  <c r="EG42" i="48"/>
  <c r="EJ6" i="44" s="1"/>
  <c r="EG41" i="48"/>
  <c r="EJ5" i="44" s="1"/>
  <c r="EG50" i="48"/>
  <c r="EJ19" i="44" s="1"/>
  <c r="EG46" i="48"/>
  <c r="EG47" i="48"/>
  <c r="EG45" i="48"/>
  <c r="EG43" i="48"/>
  <c r="EJ7" i="44" s="1"/>
  <c r="EG40" i="48"/>
  <c r="EJ4" i="44" s="1"/>
  <c r="EG44" i="48"/>
  <c r="EJ8" i="44" s="1"/>
  <c r="EG49" i="48"/>
  <c r="EG48" i="48"/>
  <c r="EJ12" i="44"/>
  <c r="EJ21" i="44"/>
  <c r="EG55" i="48"/>
  <c r="EG57" i="48"/>
  <c r="EG61" i="48"/>
  <c r="EJ17" i="44" s="1"/>
  <c r="EG60" i="48"/>
  <c r="EJ16" i="44" s="1"/>
  <c r="EG56" i="48"/>
  <c r="EG53" i="48"/>
  <c r="EG54" i="48"/>
  <c r="EG62" i="48"/>
  <c r="EJ11" i="44" s="1"/>
  <c r="EG59" i="48"/>
  <c r="EJ15" i="44" s="1"/>
  <c r="EG58" i="48"/>
  <c r="EJ14" i="44" s="1"/>
  <c r="EG63" i="48"/>
  <c r="EJ20" i="44" s="1"/>
  <c r="EC47" i="48"/>
  <c r="EC48" i="48"/>
  <c r="EC46" i="48"/>
  <c r="EC43" i="48"/>
  <c r="EF7" i="44" s="1"/>
  <c r="EF21" i="44"/>
  <c r="EC41" i="48"/>
  <c r="EF5" i="44" s="1"/>
  <c r="EF12" i="44"/>
  <c r="EC49" i="48"/>
  <c r="EC44" i="48"/>
  <c r="EF8" i="44" s="1"/>
  <c r="EC50" i="48"/>
  <c r="EF19" i="44" s="1"/>
  <c r="DY25" i="44"/>
  <c r="EC40" i="48"/>
  <c r="EF4" i="44" s="1"/>
  <c r="EF41" i="48"/>
  <c r="EI5" i="44" s="1"/>
  <c r="EF50" i="48"/>
  <c r="EI19" i="44" s="1"/>
  <c r="EF42" i="48"/>
  <c r="EI6" i="44" s="1"/>
  <c r="EF48" i="48"/>
  <c r="EF49" i="48"/>
  <c r="EI12" i="44"/>
  <c r="EF44" i="48"/>
  <c r="EI8" i="44" s="1"/>
  <c r="EF40" i="48"/>
  <c r="EI4" i="44" s="1"/>
  <c r="EF47" i="48"/>
  <c r="EF45" i="48"/>
  <c r="EF43" i="48"/>
  <c r="EI7" i="44" s="1"/>
  <c r="EF46" i="48"/>
  <c r="EI21" i="44"/>
  <c r="EF60" i="48"/>
  <c r="EI16" i="44" s="1"/>
  <c r="EF62" i="48"/>
  <c r="EI11" i="44" s="1"/>
  <c r="EF54" i="48"/>
  <c r="EF61" i="48"/>
  <c r="EI17" i="44" s="1"/>
  <c r="EF59" i="48"/>
  <c r="EI15" i="44" s="1"/>
  <c r="EF55" i="48"/>
  <c r="EF63" i="48"/>
  <c r="EI20" i="44" s="1"/>
  <c r="EF56" i="48"/>
  <c r="EF58" i="48"/>
  <c r="EI14" i="44" s="1"/>
  <c r="EF57" i="48"/>
  <c r="EF53" i="48"/>
  <c r="EC59" i="48"/>
  <c r="EF15" i="44" s="1"/>
  <c r="EC61" i="48"/>
  <c r="EF17" i="44" s="1"/>
  <c r="EC63" i="48"/>
  <c r="EF20" i="44" s="1"/>
  <c r="EC55" i="48"/>
  <c r="EC58" i="48"/>
  <c r="EF14" i="44" s="1"/>
  <c r="EC62" i="48"/>
  <c r="EF11" i="44" s="1"/>
  <c r="EC56" i="48"/>
  <c r="EC57" i="48"/>
  <c r="EC53" i="48"/>
  <c r="EC60" i="48"/>
  <c r="EF16" i="44" s="1"/>
  <c r="ED58" i="48"/>
  <c r="EG14" i="44" s="1"/>
  <c r="ED54" i="48"/>
  <c r="ED59" i="48"/>
  <c r="EG15" i="44" s="1"/>
  <c r="ED55" i="48"/>
  <c r="ED57" i="48"/>
  <c r="ED53" i="48"/>
  <c r="ED56" i="48"/>
  <c r="ED62" i="48"/>
  <c r="EG11" i="44" s="1"/>
  <c r="ED60" i="48"/>
  <c r="EG16" i="44" s="1"/>
  <c r="ED61" i="48"/>
  <c r="EG17" i="44" s="1"/>
  <c r="ED63" i="48"/>
  <c r="EG20" i="44" s="1"/>
  <c r="EE44" i="48"/>
  <c r="EH8" i="44" s="1"/>
  <c r="EE46" i="48"/>
  <c r="EE45" i="48"/>
  <c r="EE40" i="48"/>
  <c r="EH4" i="44" s="1"/>
  <c r="EE48" i="48"/>
  <c r="EE42" i="48"/>
  <c r="EH6" i="44" s="1"/>
  <c r="EE50" i="48"/>
  <c r="EH19" i="44" s="1"/>
  <c r="EE43" i="48"/>
  <c r="EH7" i="44" s="1"/>
  <c r="EE47" i="48"/>
  <c r="EE41" i="48"/>
  <c r="EH5" i="44" s="1"/>
  <c r="EE49" i="48"/>
  <c r="EH12" i="44"/>
  <c r="EH21" i="44"/>
  <c r="EE54" i="48"/>
  <c r="EE58" i="48"/>
  <c r="EH14" i="44" s="1"/>
  <c r="EE61" i="48"/>
  <c r="EH17" i="44" s="1"/>
  <c r="EE56" i="48"/>
  <c r="EE57" i="48"/>
  <c r="EE53" i="48"/>
  <c r="EE62" i="48"/>
  <c r="EH11" i="44" s="1"/>
  <c r="EE59" i="48"/>
  <c r="EH15" i="44" s="1"/>
  <c r="EE63" i="48"/>
  <c r="EH20" i="44" s="1"/>
  <c r="EE55" i="48"/>
  <c r="EE60" i="48"/>
  <c r="EH16" i="44" s="1"/>
  <c r="DZ7" i="48"/>
  <c r="DZ8" i="48" s="1"/>
  <c r="ED40" i="48"/>
  <c r="EG4" i="44" s="1"/>
  <c r="ED46" i="48"/>
  <c r="ED45" i="48"/>
  <c r="ED49" i="48"/>
  <c r="ED48" i="48"/>
  <c r="ED44" i="48"/>
  <c r="EG8" i="44" s="1"/>
  <c r="ED47" i="48"/>
  <c r="ED43" i="48"/>
  <c r="EG7" i="44" s="1"/>
  <c r="ED42" i="48"/>
  <c r="EG6" i="44" s="1"/>
  <c r="ED41" i="48"/>
  <c r="EG5" i="44" s="1"/>
  <c r="ED50" i="48"/>
  <c r="EG19" i="44" s="1"/>
  <c r="EG12" i="44"/>
  <c r="EG21" i="44"/>
  <c r="DY18" i="44"/>
  <c r="EA50" i="48"/>
  <c r="ED19" i="44" s="1"/>
  <c r="EA48" i="48"/>
  <c r="EA43" i="48"/>
  <c r="ED7" i="44" s="1"/>
  <c r="EA44" i="48"/>
  <c r="ED8" i="44" s="1"/>
  <c r="EA47" i="48"/>
  <c r="EA46" i="48"/>
  <c r="EA41" i="48"/>
  <c r="ED5" i="44" s="1"/>
  <c r="EA40" i="48"/>
  <c r="ED4" i="44" s="1"/>
  <c r="EA49" i="48"/>
  <c r="EA42" i="48"/>
  <c r="ED6" i="44" s="1"/>
  <c r="EA45" i="48"/>
  <c r="ED12" i="44"/>
  <c r="ED21" i="44"/>
  <c r="EA57" i="48"/>
  <c r="EA55" i="48"/>
  <c r="EA62" i="48"/>
  <c r="ED11" i="44" s="1"/>
  <c r="EA60" i="48"/>
  <c r="ED16" i="44" s="1"/>
  <c r="EA61" i="48"/>
  <c r="ED17" i="44" s="1"/>
  <c r="EA58" i="48"/>
  <c r="ED14" i="44" s="1"/>
  <c r="EA56" i="48"/>
  <c r="EA59" i="48"/>
  <c r="ED15" i="44" s="1"/>
  <c r="EA54" i="48"/>
  <c r="EA53" i="48"/>
  <c r="EA63" i="48"/>
  <c r="ED20" i="44" s="1"/>
  <c r="EB42" i="48"/>
  <c r="EE6" i="44" s="1"/>
  <c r="EB48" i="48"/>
  <c r="EB41" i="48"/>
  <c r="EE5" i="44" s="1"/>
  <c r="EB47" i="48"/>
  <c r="EB45" i="48"/>
  <c r="EB46" i="48"/>
  <c r="EB49" i="48"/>
  <c r="EB44" i="48"/>
  <c r="EE8" i="44" s="1"/>
  <c r="EB40" i="48"/>
  <c r="EE4" i="44" s="1"/>
  <c r="EB50" i="48"/>
  <c r="EE19" i="44" s="1"/>
  <c r="EB43" i="48"/>
  <c r="EE7" i="44" s="1"/>
  <c r="EE12" i="44"/>
  <c r="EE21" i="44"/>
  <c r="DZ53" i="48"/>
  <c r="DZ57" i="48"/>
  <c r="DZ62" i="48"/>
  <c r="EC11" i="44" s="1"/>
  <c r="DZ54" i="48"/>
  <c r="DZ60" i="48"/>
  <c r="EC16" i="44" s="1"/>
  <c r="DZ63" i="48"/>
  <c r="EC20" i="44" s="1"/>
  <c r="DZ55" i="48"/>
  <c r="DZ61" i="48"/>
  <c r="EC17" i="44" s="1"/>
  <c r="DZ58" i="48"/>
  <c r="EC14" i="44" s="1"/>
  <c r="DZ59" i="48"/>
  <c r="EC15" i="44" s="1"/>
  <c r="DZ56" i="48"/>
  <c r="DZ45" i="48"/>
  <c r="DZ43" i="48"/>
  <c r="EC7" i="44" s="1"/>
  <c r="DZ49" i="48"/>
  <c r="DZ41" i="48"/>
  <c r="EC5" i="44" s="1"/>
  <c r="DZ47" i="48"/>
  <c r="DZ40" i="48"/>
  <c r="EC4" i="44" s="1"/>
  <c r="DZ46" i="48"/>
  <c r="DZ50" i="48"/>
  <c r="EC19" i="44" s="1"/>
  <c r="DZ48" i="48"/>
  <c r="DZ42" i="48"/>
  <c r="EC6" i="44" s="1"/>
  <c r="DZ44" i="48"/>
  <c r="EC8" i="44" s="1"/>
  <c r="EC12" i="44"/>
  <c r="EC21" i="44"/>
  <c r="EB62" i="48"/>
  <c r="EE11" i="44" s="1"/>
  <c r="EB60" i="48"/>
  <c r="EE16" i="44" s="1"/>
  <c r="EB63" i="48"/>
  <c r="EE20" i="44" s="1"/>
  <c r="EB59" i="48"/>
  <c r="EE15" i="44" s="1"/>
  <c r="EB61" i="48"/>
  <c r="EE17" i="44" s="1"/>
  <c r="EB58" i="48"/>
  <c r="EE14" i="44" s="1"/>
  <c r="EB56" i="48"/>
  <c r="EB55" i="48"/>
  <c r="EB57" i="48"/>
  <c r="EB53" i="48"/>
  <c r="EB54" i="48"/>
  <c r="DY43" i="48"/>
  <c r="EB7" i="44" s="1"/>
  <c r="DY42" i="48"/>
  <c r="EB6" i="44" s="1"/>
  <c r="DY48" i="48"/>
  <c r="DY49" i="48"/>
  <c r="DY46" i="48"/>
  <c r="DY45" i="48"/>
  <c r="DY47" i="48"/>
  <c r="DY41" i="48"/>
  <c r="EB5" i="44" s="1"/>
  <c r="DY44" i="48"/>
  <c r="EB8" i="44" s="1"/>
  <c r="DY50" i="48"/>
  <c r="EB19" i="44" s="1"/>
  <c r="DY40" i="48"/>
  <c r="EB4" i="44" s="1"/>
  <c r="EB12" i="44"/>
  <c r="EB21" i="44"/>
  <c r="DY8" i="48"/>
  <c r="DY57" i="48"/>
  <c r="DY58" i="48"/>
  <c r="EB14" i="44" s="1"/>
  <c r="DY53" i="48"/>
  <c r="DY60" i="48"/>
  <c r="EB16" i="44" s="1"/>
  <c r="DY56" i="48"/>
  <c r="DY63" i="48"/>
  <c r="EB20" i="44" s="1"/>
  <c r="DY55" i="48"/>
  <c r="DY62" i="48"/>
  <c r="EB11" i="44" s="1"/>
  <c r="DY54" i="48"/>
  <c r="DY61" i="48"/>
  <c r="EB17" i="44" s="1"/>
  <c r="DY59" i="48"/>
  <c r="EB15" i="44" s="1"/>
  <c r="DZ25" i="44"/>
  <c r="DX42" i="48"/>
  <c r="EA6" i="44" s="1"/>
  <c r="EA12" i="44"/>
  <c r="DX50" i="48"/>
  <c r="EA19" i="44" s="1"/>
  <c r="EA21" i="44"/>
  <c r="DX47" i="48"/>
  <c r="DX41" i="48"/>
  <c r="EA5" i="44" s="1"/>
  <c r="DX49" i="48"/>
  <c r="DX46" i="48"/>
  <c r="DX45" i="48"/>
  <c r="DX48" i="48"/>
  <c r="DX44" i="48"/>
  <c r="EA8" i="44" s="1"/>
  <c r="DX40" i="48"/>
  <c r="EA4" i="44" s="1"/>
  <c r="DX43" i="48"/>
  <c r="EA7" i="44" s="1"/>
  <c r="DY9" i="44"/>
  <c r="DX56" i="48"/>
  <c r="DX63" i="48"/>
  <c r="EA20" i="44" s="1"/>
  <c r="DX58" i="48"/>
  <c r="EA14" i="44" s="1"/>
  <c r="DX54" i="48"/>
  <c r="DX55" i="48"/>
  <c r="DX57" i="48"/>
  <c r="DX53" i="48"/>
  <c r="DX59" i="48"/>
  <c r="EA15" i="44" s="1"/>
  <c r="DX61" i="48"/>
  <c r="EA17" i="44" s="1"/>
  <c r="DX60" i="48"/>
  <c r="EA16" i="44" s="1"/>
  <c r="DX62" i="48"/>
  <c r="EA11" i="44" s="1"/>
  <c r="DX8" i="48"/>
  <c r="DZ18" i="44"/>
  <c r="DX26" i="44"/>
  <c r="DW49" i="48"/>
  <c r="DW48" i="48"/>
  <c r="DW50" i="48"/>
  <c r="DZ19" i="44" s="1"/>
  <c r="DW47" i="48"/>
  <c r="DW44" i="48"/>
  <c r="DZ8" i="44" s="1"/>
  <c r="DW43" i="48"/>
  <c r="DZ7" i="44" s="1"/>
  <c r="DW45" i="48"/>
  <c r="DW42" i="48"/>
  <c r="DZ6" i="44" s="1"/>
  <c r="DW46" i="48"/>
  <c r="DW8" i="48"/>
  <c r="DW41" i="48"/>
  <c r="DZ5" i="44" s="1"/>
  <c r="DW40" i="48"/>
  <c r="DZ4" i="44" s="1"/>
  <c r="DY10" i="44"/>
  <c r="DY24" i="44" s="1"/>
  <c r="DY21" i="44"/>
  <c r="DY22" i="44"/>
  <c r="DY27" i="44" s="1"/>
  <c r="DW76" i="48"/>
  <c r="DZ12" i="44"/>
  <c r="DZ13" i="44"/>
  <c r="ED3" i="44"/>
  <c r="EC2" i="44"/>
  <c r="HL25" i="44" l="1"/>
  <c r="HJ25" i="44"/>
  <c r="HK25" i="44"/>
  <c r="HO25" i="44"/>
  <c r="HE25" i="44"/>
  <c r="HG43" i="48"/>
  <c r="HJ7" i="44" s="1"/>
  <c r="HG42" i="48"/>
  <c r="HJ6" i="44" s="1"/>
  <c r="HG40" i="48"/>
  <c r="HJ4" i="44" s="1"/>
  <c r="HG45" i="48"/>
  <c r="HJ14" i="44" s="1"/>
  <c r="HJ21" i="44"/>
  <c r="HG50" i="48"/>
  <c r="HJ19" i="44" s="1"/>
  <c r="HG48" i="48"/>
  <c r="HJ17" i="44" s="1"/>
  <c r="HG41" i="48"/>
  <c r="HJ5" i="44" s="1"/>
  <c r="HG46" i="48"/>
  <c r="HJ15" i="44" s="1"/>
  <c r="HJ12" i="44"/>
  <c r="HG47" i="48"/>
  <c r="HJ16" i="44" s="1"/>
  <c r="HG44" i="48"/>
  <c r="HJ8" i="44" s="1"/>
  <c r="HG8" i="48"/>
  <c r="HG49" i="48"/>
  <c r="GE21" i="44"/>
  <c r="GE26" i="44" s="1"/>
  <c r="GB46" i="48"/>
  <c r="GE15" i="44" s="1"/>
  <c r="GB43" i="48"/>
  <c r="GE7" i="44" s="1"/>
  <c r="GE12" i="44"/>
  <c r="GB40" i="48"/>
  <c r="GE4" i="44" s="1"/>
  <c r="GB44" i="48"/>
  <c r="GE8" i="44" s="1"/>
  <c r="GB50" i="48"/>
  <c r="GE19" i="44" s="1"/>
  <c r="GB42" i="48"/>
  <c r="GE6" i="44" s="1"/>
  <c r="GB45" i="48"/>
  <c r="GE14" i="44" s="1"/>
  <c r="GB8" i="48"/>
  <c r="GB49" i="48"/>
  <c r="GB47" i="48"/>
  <c r="GE16" i="44" s="1"/>
  <c r="GB41" i="48"/>
  <c r="GE5" i="44" s="1"/>
  <c r="GB48" i="48"/>
  <c r="GE17" i="44" s="1"/>
  <c r="GE18" i="44" s="1"/>
  <c r="GU25" i="44"/>
  <c r="HM25" i="44"/>
  <c r="GF25" i="44"/>
  <c r="GT25" i="44"/>
  <c r="HN25" i="44"/>
  <c r="HQ25" i="44"/>
  <c r="HI25" i="44"/>
  <c r="GP25" i="44"/>
  <c r="GY25" i="44"/>
  <c r="HB25" i="44"/>
  <c r="GG25" i="44"/>
  <c r="GZ25" i="44"/>
  <c r="GN25" i="44"/>
  <c r="HA25" i="44"/>
  <c r="HG25" i="44"/>
  <c r="GX25" i="44"/>
  <c r="FU25" i="44"/>
  <c r="FV25" i="44"/>
  <c r="FY25" i="44"/>
  <c r="FL25" i="44"/>
  <c r="FS25" i="44"/>
  <c r="FR25" i="44"/>
  <c r="FZ25" i="44"/>
  <c r="FE25" i="44"/>
  <c r="FC25" i="44"/>
  <c r="FM25" i="44"/>
  <c r="GB25" i="44"/>
  <c r="GC25" i="44"/>
  <c r="FD25" i="44"/>
  <c r="FW25" i="44"/>
  <c r="FJ25" i="44"/>
  <c r="FK25" i="44"/>
  <c r="FO25" i="44"/>
  <c r="FP25" i="44"/>
  <c r="FN25" i="44"/>
  <c r="FI25" i="44"/>
  <c r="FX25" i="44"/>
  <c r="GA25" i="44"/>
  <c r="FG25" i="44"/>
  <c r="FT25" i="44"/>
  <c r="FH25" i="44"/>
  <c r="FA12" i="44"/>
  <c r="FA21" i="44"/>
  <c r="EZ25" i="44"/>
  <c r="EY25" i="44"/>
  <c r="EZ10" i="44"/>
  <c r="EZ24" i="44" s="1"/>
  <c r="EW25" i="44"/>
  <c r="EX25" i="44"/>
  <c r="FA25" i="44"/>
  <c r="EX10" i="44"/>
  <c r="EX24" i="44" s="1"/>
  <c r="EU26" i="44"/>
  <c r="EX26" i="44"/>
  <c r="EX8" i="48"/>
  <c r="EX48" i="48"/>
  <c r="FA17" i="44" s="1"/>
  <c r="EX47" i="48"/>
  <c r="FA16" i="44" s="1"/>
  <c r="EX46" i="48"/>
  <c r="FA15" i="44" s="1"/>
  <c r="EX41" i="48"/>
  <c r="FA5" i="44" s="1"/>
  <c r="EX50" i="48"/>
  <c r="FA19" i="44" s="1"/>
  <c r="EX45" i="48"/>
  <c r="FA14" i="44" s="1"/>
  <c r="EX43" i="48"/>
  <c r="FA7" i="44" s="1"/>
  <c r="EX40" i="48"/>
  <c r="FA4" i="44" s="1"/>
  <c r="EX49" i="48"/>
  <c r="FB10" i="44" s="1"/>
  <c r="EX44" i="48"/>
  <c r="FA8" i="44" s="1"/>
  <c r="EX42" i="48"/>
  <c r="FA6" i="44" s="1"/>
  <c r="EY26" i="44"/>
  <c r="EY10" i="44"/>
  <c r="EY24" i="44" s="1"/>
  <c r="EY18" i="44"/>
  <c r="EX9" i="44"/>
  <c r="EY9" i="44"/>
  <c r="EZ26" i="44"/>
  <c r="EZ18" i="44"/>
  <c r="EZ9" i="44"/>
  <c r="EX18" i="44"/>
  <c r="EU10" i="44"/>
  <c r="EU24" i="44" s="1"/>
  <c r="EW26" i="44"/>
  <c r="EU25" i="44"/>
  <c r="EW18" i="44"/>
  <c r="EU9" i="44"/>
  <c r="ER25" i="44"/>
  <c r="EV26" i="44"/>
  <c r="EW10" i="44"/>
  <c r="EW24" i="44" s="1"/>
  <c r="EV9" i="44"/>
  <c r="EV18" i="44"/>
  <c r="EW9" i="44"/>
  <c r="ET26" i="44"/>
  <c r="EV25" i="44"/>
  <c r="EV10" i="44"/>
  <c r="EV24" i="44" s="1"/>
  <c r="EU18" i="44"/>
  <c r="EM10" i="44"/>
  <c r="EM24" i="44" s="1"/>
  <c r="ET10" i="44"/>
  <c r="ET24" i="44" s="1"/>
  <c r="EL10" i="44"/>
  <c r="EL24" i="44" s="1"/>
  <c r="ET9" i="44"/>
  <c r="ET25" i="44"/>
  <c r="ET18" i="44"/>
  <c r="EL26" i="44"/>
  <c r="ER10" i="44"/>
  <c r="ER24" i="44" s="1"/>
  <c r="ES26" i="44"/>
  <c r="EP25" i="44"/>
  <c r="EQ26" i="44"/>
  <c r="EP10" i="44"/>
  <c r="EP24" i="44" s="1"/>
  <c r="ER26" i="44"/>
  <c r="EN10" i="44"/>
  <c r="EN24" i="44" s="1"/>
  <c r="EQ10" i="44"/>
  <c r="EQ24" i="44" s="1"/>
  <c r="EP26" i="44"/>
  <c r="ES18" i="44"/>
  <c r="ES10" i="44"/>
  <c r="ES24" i="44" s="1"/>
  <c r="EQ18" i="44"/>
  <c r="EP18" i="44"/>
  <c r="ES25" i="44"/>
  <c r="ES9" i="44"/>
  <c r="EP9" i="44"/>
  <c r="ER9" i="44"/>
  <c r="EQ25" i="44"/>
  <c r="ER18" i="44"/>
  <c r="EQ9" i="44"/>
  <c r="EM25" i="44"/>
  <c r="EN25" i="44"/>
  <c r="EO26" i="44"/>
  <c r="EO25" i="44"/>
  <c r="EN26" i="44"/>
  <c r="EO10" i="44"/>
  <c r="EO24" i="44" s="1"/>
  <c r="EO9" i="44"/>
  <c r="EN9" i="44"/>
  <c r="EN18" i="44"/>
  <c r="EO18" i="44"/>
  <c r="EM26" i="44"/>
  <c r="EM9" i="44"/>
  <c r="EM18" i="44"/>
  <c r="EF10" i="44"/>
  <c r="EF24" i="44" s="1"/>
  <c r="EL25" i="44"/>
  <c r="EL9" i="44"/>
  <c r="EL18" i="44"/>
  <c r="EK25" i="44"/>
  <c r="EJ25" i="44"/>
  <c r="EK10" i="44"/>
  <c r="EK24" i="44" s="1"/>
  <c r="EK26" i="44"/>
  <c r="EF26" i="44"/>
  <c r="EK9" i="44"/>
  <c r="EJ26" i="44"/>
  <c r="EK18" i="44"/>
  <c r="EJ10" i="44"/>
  <c r="EJ24" i="44" s="1"/>
  <c r="EJ9" i="44"/>
  <c r="EJ18" i="44"/>
  <c r="EI26" i="44"/>
  <c r="EA7" i="48"/>
  <c r="EA8" i="48" s="1"/>
  <c r="EE10" i="44"/>
  <c r="EE24" i="44" s="1"/>
  <c r="EF25" i="44"/>
  <c r="EI25" i="44"/>
  <c r="EI10" i="44"/>
  <c r="EI24" i="44" s="1"/>
  <c r="EC10" i="44"/>
  <c r="EC24" i="44" s="1"/>
  <c r="EF18" i="44"/>
  <c r="EF9" i="44"/>
  <c r="EH25" i="44"/>
  <c r="EI9" i="44"/>
  <c r="EI18" i="44"/>
  <c r="EG18" i="44"/>
  <c r="EG26" i="44"/>
  <c r="EH18" i="44"/>
  <c r="EG9" i="44"/>
  <c r="EB10" i="44"/>
  <c r="EB24" i="44" s="1"/>
  <c r="EC25" i="44"/>
  <c r="EH10" i="44"/>
  <c r="EH24" i="44" s="1"/>
  <c r="EH26" i="44"/>
  <c r="EH9" i="44"/>
  <c r="EG25" i="44"/>
  <c r="EG10" i="44"/>
  <c r="EG24" i="44" s="1"/>
  <c r="ED25" i="44"/>
  <c r="DY23" i="44"/>
  <c r="EE25" i="44"/>
  <c r="EC18" i="44"/>
  <c r="EC9" i="44"/>
  <c r="ED18" i="44"/>
  <c r="EE18" i="44"/>
  <c r="ED10" i="44"/>
  <c r="ED24" i="44" s="1"/>
  <c r="ED9" i="44"/>
  <c r="EE9" i="44"/>
  <c r="EC26" i="44"/>
  <c r="EE26" i="44"/>
  <c r="ED26" i="44"/>
  <c r="EB25" i="44"/>
  <c r="EB18" i="44"/>
  <c r="EB9" i="44"/>
  <c r="EB26" i="44"/>
  <c r="EA10" i="44"/>
  <c r="EA24" i="44" s="1"/>
  <c r="EA18" i="44"/>
  <c r="EA25" i="44"/>
  <c r="EA26" i="44"/>
  <c r="DY26" i="44"/>
  <c r="DZ9" i="44"/>
  <c r="DZ23" i="44" s="1"/>
  <c r="EA9" i="44"/>
  <c r="DZ10" i="44"/>
  <c r="DZ24" i="44" s="1"/>
  <c r="DZ22" i="44"/>
  <c r="DZ27" i="44" s="1"/>
  <c r="DZ21" i="44"/>
  <c r="EE3" i="44"/>
  <c r="ED2" i="44"/>
  <c r="IF9" i="44" l="1"/>
  <c r="IE18" i="44"/>
  <c r="IG18" i="44"/>
  <c r="ID18" i="44"/>
  <c r="IF18" i="44"/>
  <c r="IF23" i="44" s="1"/>
  <c r="IC18" i="44"/>
  <c r="HJ26" i="44"/>
  <c r="IA18" i="44"/>
  <c r="IB18" i="44"/>
  <c r="HY9" i="44"/>
  <c r="HY18" i="44"/>
  <c r="HX18" i="44"/>
  <c r="HW18" i="44"/>
  <c r="HV18" i="44"/>
  <c r="HU18" i="44"/>
  <c r="HT18" i="44"/>
  <c r="HZ18" i="44"/>
  <c r="HS18" i="44"/>
  <c r="HK10" i="44"/>
  <c r="HK24" i="44" s="1"/>
  <c r="HJ10" i="44"/>
  <c r="HJ24" i="44" s="1"/>
  <c r="HJ9" i="44"/>
  <c r="HD9" i="44"/>
  <c r="GP9" i="44"/>
  <c r="GI9" i="44"/>
  <c r="HK9" i="44"/>
  <c r="GH9" i="44"/>
  <c r="GG9" i="44"/>
  <c r="GW9" i="44"/>
  <c r="GF9" i="44"/>
  <c r="GE9" i="44"/>
  <c r="GE23" i="44" s="1"/>
  <c r="HR9" i="44"/>
  <c r="GF10" i="44"/>
  <c r="GF24" i="44" s="1"/>
  <c r="GE10" i="44"/>
  <c r="GE24" i="44" s="1"/>
  <c r="GF18" i="44"/>
  <c r="GG18" i="44"/>
  <c r="GH18" i="44"/>
  <c r="HJ18" i="44"/>
  <c r="HO18" i="44"/>
  <c r="HR18" i="44"/>
  <c r="HQ18" i="44"/>
  <c r="HL18" i="44"/>
  <c r="HK18" i="44"/>
  <c r="HP18" i="44"/>
  <c r="HN18" i="44"/>
  <c r="HM18" i="44"/>
  <c r="FN23" i="44"/>
  <c r="FO23" i="44"/>
  <c r="FA26" i="44"/>
  <c r="FG23" i="44"/>
  <c r="FB18" i="44"/>
  <c r="FF18" i="44"/>
  <c r="FA18" i="44"/>
  <c r="FD18" i="44"/>
  <c r="FE18" i="44"/>
  <c r="FC18" i="44"/>
  <c r="FB24" i="44"/>
  <c r="FA9" i="44"/>
  <c r="FF9" i="44"/>
  <c r="FE9" i="44"/>
  <c r="FD9" i="44"/>
  <c r="FB9" i="44"/>
  <c r="FC9" i="44"/>
  <c r="FA10" i="44"/>
  <c r="EZ23" i="44"/>
  <c r="EY23" i="44"/>
  <c r="EX23" i="44"/>
  <c r="EW23" i="44"/>
  <c r="EU23" i="44"/>
  <c r="EV23" i="44"/>
  <c r="ET23" i="44"/>
  <c r="ES23" i="44"/>
  <c r="EQ23" i="44"/>
  <c r="ER23" i="44"/>
  <c r="EP23" i="44"/>
  <c r="EN23" i="44"/>
  <c r="EO23" i="44"/>
  <c r="EM23" i="44"/>
  <c r="EL23" i="44"/>
  <c r="EJ23" i="44"/>
  <c r="EB7" i="48"/>
  <c r="EK23" i="44"/>
  <c r="EF23" i="44"/>
  <c r="EG23" i="44"/>
  <c r="EI23" i="44"/>
  <c r="EH23" i="44"/>
  <c r="EE23" i="44"/>
  <c r="ED23" i="44"/>
  <c r="EC23" i="44"/>
  <c r="EB23" i="44"/>
  <c r="EA23" i="44"/>
  <c r="DZ26" i="44"/>
  <c r="EF3" i="44"/>
  <c r="EE2" i="44"/>
  <c r="IK23" i="44" l="1"/>
  <c r="IH23" i="44"/>
  <c r="IJ23" i="44"/>
  <c r="IL23" i="44"/>
  <c r="II23" i="44"/>
  <c r="HZ23" i="44"/>
  <c r="IG23" i="44"/>
  <c r="IC23" i="44"/>
  <c r="IE23" i="44"/>
  <c r="ID23" i="44"/>
  <c r="IB23" i="44"/>
  <c r="IA23" i="44"/>
  <c r="HY23" i="44"/>
  <c r="HR23" i="44"/>
  <c r="HW23" i="44"/>
  <c r="HS23" i="44"/>
  <c r="HU23" i="44"/>
  <c r="HT23" i="44"/>
  <c r="HV23" i="44"/>
  <c r="HX23" i="44"/>
  <c r="HL23" i="44"/>
  <c r="GI23" i="44"/>
  <c r="GK23" i="44"/>
  <c r="GL23" i="44"/>
  <c r="GJ23" i="44"/>
  <c r="GO23" i="44"/>
  <c r="GN23" i="44"/>
  <c r="GM23" i="44"/>
  <c r="HD23" i="44"/>
  <c r="HE23" i="44"/>
  <c r="HH23" i="44"/>
  <c r="HG23" i="44"/>
  <c r="HF23" i="44"/>
  <c r="HI23" i="44"/>
  <c r="HM23" i="44"/>
  <c r="HJ23" i="44"/>
  <c r="GP23" i="44"/>
  <c r="GR23" i="44"/>
  <c r="GT23" i="44"/>
  <c r="GV23" i="44"/>
  <c r="GU23" i="44"/>
  <c r="GS23" i="44"/>
  <c r="GQ23" i="44"/>
  <c r="GH23" i="44"/>
  <c r="GW23" i="44"/>
  <c r="HB23" i="44"/>
  <c r="HA23" i="44"/>
  <c r="GX23" i="44"/>
  <c r="GZ23" i="44"/>
  <c r="HC23" i="44"/>
  <c r="GY23" i="44"/>
  <c r="GG23" i="44"/>
  <c r="HK23" i="44"/>
  <c r="GF23" i="44"/>
  <c r="HP23" i="44"/>
  <c r="HQ23" i="44"/>
  <c r="HN23" i="44"/>
  <c r="HO23" i="44"/>
  <c r="FM23" i="44"/>
  <c r="FL23" i="44"/>
  <c r="FK23" i="44"/>
  <c r="FH23" i="44"/>
  <c r="FJ23" i="44"/>
  <c r="FI23" i="44"/>
  <c r="FA23" i="44"/>
  <c r="FB23" i="44"/>
  <c r="FC23" i="44"/>
  <c r="FD23" i="44"/>
  <c r="FE23" i="44"/>
  <c r="FA24" i="44"/>
  <c r="FF23" i="44"/>
  <c r="EB8" i="48"/>
  <c r="EC7" i="48"/>
  <c r="EG3" i="44"/>
  <c r="EF2" i="44"/>
  <c r="ED7" i="48" l="1"/>
  <c r="EC8" i="48"/>
  <c r="EH3" i="44"/>
  <c r="EG2" i="44"/>
  <c r="ED8" i="48" l="1"/>
  <c r="EE7" i="48"/>
  <c r="EI3" i="44"/>
  <c r="EH2" i="44"/>
  <c r="EF7" i="48" l="1"/>
  <c r="EE8" i="48"/>
  <c r="EJ3" i="44"/>
  <c r="EI2" i="44"/>
  <c r="EF8" i="48" l="1"/>
  <c r="EG7" i="48"/>
  <c r="EK3" i="44"/>
  <c r="EJ2" i="44"/>
  <c r="EG8" i="48" l="1"/>
  <c r="EH7" i="48"/>
  <c r="EL3" i="44"/>
  <c r="EK2" i="44"/>
  <c r="EH8" i="48" l="1"/>
  <c r="EI7" i="48"/>
  <c r="EM3" i="44"/>
  <c r="EL2" i="44"/>
  <c r="EI8" i="48" l="1"/>
  <c r="EJ7" i="48"/>
  <c r="EN3" i="44"/>
  <c r="EM2" i="44"/>
  <c r="EJ8" i="48" l="1"/>
  <c r="EK7" i="48"/>
  <c r="EK8" i="48" s="1"/>
  <c r="EO3" i="44"/>
  <c r="EN2" i="44"/>
  <c r="EL7" i="48" l="1"/>
  <c r="EP3" i="44"/>
  <c r="EO2" i="44"/>
  <c r="EL8" i="48" l="1"/>
  <c r="EM7" i="48"/>
  <c r="EQ3" i="44"/>
  <c r="EP2" i="44"/>
  <c r="EM8" i="48" l="1"/>
  <c r="EN7" i="48"/>
  <c r="ER3" i="44"/>
  <c r="EQ2" i="44"/>
  <c r="EN8" i="48" l="1"/>
  <c r="EO7" i="48"/>
  <c r="ES3" i="44"/>
  <c r="ER2" i="44"/>
  <c r="EO8" i="48" l="1"/>
  <c r="EP7" i="48"/>
  <c r="ET3" i="44"/>
  <c r="ES2" i="44"/>
  <c r="EP8" i="48" l="1"/>
  <c r="EQ7" i="48"/>
  <c r="EU3" i="44"/>
  <c r="ET2" i="44"/>
  <c r="EQ8" i="48" l="1"/>
  <c r="ER7" i="48"/>
  <c r="EV3" i="44"/>
  <c r="EU2" i="44"/>
  <c r="ER8" i="48" l="1"/>
  <c r="ES7" i="48"/>
  <c r="EW3" i="44"/>
  <c r="EV2" i="44"/>
  <c r="ES8" i="48" l="1"/>
  <c r="ET7" i="48"/>
  <c r="EX3" i="44"/>
  <c r="EW2" i="44"/>
  <c r="ET8" i="48" l="1"/>
  <c r="EU7" i="48"/>
  <c r="EY3" i="44"/>
  <c r="EX2" i="44"/>
  <c r="EU8" i="48" l="1"/>
  <c r="EV7" i="48"/>
  <c r="EZ3" i="44"/>
  <c r="EY2" i="44"/>
  <c r="EV8" i="48" l="1"/>
  <c r="EW7" i="48"/>
  <c r="EW8" i="48" s="1"/>
  <c r="FA3" i="44"/>
  <c r="EZ2" i="44"/>
  <c r="FB3" i="44" l="1"/>
  <c r="FA2" i="44"/>
  <c r="FC3" i="44" l="1"/>
  <c r="FB2" i="44"/>
  <c r="FD3" i="44" l="1"/>
  <c r="FC2" i="44"/>
  <c r="FE3" i="44" l="1"/>
  <c r="FD2" i="44"/>
  <c r="FF3" i="44" l="1"/>
  <c r="FE2" i="44"/>
  <c r="FG3" i="44" l="1"/>
  <c r="FF2" i="44"/>
  <c r="FH3" i="44" l="1"/>
  <c r="FG2" i="44"/>
  <c r="FI3" i="44" l="1"/>
  <c r="FH2" i="44"/>
  <c r="FJ3" i="44" l="1"/>
  <c r="FI2" i="44"/>
  <c r="FK3" i="44" l="1"/>
  <c r="FJ2" i="44"/>
  <c r="FL3" i="44" l="1"/>
  <c r="FK2" i="44"/>
  <c r="FM3" i="44" l="1"/>
  <c r="FL2" i="44"/>
  <c r="FN3" i="44" l="1"/>
  <c r="FM2" i="44"/>
  <c r="FO3" i="44" l="1"/>
  <c r="FN2" i="44"/>
  <c r="FP3" i="44" l="1"/>
  <c r="FO2" i="44"/>
  <c r="FQ3" i="44" l="1"/>
  <c r="FP2" i="44"/>
  <c r="FR3" i="44" l="1"/>
  <c r="FQ2" i="44"/>
  <c r="FS3" i="44" l="1"/>
  <c r="FR2" i="44"/>
  <c r="FT3" i="44" l="1"/>
  <c r="FS2" i="44"/>
  <c r="FU3" i="44" l="1"/>
  <c r="FT2" i="44"/>
  <c r="FV3" i="44" l="1"/>
  <c r="FU2" i="44"/>
  <c r="FW3" i="44" l="1"/>
  <c r="FV2" i="44"/>
  <c r="FX3" i="44" l="1"/>
  <c r="FW2" i="44"/>
  <c r="FY3" i="44" l="1"/>
  <c r="FX2" i="44"/>
  <c r="FZ3" i="44" l="1"/>
  <c r="FY2" i="44"/>
  <c r="GA3" i="44" l="1"/>
  <c r="FZ2" i="44"/>
  <c r="GB3" i="44" l="1"/>
  <c r="GA2" i="44"/>
  <c r="GC3" i="44" l="1"/>
  <c r="GB2" i="44"/>
  <c r="GD3" i="44" l="1"/>
  <c r="GC2" i="44"/>
  <c r="GE3" i="44" l="1"/>
  <c r="GD2" i="44"/>
  <c r="GF3" i="44" l="1"/>
  <c r="GE2" i="44"/>
  <c r="GG3" i="44" l="1"/>
  <c r="GF2" i="44"/>
  <c r="GH3" i="44" l="1"/>
  <c r="GG2" i="44"/>
  <c r="GI3" i="44" l="1"/>
  <c r="GH2" i="44"/>
  <c r="GJ3" i="44" l="1"/>
  <c r="GI2" i="44"/>
  <c r="GK3" i="44" l="1"/>
  <c r="GJ2" i="44"/>
  <c r="GL3" i="44" l="1"/>
  <c r="GK2" i="44"/>
  <c r="GM3" i="44" l="1"/>
  <c r="GL2" i="44"/>
  <c r="GN3" i="44" l="1"/>
  <c r="GM2" i="44"/>
  <c r="GO3" i="44" l="1"/>
  <c r="GN2" i="44"/>
  <c r="GP3" i="44" l="1"/>
  <c r="GO2" i="44"/>
  <c r="GQ3" i="44" l="1"/>
  <c r="GP2" i="44"/>
  <c r="GR3" i="44" l="1"/>
  <c r="GQ2" i="44"/>
  <c r="GS3" i="44" l="1"/>
  <c r="GR2" i="44"/>
  <c r="GT3" i="44" l="1"/>
  <c r="GS2" i="44"/>
  <c r="GU3" i="44" l="1"/>
  <c r="GT2" i="44"/>
  <c r="GV3" i="44" l="1"/>
  <c r="GU2" i="44"/>
  <c r="GW3" i="44" l="1"/>
  <c r="GV2" i="44"/>
  <c r="GX3" i="44" l="1"/>
  <c r="GW2" i="44"/>
  <c r="GY3" i="44" l="1"/>
  <c r="GX2" i="44"/>
  <c r="GZ3" i="44" l="1"/>
  <c r="GY2" i="44"/>
  <c r="HA3" i="44" l="1"/>
  <c r="GZ2" i="44"/>
  <c r="HB3" i="44" l="1"/>
  <c r="HA2" i="44"/>
  <c r="HC3" i="44" l="1"/>
  <c r="HB2" i="44"/>
  <c r="HD3" i="44" l="1"/>
  <c r="HC2" i="44"/>
  <c r="HE3" i="44" l="1"/>
  <c r="HD2" i="44"/>
  <c r="HF3" i="44" l="1"/>
  <c r="HE2" i="44"/>
  <c r="HG3" i="44" l="1"/>
  <c r="HF2" i="44"/>
  <c r="HH3" i="44" l="1"/>
  <c r="HG2" i="44"/>
  <c r="HI3" i="44" l="1"/>
  <c r="HH2" i="44"/>
  <c r="HJ3" i="44" l="1"/>
  <c r="HI2" i="44"/>
  <c r="HK3" i="44" l="1"/>
  <c r="HJ2" i="44"/>
  <c r="HL3" i="44" l="1"/>
  <c r="HK2" i="44"/>
  <c r="HM3" i="44" l="1"/>
  <c r="HL2" i="44"/>
  <c r="HN3" i="44" l="1"/>
  <c r="HM2" i="44"/>
  <c r="HO3" i="44" l="1"/>
  <c r="HN2" i="44"/>
  <c r="HP3" i="44" l="1"/>
  <c r="HO2" i="44"/>
  <c r="HQ3" i="44" l="1"/>
  <c r="HP2" i="44"/>
  <c r="HR3" i="44" l="1"/>
  <c r="HQ2" i="44"/>
  <c r="HS3" i="44" l="1"/>
  <c r="HR2" i="44"/>
  <c r="HT3" i="44" l="1"/>
  <c r="HS2" i="44"/>
  <c r="HU3" i="44" l="1"/>
  <c r="HT2" i="44"/>
  <c r="HV3" i="44" l="1"/>
  <c r="HU2" i="44"/>
  <c r="HW3" i="44" l="1"/>
  <c r="HV2" i="44"/>
  <c r="HX3" i="44" l="1"/>
  <c r="HW2" i="44"/>
  <c r="HY3" i="44" l="1"/>
  <c r="HX2" i="44"/>
  <c r="HZ3" i="44" l="1"/>
  <c r="HY2" i="44"/>
  <c r="IA3" i="44" l="1"/>
  <c r="HZ2" i="44"/>
  <c r="IB3" i="44" l="1"/>
  <c r="IA2" i="44"/>
  <c r="IC3" i="44" l="1"/>
  <c r="IB2" i="44"/>
  <c r="ID3" i="44" l="1"/>
  <c r="IC2" i="44"/>
  <c r="IE3" i="44" l="1"/>
  <c r="ID2" i="44"/>
  <c r="IF3" i="44" l="1"/>
  <c r="IE2" i="44"/>
  <c r="IG3" i="44" l="1"/>
  <c r="IF2" i="44"/>
  <c r="IH3" i="44" l="1"/>
  <c r="IG2" i="44"/>
  <c r="II3" i="44" l="1"/>
  <c r="IH2" i="44"/>
  <c r="IJ3" i="44" l="1"/>
  <c r="II2" i="44"/>
  <c r="IK3" i="44" l="1"/>
  <c r="IJ2" i="44"/>
  <c r="IL3" i="44" l="1"/>
  <c r="IK2" i="44"/>
  <c r="IM3" i="44" l="1"/>
  <c r="IL2" i="44"/>
  <c r="IN3" i="44" l="1"/>
  <c r="IM2" i="44"/>
  <c r="IO3" i="44" l="1"/>
  <c r="IN2" i="44"/>
  <c r="IP3" i="44" l="1"/>
  <c r="IO2" i="44"/>
  <c r="IQ3" i="44" l="1"/>
  <c r="IP2" i="44"/>
  <c r="IR3" i="44" l="1"/>
  <c r="IQ2" i="44"/>
  <c r="IS3" i="44" l="1"/>
  <c r="IR2" i="44"/>
  <c r="IT3" i="44" l="1"/>
  <c r="IS2" i="44"/>
  <c r="IU3" i="44" l="1"/>
  <c r="IT2" i="44"/>
  <c r="IV3" i="44" l="1"/>
  <c r="IU2" i="44"/>
  <c r="IW3" i="44" l="1"/>
  <c r="IV2" i="44"/>
  <c r="IX3" i="44" l="1"/>
  <c r="IW2" i="44"/>
  <c r="IY3" i="44" l="1"/>
  <c r="IX2" i="44"/>
  <c r="IZ3" i="44" l="1"/>
  <c r="IY2" i="44"/>
  <c r="JA3" i="44" l="1"/>
  <c r="IZ2" i="44"/>
  <c r="JB3" i="44" l="1"/>
  <c r="JA2" i="44"/>
  <c r="JC3" i="44" l="1"/>
  <c r="JB2" i="44"/>
  <c r="JD3" i="44" l="1"/>
  <c r="JC2" i="44"/>
  <c r="JE3" i="44" l="1"/>
  <c r="JD2" i="44"/>
  <c r="JF3" i="44" l="1"/>
  <c r="JE2" i="44"/>
  <c r="JG3" i="44" l="1"/>
  <c r="JF2" i="44"/>
  <c r="JH3" i="44" l="1"/>
  <c r="JG2" i="44"/>
  <c r="JI3" i="44" l="1"/>
  <c r="JH2" i="44"/>
  <c r="JJ3" i="44" l="1"/>
  <c r="JI2" i="44"/>
  <c r="JK3" i="44" l="1"/>
  <c r="JJ2" i="44"/>
  <c r="JL3" i="44" l="1"/>
  <c r="JK2" i="44"/>
  <c r="JM3" i="44" l="1"/>
  <c r="JL2" i="44"/>
  <c r="JN3" i="44" l="1"/>
  <c r="JM2" i="44"/>
  <c r="JO3" i="44" l="1"/>
  <c r="JN2" i="44"/>
  <c r="JP3" i="44" l="1"/>
  <c r="JO2" i="44"/>
  <c r="JQ3" i="44" l="1"/>
  <c r="JP2" i="44"/>
  <c r="JR3" i="44" l="1"/>
  <c r="JQ2" i="44"/>
  <c r="JS3" i="44" l="1"/>
  <c r="JR2" i="44"/>
  <c r="JT3" i="44" l="1"/>
  <c r="JS2" i="44"/>
  <c r="JU3" i="44" l="1"/>
  <c r="JT2" i="44"/>
  <c r="JV3" i="44" l="1"/>
  <c r="JU2" i="44"/>
  <c r="JW3" i="44" l="1"/>
  <c r="JV2" i="44"/>
  <c r="JX3" i="44" l="1"/>
  <c r="JW2" i="44"/>
  <c r="JY3" i="44" l="1"/>
  <c r="JX2" i="44"/>
  <c r="JZ3" i="44" l="1"/>
  <c r="JY2" i="44"/>
  <c r="KA3" i="44" l="1"/>
  <c r="JZ2" i="44"/>
  <c r="KB3" i="44" l="1"/>
  <c r="KA2" i="44"/>
  <c r="KC3" i="44" l="1"/>
  <c r="KB2" i="44"/>
  <c r="KD3" i="44" l="1"/>
  <c r="KC2" i="44"/>
  <c r="KE3" i="44" l="1"/>
  <c r="KD2" i="44"/>
  <c r="KF3" i="44" l="1"/>
  <c r="KE2" i="44"/>
  <c r="KG3" i="44" l="1"/>
  <c r="KF2" i="44"/>
  <c r="KH3" i="44" l="1"/>
  <c r="KG2" i="44"/>
  <c r="KI3" i="44" l="1"/>
  <c r="KH2" i="44"/>
  <c r="KJ3" i="44" l="1"/>
  <c r="KI2" i="44"/>
  <c r="KK3" i="44" l="1"/>
  <c r="KJ2" i="44"/>
  <c r="KL3" i="44" l="1"/>
  <c r="KK2" i="44"/>
  <c r="KM3" i="44" l="1"/>
  <c r="KL2" i="44"/>
  <c r="KN3" i="44" l="1"/>
  <c r="KM2" i="44"/>
  <c r="KO3" i="44" l="1"/>
  <c r="KN2" i="44"/>
  <c r="KP3" i="44" l="1"/>
  <c r="KO2" i="44"/>
  <c r="KQ3" i="44" l="1"/>
  <c r="KP2" i="44"/>
  <c r="KR3" i="44" l="1"/>
  <c r="KQ2" i="44"/>
  <c r="KS3" i="44" l="1"/>
  <c r="KR2" i="44"/>
  <c r="KT3" i="44" l="1"/>
  <c r="KS2" i="44"/>
  <c r="KU3" i="44" l="1"/>
  <c r="KT2" i="44"/>
  <c r="KV3" i="44" l="1"/>
  <c r="KU2" i="44"/>
  <c r="KW3" i="44" l="1"/>
  <c r="KV2" i="44"/>
  <c r="KX3" i="44" l="1"/>
  <c r="KW2" i="44"/>
  <c r="KY3" i="44" l="1"/>
  <c r="KX2" i="44"/>
  <c r="KZ3" i="44" l="1"/>
  <c r="KY2" i="44"/>
  <c r="LA3" i="44" l="1"/>
  <c r="KZ2" i="44"/>
  <c r="LB3" i="44" l="1"/>
  <c r="LA2" i="44"/>
  <c r="LC3" i="44" l="1"/>
  <c r="LB2" i="44"/>
  <c r="LD3" i="44" l="1"/>
  <c r="LC2" i="44"/>
  <c r="LE3" i="44" l="1"/>
  <c r="LD2" i="44"/>
  <c r="LF3" i="44" l="1"/>
  <c r="LE2" i="44"/>
  <c r="LG3" i="44" l="1"/>
  <c r="LF2" i="44"/>
  <c r="LH3" i="44" l="1"/>
  <c r="LG2" i="44"/>
  <c r="LI3" i="44" l="1"/>
  <c r="LH2" i="44"/>
  <c r="LJ3" i="44" l="1"/>
  <c r="LI2" i="44"/>
  <c r="LK3" i="44" l="1"/>
  <c r="LJ2" i="44"/>
  <c r="LL3" i="44" l="1"/>
  <c r="LK2" i="44"/>
  <c r="LM3" i="44" l="1"/>
  <c r="LL2" i="44"/>
  <c r="LN3" i="44" l="1"/>
  <c r="LM2" i="44"/>
  <c r="LO3" i="44" l="1"/>
  <c r="LN2" i="44"/>
  <c r="LP3" i="44" l="1"/>
  <c r="LO2" i="44"/>
  <c r="LQ3" i="44" l="1"/>
  <c r="LP2" i="44"/>
  <c r="LR3" i="44" l="1"/>
  <c r="LQ2" i="44"/>
  <c r="LS3" i="44" l="1"/>
  <c r="LR2" i="44"/>
  <c r="LT3" i="44" l="1"/>
  <c r="LS2" i="44"/>
  <c r="LU3" i="44" l="1"/>
  <c r="LT2" i="44"/>
  <c r="LV3" i="44" l="1"/>
  <c r="LU2" i="44"/>
  <c r="LW3" i="44" l="1"/>
  <c r="LV2" i="44"/>
  <c r="LX3" i="44" l="1"/>
  <c r="LW2" i="44"/>
  <c r="LY3" i="44" l="1"/>
  <c r="LX2" i="44"/>
  <c r="LZ3" i="44" l="1"/>
  <c r="LY2" i="44"/>
  <c r="MA3" i="44" l="1"/>
  <c r="LZ2" i="44"/>
  <c r="MB3" i="44" l="1"/>
  <c r="MA2" i="44"/>
  <c r="MC3" i="44" l="1"/>
  <c r="MB2" i="44"/>
  <c r="MD3" i="44" l="1"/>
  <c r="MC2" i="44"/>
  <c r="ME3" i="44" l="1"/>
  <c r="MD2" i="44"/>
  <c r="MF3" i="44" l="1"/>
  <c r="ME2" i="44"/>
  <c r="MG3" i="44" l="1"/>
  <c r="MF2" i="44"/>
  <c r="MH3" i="44" l="1"/>
  <c r="MG2" i="44"/>
  <c r="MI3" i="44" l="1"/>
  <c r="MH2" i="44"/>
  <c r="MJ3" i="44" l="1"/>
  <c r="MI2" i="44"/>
  <c r="MK3" i="44" l="1"/>
  <c r="MJ2" i="44"/>
  <c r="ML3" i="44" l="1"/>
  <c r="MK2" i="44"/>
  <c r="MM3" i="44" l="1"/>
  <c r="ML2" i="44"/>
  <c r="MN3" i="44" l="1"/>
  <c r="MM2" i="44"/>
  <c r="MO3" i="44" l="1"/>
  <c r="MN2" i="44"/>
  <c r="MP3" i="44" l="1"/>
  <c r="MO2" i="44"/>
  <c r="MQ3" i="44" l="1"/>
  <c r="MP2" i="44"/>
  <c r="MR3" i="44" l="1"/>
  <c r="MQ2" i="44"/>
  <c r="MS3" i="44" l="1"/>
  <c r="MR2" i="44"/>
  <c r="MT3" i="44" l="1"/>
  <c r="MS2" i="44"/>
  <c r="MU3" i="44" l="1"/>
  <c r="MT2" i="44"/>
  <c r="MV3" i="44" l="1"/>
  <c r="MU2" i="44"/>
  <c r="MW3" i="44" l="1"/>
  <c r="MV2" i="44"/>
  <c r="MX3" i="44" l="1"/>
  <c r="MW2" i="44"/>
  <c r="MY3" i="44" l="1"/>
  <c r="MX2" i="44"/>
  <c r="MZ3" i="44" l="1"/>
  <c r="MY2" i="44"/>
  <c r="NA3" i="44" l="1"/>
  <c r="MZ2" i="44"/>
  <c r="NB3" i="44" l="1"/>
  <c r="NA2" i="44"/>
  <c r="NC3" i="44" l="1"/>
  <c r="NB2" i="44"/>
  <c r="ND3" i="44" l="1"/>
  <c r="NC2" i="44"/>
  <c r="NE3" i="44" l="1"/>
  <c r="ND2" i="44"/>
  <c r="NF3" i="44" l="1"/>
  <c r="NE2" i="44"/>
  <c r="NG3" i="44" l="1"/>
  <c r="NF2" i="44"/>
  <c r="NH3" i="44" l="1"/>
  <c r="NG2" i="44"/>
  <c r="NI3" i="44" l="1"/>
  <c r="NH2" i="44"/>
  <c r="NJ3" i="44" l="1"/>
  <c r="NI2" i="44"/>
  <c r="NK3" i="44" l="1"/>
  <c r="NJ2" i="44"/>
  <c r="NL3" i="44" l="1"/>
  <c r="NK2" i="44"/>
  <c r="NM3" i="44" l="1"/>
  <c r="NL2" i="44"/>
  <c r="NN3" i="44" l="1"/>
  <c r="NM2" i="44"/>
  <c r="NO3" i="44" l="1"/>
  <c r="NN2" i="44"/>
  <c r="NP3" i="44" l="1"/>
  <c r="NO2" i="44"/>
  <c r="NQ3" i="44" l="1"/>
  <c r="NP2" i="44"/>
  <c r="NR3" i="44" l="1"/>
  <c r="NQ2" i="44"/>
  <c r="NS3" i="44" l="1"/>
  <c r="NR2" i="44"/>
  <c r="NT3" i="44" l="1"/>
  <c r="NS2" i="44"/>
  <c r="NU3" i="44" l="1"/>
  <c r="NT2" i="44"/>
  <c r="NV3" i="44" l="1"/>
  <c r="NU2" i="44"/>
  <c r="NW3" i="44" l="1"/>
  <c r="NV2" i="44"/>
  <c r="NX3" i="44" l="1"/>
  <c r="NW2" i="44"/>
  <c r="NY3" i="44" l="1"/>
  <c r="NX2" i="44"/>
  <c r="NZ3" i="44" l="1"/>
  <c r="NY2" i="44"/>
  <c r="OA3" i="44" l="1"/>
  <c r="NZ2" i="44"/>
  <c r="OB3" i="44" l="1"/>
  <c r="OA2" i="44"/>
  <c r="OC3" i="44" l="1"/>
  <c r="OB2" i="44"/>
  <c r="OD3" i="44" l="1"/>
  <c r="OC2" i="44"/>
  <c r="OE3" i="44" l="1"/>
  <c r="OD2" i="44"/>
  <c r="OF3" i="44" l="1"/>
  <c r="OE2" i="44"/>
  <c r="OG3" i="44" l="1"/>
  <c r="OF2" i="44"/>
  <c r="OH3" i="44" l="1"/>
  <c r="OG2" i="44"/>
  <c r="OI3" i="44" l="1"/>
  <c r="OH2" i="44"/>
  <c r="OJ3" i="44" l="1"/>
  <c r="OI2" i="44"/>
  <c r="OK3" i="44" l="1"/>
  <c r="OJ2" i="44"/>
  <c r="OL3" i="44" l="1"/>
  <c r="OK2" i="44"/>
  <c r="OM3" i="44" l="1"/>
  <c r="OL2" i="44"/>
  <c r="ON3" i="44" l="1"/>
  <c r="OM2" i="44"/>
  <c r="OO3" i="44" l="1"/>
  <c r="ON2" i="44"/>
  <c r="OP3" i="44" l="1"/>
  <c r="OO2" i="44"/>
  <c r="OQ3" i="44" l="1"/>
  <c r="OP2" i="44"/>
  <c r="OR3" i="44" l="1"/>
  <c r="OQ2" i="44"/>
  <c r="OS3" i="44" l="1"/>
  <c r="OR2" i="44"/>
  <c r="OT3" i="44" l="1"/>
  <c r="OS2" i="44"/>
  <c r="OU3" i="44" l="1"/>
  <c r="OT2" i="44"/>
  <c r="OV3" i="44" l="1"/>
  <c r="OU2" i="44"/>
  <c r="OW3" i="44" l="1"/>
  <c r="OV2" i="44"/>
  <c r="OX3" i="44" l="1"/>
  <c r="OW2" i="44"/>
  <c r="OY3" i="44" l="1"/>
  <c r="OX2" i="44"/>
  <c r="OZ3" i="44" l="1"/>
  <c r="OY2" i="44"/>
  <c r="OZ2" i="44" l="1"/>
  <c r="E6" i="54"/>
  <c r="E5" i="54"/>
  <c r="H3" i="54"/>
  <c r="I9" i="54"/>
  <c r="H9" i="54"/>
  <c r="I5" i="54"/>
  <c r="J7" i="54"/>
  <c r="H7" i="54"/>
  <c r="G7" i="54"/>
  <c r="F21" i="54" s="1"/>
  <c r="F9" i="54"/>
  <c r="D6" i="54"/>
  <c r="J9" i="54"/>
  <c r="G10" i="54"/>
  <c r="F4" i="54"/>
  <c r="H6" i="54"/>
  <c r="J6" i="54"/>
  <c r="F5" i="54"/>
  <c r="J11" i="54"/>
  <c r="G9" i="54"/>
  <c r="G5" i="54"/>
  <c r="I6" i="54"/>
  <c r="I7" i="54"/>
  <c r="F16" i="54" s="1"/>
  <c r="H10" i="54"/>
  <c r="I4" i="54"/>
  <c r="E3" i="54"/>
  <c r="J4" i="54"/>
  <c r="J5" i="54"/>
  <c r="D4" i="54"/>
  <c r="G4" i="54"/>
  <c r="D10" i="54"/>
  <c r="E9" i="54"/>
  <c r="D9" i="54"/>
  <c r="G3" i="54"/>
  <c r="E10" i="54"/>
  <c r="F10" i="54"/>
  <c r="F11" i="54"/>
  <c r="J10" i="54"/>
  <c r="F3" i="54"/>
  <c r="D5" i="54"/>
  <c r="I3" i="54"/>
  <c r="E4" i="54"/>
  <c r="I10" i="54"/>
  <c r="H5" i="54"/>
  <c r="G6" i="54"/>
  <c r="J3" i="54"/>
  <c r="H4" i="54"/>
  <c r="I11" i="54"/>
  <c r="F6" i="54"/>
  <c r="F7" i="54"/>
  <c r="D3" i="54"/>
  <c r="G11" i="54"/>
  <c r="E7" i="54"/>
  <c r="H11" i="54"/>
  <c r="D11" i="54"/>
  <c r="E11" i="54"/>
  <c r="D7" i="54"/>
  <c r="E21" i="54" l="1"/>
  <c r="E16" i="54"/>
  <c r="D21" i="54"/>
  <c r="D16" i="54"/>
  <c r="JS8" i="48" l="1"/>
  <c r="JR8" i="48"/>
  <c r="JQ8" i="48"/>
  <c r="MP8" i="48" l="1"/>
  <c r="MP7" i="48"/>
  <c r="LF8" i="48"/>
  <c r="LF7" i="48"/>
  <c r="LH8" i="48"/>
  <c r="LH7" i="48"/>
  <c r="NA8" i="48"/>
  <c r="NA7" i="48"/>
  <c r="ML8" i="48"/>
  <c r="ML7" i="48"/>
  <c r="LQ8" i="48"/>
  <c r="LQ7" i="48"/>
  <c r="LU8" i="48"/>
  <c r="LU7" i="48"/>
  <c r="LJ8" i="48"/>
  <c r="LJ7" i="48"/>
  <c r="LB8" i="48"/>
  <c r="LB7" i="48"/>
  <c r="MO8" i="48"/>
  <c r="MO7" i="48"/>
  <c r="MS8" i="48"/>
  <c r="MS7" i="48"/>
  <c r="NC8" i="48"/>
  <c r="NC7" i="48"/>
  <c r="MJ8" i="48"/>
  <c r="MJ7" i="48"/>
  <c r="MN8" i="48"/>
  <c r="MN7" i="48"/>
  <c r="LT8" i="48"/>
  <c r="LT7" i="48"/>
  <c r="LW8" i="48"/>
  <c r="LW7" i="48"/>
  <c r="LE8" i="48"/>
  <c r="LE7" i="48"/>
  <c r="LV8" i="48"/>
  <c r="LV7" i="48"/>
  <c r="KZ8" i="48"/>
  <c r="KZ7" i="48"/>
  <c r="MB8" i="48"/>
  <c r="MB7" i="48"/>
  <c r="LI8" i="48"/>
  <c r="LI7" i="48"/>
  <c r="MW8" i="48"/>
  <c r="MW7" i="48"/>
  <c r="LO8" i="48"/>
  <c r="LO7" i="48"/>
  <c r="KW8" i="48"/>
  <c r="KW7" i="48"/>
  <c r="LP8" i="48"/>
  <c r="LP7" i="48"/>
  <c r="MU8" i="48"/>
  <c r="MU7" i="48"/>
  <c r="MF8" i="48"/>
  <c r="MF7" i="48"/>
  <c r="MD8" i="48"/>
  <c r="MD7" i="48"/>
  <c r="MR8" i="48"/>
  <c r="MR7" i="48"/>
  <c r="MX8" i="48"/>
  <c r="MX7" i="48"/>
  <c r="MH8" i="48"/>
  <c r="MH7" i="48"/>
  <c r="LK8" i="48"/>
  <c r="LK7" i="48"/>
  <c r="MG8" i="48"/>
  <c r="MG7" i="48"/>
  <c r="MZ8" i="48"/>
  <c r="MZ7" i="48"/>
  <c r="MM8" i="48"/>
  <c r="MM7" i="48"/>
  <c r="MC8" i="48"/>
  <c r="MC7" i="48"/>
  <c r="MI8" i="48"/>
  <c r="MI7" i="48"/>
  <c r="KX8" i="48"/>
  <c r="KX7" i="48"/>
  <c r="LA8" i="48"/>
  <c r="LA7" i="48"/>
  <c r="LG8" i="48"/>
  <c r="LG7" i="48"/>
  <c r="LN8" i="48"/>
  <c r="LN7" i="48"/>
  <c r="MV8" i="48"/>
  <c r="MV7" i="48"/>
  <c r="MT8" i="48"/>
  <c r="MT7" i="48"/>
  <c r="NB8" i="48"/>
  <c r="NB7" i="48"/>
  <c r="MY8" i="48"/>
  <c r="MY7" i="48"/>
  <c r="MA8" i="48"/>
  <c r="MA7" i="48"/>
  <c r="LC8" i="48"/>
  <c r="LC7" i="48"/>
  <c r="KV8" i="48"/>
  <c r="ME8" i="48"/>
  <c r="ME7" i="48"/>
  <c r="LX7" i="48"/>
  <c r="LX8" i="48"/>
  <c r="LZ8" i="48"/>
  <c r="MK7" i="48"/>
  <c r="MK8" i="48"/>
  <c r="KY7" i="48"/>
  <c r="KY8" i="48"/>
  <c r="LS7" i="48"/>
  <c r="LS8" i="48"/>
  <c r="LR7" i="48"/>
  <c r="LR8" i="48"/>
  <c r="LM7" i="48"/>
  <c r="LM8" i="48"/>
  <c r="LZ7" i="48"/>
  <c r="MQ7" i="48"/>
  <c r="MQ8" i="48"/>
  <c r="LL7" i="48"/>
  <c r="LL8" i="48"/>
  <c r="KV7" i="48"/>
  <c r="LD7" i="48"/>
  <c r="LD8" i="48"/>
  <c r="GF8" i="48"/>
  <c r="GF7" i="48"/>
  <c r="KN8" i="48"/>
  <c r="KN7" i="48"/>
  <c r="HN8" i="48"/>
  <c r="HN7" i="48"/>
  <c r="JX8" i="48"/>
  <c r="JX7" i="48"/>
  <c r="HI8" i="48"/>
  <c r="HI7" i="48"/>
  <c r="KG8" i="48"/>
  <c r="KG7" i="48"/>
  <c r="KH8" i="48"/>
  <c r="KH7" i="48"/>
  <c r="GO8" i="48"/>
  <c r="GO7" i="48"/>
  <c r="GX8" i="48"/>
  <c r="GX7" i="48"/>
  <c r="GR8" i="48"/>
  <c r="GR7" i="48"/>
  <c r="HT8" i="48"/>
  <c r="HT7" i="48"/>
  <c r="KF8" i="48"/>
  <c r="KF7" i="48"/>
  <c r="GG8" i="48"/>
  <c r="GG7" i="48"/>
  <c r="GQ8" i="48"/>
  <c r="GQ7" i="48"/>
  <c r="KO8" i="48"/>
  <c r="KO7" i="48"/>
  <c r="GW8" i="48"/>
  <c r="GW7" i="48"/>
  <c r="HS8" i="48"/>
  <c r="HS7" i="48"/>
  <c r="KE8" i="48"/>
  <c r="KE7" i="48"/>
  <c r="GT8" i="48"/>
  <c r="GT7" i="48"/>
  <c r="IC8" i="48"/>
  <c r="IC7" i="48"/>
  <c r="JV8" i="48"/>
  <c r="JV7" i="48"/>
  <c r="HU8" i="48"/>
  <c r="HU7" i="48"/>
  <c r="GH8" i="48"/>
  <c r="GH7" i="48"/>
  <c r="HQ8" i="48"/>
  <c r="HQ7" i="48"/>
  <c r="IE8" i="48"/>
  <c r="IE7" i="48"/>
  <c r="KJ8" i="48"/>
  <c r="KJ7" i="48"/>
  <c r="HA8" i="48"/>
  <c r="HA7" i="48"/>
  <c r="HK8" i="48"/>
  <c r="HK7" i="48"/>
  <c r="GL8" i="48"/>
  <c r="GL7" i="48"/>
  <c r="HB8" i="48"/>
  <c r="HB7" i="48"/>
  <c r="HW8" i="48"/>
  <c r="HW7" i="48"/>
  <c r="GS8" i="48"/>
  <c r="GS7" i="48"/>
  <c r="HM8" i="48"/>
  <c r="HM7" i="48"/>
  <c r="GJ8" i="48"/>
  <c r="GJ7" i="48"/>
  <c r="IA8" i="48"/>
  <c r="IA7" i="48"/>
  <c r="KR8" i="48"/>
  <c r="KR7" i="48"/>
  <c r="KC8" i="48"/>
  <c r="KC7" i="48"/>
  <c r="GE8" i="48"/>
  <c r="GE7" i="48"/>
  <c r="GI8" i="48"/>
  <c r="GI7" i="48"/>
  <c r="GZ8" i="48"/>
  <c r="GZ7" i="48"/>
  <c r="IB8" i="48"/>
  <c r="IB7" i="48"/>
  <c r="HV8" i="48"/>
  <c r="HV7" i="48"/>
  <c r="JU8" i="48"/>
  <c r="JU7" i="48"/>
  <c r="GP8" i="48"/>
  <c r="GP7" i="48"/>
  <c r="KK8" i="48"/>
  <c r="KK7" i="48"/>
  <c r="GD8" i="48"/>
  <c r="GD7" i="48"/>
  <c r="KD8" i="48"/>
  <c r="KD7" i="48"/>
  <c r="KM8" i="48"/>
  <c r="KM7" i="48"/>
  <c r="JW8" i="48"/>
  <c r="JW7" i="48"/>
  <c r="HE8" i="48"/>
  <c r="HE7" i="48"/>
  <c r="JZ8" i="48"/>
  <c r="JZ7" i="48"/>
  <c r="HF8" i="48"/>
  <c r="HF7" i="48"/>
  <c r="IH8" i="48"/>
  <c r="IH7" i="48"/>
  <c r="HP8" i="48"/>
  <c r="HP7" i="48"/>
  <c r="GN8" i="48"/>
  <c r="GN7" i="48"/>
  <c r="HY8" i="48"/>
  <c r="HY7" i="48"/>
  <c r="GM8" i="48"/>
  <c r="GM7" i="48"/>
  <c r="HC8" i="48"/>
  <c r="HC7" i="48"/>
  <c r="KB8" i="48"/>
  <c r="KB7" i="48"/>
  <c r="HJ8" i="48"/>
  <c r="HJ7" i="48"/>
  <c r="IK8" i="48"/>
  <c r="IK7" i="48"/>
  <c r="GV8" i="48"/>
  <c r="GV7" i="48"/>
  <c r="HZ8" i="48"/>
  <c r="HZ7" i="48"/>
  <c r="HR8" i="48"/>
  <c r="HR7" i="48"/>
  <c r="GK8" i="48"/>
  <c r="GK7" i="48"/>
  <c r="JY8" i="48"/>
  <c r="JY7" i="48"/>
  <c r="KA8" i="48"/>
  <c r="KA7" i="48"/>
  <c r="HO8" i="48"/>
  <c r="HO7" i="48"/>
  <c r="KL8" i="48"/>
  <c r="KL7" i="48"/>
  <c r="KQ8" i="48"/>
  <c r="KQ7" i="48"/>
  <c r="KI8" i="48"/>
  <c r="KI7" i="48"/>
  <c r="IF8" i="48"/>
  <c r="IF7" i="48"/>
  <c r="II8" i="48"/>
  <c r="II7" i="48"/>
  <c r="KS8" i="48"/>
  <c r="KS7" i="48"/>
  <c r="KP8" i="48"/>
  <c r="KP7" i="48"/>
  <c r="HL8" i="48"/>
  <c r="HL7" i="48"/>
  <c r="KT8" i="48"/>
  <c r="KT7" i="48"/>
  <c r="GU8" i="48"/>
  <c r="GU7" i="48"/>
  <c r="IJ8" i="48"/>
  <c r="IJ7" i="48"/>
  <c r="HD8" i="48"/>
  <c r="HD7" i="48"/>
  <c r="GY8" i="48"/>
  <c r="GY7" i="48"/>
  <c r="IG8" i="48"/>
  <c r="IG7" i="48"/>
  <c r="HX8" i="48"/>
  <c r="HX7" i="48"/>
  <c r="ID8" i="48"/>
  <c r="ID7" i="48"/>
  <c r="GC7" i="48"/>
  <c r="GC8" i="48"/>
  <c r="HH7" i="48"/>
  <c r="HH8" i="48"/>
  <c r="JT7" i="48"/>
  <c r="JT8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Alvine Wirahadi Kusuma Sasongko</author>
  </authors>
  <commentList>
    <comment ref="A1" authorId="0" shapeId="0" xr:uid="{A22510D6-A818-4F3E-B40A-5F96D49A06E6}">
      <text>
        <r>
          <rPr>
            <b/>
            <sz val="9"/>
            <color indexed="81"/>
            <rFont val="Tahoma"/>
            <family val="2"/>
          </rPr>
          <t>Alvine Wirahadi Kusuma Sasongko:</t>
        </r>
        <r>
          <rPr>
            <sz val="9"/>
            <color indexed="81"/>
            <rFont val="Tahoma"/>
            <family val="2"/>
          </rPr>
          <t xml:space="preserve">
Per Unit</t>
        </r>
      </text>
    </comment>
    <comment ref="A2" authorId="0" shapeId="0" xr:uid="{ACA898FC-C538-4F71-A3FD-A6B1610F2BEC}">
      <text>
        <r>
          <rPr>
            <b/>
            <sz val="9"/>
            <color indexed="81"/>
            <rFont val="Tahoma"/>
            <family val="2"/>
          </rPr>
          <t>Alvine Wirahadi Kusuma Sasongko:</t>
        </r>
        <r>
          <rPr>
            <sz val="9"/>
            <color indexed="81"/>
            <rFont val="Tahoma"/>
            <family val="2"/>
          </rPr>
          <t xml:space="preserve">
Per Machine</t>
        </r>
      </text>
    </comment>
    <comment ref="A3" authorId="0" shapeId="0" xr:uid="{7B59723F-9D2C-4A35-B606-A31806FB7874}">
      <text>
        <r>
          <rPr>
            <b/>
            <sz val="9"/>
            <color indexed="81"/>
            <rFont val="Tahoma"/>
            <family val="2"/>
          </rPr>
          <t>Alvine Wirahadi Kusuma Sasongko:</t>
        </r>
        <r>
          <rPr>
            <sz val="9"/>
            <color indexed="81"/>
            <rFont val="Tahoma"/>
            <family val="2"/>
          </rPr>
          <t xml:space="preserve">
PA</t>
        </r>
      </text>
    </comment>
    <comment ref="JX13" authorId="0" shapeId="0" xr:uid="{588B67BE-8B3C-461C-A6AC-82082C805751}">
      <text>
        <r>
          <rPr>
            <b/>
            <sz val="9"/>
            <color indexed="81"/>
            <rFont val="Tahoma"/>
            <family val="2"/>
          </rPr>
          <t>Alvine Wirahadi Kusuma Sasongko:</t>
        </r>
        <r>
          <rPr>
            <sz val="9"/>
            <color indexed="81"/>
            <rFont val="Tahoma"/>
            <family val="2"/>
          </rPr>
          <t xml:space="preserve">
Filter AC &amp; Fuel</t>
        </r>
      </text>
    </comment>
    <comment ref="JY13" authorId="0" shapeId="0" xr:uid="{51EBF40A-A760-4311-A42B-65D859562789}">
      <text>
        <r>
          <rPr>
            <b/>
            <sz val="9"/>
            <color indexed="81"/>
            <rFont val="Tahoma"/>
            <family val="2"/>
          </rPr>
          <t>Alvine Wirahadi Kusuma Sasongko:</t>
        </r>
        <r>
          <rPr>
            <sz val="9"/>
            <color indexed="81"/>
            <rFont val="Tahoma"/>
            <family val="2"/>
          </rPr>
          <t xml:space="preserve">
RT402</t>
        </r>
      </text>
    </comment>
    <comment ref="KH13" authorId="0" shapeId="0" xr:uid="{672C283E-BA00-430B-B4FF-129CDE7F8342}">
      <text>
        <r>
          <rPr>
            <b/>
            <sz val="9"/>
            <color indexed="81"/>
            <rFont val="Tahoma"/>
            <family val="2"/>
          </rPr>
          <t>Alvine Wirahadi Kusuma Sasongko:</t>
        </r>
        <r>
          <rPr>
            <sz val="9"/>
            <color indexed="81"/>
            <rFont val="Tahoma"/>
            <family val="2"/>
          </rPr>
          <t xml:space="preserve">
1 Shift by Back Up</t>
        </r>
      </text>
    </comment>
    <comment ref="JY20" authorId="0" shapeId="0" xr:uid="{8E23D40E-750A-4D44-B421-84EFADF48A0B}">
      <text>
        <r>
          <rPr>
            <b/>
            <sz val="9"/>
            <color indexed="81"/>
            <rFont val="Tahoma"/>
            <family val="2"/>
          </rPr>
          <t>Alvine Wirahadi Kusuma Sasongko:</t>
        </r>
        <r>
          <rPr>
            <sz val="9"/>
            <color indexed="81"/>
            <rFont val="Tahoma"/>
            <family val="2"/>
          </rPr>
          <t xml:space="preserve">
CEO</t>
        </r>
      </text>
    </comment>
  </commentList>
</comments>
</file>

<file path=xl/sharedStrings.xml><?xml version="1.0" encoding="utf-8"?>
<sst xmlns="http://schemas.openxmlformats.org/spreadsheetml/2006/main" count="461" uniqueCount="141">
  <si>
    <t>NO.</t>
  </si>
  <si>
    <t>DESCRIPTION</t>
  </si>
  <si>
    <t>ACTIONS</t>
  </si>
  <si>
    <t>WHO</t>
  </si>
  <si>
    <t>TEAM</t>
  </si>
  <si>
    <t>WHEN</t>
  </si>
  <si>
    <t>COMMENTS/PROGRESS</t>
  </si>
  <si>
    <t>Plan</t>
  </si>
  <si>
    <t>Actual</t>
  </si>
  <si>
    <t>TU</t>
  </si>
  <si>
    <t>TU
KPC</t>
  </si>
  <si>
    <t>Bladder Accumulator Issue</t>
  </si>
  <si>
    <t>Continue trial monitoring by team TU &amp; KPC</t>
  </si>
  <si>
    <t>Jumadi/Arifin
Hary L/R. Adil</t>
  </si>
  <si>
    <t>Install PL &amp; Subscribe License</t>
  </si>
  <si>
    <t>Alvine
Rizal</t>
  </si>
  <si>
    <t>Product Link Installation 777B Water Truck</t>
  </si>
  <si>
    <r>
      <rPr>
        <b/>
        <sz val="10"/>
        <rFont val="Calibri"/>
        <family val="2"/>
        <scheme val="minor"/>
      </rPr>
      <t>Update 13/03:</t>
    </r>
    <r>
      <rPr>
        <sz val="10"/>
        <rFont val="Calibri"/>
        <family val="2"/>
        <scheme val="minor"/>
      </rPr>
      <t xml:space="preserve">
- Show fault codes for next meeting
</t>
    </r>
    <r>
      <rPr>
        <b/>
        <sz val="10"/>
        <rFont val="Calibri"/>
        <family val="2"/>
        <scheme val="minor"/>
      </rPr>
      <t>Update 19/03:</t>
    </r>
    <r>
      <rPr>
        <sz val="10"/>
        <rFont val="Calibri"/>
        <family val="2"/>
        <scheme val="minor"/>
      </rPr>
      <t xml:space="preserve">
- Raise issue ke Pak Budi Purnomo
- Best practice for fault code mitigation
</t>
    </r>
    <r>
      <rPr>
        <b/>
        <sz val="10"/>
        <rFont val="Calibri"/>
        <family val="2"/>
        <scheme val="minor"/>
      </rPr>
      <t>Update 02/04:</t>
    </r>
    <r>
      <rPr>
        <sz val="10"/>
        <rFont val="Calibri"/>
        <family val="2"/>
        <scheme val="minor"/>
      </rPr>
      <t xml:space="preserve">
- Geser trial ke T404 dan atau di T414
- Download PSRPT all machine 777B or asking to KPC
</t>
    </r>
    <r>
      <rPr>
        <b/>
        <sz val="10"/>
        <rFont val="Calibri"/>
        <family val="2"/>
        <scheme val="minor"/>
      </rPr>
      <t xml:space="preserve">Update 16/04 :
</t>
    </r>
    <r>
      <rPr>
        <sz val="10"/>
        <rFont val="Calibri"/>
        <family val="2"/>
        <scheme val="minor"/>
      </rPr>
      <t xml:space="preserve">- Download all PSRPST 11x 777B due 19/04
- Continue isntall PL to T404/T414
</t>
    </r>
    <r>
      <rPr>
        <b/>
        <sz val="10"/>
        <rFont val="Calibri"/>
        <family val="2"/>
        <scheme val="minor"/>
      </rPr>
      <t>Update 30/04 :</t>
    </r>
    <r>
      <rPr>
        <sz val="10"/>
        <rFont val="Calibri"/>
        <family val="2"/>
        <scheme val="minor"/>
      </rPr>
      <t xml:space="preserve">
- Continue Install T405 and T414 
</t>
    </r>
    <r>
      <rPr>
        <b/>
        <sz val="10"/>
        <rFont val="Calibri"/>
        <family val="2"/>
        <scheme val="minor"/>
      </rPr>
      <t xml:space="preserve">Update 17/05:
</t>
    </r>
    <r>
      <rPr>
        <sz val="10"/>
        <rFont val="Calibri"/>
        <family val="2"/>
        <scheme val="minor"/>
      </rPr>
      <t xml:space="preserve">- PL641 will be arrived at 20/05 5 set separate kit
- KPC share schedule service after 20/05
</t>
    </r>
  </si>
  <si>
    <r>
      <t xml:space="preserve">Update 13/03:
2/6 trial still progress:
</t>
    </r>
    <r>
      <rPr>
        <sz val="10"/>
        <color theme="1"/>
        <rFont val="Calibri"/>
        <family val="2"/>
        <scheme val="minor"/>
      </rPr>
      <t xml:space="preserve">T742 4340 hrs
T512 4223 hrs
</t>
    </r>
    <r>
      <rPr>
        <b/>
        <sz val="10"/>
        <color theme="1"/>
        <rFont val="Calibri"/>
        <family val="2"/>
        <scheme val="minor"/>
      </rPr>
      <t xml:space="preserve">
Bladder Group:
T730  2878 hrs
Add rubber trial:
T716 N/Y Release
KPC propose another set of trial total 3 set, 1 set again will be communicating by Jumadi-CAT
Trial by KPC:
T709 1 ea
T505 1 ea
T754 1 set
Update 27/03:
RICA
T716 636 hours life, 1 set (2 Ea)
T745 installed, not yet release
TU Assembly
T742 4721 hrs life,
T512 4597 hrs life,
Update 02/04:
No fail issue, continue trial SMU on update progress
Update 16/04 :
TU Assembly :
- T512 4756 hrs life
- T742  Defitment 4638  09/04
RICA :
- T716 860 hours life, 1 set (2 Ea)
- T745 installed, not yet release
Update 30/04 :
RICA
- T716 still continue Trial
- T745 Still continue Trial
TU Assembly :
- T512 Still Continue Trial</t>
    </r>
  </si>
  <si>
    <t>KPI</t>
  </si>
  <si>
    <t>MA Target (Contract)</t>
  </si>
  <si>
    <t>MA Target (Realistic)</t>
  </si>
  <si>
    <t>MA MTD</t>
  </si>
  <si>
    <t>MA DAILY</t>
  </si>
  <si>
    <t>MA YTD</t>
  </si>
  <si>
    <t>Sched Hrs (YTD)</t>
  </si>
  <si>
    <t>Sched Hrs (MTD)</t>
  </si>
  <si>
    <t>DT Plan (MTD)</t>
  </si>
  <si>
    <t>Daily Scheduled Hours</t>
  </si>
  <si>
    <t>Machine Runs</t>
  </si>
  <si>
    <t>Overall MTD</t>
  </si>
  <si>
    <t>Overall YTD</t>
  </si>
  <si>
    <t>Downtime Accumuation (MTD)</t>
  </si>
  <si>
    <t>Downtime Accumuation (YTD)</t>
  </si>
  <si>
    <t>Downtime Daily</t>
  </si>
  <si>
    <t>check</t>
  </si>
  <si>
    <t>Leftover Downtime MTD (hr)</t>
  </si>
  <si>
    <t>Metrics</t>
  </si>
  <si>
    <t>Fleet</t>
  </si>
  <si>
    <t>Mechanical Availability</t>
  </si>
  <si>
    <t>320GC</t>
  </si>
  <si>
    <t>320GC-LA</t>
  </si>
  <si>
    <t>330NG</t>
  </si>
  <si>
    <t>320GC-DF</t>
  </si>
  <si>
    <t>320GC - DF</t>
  </si>
  <si>
    <t>320GC - LA</t>
  </si>
  <si>
    <t>MTD PA</t>
  </si>
  <si>
    <t>KDP &amp; FKR</t>
  </si>
  <si>
    <t>7W8</t>
  </si>
  <si>
    <t>Model</t>
  </si>
  <si>
    <t>777D/E</t>
  </si>
  <si>
    <t>Mechanical Availability
(Monthly)</t>
  </si>
  <si>
    <t>MTBS</t>
  </si>
  <si>
    <t>Reliability
(Monthly)</t>
  </si>
  <si>
    <t>MTTR</t>
  </si>
  <si>
    <t>Reliability</t>
  </si>
  <si>
    <t>Target</t>
  </si>
  <si>
    <t>Remarks</t>
  </si>
  <si>
    <t>MTTR: Lower better</t>
  </si>
  <si>
    <t>MTBS: Higher better</t>
  </si>
  <si>
    <t>MTTR too high</t>
  </si>
  <si>
    <t>Average</t>
  </si>
  <si>
    <t>MTBS too low</t>
  </si>
  <si>
    <t>Good</t>
  </si>
  <si>
    <t>MTTR: Efficiency workmanship, no waiting part/labor</t>
  </si>
  <si>
    <t>MTBS: Quality workmanship, quality product/material</t>
  </si>
  <si>
    <t>MTTR low (mandatory quick release without good quality control) will heading to low MTBS</t>
  </si>
  <si>
    <t>Low MTBS, High MTTR = Bandit machine</t>
  </si>
  <si>
    <t>High MTBS, High MTTR = Rarely down but once down happens, took long downtime</t>
  </si>
  <si>
    <t>High MTBS, Low MTTR = Ideal condition</t>
  </si>
  <si>
    <t>Low MTBS, low MTTR = Repetitive down, quick release behaviour</t>
  </si>
  <si>
    <t>Quota Daily (hrs)</t>
  </si>
  <si>
    <t>Quota Monthly (hrs)</t>
  </si>
  <si>
    <t>MA</t>
  </si>
  <si>
    <t>MA Target</t>
  </si>
  <si>
    <t>Quota Down (hrs)</t>
  </si>
  <si>
    <t>MA Target (%)</t>
  </si>
  <si>
    <t>RT401</t>
  </si>
  <si>
    <t>RT403</t>
  </si>
  <si>
    <t>RT404</t>
  </si>
  <si>
    <t>RT405</t>
  </si>
  <si>
    <t>RT410</t>
  </si>
  <si>
    <t>RT406</t>
  </si>
  <si>
    <t>RT407</t>
  </si>
  <si>
    <t>RT408</t>
  </si>
  <si>
    <t>RT409</t>
  </si>
  <si>
    <t>777E</t>
  </si>
  <si>
    <t>Overall</t>
  </si>
  <si>
    <t>31 apr</t>
  </si>
  <si>
    <t>MA Rental OHT April 2026</t>
  </si>
  <si>
    <t>777 Optiload</t>
  </si>
  <si>
    <t>777 Expro</t>
  </si>
  <si>
    <t>777E Expro</t>
  </si>
  <si>
    <t>Overall Weekly</t>
  </si>
  <si>
    <t>YTD</t>
  </si>
  <si>
    <t>Mechanical Availability - Rental OHT
(MTD)</t>
  </si>
  <si>
    <t>MA Weekly Monitoring</t>
  </si>
  <si>
    <t>W36</t>
  </si>
  <si>
    <t>Quota Hrs</t>
  </si>
  <si>
    <t>FKR/KDP</t>
  </si>
  <si>
    <t>Unit</t>
  </si>
  <si>
    <t>RS501</t>
  </si>
  <si>
    <t>Daily</t>
  </si>
  <si>
    <t>WTD</t>
  </si>
  <si>
    <t>MTD</t>
  </si>
  <si>
    <t>RT401,RT403,RT404,RT405,RT410</t>
  </si>
  <si>
    <t>RT406,RT407,RT408,RT409</t>
  </si>
  <si>
    <t>RT401,RT403,RT404,RT405,RT410,RT406,RT407,RT408,RT409</t>
  </si>
  <si>
    <t>RT409,RT410</t>
  </si>
  <si>
    <t>HYTD 2</t>
  </si>
  <si>
    <t>HYTD 1</t>
  </si>
  <si>
    <t>Grand Total</t>
  </si>
  <si>
    <t>6020 Total</t>
  </si>
  <si>
    <t>7W8 Total</t>
  </si>
  <si>
    <t>FKR/KDP Total</t>
  </si>
  <si>
    <t>40.4 Total</t>
  </si>
  <si>
    <t>0.13 Total</t>
  </si>
  <si>
    <t>97.45 Total</t>
  </si>
  <si>
    <t>224.96 Total</t>
  </si>
  <si>
    <t>RT408,RT409</t>
  </si>
  <si>
    <t>RT410*</t>
  </si>
  <si>
    <t>RT409*</t>
  </si>
  <si>
    <t>7W8−</t>
  </si>
  <si>
    <r>
      <t>RT408,</t>
    </r>
    <r>
      <rPr>
        <b/>
        <sz val="10"/>
        <rFont val="Segoe UI"/>
        <family val="2"/>
      </rPr>
      <t>RT409*</t>
    </r>
  </si>
  <si>
    <t>Waiting Labour + Repair time</t>
  </si>
  <si>
    <r>
      <t>RT408,</t>
    </r>
    <r>
      <rPr>
        <b/>
        <sz val="10"/>
        <color rgb="FF9B0000"/>
        <rFont val="Segoe UI"/>
        <family val="2"/>
      </rPr>
      <t>RT409*</t>
    </r>
  </si>
  <si>
    <t>W.Labour + 
Repair Time</t>
  </si>
  <si>
    <t>Sisa</t>
  </si>
  <si>
    <t>Quota 
Hrs</t>
  </si>
  <si>
    <t>kuning</t>
  </si>
  <si>
    <t>kuning muda</t>
  </si>
  <si>
    <t>biru</t>
  </si>
  <si>
    <t>biru muda</t>
  </si>
  <si>
    <t>hijau</t>
  </si>
  <si>
    <t>hijau muda</t>
  </si>
  <si>
    <t>oranye</t>
  </si>
  <si>
    <t>oranye muda</t>
  </si>
  <si>
    <t>ungu</t>
  </si>
  <si>
    <t>ungu muda</t>
  </si>
  <si>
    <t>abu-abu</t>
  </si>
  <si>
    <t>abu-abu 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</si>
</sst>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11"/>
      <name val="Arial"/>
      <family val="2"/>
    </font>
    <font>
      <b/>
      <sz val="2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4"/>
      <name val="Arial"/>
      <family val="2"/>
    </font>
    <font>
      <sz val="10"/>
      <color theme="0" tint="-0.14999847407452621"/>
      <name val="Arial"/>
      <family val="2"/>
    </font>
    <font>
      <b/>
      <sz val="10"/>
      <color theme="0" tint="-0.14999847407452621"/>
      <name val="Arial"/>
      <family val="2"/>
    </font>
    <font>
      <b/>
      <sz val="10"/>
      <color rgb="FFFF0000"/>
      <name val="Arial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b/>
      <sz val="10"/>
      <color rgb="FF9B0000"/>
      <name val="Segoe UI"/>
      <family val="2"/>
    </font>
    <font>
      <sz val="11"/>
      <color rgb="FFF6F6F4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4C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282A3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9" fillId="0" borderId="0"/>
    <xf numFmtId="0" fontId="1" fillId="0" borderId="0"/>
  </cellStyleXfs>
  <cellXfs count="27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5" fontId="2" fillId="2" borderId="5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2" fillId="2" borderId="5" xfId="0" quotePrefix="1" applyFont="1" applyFill="1" applyBorder="1" applyAlignment="1">
      <alignment horizontal="center" wrapText="1"/>
    </xf>
    <xf numFmtId="0" fontId="6" fillId="2" borderId="1" xfId="1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2" fontId="14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16" fontId="8" fillId="0" borderId="0" xfId="0" applyNumberFormat="1" applyFont="1" applyAlignment="1" applyProtection="1">
      <alignment horizontal="center" vertical="center"/>
      <protection locked="0"/>
    </xf>
    <xf numFmtId="16" fontId="16" fillId="0" borderId="0" xfId="0" applyNumberFormat="1" applyFont="1" applyAlignment="1" applyProtection="1">
      <alignment horizontal="center" vertical="center"/>
      <protection locked="0"/>
    </xf>
    <xf numFmtId="16" fontId="8" fillId="8" borderId="3" xfId="0" applyNumberFormat="1" applyFont="1" applyFill="1" applyBorder="1" applyAlignment="1" applyProtection="1">
      <alignment horizontal="center" vertical="center"/>
      <protection locked="0"/>
    </xf>
    <xf numFmtId="16" fontId="8" fillId="8" borderId="1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/>
      <protection locked="0"/>
    </xf>
    <xf numFmtId="16" fontId="8" fillId="8" borderId="1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 vertical="center"/>
    </xf>
    <xf numFmtId="0" fontId="0" fillId="0" borderId="0" xfId="0" applyProtection="1">
      <protection locked="0"/>
    </xf>
    <xf numFmtId="2" fontId="8" fillId="5" borderId="1" xfId="2" applyNumberFormat="1" applyFont="1" applyFill="1" applyBorder="1" applyAlignment="1" applyProtection="1">
      <alignment horizontal="center" vertical="center"/>
      <protection locked="0"/>
    </xf>
    <xf numFmtId="2" fontId="8" fillId="5" borderId="4" xfId="2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2" fontId="15" fillId="0" borderId="0" xfId="0" applyNumberFormat="1" applyFont="1" applyAlignment="1" applyProtection="1">
      <alignment horizontal="center" vertical="center"/>
      <protection locked="0"/>
    </xf>
    <xf numFmtId="9" fontId="0" fillId="0" borderId="0" xfId="0" applyNumberFormat="1" applyAlignment="1" applyProtection="1">
      <alignment horizontal="center" vertical="center"/>
      <protection locked="0"/>
    </xf>
    <xf numFmtId="2" fontId="17" fillId="0" borderId="0" xfId="0" applyNumberFormat="1" applyFont="1" applyAlignment="1" applyProtection="1">
      <alignment horizontal="center" vertical="center"/>
      <protection locked="0"/>
    </xf>
    <xf numFmtId="0" fontId="15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15" fillId="0" borderId="12" xfId="0" applyFont="1" applyBorder="1"/>
    <xf numFmtId="0" fontId="7" fillId="4" borderId="3" xfId="0" applyFon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0" fontId="7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0" borderId="12" xfId="0" applyBorder="1"/>
    <xf numFmtId="16" fontId="8" fillId="9" borderId="1" xfId="0" applyNumberFormat="1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" fontId="8" fillId="8" borderId="4" xfId="0" applyNumberFormat="1" applyFont="1" applyFill="1" applyBorder="1" applyAlignment="1" applyProtection="1">
      <alignment horizontal="center" vertical="center"/>
      <protection locked="0"/>
    </xf>
    <xf numFmtId="16" fontId="8" fillId="9" borderId="4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0" fontId="0" fillId="4" borderId="4" xfId="0" applyNumberFormat="1" applyFill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0" fontId="7" fillId="4" borderId="4" xfId="0" applyNumberFormat="1" applyFont="1" applyFill="1" applyBorder="1" applyAlignment="1">
      <alignment horizontal="center" vertical="center"/>
    </xf>
    <xf numFmtId="2" fontId="7" fillId="4" borderId="4" xfId="0" applyNumberFormat="1" applyFon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/>
    </xf>
    <xf numFmtId="10" fontId="0" fillId="4" borderId="0" xfId="0" applyNumberFormat="1" applyFill="1" applyAlignment="1" applyProtection="1">
      <alignment horizontal="center"/>
      <protection locked="0"/>
    </xf>
    <xf numFmtId="2" fontId="0" fillId="0" borderId="4" xfId="0" applyNumberFormat="1" applyBorder="1" applyAlignment="1">
      <alignment horizontal="center"/>
    </xf>
    <xf numFmtId="15" fontId="0" fillId="0" borderId="0" xfId="0" applyNumberForma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2" fontId="0" fillId="0" borderId="0" xfId="0" applyNumberFormat="1" applyAlignment="1">
      <alignment horizontal="center"/>
    </xf>
    <xf numFmtId="10" fontId="0" fillId="0" borderId="0" xfId="2" applyNumberFormat="1" applyFont="1"/>
    <xf numFmtId="0" fontId="0" fillId="0" borderId="0" xfId="0" applyAlignment="1" applyProtection="1">
      <alignment horizontal="center"/>
      <protection hidden="1"/>
    </xf>
    <xf numFmtId="16" fontId="0" fillId="0" borderId="0" xfId="0" applyNumberFormat="1" applyAlignment="1" applyProtection="1">
      <alignment horizontal="center"/>
      <protection hidden="1"/>
    </xf>
    <xf numFmtId="2" fontId="0" fillId="0" borderId="0" xfId="2" applyNumberFormat="1" applyFont="1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14" fontId="0" fillId="0" borderId="0" xfId="0" applyNumberFormat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0" xfId="0" applyProtection="1">
      <protection hidden="1"/>
    </xf>
    <xf numFmtId="15" fontId="0" fillId="0" borderId="0" xfId="0" applyNumberForma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hidden="1"/>
    </xf>
    <xf numFmtId="10" fontId="7" fillId="0" borderId="0" xfId="2" applyNumberFormat="1" applyFont="1" applyAlignment="1" applyProtection="1">
      <alignment horizontal="center"/>
      <protection hidden="1"/>
    </xf>
    <xf numFmtId="0" fontId="8" fillId="8" borderId="3" xfId="0" applyFont="1" applyFill="1" applyBorder="1" applyAlignment="1" applyProtection="1">
      <alignment horizontal="center" vertical="center"/>
      <protection hidden="1"/>
    </xf>
    <xf numFmtId="15" fontId="8" fillId="8" borderId="1" xfId="0" applyNumberFormat="1" applyFont="1" applyFill="1" applyBorder="1" applyAlignment="1" applyProtection="1">
      <alignment horizontal="center" vertical="center"/>
      <protection hidden="1"/>
    </xf>
    <xf numFmtId="15" fontId="8" fillId="10" borderId="1" xfId="0" applyNumberFormat="1" applyFont="1" applyFill="1" applyBorder="1" applyAlignment="1" applyProtection="1">
      <alignment horizontal="center" vertical="center"/>
      <protection hidden="1"/>
    </xf>
    <xf numFmtId="15" fontId="8" fillId="9" borderId="1" xfId="0" applyNumberFormat="1" applyFont="1" applyFill="1" applyBorder="1" applyAlignment="1" applyProtection="1">
      <alignment horizontal="center" vertical="center"/>
      <protection hidden="1"/>
    </xf>
    <xf numFmtId="15" fontId="7" fillId="0" borderId="0" xfId="0" applyNumberFormat="1" applyFont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 vertical="center"/>
      <protection hidden="1"/>
    </xf>
    <xf numFmtId="2" fontId="0" fillId="0" borderId="1" xfId="0" applyNumberForma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2" fontId="7" fillId="7" borderId="3" xfId="0" applyNumberFormat="1" applyFont="1" applyFill="1" applyBorder="1" applyAlignment="1" applyProtection="1">
      <alignment horizontal="center" vertical="center"/>
      <protection hidden="1"/>
    </xf>
    <xf numFmtId="2" fontId="0" fillId="7" borderId="1" xfId="0" applyNumberFormat="1" applyFill="1" applyBorder="1" applyAlignment="1" applyProtection="1">
      <alignment horizontal="center" vertical="center"/>
      <protection hidden="1"/>
    </xf>
    <xf numFmtId="2" fontId="0" fillId="7" borderId="4" xfId="0" applyNumberFormat="1" applyFill="1" applyBorder="1" applyAlignment="1" applyProtection="1">
      <alignment horizontal="center" vertical="center"/>
      <protection hidden="1"/>
    </xf>
    <xf numFmtId="2" fontId="0" fillId="0" borderId="0" xfId="0" applyNumberFormat="1" applyProtection="1">
      <protection hidden="1"/>
    </xf>
    <xf numFmtId="0" fontId="8" fillId="4" borderId="3" xfId="0" applyFont="1" applyFill="1" applyBorder="1" applyAlignment="1" applyProtection="1">
      <alignment horizontal="center" vertical="center"/>
      <protection hidden="1"/>
    </xf>
    <xf numFmtId="10" fontId="8" fillId="0" borderId="1" xfId="2" applyNumberFormat="1" applyFont="1" applyFill="1" applyBorder="1" applyAlignment="1" applyProtection="1">
      <alignment horizontal="center" vertical="center"/>
      <protection hidden="1"/>
    </xf>
    <xf numFmtId="10" fontId="8" fillId="0" borderId="4" xfId="2" applyNumberFormat="1" applyFont="1" applyFill="1" applyBorder="1" applyAlignment="1" applyProtection="1">
      <alignment horizontal="center" vertical="center"/>
      <protection hidden="1"/>
    </xf>
    <xf numFmtId="9" fontId="8" fillId="0" borderId="4" xfId="2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2" fontId="8" fillId="5" borderId="4" xfId="2" applyNumberFormat="1" applyFont="1" applyFill="1" applyBorder="1" applyAlignment="1" applyProtection="1">
      <alignment horizontal="center" vertical="center"/>
      <protection hidden="1"/>
    </xf>
    <xf numFmtId="2" fontId="8" fillId="11" borderId="3" xfId="0" applyNumberFormat="1" applyFont="1" applyFill="1" applyBorder="1" applyAlignment="1" applyProtection="1">
      <alignment horizontal="center" vertical="center"/>
      <protection hidden="1"/>
    </xf>
    <xf numFmtId="2" fontId="8" fillId="11" borderId="4" xfId="2" applyNumberFormat="1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hidden="1"/>
    </xf>
    <xf numFmtId="10" fontId="8" fillId="11" borderId="4" xfId="2" applyNumberFormat="1" applyFont="1" applyFill="1" applyBorder="1" applyAlignment="1" applyProtection="1">
      <alignment horizontal="center" vertical="center"/>
      <protection hidden="1"/>
    </xf>
    <xf numFmtId="2" fontId="8" fillId="5" borderId="3" xfId="0" applyNumberFormat="1" applyFont="1" applyFill="1" applyBorder="1" applyAlignment="1" applyProtection="1">
      <alignment horizontal="center" vertical="center"/>
      <protection hidden="1"/>
    </xf>
    <xf numFmtId="9" fontId="8" fillId="0" borderId="0" xfId="2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2" fontId="8" fillId="12" borderId="3" xfId="0" applyNumberFormat="1" applyFont="1" applyFill="1" applyBorder="1" applyAlignment="1" applyProtection="1">
      <alignment horizontal="center" vertical="center"/>
      <protection locked="0"/>
    </xf>
    <xf numFmtId="2" fontId="8" fillId="11" borderId="3" xfId="0" applyNumberFormat="1" applyFont="1" applyFill="1" applyBorder="1" applyAlignment="1" applyProtection="1">
      <alignment horizontal="center" vertical="center"/>
      <protection locked="0"/>
    </xf>
    <xf numFmtId="2" fontId="8" fillId="11" borderId="4" xfId="2" applyNumberFormat="1" applyFont="1" applyFill="1" applyBorder="1" applyAlignment="1" applyProtection="1">
      <alignment horizontal="center" vertical="center"/>
      <protection locked="0"/>
    </xf>
    <xf numFmtId="1" fontId="8" fillId="11" borderId="3" xfId="0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/>
      <protection hidden="1"/>
    </xf>
    <xf numFmtId="2" fontId="15" fillId="0" borderId="0" xfId="0" applyNumberFormat="1" applyFont="1" applyAlignment="1" applyProtection="1">
      <alignment horizontal="center"/>
      <protection hidden="1"/>
    </xf>
    <xf numFmtId="2" fontId="14" fillId="0" borderId="0" xfId="0" applyNumberFormat="1" applyFont="1" applyAlignment="1" applyProtection="1">
      <alignment horizontal="center" vertical="center" wrapText="1"/>
      <protection hidden="1"/>
    </xf>
    <xf numFmtId="1" fontId="0" fillId="0" borderId="0" xfId="0" applyNumberFormat="1" applyAlignment="1" applyProtection="1">
      <alignment horizontal="center"/>
      <protection hidden="1"/>
    </xf>
    <xf numFmtId="16" fontId="19" fillId="0" borderId="0" xfId="0" applyNumberFormat="1" applyFont="1" applyAlignment="1" applyProtection="1">
      <alignment horizontal="center" vertical="center"/>
      <protection hidden="1"/>
    </xf>
    <xf numFmtId="16" fontId="16" fillId="0" borderId="0" xfId="0" applyNumberFormat="1" applyFont="1" applyAlignment="1" applyProtection="1">
      <alignment horizontal="center" vertical="center"/>
      <protection hidden="1"/>
    </xf>
    <xf numFmtId="16" fontId="8" fillId="8" borderId="3" xfId="0" applyNumberFormat="1" applyFont="1" applyFill="1" applyBorder="1" applyAlignment="1" applyProtection="1">
      <alignment horizontal="center" vertical="center"/>
      <protection hidden="1"/>
    </xf>
    <xf numFmtId="16" fontId="8" fillId="8" borderId="3" xfId="0" applyNumberFormat="1" applyFont="1" applyFill="1" applyBorder="1" applyAlignment="1" applyProtection="1">
      <alignment horizontal="center"/>
      <protection hidden="1"/>
    </xf>
    <xf numFmtId="16" fontId="8" fillId="8" borderId="1" xfId="0" applyNumberFormat="1" applyFont="1" applyFill="1" applyBorder="1" applyAlignment="1" applyProtection="1">
      <alignment horizontal="center" vertical="center"/>
      <protection hidden="1"/>
    </xf>
    <xf numFmtId="16" fontId="8" fillId="8" borderId="4" xfId="0" applyNumberFormat="1" applyFont="1" applyFill="1" applyBorder="1" applyAlignment="1" applyProtection="1">
      <alignment horizontal="center" vertical="center"/>
      <protection hidden="1"/>
    </xf>
    <xf numFmtId="16" fontId="8" fillId="0" borderId="0" xfId="0" applyNumberFormat="1" applyFont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5" fillId="0" borderId="7" xfId="0" applyFont="1" applyBorder="1" applyAlignment="1" applyProtection="1">
      <alignment horizontal="center" vertical="center"/>
      <protection hidden="1"/>
    </xf>
    <xf numFmtId="0" fontId="15" fillId="0" borderId="11" xfId="0" applyFont="1" applyBorder="1" applyAlignment="1" applyProtection="1">
      <alignment horizontal="center"/>
      <protection hidden="1"/>
    </xf>
    <xf numFmtId="10" fontId="15" fillId="0" borderId="0" xfId="2" applyNumberFormat="1" applyFont="1" applyAlignment="1" applyProtection="1">
      <alignment horizontal="center" vertical="center"/>
      <protection hidden="1"/>
    </xf>
    <xf numFmtId="10" fontId="15" fillId="0" borderId="10" xfId="2" applyNumberFormat="1" applyFont="1" applyBorder="1" applyAlignment="1" applyProtection="1">
      <alignment horizontal="center"/>
      <protection hidden="1"/>
    </xf>
    <xf numFmtId="10" fontId="15" fillId="0" borderId="7" xfId="2" applyNumberFormat="1" applyFont="1" applyBorder="1" applyAlignment="1" applyProtection="1">
      <alignment horizontal="center"/>
      <protection hidden="1"/>
    </xf>
    <xf numFmtId="10" fontId="0" fillId="0" borderId="1" xfId="2" applyNumberFormat="1" applyFont="1" applyFill="1" applyBorder="1" applyAlignment="1" applyProtection="1">
      <alignment horizontal="center" vertical="center"/>
      <protection hidden="1"/>
    </xf>
    <xf numFmtId="10" fontId="0" fillId="0" borderId="4" xfId="2" applyNumberFormat="1" applyFont="1" applyFill="1" applyBorder="1" applyAlignment="1" applyProtection="1">
      <alignment horizontal="center" vertical="center"/>
      <protection hidden="1"/>
    </xf>
    <xf numFmtId="2" fontId="15" fillId="0" borderId="0" xfId="0" applyNumberFormat="1" applyFont="1" applyAlignment="1" applyProtection="1">
      <alignment horizontal="center" vertical="center"/>
      <protection hidden="1"/>
    </xf>
    <xf numFmtId="2" fontId="15" fillId="0" borderId="7" xfId="0" applyNumberFormat="1" applyFont="1" applyBorder="1" applyAlignment="1" applyProtection="1">
      <alignment horizontal="center"/>
      <protection hidden="1"/>
    </xf>
    <xf numFmtId="10" fontId="7" fillId="0" borderId="10" xfId="2" applyNumberFormat="1" applyFont="1" applyBorder="1" applyAlignment="1" applyProtection="1">
      <alignment horizontal="center" vertical="center"/>
      <protection hidden="1"/>
    </xf>
    <xf numFmtId="10" fontId="7" fillId="0" borderId="2" xfId="2" applyNumberFormat="1" applyFont="1" applyBorder="1" applyAlignment="1" applyProtection="1">
      <alignment horizontal="center" wrapText="1"/>
      <protection hidden="1"/>
    </xf>
    <xf numFmtId="10" fontId="15" fillId="0" borderId="7" xfId="2" applyNumberFormat="1" applyFont="1" applyBorder="1" applyAlignment="1" applyProtection="1">
      <alignment horizontal="center" vertical="center"/>
      <protection hidden="1"/>
    </xf>
    <xf numFmtId="10" fontId="15" fillId="0" borderId="11" xfId="2" applyNumberFormat="1" applyFont="1" applyBorder="1" applyAlignment="1" applyProtection="1">
      <alignment horizontal="center" wrapText="1"/>
      <protection hidden="1"/>
    </xf>
    <xf numFmtId="10" fontId="7" fillId="0" borderId="1" xfId="2" applyNumberFormat="1" applyFont="1" applyFill="1" applyBorder="1" applyAlignment="1" applyProtection="1">
      <alignment horizontal="center" vertical="center"/>
      <protection hidden="1"/>
    </xf>
    <xf numFmtId="10" fontId="7" fillId="0" borderId="4" xfId="2" applyNumberFormat="1" applyFont="1" applyFill="1" applyBorder="1" applyAlignment="1" applyProtection="1">
      <alignment horizontal="center" vertical="center"/>
      <protection hidden="1"/>
    </xf>
    <xf numFmtId="10" fontId="0" fillId="13" borderId="1" xfId="2" applyNumberFormat="1" applyFont="1" applyFill="1" applyBorder="1" applyAlignment="1" applyProtection="1">
      <alignment horizontal="center" vertical="center"/>
      <protection hidden="1"/>
    </xf>
    <xf numFmtId="10" fontId="0" fillId="13" borderId="4" xfId="2" applyNumberFormat="1" applyFont="1" applyFill="1" applyBorder="1" applyAlignment="1" applyProtection="1">
      <alignment horizontal="center" vertical="center"/>
      <protection hidden="1"/>
    </xf>
    <xf numFmtId="0" fontId="15" fillId="0" borderId="7" xfId="0" applyFont="1" applyBorder="1" applyAlignment="1" applyProtection="1">
      <alignment horizontal="center"/>
      <protection hidden="1"/>
    </xf>
    <xf numFmtId="0" fontId="15" fillId="0" borderId="12" xfId="0" applyFont="1" applyBorder="1" applyAlignment="1" applyProtection="1">
      <alignment horizontal="center" vertical="center"/>
      <protection hidden="1"/>
    </xf>
    <xf numFmtId="0" fontId="15" fillId="0" borderId="8" xfId="0" applyFont="1" applyBorder="1" applyAlignment="1" applyProtection="1">
      <alignment horizontal="center"/>
      <protection hidden="1"/>
    </xf>
    <xf numFmtId="10" fontId="0" fillId="0" borderId="0" xfId="2" applyNumberFormat="1" applyFont="1" applyAlignment="1" applyProtection="1">
      <alignment horizontal="center"/>
      <protection hidden="1"/>
    </xf>
    <xf numFmtId="10" fontId="0" fillId="0" borderId="0" xfId="0" applyNumberFormat="1" applyAlignment="1" applyProtection="1">
      <alignment horizontal="center"/>
      <protection hidden="1"/>
    </xf>
    <xf numFmtId="0" fontId="15" fillId="0" borderId="10" xfId="0" applyFont="1" applyBorder="1" applyAlignment="1" applyProtection="1">
      <alignment horizontal="center"/>
      <protection hidden="1"/>
    </xf>
    <xf numFmtId="10" fontId="7" fillId="0" borderId="13" xfId="2" applyNumberFormat="1" applyFont="1" applyBorder="1" applyAlignment="1" applyProtection="1">
      <alignment horizontal="center" vertical="center"/>
      <protection hidden="1"/>
    </xf>
    <xf numFmtId="10" fontId="0" fillId="0" borderId="1" xfId="0" applyNumberFormat="1" applyBorder="1" applyAlignment="1" applyProtection="1">
      <alignment horizontal="center" vertical="center"/>
      <protection hidden="1"/>
    </xf>
    <xf numFmtId="10" fontId="0" fillId="0" borderId="4" xfId="0" applyNumberFormat="1" applyBorder="1" applyAlignment="1" applyProtection="1">
      <alignment horizontal="center" vertical="center"/>
      <protection hidden="1"/>
    </xf>
    <xf numFmtId="10" fontId="0" fillId="0" borderId="0" xfId="2" applyNumberFormat="1" applyFont="1" applyFill="1" applyAlignment="1" applyProtection="1">
      <alignment horizontal="center" vertical="center"/>
      <protection hidden="1"/>
    </xf>
    <xf numFmtId="2" fontId="0" fillId="0" borderId="4" xfId="0" applyNumberFormat="1" applyBorder="1" applyAlignment="1" applyProtection="1">
      <alignment horizontal="center" vertical="center"/>
      <protection hidden="1"/>
    </xf>
    <xf numFmtId="2" fontId="0" fillId="0" borderId="0" xfId="0" applyNumberFormat="1" applyAlignment="1" applyProtection="1">
      <alignment horizontal="center" vertical="center"/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2" fontId="0" fillId="0" borderId="4" xfId="0" applyNumberFormat="1" applyBorder="1" applyAlignment="1" applyProtection="1">
      <alignment horizontal="center"/>
      <protection hidden="1"/>
    </xf>
    <xf numFmtId="10" fontId="0" fillId="13" borderId="1" xfId="0" applyNumberFormat="1" applyFill="1" applyBorder="1" applyAlignment="1" applyProtection="1">
      <alignment horizontal="center" vertical="center"/>
      <protection hidden="1"/>
    </xf>
    <xf numFmtId="10" fontId="0" fillId="13" borderId="4" xfId="0" applyNumberFormat="1" applyFill="1" applyBorder="1" applyAlignment="1" applyProtection="1">
      <alignment horizontal="center" vertical="center"/>
      <protection hidden="1"/>
    </xf>
    <xf numFmtId="2" fontId="0" fillId="13" borderId="1" xfId="0" applyNumberFormat="1" applyFill="1" applyBorder="1" applyAlignment="1" applyProtection="1">
      <alignment horizontal="center" vertical="center"/>
      <protection hidden="1"/>
    </xf>
    <xf numFmtId="2" fontId="0" fillId="13" borderId="4" xfId="0" applyNumberFormat="1" applyFill="1" applyBorder="1" applyAlignment="1" applyProtection="1">
      <alignment horizontal="center" vertical="center"/>
      <protection hidden="1"/>
    </xf>
    <xf numFmtId="10" fontId="7" fillId="14" borderId="1" xfId="2" applyNumberFormat="1" applyFont="1" applyFill="1" applyBorder="1" applyAlignment="1" applyProtection="1">
      <alignment horizontal="center" vertical="center"/>
      <protection hidden="1"/>
    </xf>
    <xf numFmtId="10" fontId="7" fillId="14" borderId="4" xfId="2" applyNumberFormat="1" applyFont="1" applyFill="1" applyBorder="1" applyAlignment="1" applyProtection="1">
      <alignment horizontal="center" vertical="center"/>
      <protection hidden="1"/>
    </xf>
    <xf numFmtId="10" fontId="0" fillId="14" borderId="1" xfId="2" applyNumberFormat="1" applyFont="1" applyFill="1" applyBorder="1" applyAlignment="1" applyProtection="1">
      <alignment horizontal="center" vertical="center"/>
      <protection hidden="1"/>
    </xf>
    <xf numFmtId="10" fontId="0" fillId="14" borderId="4" xfId="2" applyNumberFormat="1" applyFont="1" applyFill="1" applyBorder="1" applyAlignment="1" applyProtection="1">
      <alignment horizontal="center" vertical="center"/>
      <protection hidden="1"/>
    </xf>
    <xf numFmtId="2" fontId="0" fillId="14" borderId="1" xfId="0" applyNumberFormat="1" applyFill="1" applyBorder="1" applyAlignment="1" applyProtection="1">
      <alignment horizontal="center"/>
      <protection hidden="1"/>
    </xf>
    <xf numFmtId="2" fontId="0" fillId="14" borderId="4" xfId="0" applyNumberFormat="1" applyFill="1" applyBorder="1" applyAlignment="1" applyProtection="1">
      <alignment horizontal="center"/>
      <protection hidden="1"/>
    </xf>
    <xf numFmtId="10" fontId="0" fillId="9" borderId="1" xfId="2" applyNumberFormat="1" applyFont="1" applyFill="1" applyBorder="1" applyAlignment="1" applyProtection="1">
      <alignment horizontal="center"/>
      <protection hidden="1"/>
    </xf>
    <xf numFmtId="10" fontId="0" fillId="9" borderId="1" xfId="2" applyNumberFormat="1" applyFont="1" applyFill="1" applyBorder="1" applyAlignment="1" applyProtection="1">
      <alignment horizontal="center" vertical="center"/>
      <protection hidden="1"/>
    </xf>
    <xf numFmtId="10" fontId="0" fillId="9" borderId="4" xfId="2" applyNumberFormat="1" applyFont="1" applyFill="1" applyBorder="1" applyAlignment="1" applyProtection="1">
      <alignment horizontal="center" vertical="center"/>
      <protection hidden="1"/>
    </xf>
    <xf numFmtId="2" fontId="0" fillId="9" borderId="1" xfId="0" applyNumberFormat="1" applyFill="1" applyBorder="1" applyAlignment="1" applyProtection="1">
      <alignment horizontal="center"/>
      <protection hidden="1"/>
    </xf>
    <xf numFmtId="2" fontId="0" fillId="9" borderId="4" xfId="0" applyNumberFormat="1" applyFill="1" applyBorder="1" applyAlignment="1" applyProtection="1">
      <alignment horizont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13" borderId="15" xfId="0" applyFont="1" applyFill="1" applyBorder="1" applyAlignment="1" applyProtection="1">
      <alignment horizontal="center" vertical="center"/>
      <protection hidden="1"/>
    </xf>
    <xf numFmtId="10" fontId="7" fillId="0" borderId="15" xfId="2" applyNumberFormat="1" applyFont="1" applyFill="1" applyBorder="1" applyAlignment="1" applyProtection="1">
      <alignment horizontal="center" vertical="center"/>
      <protection hidden="1"/>
    </xf>
    <xf numFmtId="10" fontId="7" fillId="13" borderId="15" xfId="2" applyNumberFormat="1" applyFont="1" applyFill="1" applyBorder="1" applyAlignment="1" applyProtection="1">
      <alignment horizontal="center" vertical="center"/>
      <protection hidden="1"/>
    </xf>
    <xf numFmtId="2" fontId="7" fillId="0" borderId="15" xfId="0" applyNumberFormat="1" applyFont="1" applyBorder="1" applyAlignment="1" applyProtection="1">
      <alignment horizontal="center" vertical="center"/>
      <protection hidden="1"/>
    </xf>
    <xf numFmtId="2" fontId="7" fillId="13" borderId="15" xfId="0" applyNumberFormat="1" applyFont="1" applyFill="1" applyBorder="1" applyAlignment="1" applyProtection="1">
      <alignment horizontal="center" vertical="center"/>
      <protection hidden="1"/>
    </xf>
    <xf numFmtId="10" fontId="7" fillId="14" borderId="15" xfId="2" applyNumberFormat="1" applyFont="1" applyFill="1" applyBorder="1" applyAlignment="1" applyProtection="1">
      <alignment horizontal="center" vertical="center"/>
      <protection hidden="1"/>
    </xf>
    <xf numFmtId="0" fontId="0" fillId="14" borderId="4" xfId="0" applyFill="1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10" fontId="7" fillId="9" borderId="15" xfId="2" applyNumberFormat="1" applyFont="1" applyFill="1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9" borderId="15" xfId="0" applyFill="1" applyBorder="1" applyAlignment="1" applyProtection="1">
      <alignment horizontal="center"/>
      <protection hidden="1"/>
    </xf>
    <xf numFmtId="10" fontId="0" fillId="9" borderId="4" xfId="2" applyNumberFormat="1" applyFont="1" applyFill="1" applyBorder="1" applyAlignment="1" applyProtection="1">
      <alignment horizontal="center"/>
      <protection hidden="1"/>
    </xf>
    <xf numFmtId="0" fontId="7" fillId="13" borderId="15" xfId="0" applyFont="1" applyFill="1" applyBorder="1" applyAlignment="1" applyProtection="1">
      <alignment horizontal="center"/>
      <protection hidden="1"/>
    </xf>
    <xf numFmtId="10" fontId="0" fillId="13" borderId="1" xfId="0" applyNumberFormat="1" applyFill="1" applyBorder="1" applyAlignment="1" applyProtection="1">
      <alignment horizontal="center"/>
      <protection hidden="1"/>
    </xf>
    <xf numFmtId="10" fontId="0" fillId="13" borderId="4" xfId="0" applyNumberFormat="1" applyFill="1" applyBorder="1" applyAlignment="1" applyProtection="1">
      <alignment horizontal="center"/>
      <protection hidden="1"/>
    </xf>
    <xf numFmtId="0" fontId="7" fillId="0" borderId="13" xfId="0" applyFont="1" applyBorder="1" applyAlignment="1" applyProtection="1">
      <alignment horizontal="center"/>
      <protection hidden="1"/>
    </xf>
    <xf numFmtId="0" fontId="7" fillId="0" borderId="4" xfId="0" applyFont="1" applyBorder="1" applyAlignment="1" applyProtection="1">
      <alignment horizontal="center"/>
      <protection hidden="1"/>
    </xf>
    <xf numFmtId="10" fontId="0" fillId="0" borderId="1" xfId="0" applyNumberFormat="1" applyBorder="1" applyAlignment="1" applyProtection="1">
      <alignment horizontal="center"/>
      <protection hidden="1"/>
    </xf>
    <xf numFmtId="0" fontId="7" fillId="9" borderId="4" xfId="0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center" vertical="center"/>
    </xf>
    <xf numFmtId="2" fontId="20" fillId="5" borderId="4" xfId="2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2" fontId="7" fillId="4" borderId="9" xfId="0" applyNumberFormat="1" applyFont="1" applyFill="1" applyBorder="1" applyAlignment="1">
      <alignment horizontal="center" vertical="center"/>
    </xf>
    <xf numFmtId="2" fontId="7" fillId="4" borderId="14" xfId="0" applyNumberFormat="1" applyFont="1" applyFill="1" applyBorder="1" applyAlignment="1">
      <alignment horizontal="center" vertical="center"/>
    </xf>
    <xf numFmtId="2" fontId="13" fillId="0" borderId="12" xfId="0" applyNumberFormat="1" applyFont="1" applyBorder="1" applyAlignment="1" applyProtection="1">
      <alignment horizontal="left" vertical="center" wrapText="1"/>
      <protection locked="0"/>
    </xf>
    <xf numFmtId="2" fontId="13" fillId="0" borderId="12" xfId="0" applyNumberFormat="1" applyFont="1" applyBorder="1" applyAlignment="1" applyProtection="1">
      <alignment horizontal="left" vertical="center" wrapText="1"/>
      <protection hidden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Fill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/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right" vertical="top"/>
    </xf>
    <xf numFmtId="0" fontId="22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right" vertical="top"/>
    </xf>
    <xf numFmtId="0" fontId="22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center" vertical="top"/>
    </xf>
    <xf numFmtId="0" fontId="21" fillId="0" borderId="4" xfId="0" applyFont="1" applyBorder="1" applyAlignment="1">
      <alignment horizontal="center" vertical="top"/>
    </xf>
    <xf numFmtId="0" fontId="21" fillId="0" borderId="3" xfId="0" applyFont="1" applyBorder="1" applyAlignment="1">
      <alignment horizontal="center" vertical="top"/>
    </xf>
    <xf numFmtId="0" fontId="21" fillId="0" borderId="2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right" vertical="center"/>
    </xf>
    <xf numFmtId="0" fontId="22" fillId="0" borderId="11" xfId="0" applyFont="1" applyBorder="1" applyAlignment="1">
      <alignment horizontal="right" vertical="center"/>
    </xf>
    <xf numFmtId="0" fontId="22" fillId="0" borderId="5" xfId="0" applyFont="1" applyBorder="1" applyAlignment="1">
      <alignment horizontal="right" vertical="center"/>
    </xf>
    <xf numFmtId="0" fontId="23" fillId="15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top"/>
    </xf>
    <xf numFmtId="0" fontId="23" fillId="15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left" vertical="top"/>
    </xf>
    <xf numFmtId="0" fontId="24" fillId="16" borderId="1" xfId="0" applyFont="1" applyFill="1" applyBorder="1" applyAlignment="1">
      <alignment horizontal="right" vertical="top"/>
    </xf>
    <xf numFmtId="0" fontId="24" fillId="16" borderId="1" xfId="0" applyFont="1" applyFill="1" applyBorder="1" applyAlignment="1">
      <alignment horizontal="left" vertical="top" wrapText="1"/>
    </xf>
    <xf numFmtId="0" fontId="24" fillId="17" borderId="1" xfId="0" applyFont="1" applyFill="1" applyBorder="1" applyAlignment="1">
      <alignment horizontal="left" vertical="top"/>
    </xf>
    <xf numFmtId="0" fontId="24" fillId="17" borderId="1" xfId="0" applyFont="1" applyFill="1" applyBorder="1" applyAlignment="1">
      <alignment horizontal="right" vertical="top"/>
    </xf>
    <xf numFmtId="0" fontId="24" fillId="17" borderId="1" xfId="0" applyFont="1" applyFill="1" applyBorder="1" applyAlignment="1">
      <alignment horizontal="left" vertical="top" wrapText="1"/>
    </xf>
    <xf numFmtId="0" fontId="25" fillId="17" borderId="1" xfId="0" applyFont="1" applyFill="1" applyBorder="1" applyAlignment="1">
      <alignment horizontal="left" vertical="top" wrapText="1"/>
    </xf>
    <xf numFmtId="0" fontId="25" fillId="16" borderId="1" xfId="0" applyFont="1" applyFill="1" applyBorder="1" applyAlignment="1">
      <alignment horizontal="left" vertical="top" wrapText="1"/>
    </xf>
    <xf numFmtId="0" fontId="23" fillId="15" borderId="1" xfId="0" applyFont="1" applyFill="1" applyBorder="1" applyAlignment="1">
      <alignment vertical="center" wrapText="1"/>
    </xf>
    <xf numFmtId="0" fontId="24" fillId="17" borderId="1" xfId="0" applyFont="1" applyFill="1" applyBorder="1" applyAlignment="1">
      <alignment vertical="center"/>
    </xf>
    <xf numFmtId="0" fontId="23" fillId="15" borderId="4" xfId="0" applyFont="1" applyFill="1" applyBorder="1" applyAlignment="1">
      <alignment horizontal="center" vertical="top"/>
    </xf>
    <xf numFmtId="0" fontId="23" fillId="15" borderId="15" xfId="0" applyFont="1" applyFill="1" applyBorder="1" applyAlignment="1">
      <alignment horizontal="center" vertical="top"/>
    </xf>
    <xf numFmtId="0" fontId="23" fillId="15" borderId="3" xfId="0" applyFont="1" applyFill="1" applyBorder="1" applyAlignment="1">
      <alignment horizontal="center" vertical="top"/>
    </xf>
    <xf numFmtId="0" fontId="26" fillId="18" borderId="0" xfId="0" applyFont="1" applyFill="1" applyAlignment="1">
      <alignment horizontal="left" vertical="center" wrapText="1"/>
    </xf>
  </cellXfs>
  <cellStyles count="5">
    <cellStyle name="Hyperlink" xfId="1" builtinId="8"/>
    <cellStyle name="Normal" xfId="0" builtinId="0"/>
    <cellStyle name="Normal 2" xfId="3" xr:uid="{BF93443F-2229-4938-A7D5-797B13538557}"/>
    <cellStyle name="Normal 3 2" xfId="4" xr:uid="{B203891F-4391-4D3E-BC5A-6F8555584A59}"/>
    <cellStyle name="Percent" xfId="2" builtinId="5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9" defaultPivotStyle="PivotStyleLight16"/>
  <colors>
    <mruColors>
      <color rgb="FFFFFF6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777E Xpro
MA Last 7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Report!$C$3</c:f>
              <c:strCache>
                <c:ptCount val="1"/>
                <c:pt idx="0">
                  <c:v>MA</c:v>
                </c:pt>
              </c:strCache>
              <c:extLst xmlns:c15="http://schemas.microsoft.com/office/drawing/2012/chart"/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gradFill flip="none" rotWithShape="1">
                <a:gsLst>
                  <a:gs pos="0">
                    <a:schemeClr val="bg1">
                      <a:lumMod val="95000"/>
                      <a:shade val="30000"/>
                      <a:satMod val="115000"/>
                      <a:alpha val="50000"/>
                    </a:schemeClr>
                  </a:gs>
                  <a:gs pos="50000">
                    <a:schemeClr val="bg1">
                      <a:lumMod val="9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9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Report!$D$2:$J$2</c:f>
              <c:numCache>
                <c:formatCode>d\-mmm</c:formatCode>
                <c:ptCount val="7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</c:numCache>
              <c:extLst xmlns:c15="http://schemas.microsoft.com/office/drawing/2012/chart"/>
            </c:numRef>
          </c:cat>
          <c:val>
            <c:numRef>
              <c:f>Report!$D$3:$J$3</c:f>
              <c:numCache>
                <c:formatCode>0.00</c:formatCode>
                <c:ptCount val="7"/>
                <c:pt idx="0">
                  <c:v>79.223206018518511</c:v>
                </c:pt>
                <c:pt idx="1">
                  <c:v>82.998564814814813</c:v>
                </c:pt>
                <c:pt idx="2">
                  <c:v>85.212692901234561</c:v>
                </c:pt>
                <c:pt idx="3">
                  <c:v>87.051355820105812</c:v>
                </c:pt>
                <c:pt idx="4">
                  <c:v>88.669936342592592</c:v>
                </c:pt>
                <c:pt idx="5">
                  <c:v>89.558461934156369</c:v>
                </c:pt>
                <c:pt idx="6">
                  <c:v>88.602615740740745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214D-4F49-AD48-1A7507B58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2468031"/>
        <c:axId val="10124670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Report!$C$5</c15:sqref>
                        </c15:formulaRef>
                      </c:ext>
                    </c:extLst>
                    <c:strCache>
                      <c:ptCount val="1"/>
                      <c:pt idx="0">
                        <c:v>MA</c:v>
                      </c:pt>
                    </c:strCache>
                  </c:strRef>
                </c:tx>
                <c:spPr>
                  <a:solidFill>
                    <a:schemeClr val="tx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gradFill>
                      <a:gsLst>
                        <a:gs pos="0">
                          <a:schemeClr val="bg1">
                            <a:lumMod val="95000"/>
                            <a:shade val="30000"/>
                            <a:satMod val="115000"/>
                            <a:alpha val="50000"/>
                          </a:schemeClr>
                        </a:gs>
                        <a:gs pos="50000">
                          <a:schemeClr val="bg1">
                            <a:lumMod val="9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9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</a:gra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Report!$D$5:$J$5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90.6015625</c:v>
                      </c:pt>
                      <c:pt idx="1">
                        <c:v>90.10208333333334</c:v>
                      </c:pt>
                      <c:pt idx="2">
                        <c:v>89.414930555555557</c:v>
                      </c:pt>
                      <c:pt idx="3">
                        <c:v>90.331845238095241</c:v>
                      </c:pt>
                      <c:pt idx="4">
                        <c:v>91.540364583333329</c:v>
                      </c:pt>
                      <c:pt idx="5">
                        <c:v>92.480324074074076</c:v>
                      </c:pt>
                      <c:pt idx="6">
                        <c:v>93.232291666666669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14D-4F49-AD48-1A7507B58AE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Report!$C$7</c15:sqref>
                        </c15:formulaRef>
                      </c:ext>
                    </c:extLst>
                    <c:strCache>
                      <c:ptCount val="1"/>
                      <c:pt idx="0">
                        <c:v>MA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Report!$D$7:$J$7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84.912384259259255</c:v>
                      </c:pt>
                      <c:pt idx="1">
                        <c:v>86.550324074074084</c:v>
                      </c:pt>
                      <c:pt idx="2">
                        <c:v>87.313811728395066</c:v>
                      </c:pt>
                      <c:pt idx="3">
                        <c:v>88.691600529100526</c:v>
                      </c:pt>
                      <c:pt idx="4">
                        <c:v>90.105150462962968</c:v>
                      </c:pt>
                      <c:pt idx="5">
                        <c:v>91.01939300411523</c:v>
                      </c:pt>
                      <c:pt idx="6">
                        <c:v>90.9174537037037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14D-4F49-AD48-1A7507B58AE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3"/>
          <c:tx>
            <c:strRef>
              <c:f>Report!$C$8</c:f>
              <c:strCache>
                <c:ptCount val="1"/>
                <c:pt idx="0">
                  <c:v>MA Target (%)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Report!$D$2:$J$2</c:f>
              <c:numCache>
                <c:formatCode>d\-mmm</c:formatCode>
                <c:ptCount val="7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</c:numCache>
            </c:numRef>
          </c:cat>
          <c:val>
            <c:numRef>
              <c:f>Report!$D$8:$J$8</c:f>
              <c:numCache>
                <c:formatCode>0.00</c:formatCode>
                <c:ptCount val="7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4D-4F49-AD48-1A7507B58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468031"/>
        <c:axId val="1012467071"/>
      </c:lineChart>
      <c:dateAx>
        <c:axId val="1012468031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67071"/>
        <c:crosses val="autoZero"/>
        <c:auto val="1"/>
        <c:lblOffset val="100"/>
        <c:baseTimeUnit val="days"/>
      </c:dateAx>
      <c:valAx>
        <c:axId val="101246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777</a:t>
            </a:r>
            <a:r>
              <a:rPr lang="en-US" b="1" baseline="0"/>
              <a:t>E Expro</a:t>
            </a:r>
            <a:r>
              <a:rPr lang="en-US" b="1"/>
              <a:t>
MA Last 7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 (%)</c:v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gradFill flip="none" rotWithShape="1">
                <a:gsLst>
                  <a:gs pos="0">
                    <a:schemeClr val="tx2">
                      <a:lumMod val="40000"/>
                      <a:lumOff val="60000"/>
                      <a:alpha val="70000"/>
                    </a:schemeClr>
                  </a:gs>
                  <a:gs pos="100000">
                    <a:schemeClr val="bg1">
                      <a:lumMod val="9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Report!$D$2:$J$2</c:f>
              <c:numCache>
                <c:formatCode>d\-mmm</c:formatCode>
                <c:ptCount val="7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</c:numCache>
            </c:numRef>
          </c:cat>
          <c:val>
            <c:numRef>
              <c:f>Report!$D$3:$J$3</c:f>
              <c:numCache>
                <c:formatCode>0.00</c:formatCode>
                <c:ptCount val="7"/>
                <c:pt idx="0">
                  <c:v>79.223206018518511</c:v>
                </c:pt>
                <c:pt idx="1">
                  <c:v>82.998564814814813</c:v>
                </c:pt>
                <c:pt idx="2">
                  <c:v>85.212692901234561</c:v>
                </c:pt>
                <c:pt idx="3">
                  <c:v>87.051355820105812</c:v>
                </c:pt>
                <c:pt idx="4">
                  <c:v>88.669936342592592</c:v>
                </c:pt>
                <c:pt idx="5">
                  <c:v>89.558461934156369</c:v>
                </c:pt>
                <c:pt idx="6">
                  <c:v>88.602615740740745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5-4B8A-8AE0-ECBA3566CF86}"/>
            </c:ext>
          </c:extLst>
        </c:ser>
        <c:ser>
          <c:idx val="5"/>
          <c:order val="4"/>
          <c:tx>
            <c:strRef>
              <c:f>Report!$C$9</c:f>
              <c:strCache>
                <c:ptCount val="1"/>
                <c:pt idx="0">
                  <c:v>Quota Down (hrs)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rgbClr val="FFC000"/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Report!$D$2:$J$2</c:f>
              <c:numCache>
                <c:formatCode>d\-mmm</c:formatCode>
                <c:ptCount val="7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</c:numCache>
            </c:numRef>
          </c:cat>
          <c:val>
            <c:numRef>
              <c:f>Report!$D$9:$J$9</c:f>
              <c:numCache>
                <c:formatCode>0.00</c:formatCode>
                <c:ptCount val="7"/>
                <c:pt idx="0">
                  <c:v>-43.088611111111121</c:v>
                </c:pt>
                <c:pt idx="1">
                  <c:v>-31.208611111111097</c:v>
                </c:pt>
                <c:pt idx="2">
                  <c:v>-21.508611111111094</c:v>
                </c:pt>
                <c:pt idx="3">
                  <c:v>-9.6486111111111086</c:v>
                </c:pt>
                <c:pt idx="4">
                  <c:v>4.511388888888888</c:v>
                </c:pt>
                <c:pt idx="5">
                  <c:v>14.671388888888899</c:v>
                </c:pt>
                <c:pt idx="6">
                  <c:v>4.8313888888889096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5-4B8A-8AE0-ECBA3566C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2468031"/>
        <c:axId val="10124670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Report!$C$5</c15:sqref>
                        </c15:formulaRef>
                      </c:ext>
                    </c:extLst>
                    <c:strCache>
                      <c:ptCount val="1"/>
                      <c:pt idx="0">
                        <c:v>MA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Report!$D$5:$J$5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90.6015625</c:v>
                      </c:pt>
                      <c:pt idx="1">
                        <c:v>90.10208333333334</c:v>
                      </c:pt>
                      <c:pt idx="2">
                        <c:v>89.414930555555557</c:v>
                      </c:pt>
                      <c:pt idx="3">
                        <c:v>90.331845238095241</c:v>
                      </c:pt>
                      <c:pt idx="4">
                        <c:v>91.540364583333329</c:v>
                      </c:pt>
                      <c:pt idx="5">
                        <c:v>92.480324074074076</c:v>
                      </c:pt>
                      <c:pt idx="6">
                        <c:v>93.232291666666669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545-4B8A-8AE0-ECBA3566CF8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Report!$C$7</c15:sqref>
                        </c15:formulaRef>
                      </c:ext>
                    </c:extLst>
                    <c:strCache>
                      <c:ptCount val="1"/>
                      <c:pt idx="0">
                        <c:v>MA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Report!$D$7:$J$7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84.912384259259255</c:v>
                      </c:pt>
                      <c:pt idx="1">
                        <c:v>86.550324074074084</c:v>
                      </c:pt>
                      <c:pt idx="2">
                        <c:v>87.313811728395066</c:v>
                      </c:pt>
                      <c:pt idx="3">
                        <c:v>88.691600529100526</c:v>
                      </c:pt>
                      <c:pt idx="4">
                        <c:v>90.105150462962968</c:v>
                      </c:pt>
                      <c:pt idx="5">
                        <c:v>91.01939300411523</c:v>
                      </c:pt>
                      <c:pt idx="6">
                        <c:v>90.9174537037037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545-4B8A-8AE0-ECBA3566CF86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Report!$C$10</c15:sqref>
                        </c15:formulaRef>
                      </c:ext>
                    </c:extLst>
                    <c:strCache>
                      <c:ptCount val="1"/>
                      <c:pt idx="0">
                        <c:v>Quota Down (hrs)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Report!$D$10:$J$10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9.2220000000000084</c:v>
                      </c:pt>
                      <c:pt idx="1">
                        <c:v>9.1300000000000026</c:v>
                      </c:pt>
                      <c:pt idx="2">
                        <c:v>6.9980000000000047</c:v>
                      </c:pt>
                      <c:pt idx="3">
                        <c:v>14.326000000000008</c:v>
                      </c:pt>
                      <c:pt idx="4">
                        <c:v>25.654000000000011</c:v>
                      </c:pt>
                      <c:pt idx="5">
                        <c:v>36.982000000000014</c:v>
                      </c:pt>
                      <c:pt idx="6">
                        <c:v>48.31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545-4B8A-8AE0-ECBA3566CF86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Report!$C$11</c15:sqref>
                        </c15:formulaRef>
                      </c:ext>
                    </c:extLst>
                    <c:strCache>
                      <c:ptCount val="1"/>
                      <c:pt idx="0">
                        <c:v>Quota Down (hrs)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Report!$D$11:$J$11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-33.866611111111112</c:v>
                      </c:pt>
                      <c:pt idx="1">
                        <c:v>-22.078611111111094</c:v>
                      </c:pt>
                      <c:pt idx="2">
                        <c:v>-14.510611111111089</c:v>
                      </c:pt>
                      <c:pt idx="3">
                        <c:v>4.677388888888899</c:v>
                      </c:pt>
                      <c:pt idx="4">
                        <c:v>30.165388888888899</c:v>
                      </c:pt>
                      <c:pt idx="5">
                        <c:v>51.653388888888912</c:v>
                      </c:pt>
                      <c:pt idx="6">
                        <c:v>53.141388888888912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545-4B8A-8AE0-ECBA3566CF8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3"/>
          <c:tx>
            <c:strRef>
              <c:f>Report!$C$8</c:f>
              <c:strCache>
                <c:ptCount val="1"/>
                <c:pt idx="0">
                  <c:v>MA Target (%)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Report!$D$2:$J$2</c:f>
              <c:numCache>
                <c:formatCode>d\-mmm</c:formatCode>
                <c:ptCount val="7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</c:numCache>
            </c:numRef>
          </c:cat>
          <c:val>
            <c:numRef>
              <c:f>Report!$D$8:$J$8</c:f>
              <c:numCache>
                <c:formatCode>0.00</c:formatCode>
                <c:ptCount val="7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45-4B8A-8AE0-ECBA3566C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468031"/>
        <c:axId val="1012467071"/>
      </c:lineChart>
      <c:dateAx>
        <c:axId val="1012468031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67071"/>
        <c:crosses val="autoZero"/>
        <c:auto val="1"/>
        <c:lblOffset val="100"/>
        <c:baseTimeUnit val="days"/>
      </c:dateAx>
      <c:valAx>
        <c:axId val="1012467071"/>
        <c:scaling>
          <c:orientation val="minMax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6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Report!$C$14</c:f>
          <c:strCache>
            <c:ptCount val="1"/>
            <c:pt idx="0">
              <c:v>MA Rental OHT 10-Oct-26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Report!$C$16</c:f>
              <c:strCache>
                <c:ptCount val="1"/>
                <c:pt idx="0">
                  <c:v>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20000">
                    <a:schemeClr val="bg1">
                      <a:lumMod val="95000"/>
                      <a:shade val="30000"/>
                      <a:satMod val="115000"/>
                      <a:alpha val="50000"/>
                    </a:schemeClr>
                  </a:gs>
                  <a:gs pos="50000">
                    <a:schemeClr val="bg1">
                      <a:lumMod val="9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95000"/>
                      <a:shade val="100000"/>
                      <a:satMod val="115000"/>
                    </a:schemeClr>
                  </a:gs>
                </a:gsLst>
                <a:lin ang="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Report!$D$15:$F$15</c:f>
              <c:strCache>
                <c:ptCount val="3"/>
                <c:pt idx="0">
                  <c:v>777 Expro</c:v>
                </c:pt>
                <c:pt idx="1">
                  <c:v>777 Optiload</c:v>
                </c:pt>
                <c:pt idx="2">
                  <c:v>Overall</c:v>
                </c:pt>
              </c:strCache>
            </c:strRef>
          </c:cat>
          <c:val>
            <c:numRef>
              <c:f>Report!$D$16:$F$16</c:f>
              <c:numCache>
                <c:formatCode>0.00%</c:formatCode>
                <c:ptCount val="3"/>
                <c:pt idx="0">
                  <c:v>0.89558461934156375</c:v>
                </c:pt>
                <c:pt idx="1">
                  <c:v>0.93232291666666667</c:v>
                </c:pt>
                <c:pt idx="2">
                  <c:v>0.91019393004115234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C-447E-8BA7-002D00DAD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89994191"/>
        <c:axId val="1589996591"/>
      </c:barChart>
      <c:lineChart>
        <c:grouping val="standard"/>
        <c:varyColors val="0"/>
        <c:ser>
          <c:idx val="1"/>
          <c:order val="1"/>
          <c:tx>
            <c:strRef>
              <c:f>Report!$C$17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Report!$D$15:$F$15</c:f>
              <c:strCache>
                <c:ptCount val="3"/>
                <c:pt idx="0">
                  <c:v>777 Expro</c:v>
                </c:pt>
                <c:pt idx="1">
                  <c:v>777 Optiload</c:v>
                </c:pt>
                <c:pt idx="2">
                  <c:v>Overall</c:v>
                </c:pt>
              </c:strCache>
            </c:strRef>
          </c:cat>
          <c:val>
            <c:numRef>
              <c:f>Report!$D$17:$F$17</c:f>
              <c:numCache>
                <c:formatCode>0.00%</c:formatCode>
                <c:ptCount val="3"/>
                <c:pt idx="0">
                  <c:v>0.88</c:v>
                </c:pt>
                <c:pt idx="1">
                  <c:v>0.88</c:v>
                </c:pt>
                <c:pt idx="2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8C-447E-8BA7-002D00DAD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9994191"/>
        <c:axId val="1589996591"/>
      </c:lineChart>
      <c:catAx>
        <c:axId val="158999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996591"/>
        <c:crosses val="autoZero"/>
        <c:auto val="1"/>
        <c:lblAlgn val="ctr"/>
        <c:lblOffset val="100"/>
        <c:noMultiLvlLbl val="0"/>
      </c:catAx>
      <c:valAx>
        <c:axId val="15899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9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Report!$C$19</c:f>
          <c:strCache>
            <c:ptCount val="1"/>
            <c:pt idx="0">
              <c:v>MA Rental OHT April 2026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Report!$C$21</c:f>
              <c:strCache>
                <c:ptCount val="1"/>
                <c:pt idx="0">
                  <c:v>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20000">
                    <a:schemeClr val="bg1">
                      <a:lumMod val="95000"/>
                      <a:shade val="30000"/>
                      <a:satMod val="115000"/>
                      <a:alpha val="30000"/>
                    </a:schemeClr>
                  </a:gs>
                  <a:gs pos="50000">
                    <a:schemeClr val="bg1">
                      <a:lumMod val="9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95000"/>
                      <a:shade val="100000"/>
                      <a:satMod val="115000"/>
                    </a:schemeClr>
                  </a:gs>
                </a:gsLst>
                <a:lin ang="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Report!$D$15:$F$15</c:f>
              <c:strCache>
                <c:ptCount val="3"/>
                <c:pt idx="0">
                  <c:v>777 Expro</c:v>
                </c:pt>
                <c:pt idx="1">
                  <c:v>777 Optiload</c:v>
                </c:pt>
                <c:pt idx="2">
                  <c:v>Overall</c:v>
                </c:pt>
              </c:strCache>
            </c:strRef>
          </c:cat>
          <c:val>
            <c:numRef>
              <c:f>Report!$D$21:$F$21</c:f>
              <c:numCache>
                <c:formatCode>0.00%</c:formatCode>
                <c:ptCount val="3"/>
                <c:pt idx="0">
                  <c:v>0.87051355820105814</c:v>
                </c:pt>
                <c:pt idx="1">
                  <c:v>0.90331845238095243</c:v>
                </c:pt>
                <c:pt idx="2">
                  <c:v>0.88691600529100523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8-4265-86B5-7EAC1EF25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89994191"/>
        <c:axId val="1589996591"/>
      </c:barChart>
      <c:lineChart>
        <c:grouping val="standard"/>
        <c:varyColors val="0"/>
        <c:ser>
          <c:idx val="1"/>
          <c:order val="1"/>
          <c:tx>
            <c:strRef>
              <c:f>Report!$C$22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Report!$D$15:$F$15</c:f>
              <c:strCache>
                <c:ptCount val="3"/>
                <c:pt idx="0">
                  <c:v>777 Expro</c:v>
                </c:pt>
                <c:pt idx="1">
                  <c:v>777 Optiload</c:v>
                </c:pt>
                <c:pt idx="2">
                  <c:v>Overall</c:v>
                </c:pt>
              </c:strCache>
            </c:strRef>
          </c:cat>
          <c:val>
            <c:numRef>
              <c:f>Report!$D$22:$F$22</c:f>
              <c:numCache>
                <c:formatCode>0.00%</c:formatCode>
                <c:ptCount val="3"/>
                <c:pt idx="0">
                  <c:v>0.88</c:v>
                </c:pt>
                <c:pt idx="1">
                  <c:v>0.88</c:v>
                </c:pt>
                <c:pt idx="2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8-4265-86B5-7EAC1EF25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9994191"/>
        <c:axId val="1589996591"/>
      </c:lineChart>
      <c:catAx>
        <c:axId val="158999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996591"/>
        <c:crosses val="autoZero"/>
        <c:auto val="1"/>
        <c:lblAlgn val="ctr"/>
        <c:lblOffset val="100"/>
        <c:noMultiLvlLbl val="0"/>
      </c:catAx>
      <c:valAx>
        <c:axId val="15899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9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All Rental 777 (Overall)
MA Last 7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Report!$C$7</c:f>
              <c:strCache>
                <c:ptCount val="1"/>
                <c:pt idx="0">
                  <c:v>MA</c:v>
                </c:pt>
              </c:strCache>
              <c:extLst xmlns:c15="http://schemas.microsoft.com/office/drawing/2012/chart"/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0">
                    <a:schemeClr val="tx2">
                      <a:lumMod val="40000"/>
                      <a:lumOff val="60000"/>
                    </a:schemeClr>
                  </a:gs>
                  <a:gs pos="100000">
                    <a:schemeClr val="bg1">
                      <a:lumMod val="95000"/>
                      <a:shade val="100000"/>
                      <a:satMod val="115000"/>
                    </a:schemeClr>
                  </a:gs>
                </a:gsLst>
                <a:lin ang="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Report!$D$2:$J$2</c:f>
              <c:numCache>
                <c:formatCode>d\-mmm</c:formatCode>
                <c:ptCount val="7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</c:numCache>
            </c:numRef>
          </c:cat>
          <c:val>
            <c:numRef>
              <c:f>Report!$D$7:$J$7</c:f>
              <c:numCache>
                <c:formatCode>0.00</c:formatCode>
                <c:ptCount val="7"/>
                <c:pt idx="0">
                  <c:v>84.912384259259255</c:v>
                </c:pt>
                <c:pt idx="1">
                  <c:v>86.550324074074084</c:v>
                </c:pt>
                <c:pt idx="2">
                  <c:v>87.313811728395066</c:v>
                </c:pt>
                <c:pt idx="3">
                  <c:v>88.691600529100526</c:v>
                </c:pt>
                <c:pt idx="4">
                  <c:v>90.105150462962968</c:v>
                </c:pt>
                <c:pt idx="5">
                  <c:v>91.01939300411523</c:v>
                </c:pt>
                <c:pt idx="6">
                  <c:v>90.9174537037037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032-481A-BCA1-8F53F250E156}"/>
            </c:ext>
          </c:extLst>
        </c:ser>
        <c:ser>
          <c:idx val="7"/>
          <c:order val="6"/>
          <c:tx>
            <c:strRef>
              <c:f>Report!$C$11</c:f>
              <c:strCache>
                <c:ptCount val="1"/>
                <c:pt idx="0">
                  <c:v>Quota Down (hrs)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0">
                    <a:srgbClr val="FFC000">
                      <a:alpha val="75000"/>
                    </a:srgbClr>
                  </a:gs>
                  <a:gs pos="100000">
                    <a:schemeClr val="bg1">
                      <a:lumMod val="95000"/>
                      <a:shade val="100000"/>
                      <a:satMod val="115000"/>
                    </a:schemeClr>
                  </a:gs>
                </a:gsLst>
                <a:lin ang="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Report!$D$2:$J$2</c:f>
              <c:numCache>
                <c:formatCode>d\-mmm</c:formatCode>
                <c:ptCount val="7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</c:numCache>
            </c:numRef>
          </c:cat>
          <c:val>
            <c:numRef>
              <c:f>Report!$D$11:$J$11</c:f>
              <c:numCache>
                <c:formatCode>0.00</c:formatCode>
                <c:ptCount val="7"/>
                <c:pt idx="0">
                  <c:v>-33.866611111111112</c:v>
                </c:pt>
                <c:pt idx="1">
                  <c:v>-22.078611111111094</c:v>
                </c:pt>
                <c:pt idx="2">
                  <c:v>-14.510611111111089</c:v>
                </c:pt>
                <c:pt idx="3">
                  <c:v>4.677388888888899</c:v>
                </c:pt>
                <c:pt idx="4">
                  <c:v>30.165388888888899</c:v>
                </c:pt>
                <c:pt idx="5">
                  <c:v>51.653388888888912</c:v>
                </c:pt>
                <c:pt idx="6">
                  <c:v>53.141388888888912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F032-481A-BCA1-8F53F250E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2468031"/>
        <c:axId val="10124670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MA</c:v>
                </c:tx>
                <c:spPr>
                  <a:solidFill>
                    <a:schemeClr val="tx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gradFill flip="none" rotWithShape="1">
                      <a:gsLst>
                        <a:gs pos="0">
                          <a:schemeClr val="bg1">
                            <a:lumMod val="95000"/>
                            <a:shade val="30000"/>
                            <a:satMod val="115000"/>
                            <a:alpha val="50000"/>
                          </a:schemeClr>
                        </a:gs>
                        <a:gs pos="50000">
                          <a:schemeClr val="bg1">
                            <a:lumMod val="9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9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Report!$D$3:$J$3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79.223206018518511</c:v>
                      </c:pt>
                      <c:pt idx="1">
                        <c:v>82.998564814814813</c:v>
                      </c:pt>
                      <c:pt idx="2">
                        <c:v>85.212692901234561</c:v>
                      </c:pt>
                      <c:pt idx="3">
                        <c:v>87.051355820105812</c:v>
                      </c:pt>
                      <c:pt idx="4">
                        <c:v>88.669936342592592</c:v>
                      </c:pt>
                      <c:pt idx="5">
                        <c:v>89.558461934156369</c:v>
                      </c:pt>
                      <c:pt idx="6">
                        <c:v>88.602615740740745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032-481A-BCA1-8F53F250E15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v>MA (%)</c:v>
                </c:tx>
                <c:spPr>
                  <a:solidFill>
                    <a:schemeClr val="tx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gradFill>
                      <a:gsLst>
                        <a:gs pos="15000">
                          <a:schemeClr val="tx2">
                            <a:lumMod val="20000"/>
                            <a:lumOff val="80000"/>
                            <a:alpha val="75000"/>
                          </a:schemeClr>
                        </a:gs>
                        <a:gs pos="100000">
                          <a:schemeClr val="bg1">
                            <a:lumMod val="9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</a:gra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Report!$D$5:$J$5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90.6015625</c:v>
                      </c:pt>
                      <c:pt idx="1">
                        <c:v>90.10208333333334</c:v>
                      </c:pt>
                      <c:pt idx="2">
                        <c:v>89.414930555555557</c:v>
                      </c:pt>
                      <c:pt idx="3">
                        <c:v>90.331845238095241</c:v>
                      </c:pt>
                      <c:pt idx="4">
                        <c:v>91.540364583333329</c:v>
                      </c:pt>
                      <c:pt idx="5">
                        <c:v>92.480324074074076</c:v>
                      </c:pt>
                      <c:pt idx="6">
                        <c:v>93.232291666666669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032-481A-BCA1-8F53F250E156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Report!$C$9</c15:sqref>
                        </c15:formulaRef>
                      </c:ext>
                    </c:extLst>
                    <c:strCache>
                      <c:ptCount val="1"/>
                      <c:pt idx="0">
                        <c:v>Quota Down (hrs)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chemeClr val="accent6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6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Report!$D$9:$J$9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-43.088611111111121</c:v>
                      </c:pt>
                      <c:pt idx="1">
                        <c:v>-31.208611111111097</c:v>
                      </c:pt>
                      <c:pt idx="2">
                        <c:v>-21.508611111111094</c:v>
                      </c:pt>
                      <c:pt idx="3">
                        <c:v>-9.6486111111111086</c:v>
                      </c:pt>
                      <c:pt idx="4">
                        <c:v>4.511388888888888</c:v>
                      </c:pt>
                      <c:pt idx="5">
                        <c:v>14.671388888888899</c:v>
                      </c:pt>
                      <c:pt idx="6">
                        <c:v>4.8313888888889096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032-481A-BCA1-8F53F250E156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Report!$C$10</c15:sqref>
                        </c15:formulaRef>
                      </c:ext>
                    </c:extLst>
                    <c:strCache>
                      <c:ptCount val="1"/>
                      <c:pt idx="0">
                        <c:v>Quota Down (hrs)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gradFill>
                      <a:gsLst>
                        <a:gs pos="20000">
                          <a:srgbClr val="FFC000"/>
                        </a:gs>
                        <a:gs pos="100000">
                          <a:schemeClr val="bg1">
                            <a:lumMod val="9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</a:gra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6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Report!$D$10:$J$10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9.2220000000000084</c:v>
                      </c:pt>
                      <c:pt idx="1">
                        <c:v>9.1300000000000026</c:v>
                      </c:pt>
                      <c:pt idx="2">
                        <c:v>6.9980000000000047</c:v>
                      </c:pt>
                      <c:pt idx="3">
                        <c:v>14.326000000000008</c:v>
                      </c:pt>
                      <c:pt idx="4">
                        <c:v>25.654000000000011</c:v>
                      </c:pt>
                      <c:pt idx="5">
                        <c:v>36.982000000000014</c:v>
                      </c:pt>
                      <c:pt idx="6">
                        <c:v>48.31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032-481A-BCA1-8F53F250E15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3"/>
          <c:tx>
            <c:strRef>
              <c:f>Report!$C$8</c:f>
              <c:strCache>
                <c:ptCount val="1"/>
                <c:pt idx="0">
                  <c:v>MA Target (%)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Report!$D$2:$J$2</c:f>
              <c:numCache>
                <c:formatCode>d\-mmm</c:formatCode>
                <c:ptCount val="7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</c:numCache>
            </c:numRef>
          </c:cat>
          <c:val>
            <c:numRef>
              <c:f>Report!$D$8:$J$8</c:f>
              <c:numCache>
                <c:formatCode>0.00</c:formatCode>
                <c:ptCount val="7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32-481A-BCA1-8F53F250E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468031"/>
        <c:axId val="1012467071"/>
      </c:lineChart>
      <c:dateAx>
        <c:axId val="1012468031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67071"/>
        <c:crosses val="autoZero"/>
        <c:auto val="1"/>
        <c:lblOffset val="100"/>
        <c:baseTimeUnit val="days"/>
      </c:dateAx>
      <c:valAx>
        <c:axId val="10124670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6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777 Optiload
MA Last 7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Report!$C$5</c:f>
              <c:strCache>
                <c:ptCount val="1"/>
                <c:pt idx="0">
                  <c:v>MA</c:v>
                </c:pt>
              </c:strCache>
              <c:extLst xmlns:c15="http://schemas.microsoft.com/office/drawing/2012/chart"/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0">
                    <a:schemeClr val="bg1">
                      <a:lumMod val="95000"/>
                      <a:shade val="30000"/>
                      <a:satMod val="115000"/>
                      <a:alpha val="50000"/>
                    </a:schemeClr>
                  </a:gs>
                  <a:gs pos="50000">
                    <a:schemeClr val="bg1">
                      <a:lumMod val="9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95000"/>
                      <a:shade val="100000"/>
                      <a:satMod val="115000"/>
                    </a:schemeClr>
                  </a:gs>
                </a:gsLst>
                <a:lin ang="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Report!$D$2:$J$2</c:f>
              <c:numCache>
                <c:formatCode>d\-mmm</c:formatCode>
                <c:ptCount val="7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</c:numCache>
              <c:extLst xmlns:c15="http://schemas.microsoft.com/office/drawing/2012/chart"/>
            </c:numRef>
          </c:cat>
          <c:val>
            <c:numRef>
              <c:f>Report!$D$5:$J$5</c:f>
              <c:numCache>
                <c:formatCode>0.00</c:formatCode>
                <c:ptCount val="7"/>
                <c:pt idx="0">
                  <c:v>90.6015625</c:v>
                </c:pt>
                <c:pt idx="1">
                  <c:v>90.10208333333334</c:v>
                </c:pt>
                <c:pt idx="2">
                  <c:v>89.414930555555557</c:v>
                </c:pt>
                <c:pt idx="3">
                  <c:v>90.331845238095241</c:v>
                </c:pt>
                <c:pt idx="4">
                  <c:v>91.540364583333329</c:v>
                </c:pt>
                <c:pt idx="5">
                  <c:v>92.480324074074076</c:v>
                </c:pt>
                <c:pt idx="6">
                  <c:v>93.232291666666669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CE5F-4082-B260-F168EEA04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2468031"/>
        <c:axId val="10124670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Report!$C$3</c15:sqref>
                        </c15:formulaRef>
                      </c:ext>
                    </c:extLst>
                    <c:strCache>
                      <c:ptCount val="1"/>
                      <c:pt idx="0">
                        <c:v>MA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gradFill flip="none" rotWithShape="1">
                      <a:gsLst>
                        <a:gs pos="0">
                          <a:schemeClr val="bg1">
                            <a:lumMod val="95000"/>
                            <a:shade val="30000"/>
                            <a:satMod val="115000"/>
                            <a:alpha val="50000"/>
                          </a:schemeClr>
                        </a:gs>
                        <a:gs pos="50000">
                          <a:schemeClr val="bg1">
                            <a:lumMod val="9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9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Report!$D$3:$J$3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79.223206018518511</c:v>
                      </c:pt>
                      <c:pt idx="1">
                        <c:v>82.998564814814813</c:v>
                      </c:pt>
                      <c:pt idx="2">
                        <c:v>85.212692901234561</c:v>
                      </c:pt>
                      <c:pt idx="3">
                        <c:v>87.051355820105812</c:v>
                      </c:pt>
                      <c:pt idx="4">
                        <c:v>88.669936342592592</c:v>
                      </c:pt>
                      <c:pt idx="5">
                        <c:v>89.558461934156369</c:v>
                      </c:pt>
                      <c:pt idx="6">
                        <c:v>88.602615740740745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E5F-4082-B260-F168EEA049D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Report!$C$7</c15:sqref>
                        </c15:formulaRef>
                      </c:ext>
                    </c:extLst>
                    <c:strCache>
                      <c:ptCount val="1"/>
                      <c:pt idx="0">
                        <c:v>MA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Report!$D$7:$J$7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84.912384259259255</c:v>
                      </c:pt>
                      <c:pt idx="1">
                        <c:v>86.550324074074084</c:v>
                      </c:pt>
                      <c:pt idx="2">
                        <c:v>87.313811728395066</c:v>
                      </c:pt>
                      <c:pt idx="3">
                        <c:v>88.691600529100526</c:v>
                      </c:pt>
                      <c:pt idx="4">
                        <c:v>90.105150462962968</c:v>
                      </c:pt>
                      <c:pt idx="5">
                        <c:v>91.01939300411523</c:v>
                      </c:pt>
                      <c:pt idx="6">
                        <c:v>90.9174537037037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E5F-4082-B260-F168EEA049D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3"/>
          <c:tx>
            <c:strRef>
              <c:f>Report!$C$8</c:f>
              <c:strCache>
                <c:ptCount val="1"/>
                <c:pt idx="0">
                  <c:v>MA Target (%)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Report!$D$2:$J$2</c:f>
              <c:numCache>
                <c:formatCode>d\-mmm</c:formatCode>
                <c:ptCount val="7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</c:numCache>
            </c:numRef>
          </c:cat>
          <c:val>
            <c:numRef>
              <c:f>Report!$D$8:$J$8</c:f>
              <c:numCache>
                <c:formatCode>0.00</c:formatCode>
                <c:ptCount val="7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5F-4082-B260-F168EEA04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468031"/>
        <c:axId val="1012467071"/>
      </c:lineChart>
      <c:dateAx>
        <c:axId val="1012468031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67071"/>
        <c:crosses val="autoZero"/>
        <c:auto val="1"/>
        <c:lblOffset val="100"/>
        <c:baseTimeUnit val="days"/>
      </c:dateAx>
      <c:valAx>
        <c:axId val="101246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All 777 </a:t>
            </a:r>
          </a:p>
          <a:p>
            <a:pPr>
              <a:defRPr/>
            </a:pPr>
            <a:r>
              <a:rPr lang="en-ID"/>
              <a:t>MA Last</a:t>
            </a:r>
            <a:r>
              <a:rPr lang="en-ID" baseline="0"/>
              <a:t> 7 Days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Report!$C$7</c:f>
              <c:strCache>
                <c:ptCount val="1"/>
                <c:pt idx="0">
                  <c:v>MA</c:v>
                </c:pt>
              </c:strCache>
              <c:extLst xmlns:c15="http://schemas.microsoft.com/office/drawing/2012/chart"/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Report!$D$2:$J$2</c:f>
              <c:numCache>
                <c:formatCode>d\-mmm</c:formatCode>
                <c:ptCount val="7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</c:numCache>
              <c:extLst xmlns:c15="http://schemas.microsoft.com/office/drawing/2012/chart"/>
            </c:numRef>
          </c:cat>
          <c:val>
            <c:numRef>
              <c:f>Report!$D$7:$J$7</c:f>
              <c:numCache>
                <c:formatCode>0.00</c:formatCode>
                <c:ptCount val="7"/>
                <c:pt idx="0">
                  <c:v>84.912384259259255</c:v>
                </c:pt>
                <c:pt idx="1">
                  <c:v>86.550324074074084</c:v>
                </c:pt>
                <c:pt idx="2">
                  <c:v>87.313811728395066</c:v>
                </c:pt>
                <c:pt idx="3">
                  <c:v>88.691600529100526</c:v>
                </c:pt>
                <c:pt idx="4">
                  <c:v>90.105150462962968</c:v>
                </c:pt>
                <c:pt idx="5">
                  <c:v>91.01939300411523</c:v>
                </c:pt>
                <c:pt idx="6">
                  <c:v>90.9174537037037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4696-4385-AEC8-A0259E3345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12468031"/>
        <c:axId val="10124670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Report!$C$3</c15:sqref>
                        </c15:formulaRef>
                      </c:ext>
                    </c:extLst>
                    <c:strCache>
                      <c:ptCount val="1"/>
                      <c:pt idx="0">
                        <c:v>MA</c:v>
                      </c:pt>
                    </c:strCache>
                  </c:strRef>
                </c:tx>
                <c:spPr>
                  <a:solidFill>
                    <a:schemeClr val="tx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gradFill flip="none" rotWithShape="1">
                      <a:gsLst>
                        <a:gs pos="0">
                          <a:schemeClr val="bg1">
                            <a:lumMod val="95000"/>
                            <a:shade val="30000"/>
                            <a:satMod val="115000"/>
                            <a:alpha val="50000"/>
                          </a:schemeClr>
                        </a:gs>
                        <a:gs pos="50000">
                          <a:schemeClr val="bg1">
                            <a:lumMod val="9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9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Report!$D$3:$J$3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79.223206018518511</c:v>
                      </c:pt>
                      <c:pt idx="1">
                        <c:v>82.998564814814813</c:v>
                      </c:pt>
                      <c:pt idx="2">
                        <c:v>85.212692901234561</c:v>
                      </c:pt>
                      <c:pt idx="3">
                        <c:v>87.051355820105812</c:v>
                      </c:pt>
                      <c:pt idx="4">
                        <c:v>88.669936342592592</c:v>
                      </c:pt>
                      <c:pt idx="5">
                        <c:v>89.558461934156369</c:v>
                      </c:pt>
                      <c:pt idx="6">
                        <c:v>88.602615740740745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696-4385-AEC8-A0259E3345B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Report!$C$5</c15:sqref>
                        </c15:formulaRef>
                      </c:ext>
                    </c:extLst>
                    <c:strCache>
                      <c:ptCount val="1"/>
                      <c:pt idx="0">
                        <c:v>MA</c:v>
                      </c:pt>
                    </c:strCache>
                  </c:strRef>
                </c:tx>
                <c:spPr>
                  <a:solidFill>
                    <a:schemeClr val="tx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gradFill>
                      <a:gsLst>
                        <a:gs pos="0">
                          <a:schemeClr val="bg1">
                            <a:lumMod val="95000"/>
                            <a:shade val="30000"/>
                            <a:satMod val="115000"/>
                            <a:alpha val="50000"/>
                          </a:schemeClr>
                        </a:gs>
                        <a:gs pos="50000">
                          <a:schemeClr val="bg1">
                            <a:lumMod val="9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9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</a:gra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Report!$D$5:$J$5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90.6015625</c:v>
                      </c:pt>
                      <c:pt idx="1">
                        <c:v>90.10208333333334</c:v>
                      </c:pt>
                      <c:pt idx="2">
                        <c:v>89.414930555555557</c:v>
                      </c:pt>
                      <c:pt idx="3">
                        <c:v>90.331845238095241</c:v>
                      </c:pt>
                      <c:pt idx="4">
                        <c:v>91.540364583333329</c:v>
                      </c:pt>
                      <c:pt idx="5">
                        <c:v>92.480324074074076</c:v>
                      </c:pt>
                      <c:pt idx="6">
                        <c:v>93.232291666666669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96-4385-AEC8-A0259E3345B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3"/>
          <c:tx>
            <c:strRef>
              <c:f>Report!$C$8</c:f>
              <c:strCache>
                <c:ptCount val="1"/>
                <c:pt idx="0">
                  <c:v>MA Target (%)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Report!$D$2:$J$2</c:f>
              <c:numCache>
                <c:formatCode>d\-mmm</c:formatCode>
                <c:ptCount val="7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</c:numCache>
            </c:numRef>
          </c:cat>
          <c:val>
            <c:numRef>
              <c:f>Report!$D$8:$J$8</c:f>
              <c:numCache>
                <c:formatCode>0.00</c:formatCode>
                <c:ptCount val="7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96-4385-AEC8-A0259E3345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2468031"/>
        <c:axId val="1012467071"/>
      </c:lineChart>
      <c:dateAx>
        <c:axId val="1012468031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67071"/>
        <c:crosses val="autoZero"/>
        <c:auto val="1"/>
        <c:lblOffset val="100"/>
        <c:baseTimeUnit val="days"/>
      </c:dateAx>
      <c:valAx>
        <c:axId val="101246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777 Optiload
MA Last 7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 (%)</c:v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Report!$D$2:$J$2</c:f>
              <c:numCache>
                <c:formatCode>d\-mmm</c:formatCode>
                <c:ptCount val="7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</c:numCache>
            </c:numRef>
          </c:cat>
          <c:val>
            <c:numRef>
              <c:f>Report!$D$5:$J$5</c:f>
              <c:numCache>
                <c:formatCode>0.00</c:formatCode>
                <c:ptCount val="7"/>
                <c:pt idx="0">
                  <c:v>90.6015625</c:v>
                </c:pt>
                <c:pt idx="1">
                  <c:v>90.10208333333334</c:v>
                </c:pt>
                <c:pt idx="2">
                  <c:v>89.414930555555557</c:v>
                </c:pt>
                <c:pt idx="3">
                  <c:v>90.331845238095241</c:v>
                </c:pt>
                <c:pt idx="4">
                  <c:v>91.540364583333329</c:v>
                </c:pt>
                <c:pt idx="5">
                  <c:v>92.480324074074076</c:v>
                </c:pt>
                <c:pt idx="6">
                  <c:v>93.232291666666669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B-4403-B535-F070CC9CB9CB}"/>
            </c:ext>
          </c:extLst>
        </c:ser>
        <c:ser>
          <c:idx val="5"/>
          <c:order val="4"/>
          <c:tx>
            <c:strRef>
              <c:f>Report!$C$9</c:f>
              <c:strCache>
                <c:ptCount val="1"/>
                <c:pt idx="0">
                  <c:v>Quota Down (hrs)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99000">
                    <a:srgbClr val="FFC000"/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Report!$D$2:$J$2</c:f>
              <c:numCache>
                <c:formatCode>d\-mmm</c:formatCode>
                <c:ptCount val="7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</c:numCache>
            </c:numRef>
          </c:cat>
          <c:val>
            <c:numRef>
              <c:f>Report!$D$10:$J$10</c:f>
              <c:numCache>
                <c:formatCode>0.00</c:formatCode>
                <c:ptCount val="7"/>
                <c:pt idx="0">
                  <c:v>9.2220000000000084</c:v>
                </c:pt>
                <c:pt idx="1">
                  <c:v>9.1300000000000026</c:v>
                </c:pt>
                <c:pt idx="2">
                  <c:v>6.9980000000000047</c:v>
                </c:pt>
                <c:pt idx="3">
                  <c:v>14.326000000000008</c:v>
                </c:pt>
                <c:pt idx="4">
                  <c:v>25.654000000000011</c:v>
                </c:pt>
                <c:pt idx="5">
                  <c:v>36.982000000000014</c:v>
                </c:pt>
                <c:pt idx="6">
                  <c:v>48.31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1B-4403-B535-F070CC9CB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2468031"/>
        <c:axId val="10124670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Report!$C$5</c15:sqref>
                        </c15:formulaRef>
                      </c:ext>
                    </c:extLst>
                    <c:strCache>
                      <c:ptCount val="1"/>
                      <c:pt idx="0">
                        <c:v>MA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Report!$D$5:$J$5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90.6015625</c:v>
                      </c:pt>
                      <c:pt idx="1">
                        <c:v>90.10208333333334</c:v>
                      </c:pt>
                      <c:pt idx="2">
                        <c:v>89.414930555555557</c:v>
                      </c:pt>
                      <c:pt idx="3">
                        <c:v>90.331845238095241</c:v>
                      </c:pt>
                      <c:pt idx="4">
                        <c:v>91.540364583333329</c:v>
                      </c:pt>
                      <c:pt idx="5">
                        <c:v>92.480324074074076</c:v>
                      </c:pt>
                      <c:pt idx="6">
                        <c:v>93.232291666666669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71B-4403-B535-F070CC9CB9C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Report!$C$7</c15:sqref>
                        </c15:formulaRef>
                      </c:ext>
                    </c:extLst>
                    <c:strCache>
                      <c:ptCount val="1"/>
                      <c:pt idx="0">
                        <c:v>MA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Report!$D$7:$J$7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84.912384259259255</c:v>
                      </c:pt>
                      <c:pt idx="1">
                        <c:v>86.550324074074084</c:v>
                      </c:pt>
                      <c:pt idx="2">
                        <c:v>87.313811728395066</c:v>
                      </c:pt>
                      <c:pt idx="3">
                        <c:v>88.691600529100526</c:v>
                      </c:pt>
                      <c:pt idx="4">
                        <c:v>90.105150462962968</c:v>
                      </c:pt>
                      <c:pt idx="5">
                        <c:v>91.01939300411523</c:v>
                      </c:pt>
                      <c:pt idx="6">
                        <c:v>90.9174537037037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71B-4403-B535-F070CC9CB9CB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Report!$C$10</c15:sqref>
                        </c15:formulaRef>
                      </c:ext>
                    </c:extLst>
                    <c:strCache>
                      <c:ptCount val="1"/>
                      <c:pt idx="0">
                        <c:v>Quota Down (hrs)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Report!$D$10:$J$10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9.2220000000000084</c:v>
                      </c:pt>
                      <c:pt idx="1">
                        <c:v>9.1300000000000026</c:v>
                      </c:pt>
                      <c:pt idx="2">
                        <c:v>6.9980000000000047</c:v>
                      </c:pt>
                      <c:pt idx="3">
                        <c:v>14.326000000000008</c:v>
                      </c:pt>
                      <c:pt idx="4">
                        <c:v>25.654000000000011</c:v>
                      </c:pt>
                      <c:pt idx="5">
                        <c:v>36.982000000000014</c:v>
                      </c:pt>
                      <c:pt idx="6">
                        <c:v>48.31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71B-4403-B535-F070CC9CB9CB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Report!$C$11</c15:sqref>
                        </c15:formulaRef>
                      </c:ext>
                    </c:extLst>
                    <c:strCache>
                      <c:ptCount val="1"/>
                      <c:pt idx="0">
                        <c:v>Quota Down (hrs)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Report!$D$2:$J$2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46299</c:v>
                      </c:pt>
                      <c:pt idx="1">
                        <c:v>46300</c:v>
                      </c:pt>
                      <c:pt idx="2">
                        <c:v>46301</c:v>
                      </c:pt>
                      <c:pt idx="3">
                        <c:v>46302</c:v>
                      </c:pt>
                      <c:pt idx="4">
                        <c:v>46303</c:v>
                      </c:pt>
                      <c:pt idx="5">
                        <c:v>46304</c:v>
                      </c:pt>
                      <c:pt idx="6">
                        <c:v>46305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Report!$D$11:$J$11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-33.866611111111112</c:v>
                      </c:pt>
                      <c:pt idx="1">
                        <c:v>-22.078611111111094</c:v>
                      </c:pt>
                      <c:pt idx="2">
                        <c:v>-14.510611111111089</c:v>
                      </c:pt>
                      <c:pt idx="3">
                        <c:v>4.677388888888899</c:v>
                      </c:pt>
                      <c:pt idx="4">
                        <c:v>30.165388888888899</c:v>
                      </c:pt>
                      <c:pt idx="5">
                        <c:v>51.653388888888912</c:v>
                      </c:pt>
                      <c:pt idx="6">
                        <c:v>53.141388888888912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71B-4403-B535-F070CC9CB9C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3"/>
          <c:tx>
            <c:strRef>
              <c:f>Report!$C$8</c:f>
              <c:strCache>
                <c:ptCount val="1"/>
                <c:pt idx="0">
                  <c:v>MA Target (%)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Report!$D$2:$J$2</c:f>
              <c:numCache>
                <c:formatCode>d\-mmm</c:formatCode>
                <c:ptCount val="7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</c:numCache>
            </c:numRef>
          </c:cat>
          <c:val>
            <c:numRef>
              <c:f>Report!$D$8:$J$8</c:f>
              <c:numCache>
                <c:formatCode>0.00</c:formatCode>
                <c:ptCount val="7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1B-4403-B535-F070CC9CB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468031"/>
        <c:axId val="1012467071"/>
      </c:lineChart>
      <c:dateAx>
        <c:axId val="1012468031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67071"/>
        <c:crosses val="autoZero"/>
        <c:auto val="1"/>
        <c:lblOffset val="100"/>
        <c:baseTimeUnit val="days"/>
      </c:dateAx>
      <c:valAx>
        <c:axId val="1012467071"/>
        <c:scaling>
          <c:orientation val="minMax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6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268512</xdr:colOff>
      <xdr:row>0</xdr:row>
      <xdr:rowOff>36288</xdr:rowOff>
    </xdr:from>
    <xdr:to>
      <xdr:col>3</xdr:col>
      <xdr:colOff>1620594</xdr:colOff>
      <xdr:row>0</xdr:row>
      <xdr:rowOff>416276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8F44B7-AA4C-45EC-A5D2-2188E0F4FF47}"/>
            </a:ext>
          </a:extLst>
        </xdr:cNvPr>
        <xdr:cNvSpPr txBox="1"/>
      </xdr:nvSpPr>
      <xdr:spPr>
        <a:xfrm>
          <a:off x="3763925" y="36288"/>
          <a:ext cx="1352082" cy="379988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600" b="1">
              <a:solidFill>
                <a:srgbClr val="FF0000"/>
              </a:solidFill>
            </a:rPr>
            <a:t>- Red Arrow:</a:t>
          </a:r>
          <a:r>
            <a:rPr lang="en-ID" sz="600" b="1" baseline="0">
              <a:solidFill>
                <a:srgbClr val="FF0000"/>
              </a:solidFill>
            </a:rPr>
            <a:t> Cut-off Monthly</a:t>
          </a:r>
        </a:p>
        <a:p>
          <a:r>
            <a:rPr lang="en-ID" sz="600" b="1" baseline="0">
              <a:solidFill>
                <a:srgbClr val="00B050"/>
              </a:solidFill>
            </a:rPr>
            <a:t>- Green Arrow: Start Over Monthly</a:t>
          </a:r>
        </a:p>
        <a:p>
          <a:r>
            <a:rPr lang="en-ID" sz="600" b="1" baseline="0">
              <a:solidFill>
                <a:schemeClr val="accent6">
                  <a:lumMod val="75000"/>
                </a:schemeClr>
              </a:solidFill>
            </a:rPr>
            <a:t>- Today's Update</a:t>
          </a:r>
        </a:p>
        <a:p>
          <a:endParaRPr lang="en-ID" sz="6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0</xdr:row>
      <xdr:rowOff>126712</xdr:rowOff>
    </xdr:from>
    <xdr:to>
      <xdr:col>4</xdr:col>
      <xdr:colOff>1735666</xdr:colOff>
      <xdr:row>1</xdr:row>
      <xdr:rowOff>74081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E6EC7D-2ED9-A2D3-4C5B-05BA97070A18}"/>
            </a:ext>
          </a:extLst>
        </xdr:cNvPr>
        <xdr:cNvSpPr txBox="1"/>
      </xdr:nvSpPr>
      <xdr:spPr>
        <a:xfrm>
          <a:off x="3545418" y="126712"/>
          <a:ext cx="1735665" cy="49770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800" b="1">
              <a:solidFill>
                <a:srgbClr val="FF0000"/>
              </a:solidFill>
            </a:rPr>
            <a:t>- Red Arrow:</a:t>
          </a:r>
          <a:r>
            <a:rPr lang="en-ID" sz="800" b="1" baseline="0">
              <a:solidFill>
                <a:srgbClr val="FF0000"/>
              </a:solidFill>
            </a:rPr>
            <a:t> Cut-off Monthly</a:t>
          </a:r>
        </a:p>
        <a:p>
          <a:pPr algn="l"/>
          <a:r>
            <a:rPr lang="en-ID" sz="800" b="1" baseline="0">
              <a:solidFill>
                <a:srgbClr val="00B050"/>
              </a:solidFill>
            </a:rPr>
            <a:t>- Green Arrow: Start Over Monthly</a:t>
          </a:r>
        </a:p>
        <a:p>
          <a:pPr algn="l"/>
          <a:r>
            <a:rPr lang="en-ID" sz="800" b="1" baseline="0">
              <a:solidFill>
                <a:schemeClr val="accent6">
                  <a:lumMod val="75000"/>
                </a:schemeClr>
              </a:solidFill>
            </a:rPr>
            <a:t>- Today's Update</a:t>
          </a:r>
        </a:p>
        <a:p>
          <a:pPr algn="l"/>
          <a:endParaRPr lang="en-ID" sz="8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0</xdr:colOff>
      <xdr:row>20</xdr:row>
      <xdr:rowOff>82550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5671FCB-8EEC-4A7E-A71C-2DFF78BB8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20</xdr:col>
      <xdr:colOff>0</xdr:colOff>
      <xdr:row>2</xdr:row>
      <xdr:rowOff>0</xdr:rowOff>
    </xdr:from>
    <xdr:to>
      <xdr:col>28</xdr:col>
      <xdr:colOff>0</xdr:colOff>
      <xdr:row>20</xdr:row>
      <xdr:rowOff>103909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986D0D4-D6BC-400E-946E-60B937878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3</xdr:col>
      <xdr:colOff>0</xdr:colOff>
      <xdr:row>23</xdr:row>
      <xdr:rowOff>0</xdr:rowOff>
    </xdr:from>
    <xdr:to>
      <xdr:col>9</xdr:col>
      <xdr:colOff>793750</xdr:colOff>
      <xdr:row>40</xdr:row>
      <xdr:rowOff>44450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67977BF-11B6-4D7F-88D1-681587710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3</xdr:col>
      <xdr:colOff>0</xdr:colOff>
      <xdr:row>44</xdr:row>
      <xdr:rowOff>0</xdr:rowOff>
    </xdr:from>
    <xdr:to>
      <xdr:col>10</xdr:col>
      <xdr:colOff>215900</xdr:colOff>
      <xdr:row>64</xdr:row>
      <xdr:rowOff>38100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4EE66D5-20F7-411E-8045-C2C6452DB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20</xdr:col>
      <xdr:colOff>0</xdr:colOff>
      <xdr:row>44</xdr:row>
      <xdr:rowOff>1</xdr:rowOff>
    </xdr:from>
    <xdr:to>
      <xdr:col>28</xdr:col>
      <xdr:colOff>0</xdr:colOff>
      <xdr:row>64</xdr:row>
      <xdr:rowOff>90714</xdr:rowOff>
    </xdr:to>
    <xdr:graphicFrame macro="">
      <xdr:nvGraphicFramePr>
        <xdr:cNvPr id="52" name="Chart 22">
          <a:extLst>
            <a:ext uri="{FF2B5EF4-FFF2-40B4-BE49-F238E27FC236}">
              <a16:creationId xmlns:a16="http://schemas.microsoft.com/office/drawing/2014/main" id="{20FA61F9-5F82-4A5A-915C-D200DCC20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11</xdr:col>
      <xdr:colOff>0</xdr:colOff>
      <xdr:row>23</xdr:row>
      <xdr:rowOff>0</xdr:rowOff>
    </xdr:from>
    <xdr:to>
      <xdr:col>19</xdr:col>
      <xdr:colOff>0</xdr:colOff>
      <xdr:row>39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F87E8-ED0B-47D3-AB5A-369EC6BD2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  <xdr:twoCellAnchor>
    <xdr:from>
      <xdr:col>3</xdr:col>
      <xdr:colOff>0</xdr:colOff>
      <xdr:row>68</xdr:row>
      <xdr:rowOff>0</xdr:rowOff>
    </xdr:from>
    <xdr:to>
      <xdr:col>9</xdr:col>
      <xdr:colOff>205946</xdr:colOff>
      <xdr:row>84</xdr:row>
      <xdr:rowOff>82549</xdr:rowOff>
    </xdr:to>
    <xdr:graphicFrame macro="">
      <xdr:nvGraphicFramePr>
        <xdr:cNvPr id="46" name="Chart 2">
          <a:extLst>
            <a:ext uri="{FF2B5EF4-FFF2-40B4-BE49-F238E27FC236}">
              <a16:creationId xmlns:a16="http://schemas.microsoft.com/office/drawing/2014/main" id="{84F601A8-72A6-4AE4-AEC2-1DECB91DF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twoCellAnchor>
  <xdr:twoCellAnchor>
    <xdr:from>
      <xdr:col>20</xdr:col>
      <xdr:colOff>0</xdr:colOff>
      <xdr:row>23</xdr:row>
      <xdr:rowOff>0</xdr:rowOff>
    </xdr:from>
    <xdr:to>
      <xdr:col>28</xdr:col>
      <xdr:colOff>0</xdr:colOff>
      <xdr:row>42</xdr:row>
      <xdr:rowOff>82550</xdr:rowOff>
    </xdr:to>
    <xdr:graphicFrame macro="">
      <xdr:nvGraphicFramePr>
        <xdr:cNvPr id="51" name="Chart 2">
          <a:extLst>
            <a:ext uri="{FF2B5EF4-FFF2-40B4-BE49-F238E27FC236}">
              <a16:creationId xmlns:a16="http://schemas.microsoft.com/office/drawing/2014/main" id="{F91CE8BC-258D-4131-94F4-B7AF947C5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.rizal\OneDrive%20-%20PT%20Mitra%20Solusi%20Telematika\W38_Down%20Rental%20CAT%20777_2026%20DIFTA.xlsx" TargetMode="External"/><Relationship Id="rId1" Type="http://schemas.openxmlformats.org/officeDocument/2006/relationships/externalLinkPath" Target="file:///C:\Users\m.rizal\OneDrive%20-%20PT%20Mitra%20Solusi%20Telematika\W38_Down%20Rental%20CAT%20777_2026%20DIF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mtgroup.sharepoint.com/teams/Project2023/Dokumen%20Berbagi/EM%20Engineer/777%20Performance%20Weekly%20Report/W39_Down%20Rental%20CAT%20777_2026.xlsx" TargetMode="External"/><Relationship Id="rId1" Type="http://schemas.openxmlformats.org/officeDocument/2006/relationships/externalLinkPath" Target="https://tmtgroup.sharepoint.com/teams/Project2023/Dokumen%20Berbagi/EM%20Engineer/777%20Performance%20Weekly%20Report/W39_Down%20Rental%20CAT%20777_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alvine.w.k.sasongko/Desktop/AMT/DailyDowntimeLog-13%20May.xlsx" TargetMode="External"/><Relationship Id="rId2" Type="http://schemas.openxmlformats.org/officeDocument/2006/relationships/externalLinkPath" Target="file:///D:\Users\alvine.w.k.sasongko\Desktop\AMT\DailyDowntimeLog-13%20May.xlsx" TargetMode="External"/><Relationship Id="rId1" Type="http://schemas.openxmlformats.org/officeDocument/2006/relationships/externalLinkPath" Target="/Users/alvine.w.k.sasongko/Desktop/AMT/DailyDowntimeLog-13%20M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W38"/>
    </sheetNames>
    <sheetDataSet>
      <sheetData sheetId="0">
        <row r="1">
          <cell r="A1" t="str">
            <v>For</v>
          </cell>
          <cell r="B1" t="str">
            <v>TU</v>
          </cell>
        </row>
        <row r="3">
          <cell r="A3" t="str">
            <v>Sum of down hrs</v>
          </cell>
          <cell r="B3" t="str">
            <v>Column Labels</v>
          </cell>
        </row>
        <row r="4">
          <cell r="A4" t="str">
            <v>Row Labels</v>
          </cell>
          <cell r="B4">
            <v>46279</v>
          </cell>
          <cell r="C4">
            <v>46280</v>
          </cell>
          <cell r="D4">
            <v>46281</v>
          </cell>
          <cell r="E4">
            <v>46282</v>
          </cell>
          <cell r="F4">
            <v>46283</v>
          </cell>
          <cell r="G4">
            <v>46284</v>
          </cell>
          <cell r="H4">
            <v>46285</v>
          </cell>
          <cell r="I4">
            <v>46286</v>
          </cell>
        </row>
        <row r="5">
          <cell r="A5" t="str">
            <v>RT401</v>
          </cell>
          <cell r="D5">
            <v>5.2363888888888885</v>
          </cell>
          <cell r="E5">
            <v>5.6944444444444443E-2</v>
          </cell>
        </row>
        <row r="6">
          <cell r="A6" t="str">
            <v>RT402</v>
          </cell>
          <cell r="I6">
            <v>5.4286111111111106</v>
          </cell>
        </row>
        <row r="7">
          <cell r="A7" t="str">
            <v>RT403</v>
          </cell>
          <cell r="D7">
            <v>9.7005555555555567</v>
          </cell>
          <cell r="E7">
            <v>1.1524999999999999</v>
          </cell>
          <cell r="G7">
            <v>3.9122222222222223</v>
          </cell>
        </row>
        <row r="8">
          <cell r="A8" t="str">
            <v>RT404</v>
          </cell>
          <cell r="B8">
            <v>15.208333333333332</v>
          </cell>
          <cell r="H8">
            <v>2.4644444444444442</v>
          </cell>
        </row>
        <row r="9">
          <cell r="A9" t="str">
            <v>RT405</v>
          </cell>
          <cell r="B9">
            <v>20.853333333333332</v>
          </cell>
          <cell r="C9">
            <v>8.8505555555555571</v>
          </cell>
          <cell r="D9">
            <v>3.6025</v>
          </cell>
          <cell r="F9">
            <v>5.333333333333333E-2</v>
          </cell>
          <cell r="H9">
            <v>1.5277777777777779E-2</v>
          </cell>
        </row>
        <row r="10">
          <cell r="A10" t="str">
            <v>RT406</v>
          </cell>
          <cell r="B10">
            <v>7.6111111111111102E-2</v>
          </cell>
          <cell r="C10">
            <v>5.2500000000000005E-2</v>
          </cell>
          <cell r="D10">
            <v>1.7741666666666664</v>
          </cell>
          <cell r="E10">
            <v>5.9169444444444448</v>
          </cell>
        </row>
        <row r="11">
          <cell r="A11" t="str">
            <v>RT407</v>
          </cell>
          <cell r="B11">
            <v>3.6361111111111111</v>
          </cell>
          <cell r="D11">
            <v>5.9166666666666659E-2</v>
          </cell>
          <cell r="F11">
            <v>7.1388888888888891E-2</v>
          </cell>
        </row>
        <row r="12">
          <cell r="A12" t="str">
            <v>RT408</v>
          </cell>
          <cell r="F12">
            <v>1.0694444444444444</v>
          </cell>
          <cell r="G12">
            <v>0.19444444444444442</v>
          </cell>
        </row>
        <row r="13">
          <cell r="A13" t="str">
            <v>RT409</v>
          </cell>
          <cell r="B13">
            <v>5.2700000000000005</v>
          </cell>
          <cell r="C13">
            <v>0.27583333333333332</v>
          </cell>
          <cell r="F13">
            <v>3.5225</v>
          </cell>
          <cell r="G13">
            <v>14.914166666666667</v>
          </cell>
          <cell r="H13">
            <v>6.4116666666666662</v>
          </cell>
          <cell r="I13">
            <v>2.2466666666666666</v>
          </cell>
        </row>
        <row r="14">
          <cell r="A14" t="str">
            <v>RT410</v>
          </cell>
          <cell r="B14">
            <v>6.7908333333333326</v>
          </cell>
          <cell r="C14">
            <v>8.8619444444444433</v>
          </cell>
          <cell r="D14">
            <v>0.51333333333333331</v>
          </cell>
          <cell r="F14">
            <v>0.92055555555555568</v>
          </cell>
          <cell r="G14">
            <v>5.8586111111111112</v>
          </cell>
        </row>
        <row r="15">
          <cell r="A15" t="str">
            <v>Grand Total</v>
          </cell>
          <cell r="B15">
            <v>51.834722222222226</v>
          </cell>
          <cell r="C15">
            <v>18.040833333333332</v>
          </cell>
          <cell r="D15">
            <v>20.886111111111109</v>
          </cell>
          <cell r="E15">
            <v>7.1263888888888891</v>
          </cell>
          <cell r="F15">
            <v>5.6372222222222224</v>
          </cell>
          <cell r="G15">
            <v>24.879444444444445</v>
          </cell>
          <cell r="H15">
            <v>8.8913888888888888</v>
          </cell>
          <cell r="I15">
            <v>7.6752777777777776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39"/>
      <sheetName val="Sheet2"/>
      <sheetName val="Sheet3"/>
    </sheetNames>
    <sheetDataSet>
      <sheetData sheetId="0"/>
      <sheetData sheetId="1"/>
      <sheetData sheetId="2">
        <row r="1">
          <cell r="A1" t="str">
            <v>For</v>
          </cell>
          <cell r="B1" t="str">
            <v>TU</v>
          </cell>
        </row>
        <row r="3">
          <cell r="A3" t="str">
            <v>Sum of down hrs</v>
          </cell>
          <cell r="B3" t="str">
            <v>Column Labels</v>
          </cell>
          <cell r="C3"/>
          <cell r="D3"/>
          <cell r="E3"/>
          <cell r="F3"/>
          <cell r="G3"/>
          <cell r="H3"/>
          <cell r="I3"/>
        </row>
        <row r="4">
          <cell r="A4" t="str">
            <v>Row Labels</v>
          </cell>
          <cell r="B4">
            <v>46286</v>
          </cell>
          <cell r="C4">
            <v>46287</v>
          </cell>
          <cell r="D4">
            <v>46288</v>
          </cell>
          <cell r="E4">
            <v>46289</v>
          </cell>
          <cell r="F4">
            <v>46290</v>
          </cell>
          <cell r="G4">
            <v>46291</v>
          </cell>
          <cell r="H4">
            <v>46292</v>
          </cell>
          <cell r="I4">
            <v>46293</v>
          </cell>
        </row>
        <row r="5">
          <cell r="A5" t="str">
            <v>RT401</v>
          </cell>
          <cell r="B5"/>
          <cell r="C5"/>
          <cell r="D5"/>
          <cell r="E5"/>
          <cell r="F5"/>
          <cell r="G5"/>
          <cell r="H5"/>
          <cell r="I5">
            <v>0.23638888888888887</v>
          </cell>
        </row>
        <row r="6">
          <cell r="A6" t="str">
            <v>RT402</v>
          </cell>
          <cell r="B6">
            <v>3.9966666666666666</v>
          </cell>
          <cell r="C6"/>
          <cell r="D6"/>
          <cell r="E6"/>
          <cell r="F6">
            <v>5.2866666666666671</v>
          </cell>
          <cell r="G6"/>
          <cell r="H6"/>
          <cell r="I6"/>
        </row>
        <row r="7">
          <cell r="A7" t="str">
            <v>RT403</v>
          </cell>
          <cell r="B7"/>
          <cell r="C7">
            <v>9.9177777777777774</v>
          </cell>
          <cell r="D7">
            <v>5.4805555555555561</v>
          </cell>
          <cell r="E7">
            <v>4.7911111111111113</v>
          </cell>
          <cell r="F7">
            <v>2.85</v>
          </cell>
          <cell r="G7">
            <v>1.6202777777777779</v>
          </cell>
          <cell r="H7"/>
          <cell r="I7"/>
        </row>
        <row r="8">
          <cell r="A8" t="str">
            <v>RT404</v>
          </cell>
          <cell r="B8"/>
          <cell r="C8"/>
          <cell r="D8">
            <v>5.1944444444444446E-2</v>
          </cell>
          <cell r="E8">
            <v>0.44166666666666665</v>
          </cell>
          <cell r="F8">
            <v>0.20166666666666666</v>
          </cell>
          <cell r="G8"/>
          <cell r="H8"/>
          <cell r="I8">
            <v>0.10833333333333332</v>
          </cell>
        </row>
        <row r="9">
          <cell r="A9" t="str">
            <v>RT405</v>
          </cell>
          <cell r="B9"/>
          <cell r="C9"/>
          <cell r="D9">
            <v>14.799722222222222</v>
          </cell>
          <cell r="E9">
            <v>24</v>
          </cell>
          <cell r="F9">
            <v>6.2894444444444453</v>
          </cell>
          <cell r="G9"/>
          <cell r="H9"/>
          <cell r="I9"/>
        </row>
        <row r="10">
          <cell r="A10" t="str">
            <v>RT406</v>
          </cell>
          <cell r="B10"/>
          <cell r="C10">
            <v>4.8525</v>
          </cell>
          <cell r="D10">
            <v>3.4041666666666668</v>
          </cell>
          <cell r="E10">
            <v>3.2097222222222221</v>
          </cell>
          <cell r="F10">
            <v>7.8713888888888892</v>
          </cell>
          <cell r="G10">
            <v>9.1402777777777775</v>
          </cell>
          <cell r="H10">
            <v>5.6944444444444446</v>
          </cell>
          <cell r="I10"/>
        </row>
        <row r="11">
          <cell r="A11" t="str">
            <v>RT407</v>
          </cell>
          <cell r="B11"/>
          <cell r="C11">
            <v>4.2630555555555549</v>
          </cell>
          <cell r="D11">
            <v>8.8888888888888889E-3</v>
          </cell>
          <cell r="E11"/>
          <cell r="F11">
            <v>3.4313888888888888</v>
          </cell>
          <cell r="G11">
            <v>4.8024999999999993</v>
          </cell>
          <cell r="H11">
            <v>0.51888888888888896</v>
          </cell>
          <cell r="I11">
            <v>3.4447222222222225</v>
          </cell>
        </row>
        <row r="12">
          <cell r="A12" t="str">
            <v>RT408</v>
          </cell>
          <cell r="B12">
            <v>2.5438888888888886</v>
          </cell>
          <cell r="C12">
            <v>6.0494444444444442</v>
          </cell>
          <cell r="D12">
            <v>0.34444444444444444</v>
          </cell>
          <cell r="E12">
            <v>2.9336111111111109</v>
          </cell>
          <cell r="F12"/>
          <cell r="G12">
            <v>5.5277777777777773E-2</v>
          </cell>
          <cell r="H12">
            <v>5.483888888888889</v>
          </cell>
          <cell r="I12"/>
        </row>
        <row r="13">
          <cell r="A13" t="str">
            <v>RT409</v>
          </cell>
          <cell r="B13">
            <v>0.64250000000000007</v>
          </cell>
          <cell r="C13"/>
          <cell r="D13"/>
          <cell r="E13"/>
          <cell r="F13">
            <v>4.293333333333333</v>
          </cell>
          <cell r="G13">
            <v>6.4938888888888888</v>
          </cell>
          <cell r="H13">
            <v>0.37083333333333335</v>
          </cell>
          <cell r="I13"/>
        </row>
        <row r="14">
          <cell r="A14" t="str">
            <v>RT410</v>
          </cell>
          <cell r="B14"/>
          <cell r="C14"/>
          <cell r="D14">
            <v>6.6002777777777784</v>
          </cell>
          <cell r="E14"/>
          <cell r="F14"/>
          <cell r="G14">
            <v>4.7094444444444452</v>
          </cell>
          <cell r="H14"/>
          <cell r="I14">
            <v>0.17944444444444443</v>
          </cell>
        </row>
        <row r="15">
          <cell r="A15" t="str">
            <v>Grand Total</v>
          </cell>
          <cell r="B15">
            <v>7.1830555555555549</v>
          </cell>
          <cell r="C15">
            <v>25.082777777777775</v>
          </cell>
          <cell r="D15">
            <v>30.690000000000005</v>
          </cell>
          <cell r="E15">
            <v>35.376111111111108</v>
          </cell>
          <cell r="F15">
            <v>30.22388888888889</v>
          </cell>
          <cell r="G15">
            <v>26.821666666666665</v>
          </cell>
          <cell r="H15">
            <v>12.068055555555556</v>
          </cell>
          <cell r="I15">
            <v>3.9688888888888894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s"/>
      <sheetName val="AMT"/>
      <sheetName val="Raw"/>
      <sheetName val="Bandit"/>
    </sheetNames>
    <sheetDataSet>
      <sheetData sheetId="0">
        <row r="3">
          <cell r="C3" t="str">
            <v>Daily DownTime - Log</v>
          </cell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</row>
        <row r="6">
          <cell r="A6"/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</row>
        <row r="7">
          <cell r="C7" t="str">
            <v>Hierarchy</v>
          </cell>
          <cell r="D7"/>
          <cell r="E7"/>
          <cell r="F7" t="str">
            <v>:</v>
          </cell>
          <cell r="H7" t="str">
            <v xml:space="preserve">[Branch: (1/2) Sangatta] [Fleet: &lt;All&gt;] </v>
          </cell>
          <cell r="I7"/>
          <cell r="J7"/>
          <cell r="K7"/>
          <cell r="L7"/>
          <cell r="M7"/>
          <cell r="N7"/>
        </row>
        <row r="8">
          <cell r="C8" t="str">
            <v>Date Range</v>
          </cell>
          <cell r="D8"/>
          <cell r="E8"/>
          <cell r="F8" t="str">
            <v>:</v>
          </cell>
          <cell r="H8" t="str">
            <v xml:space="preserve">[01-May-2026 00:00 - 13-May-2026 07:43] </v>
          </cell>
          <cell r="I8"/>
          <cell r="J8"/>
          <cell r="K8"/>
          <cell r="L8"/>
          <cell r="M8"/>
          <cell r="N8"/>
        </row>
        <row r="10">
          <cell r="C10" t="str">
            <v>Additional Filters</v>
          </cell>
          <cell r="D10"/>
          <cell r="E10"/>
          <cell r="F10" t="str">
            <v>:</v>
          </cell>
          <cell r="H10" t="str">
            <v xml:space="preserve">[+ Responsibility: &lt;All&gt;] </v>
          </cell>
          <cell r="I10"/>
          <cell r="J10"/>
          <cell r="K10"/>
          <cell r="L10"/>
          <cell r="M10"/>
          <cell r="N10"/>
        </row>
        <row r="12">
          <cell r="A12"/>
          <cell r="B12"/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</row>
        <row r="14">
          <cell r="B14" t="str">
            <v>Event Detail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 t="str">
            <v>Downtime Allocation</v>
          </cell>
        </row>
        <row r="15">
          <cell r="B15" t="str">
            <v>Equip Plan</v>
          </cell>
          <cell r="C15"/>
          <cell r="D15" t="str">
            <v>Model</v>
          </cell>
          <cell r="E15" t="str">
            <v>Description</v>
          </cell>
          <cell r="F15"/>
          <cell r="G15"/>
          <cell r="H15"/>
          <cell r="I15" t="str">
            <v>Plan</v>
          </cell>
          <cell r="J15" t="str">
            <v>Breakdown</v>
          </cell>
          <cell r="K15" t="str">
            <v>DownDate</v>
          </cell>
          <cell r="L15" t="str">
            <v>Up Date</v>
          </cell>
          <cell r="M15" t="str">
            <v>Down Hours</v>
          </cell>
          <cell r="N15" t="str">
            <v>Reason</v>
          </cell>
        </row>
        <row r="16">
          <cell r="B16" t="str">
            <v>B5001</v>
          </cell>
          <cell r="C16"/>
          <cell r="D16" t="str">
            <v>6015B</v>
          </cell>
          <cell r="E16" t="str">
            <v>1000 - PCR ENGINE SMU 43516,2</v>
          </cell>
          <cell r="F16"/>
          <cell r="G16"/>
          <cell r="H16"/>
          <cell r="I16" t="str">
            <v>ü</v>
          </cell>
          <cell r="J16" t="str">
            <v/>
          </cell>
          <cell r="K16">
            <v>46143</v>
          </cell>
          <cell r="L16">
            <v>46146.229861111096</v>
          </cell>
          <cell r="M16">
            <v>77.5166666666628</v>
          </cell>
          <cell r="N16" t="str">
            <v>Servicing</v>
          </cell>
        </row>
        <row r="17">
          <cell r="B17"/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 t="str">
            <v>Servicing</v>
          </cell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 t="str">
            <v>Servicing</v>
          </cell>
        </row>
        <row r="19">
          <cell r="B19" t="str">
            <v>B5001</v>
          </cell>
          <cell r="C19"/>
          <cell r="D19" t="str">
            <v>6015B</v>
          </cell>
          <cell r="E19" t="str">
            <v>1416 - BD Engine wont start SMU 43518</v>
          </cell>
          <cell r="F19"/>
          <cell r="G19"/>
          <cell r="H19"/>
          <cell r="I19" t="str">
            <v/>
          </cell>
          <cell r="J19" t="str">
            <v>ü</v>
          </cell>
          <cell r="K19">
            <v>46146.336111111101</v>
          </cell>
          <cell r="L19">
            <v>46146.5534722222</v>
          </cell>
          <cell r="M19">
            <v>5.2166666667326398</v>
          </cell>
          <cell r="N19" t="str">
            <v>General Repair</v>
          </cell>
        </row>
        <row r="20"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 t="str">
            <v>General Repair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 t="str">
            <v>General Repair</v>
          </cell>
        </row>
        <row r="22">
          <cell r="B22" t="str">
            <v>B5001</v>
          </cell>
          <cell r="C22"/>
          <cell r="D22" t="str">
            <v>6015B</v>
          </cell>
          <cell r="E22" t="str">
            <v>5057 - BD Hyd oil leak SMU 43521,8</v>
          </cell>
          <cell r="F22"/>
          <cell r="G22"/>
          <cell r="H22"/>
          <cell r="I22" t="str">
            <v/>
          </cell>
          <cell r="J22" t="str">
            <v>ü</v>
          </cell>
          <cell r="K22">
            <v>46146.684722222199</v>
          </cell>
          <cell r="L22">
            <v>46146.831944444399</v>
          </cell>
          <cell r="M22">
            <v>3.5333333333255701</v>
          </cell>
          <cell r="N22" t="str">
            <v>General Repair</v>
          </cell>
        </row>
        <row r="23"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 t="str">
            <v>General Repair</v>
          </cell>
        </row>
        <row r="24">
          <cell r="B24" t="str">
            <v>B5001</v>
          </cell>
          <cell r="C24"/>
          <cell r="D24" t="str">
            <v>6015B</v>
          </cell>
          <cell r="E24" t="str">
            <v>5057 - BD Hyd oil leak SMU</v>
          </cell>
          <cell r="F24"/>
          <cell r="G24"/>
          <cell r="H24"/>
          <cell r="I24" t="str">
            <v/>
          </cell>
          <cell r="J24" t="str">
            <v>ü</v>
          </cell>
          <cell r="K24">
            <v>46146.863888888904</v>
          </cell>
          <cell r="L24">
            <v>46147.043749999997</v>
          </cell>
          <cell r="M24">
            <v>4.3166666665929396</v>
          </cell>
          <cell r="N24" t="str">
            <v>General Repair</v>
          </cell>
        </row>
        <row r="25">
          <cell r="B25"/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 t="str">
            <v>General Repair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 t="str">
            <v>General Repair</v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 t="str">
            <v>General Repair</v>
          </cell>
        </row>
        <row r="28">
          <cell r="B28" t="str">
            <v>B5001</v>
          </cell>
          <cell r="C28"/>
          <cell r="D28" t="str">
            <v>6015B</v>
          </cell>
          <cell r="E28" t="str">
            <v>5057 - BD Eng oil leak SMU 43594,4</v>
          </cell>
          <cell r="F28"/>
          <cell r="G28"/>
          <cell r="H28"/>
          <cell r="I28" t="str">
            <v/>
          </cell>
          <cell r="J28" t="str">
            <v>ü</v>
          </cell>
          <cell r="K28">
            <v>46151.391666666699</v>
          </cell>
          <cell r="L28">
            <v>46151.484027777798</v>
          </cell>
          <cell r="M28">
            <v>2.2166666665580101</v>
          </cell>
          <cell r="N28" t="str">
            <v>General Repair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 t="str">
            <v>General Repair</v>
          </cell>
        </row>
        <row r="30">
          <cell r="B30"/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 t="str">
            <v>General Repair</v>
          </cell>
        </row>
        <row r="31"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 t="str">
            <v>General Repair</v>
          </cell>
        </row>
        <row r="32">
          <cell r="B32" t="str">
            <v>B5001</v>
          </cell>
          <cell r="C32"/>
          <cell r="D32" t="str">
            <v>6015B</v>
          </cell>
          <cell r="E32" t="str">
            <v>0645 - BD Grease empty SMU 43605,5</v>
          </cell>
          <cell r="F32"/>
          <cell r="G32"/>
          <cell r="H32"/>
          <cell r="I32" t="str">
            <v/>
          </cell>
          <cell r="J32" t="str">
            <v>ü</v>
          </cell>
          <cell r="K32">
            <v>46153.006249999999</v>
          </cell>
          <cell r="L32">
            <v>46153.089583333298</v>
          </cell>
          <cell r="M32">
            <v>2.0000000000582099</v>
          </cell>
          <cell r="N32" t="str">
            <v>General Repair</v>
          </cell>
        </row>
        <row r="33">
          <cell r="B33"/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 t="str">
            <v>General Repair</v>
          </cell>
        </row>
        <row r="34">
          <cell r="B34"/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 t="str">
            <v>General Repair</v>
          </cell>
        </row>
        <row r="35">
          <cell r="B35"/>
          <cell r="C35"/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 t="str">
            <v>General Repair</v>
          </cell>
        </row>
        <row r="36">
          <cell r="B36" t="str">
            <v>B5002</v>
          </cell>
          <cell r="C36"/>
          <cell r="D36" t="str">
            <v>6015B</v>
          </cell>
          <cell r="E36" t="str">
            <v>5459 - BD Swing stuck SMU 43017.3</v>
          </cell>
          <cell r="F36"/>
          <cell r="G36"/>
          <cell r="H36"/>
          <cell r="I36" t="str">
            <v/>
          </cell>
          <cell r="J36" t="str">
            <v>ü</v>
          </cell>
          <cell r="K36">
            <v>46143.5715277778</v>
          </cell>
          <cell r="L36">
            <v>46146.324999999997</v>
          </cell>
          <cell r="M36">
            <v>66.083333333255695</v>
          </cell>
          <cell r="N36" t="str">
            <v>General Repair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 t="str">
            <v>General Repair</v>
          </cell>
        </row>
        <row r="38">
          <cell r="B38"/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 t="str">
            <v>General Repair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 t="str">
            <v>General Repair</v>
          </cell>
        </row>
        <row r="40">
          <cell r="B40"/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 t="str">
            <v>General Repair</v>
          </cell>
        </row>
        <row r="41">
          <cell r="B41"/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 t="str">
            <v>General Repair</v>
          </cell>
        </row>
        <row r="42">
          <cell r="B42"/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 t="str">
            <v>General Repair</v>
          </cell>
        </row>
        <row r="43">
          <cell r="B43" t="str">
            <v>B5002</v>
          </cell>
          <cell r="C43"/>
          <cell r="D43" t="str">
            <v>6015B</v>
          </cell>
          <cell r="E43" t="str">
            <v>5057 - BD Hyd oil leak SMU 43020</v>
          </cell>
          <cell r="F43"/>
          <cell r="G43"/>
          <cell r="H43"/>
          <cell r="I43" t="str">
            <v/>
          </cell>
          <cell r="J43" t="str">
            <v>ü</v>
          </cell>
          <cell r="K43">
            <v>46146.531944444403</v>
          </cell>
          <cell r="L43">
            <v>46146.622916666704</v>
          </cell>
          <cell r="M43">
            <v>2.1833333332906499</v>
          </cell>
          <cell r="N43" t="str">
            <v>General Repair</v>
          </cell>
        </row>
        <row r="44">
          <cell r="B44" t="str">
            <v>B5002</v>
          </cell>
          <cell r="C44"/>
          <cell r="D44" t="str">
            <v>6015B</v>
          </cell>
          <cell r="E44" t="str">
            <v>5057 - BD Hyd oil leak SMU 43071</v>
          </cell>
          <cell r="F44"/>
          <cell r="G44"/>
          <cell r="H44"/>
          <cell r="I44" t="str">
            <v/>
          </cell>
          <cell r="J44" t="str">
            <v>ü</v>
          </cell>
          <cell r="K44">
            <v>46149.481249999997</v>
          </cell>
          <cell r="L44">
            <v>46149.611111111102</v>
          </cell>
          <cell r="M44">
            <v>3.1166666666977099</v>
          </cell>
          <cell r="N44" t="str">
            <v>General Repair</v>
          </cell>
        </row>
        <row r="45"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 t="str">
            <v>General Repair</v>
          </cell>
        </row>
        <row r="46">
          <cell r="B46"/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 t="str">
            <v>General Repair</v>
          </cell>
        </row>
        <row r="47">
          <cell r="B47"/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 t="str">
            <v>General Repair</v>
          </cell>
        </row>
        <row r="48">
          <cell r="B48" t="str">
            <v>B5002</v>
          </cell>
          <cell r="C48"/>
          <cell r="D48" t="str">
            <v>6015B</v>
          </cell>
          <cell r="E48" t="str">
            <v>1000 - BD Eng shutdown SMU 43099,6</v>
          </cell>
          <cell r="F48"/>
          <cell r="G48"/>
          <cell r="H48"/>
          <cell r="I48" t="str">
            <v/>
          </cell>
          <cell r="J48" t="str">
            <v>ü</v>
          </cell>
          <cell r="K48">
            <v>46151.461805555598</v>
          </cell>
          <cell r="L48">
            <v>46151.554166666698</v>
          </cell>
          <cell r="M48">
            <v>2.2166666667326398</v>
          </cell>
          <cell r="N48" t="str">
            <v>General Repair</v>
          </cell>
        </row>
        <row r="49">
          <cell r="B49"/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 t="str">
            <v>General Repair</v>
          </cell>
        </row>
        <row r="50">
          <cell r="B50"/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 t="str">
            <v>General Repair</v>
          </cell>
        </row>
        <row r="51"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 t="str">
            <v>General Repair</v>
          </cell>
        </row>
        <row r="52">
          <cell r="B52" t="str">
            <v>B5002</v>
          </cell>
          <cell r="C52"/>
          <cell r="D52" t="str">
            <v>6015B</v>
          </cell>
          <cell r="E52" t="str">
            <v>1000 - BD Eng overheat SMU 43217</v>
          </cell>
          <cell r="F52"/>
          <cell r="G52"/>
          <cell r="H52"/>
          <cell r="I52" t="str">
            <v/>
          </cell>
          <cell r="J52" t="str">
            <v>ü</v>
          </cell>
          <cell r="K52">
            <v>46153.405555555597</v>
          </cell>
          <cell r="L52">
            <v>46153.471527777801</v>
          </cell>
          <cell r="M52">
            <v>1.5833333334303501</v>
          </cell>
          <cell r="N52" t="str">
            <v>General Repair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 t="str">
            <v>General Repair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 t="str">
            <v>General Repair</v>
          </cell>
        </row>
        <row r="55">
          <cell r="B55" t="str">
            <v>B5002</v>
          </cell>
          <cell r="C55"/>
          <cell r="D55" t="str">
            <v>6015B</v>
          </cell>
          <cell r="E55" t="str">
            <v>1000 - BD Overheat SMU 43132</v>
          </cell>
          <cell r="F55"/>
          <cell r="G55"/>
          <cell r="H55"/>
          <cell r="I55" t="str">
            <v/>
          </cell>
          <cell r="J55" t="str">
            <v>ü</v>
          </cell>
          <cell r="K55">
            <v>46153.752777777801</v>
          </cell>
          <cell r="L55">
            <v>46153.920138888898</v>
          </cell>
          <cell r="M55">
            <v>4.0166666666627897</v>
          </cell>
          <cell r="N55" t="str">
            <v>General Repair</v>
          </cell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 t="str">
            <v>General Repair</v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 t="str">
            <v>General Repair</v>
          </cell>
        </row>
        <row r="58">
          <cell r="B58"/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 t="str">
            <v>General Repair</v>
          </cell>
        </row>
        <row r="59">
          <cell r="B59" t="str">
            <v>B5002</v>
          </cell>
          <cell r="C59"/>
          <cell r="D59" t="str">
            <v>6015B</v>
          </cell>
          <cell r="E59" t="str">
            <v>7510 - BD Autolube leak SMU 43147,3</v>
          </cell>
          <cell r="F59"/>
          <cell r="G59"/>
          <cell r="H59"/>
          <cell r="I59" t="str">
            <v/>
          </cell>
          <cell r="J59" t="str">
            <v>ü</v>
          </cell>
          <cell r="K59">
            <v>46154.646527777797</v>
          </cell>
          <cell r="L59">
            <v>46154.7680555556</v>
          </cell>
          <cell r="M59">
            <v>2.91666666674428</v>
          </cell>
          <cell r="N59" t="str">
            <v>General Repair</v>
          </cell>
        </row>
        <row r="60">
          <cell r="B60"/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 t="str">
            <v>General Repair</v>
          </cell>
        </row>
        <row r="61">
          <cell r="B61"/>
          <cell r="C61"/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 t="str">
            <v>General Repair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 t="str">
            <v>General Repair</v>
          </cell>
        </row>
        <row r="63">
          <cell r="B63" t="str">
            <v>B5003</v>
          </cell>
          <cell r="C63"/>
          <cell r="D63" t="str">
            <v>6015B</v>
          </cell>
          <cell r="E63" t="str">
            <v>4267 - BD Parking brake problem SMU 20837,7</v>
          </cell>
          <cell r="F63"/>
          <cell r="G63"/>
          <cell r="H63"/>
          <cell r="I63" t="str">
            <v/>
          </cell>
          <cell r="J63" t="str">
            <v>ü</v>
          </cell>
          <cell r="K63">
            <v>46147.342361111099</v>
          </cell>
          <cell r="L63">
            <v>46147.404861111099</v>
          </cell>
          <cell r="M63">
            <v>1.5</v>
          </cell>
          <cell r="N63" t="str">
            <v>General Repair</v>
          </cell>
        </row>
        <row r="64">
          <cell r="B64"/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 t="str">
            <v>General Repair</v>
          </cell>
        </row>
        <row r="65">
          <cell r="B65" t="str">
            <v>B5003</v>
          </cell>
          <cell r="C65"/>
          <cell r="D65" t="str">
            <v>6015B</v>
          </cell>
          <cell r="E65" t="str">
            <v>7320 - BD AC Problem SMU 20873</v>
          </cell>
          <cell r="F65"/>
          <cell r="G65"/>
          <cell r="H65"/>
          <cell r="I65" t="str">
            <v/>
          </cell>
          <cell r="J65" t="str">
            <v>ü</v>
          </cell>
          <cell r="K65">
            <v>46149.661111111098</v>
          </cell>
          <cell r="L65">
            <v>46150.164583333302</v>
          </cell>
          <cell r="M65">
            <v>12.0833333332557</v>
          </cell>
          <cell r="N65" t="str">
            <v>General Repair</v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 t="str">
            <v>General Repair</v>
          </cell>
        </row>
        <row r="67">
          <cell r="B67"/>
          <cell r="C67"/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 t="str">
            <v>General Repair</v>
          </cell>
        </row>
        <row r="68">
          <cell r="B68"/>
          <cell r="C68"/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 t="str">
            <v>General Repair</v>
          </cell>
        </row>
        <row r="69">
          <cell r="B69"/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 t="str">
            <v>General Repair</v>
          </cell>
        </row>
        <row r="70">
          <cell r="B70" t="str">
            <v>B5003</v>
          </cell>
          <cell r="C70"/>
          <cell r="D70" t="str">
            <v>6015B</v>
          </cell>
          <cell r="E70" t="str">
            <v>1408 - BD Swing stuck SMU 20837,7</v>
          </cell>
          <cell r="F70"/>
          <cell r="G70"/>
          <cell r="H70"/>
          <cell r="I70" t="str">
            <v/>
          </cell>
          <cell r="J70" t="str">
            <v>ü</v>
          </cell>
          <cell r="K70">
            <v>46151.364583333299</v>
          </cell>
          <cell r="L70">
            <v>46151.405555555597</v>
          </cell>
          <cell r="M70">
            <v>0.98333333322079897</v>
          </cell>
          <cell r="N70" t="str">
            <v>Routine Maintenance</v>
          </cell>
        </row>
        <row r="71">
          <cell r="B71" t="str">
            <v>E205</v>
          </cell>
          <cell r="C71"/>
          <cell r="D71" t="str">
            <v>D7G-7MB</v>
          </cell>
          <cell r="E71" t="str">
            <v>1429 - BD Work lamp off</v>
          </cell>
          <cell r="F71"/>
          <cell r="G71"/>
          <cell r="H71"/>
          <cell r="I71" t="str">
            <v/>
          </cell>
          <cell r="J71" t="str">
            <v>ü</v>
          </cell>
          <cell r="K71">
            <v>46143.445138888899</v>
          </cell>
          <cell r="L71">
            <v>46143.635416666701</v>
          </cell>
          <cell r="M71">
            <v>4.5666666665347302</v>
          </cell>
          <cell r="N71" t="str">
            <v>General Repair</v>
          </cell>
        </row>
        <row r="72">
          <cell r="B72" t="str">
            <v>E206</v>
          </cell>
          <cell r="C72"/>
          <cell r="D72" t="str">
            <v>D7G-7MB</v>
          </cell>
          <cell r="E72" t="str">
            <v>4050 - BD FInal drive leaks SMU</v>
          </cell>
          <cell r="F72"/>
          <cell r="G72"/>
          <cell r="H72"/>
          <cell r="I72" t="str">
            <v/>
          </cell>
          <cell r="J72" t="str">
            <v>ü</v>
          </cell>
          <cell r="K72">
            <v>46143</v>
          </cell>
          <cell r="L72">
            <v>46155.277777777803</v>
          </cell>
          <cell r="M72">
            <v>294.66666666674399</v>
          </cell>
          <cell r="N72" t="str">
            <v>General Repair</v>
          </cell>
        </row>
        <row r="73">
          <cell r="B73"/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 t="str">
            <v>General Repair</v>
          </cell>
        </row>
        <row r="74">
          <cell r="B74" t="str">
            <v>E208</v>
          </cell>
          <cell r="C74"/>
          <cell r="D74" t="str">
            <v>D7G-7MB</v>
          </cell>
          <cell r="E74" t="str">
            <v>Radiator Leaks</v>
          </cell>
          <cell r="F74"/>
          <cell r="G74"/>
          <cell r="H74"/>
          <cell r="I74" t="str">
            <v/>
          </cell>
          <cell r="J74" t="str">
            <v>ü</v>
          </cell>
          <cell r="K74">
            <v>46143</v>
          </cell>
          <cell r="L74">
            <v>46155.277777777803</v>
          </cell>
          <cell r="M74">
            <v>294.66666666674399</v>
          </cell>
          <cell r="N74" t="str">
            <v>Component Overhaul</v>
          </cell>
        </row>
        <row r="75">
          <cell r="B75" t="str">
            <v>E209</v>
          </cell>
          <cell r="C75"/>
          <cell r="D75" t="str">
            <v>D7G-7MB</v>
          </cell>
          <cell r="E75" t="str">
            <v>2373 - BD Work lamp off</v>
          </cell>
          <cell r="F75"/>
          <cell r="G75"/>
          <cell r="H75"/>
          <cell r="I75" t="str">
            <v/>
          </cell>
          <cell r="J75" t="str">
            <v>ü</v>
          </cell>
          <cell r="K75">
            <v>46143.653472222199</v>
          </cell>
          <cell r="L75">
            <v>46143.6875</v>
          </cell>
          <cell r="M75">
            <v>0.81666666670935195</v>
          </cell>
          <cell r="N75" t="str">
            <v>General Repair</v>
          </cell>
        </row>
        <row r="76">
          <cell r="B76" t="str">
            <v>E210</v>
          </cell>
          <cell r="C76"/>
          <cell r="D76" t="str">
            <v>D7G-7MB</v>
          </cell>
          <cell r="E76" t="str">
            <v>1357 - BD V-belt AC loose</v>
          </cell>
          <cell r="F76"/>
          <cell r="G76"/>
          <cell r="H76"/>
          <cell r="I76" t="str">
            <v/>
          </cell>
          <cell r="J76" t="str">
            <v>ü</v>
          </cell>
          <cell r="K76">
            <v>46149.309722222199</v>
          </cell>
          <cell r="L76">
            <v>46149.479166666701</v>
          </cell>
          <cell r="M76">
            <v>4.0666666666511402</v>
          </cell>
          <cell r="N76" t="str">
            <v>General Repair</v>
          </cell>
        </row>
        <row r="77">
          <cell r="B77" t="str">
            <v>RB2015</v>
          </cell>
          <cell r="C77"/>
          <cell r="D77" t="str">
            <v>320GC-DKJ</v>
          </cell>
          <cell r="E77" t="str">
            <v>79PK - BD Autolube problem SMU</v>
          </cell>
          <cell r="F77"/>
          <cell r="G77"/>
          <cell r="H77"/>
          <cell r="I77" t="str">
            <v/>
          </cell>
          <cell r="J77" t="str">
            <v>ü</v>
          </cell>
          <cell r="K77">
            <v>46147.773611111101</v>
          </cell>
          <cell r="L77">
            <v>46147.9152777778</v>
          </cell>
          <cell r="M77">
            <v>3.4000000000814898</v>
          </cell>
          <cell r="N77" t="str">
            <v>Inspection</v>
          </cell>
        </row>
        <row r="78">
          <cell r="B78"/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 t="str">
            <v>Inspection</v>
          </cell>
        </row>
        <row r="79">
          <cell r="B79"/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 t="str">
            <v>Inspection</v>
          </cell>
        </row>
        <row r="80">
          <cell r="B80"/>
          <cell r="C80"/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 t="str">
            <v>Inspection</v>
          </cell>
        </row>
        <row r="81">
          <cell r="B81" t="str">
            <v>RB2015</v>
          </cell>
          <cell r="C81"/>
          <cell r="D81" t="str">
            <v>320GC-DKJ</v>
          </cell>
          <cell r="E81" t="str">
            <v>7500 - RM 250 HRS + BACKLOGS (W19) SMU 6154,8</v>
          </cell>
          <cell r="F81"/>
          <cell r="G81"/>
          <cell r="H81"/>
          <cell r="I81" t="str">
            <v>ü</v>
          </cell>
          <cell r="J81" t="str">
            <v/>
          </cell>
          <cell r="K81">
            <v>46150.394444444399</v>
          </cell>
          <cell r="L81">
            <v>46150.436111111099</v>
          </cell>
          <cell r="M81">
            <v>1.00000000011642</v>
          </cell>
          <cell r="N81" t="str">
            <v>Routine Maintenance</v>
          </cell>
        </row>
        <row r="82">
          <cell r="B82" t="str">
            <v>RB2016</v>
          </cell>
          <cell r="C82"/>
          <cell r="D82" t="str">
            <v>320GC-DKJ</v>
          </cell>
          <cell r="E82" t="str">
            <v>5459 - BD Swing drive noise + 7526 - PM 1000 HRS +  ADJUST VALVE + BACKLOGS (W14) SMU 9603,5</v>
          </cell>
          <cell r="F82"/>
          <cell r="G82"/>
          <cell r="H82"/>
          <cell r="I82" t="str">
            <v>ü</v>
          </cell>
          <cell r="J82" t="str">
            <v/>
          </cell>
          <cell r="K82">
            <v>46143</v>
          </cell>
          <cell r="L82">
            <v>46144.265277777798</v>
          </cell>
          <cell r="M82">
            <v>30.3666666666395</v>
          </cell>
          <cell r="N82" t="str">
            <v>General Repair</v>
          </cell>
        </row>
        <row r="83">
          <cell r="B83" t="str">
            <v>RB2016</v>
          </cell>
          <cell r="C83"/>
          <cell r="D83" t="str">
            <v>320GC-DKJ</v>
          </cell>
          <cell r="E83" t="str">
            <v>4158 - BD LH track low tension SMU 9750,5</v>
          </cell>
          <cell r="F83"/>
          <cell r="G83"/>
          <cell r="H83"/>
          <cell r="I83" t="str">
            <v/>
          </cell>
          <cell r="J83" t="str">
            <v>ü</v>
          </cell>
          <cell r="K83">
            <v>46154.851388888899</v>
          </cell>
          <cell r="L83">
            <v>46155.277777777803</v>
          </cell>
          <cell r="M83">
            <v>10.2333333333372</v>
          </cell>
          <cell r="N83" t="str">
            <v>General Repair</v>
          </cell>
        </row>
        <row r="84">
          <cell r="B84"/>
          <cell r="C84"/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 t="str">
            <v>General Repair</v>
          </cell>
        </row>
        <row r="85">
          <cell r="B85"/>
          <cell r="C85"/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 t="str">
            <v>General Repair</v>
          </cell>
        </row>
        <row r="86">
          <cell r="B86"/>
          <cell r="C86"/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 t="str">
            <v>General Repair</v>
          </cell>
        </row>
        <row r="87">
          <cell r="B87" t="str">
            <v>RB2017</v>
          </cell>
          <cell r="C87"/>
          <cell r="D87" t="str">
            <v>320GC-DKJ</v>
          </cell>
          <cell r="E87" t="str">
            <v>7500 - RM 250 HRS + BACKLOGS (W18) SMU 9042</v>
          </cell>
          <cell r="F87"/>
          <cell r="G87"/>
          <cell r="H87"/>
          <cell r="I87" t="str">
            <v>ü</v>
          </cell>
          <cell r="J87" t="str">
            <v/>
          </cell>
          <cell r="K87">
            <v>46143.615277777797</v>
          </cell>
          <cell r="L87">
            <v>46143.656944444403</v>
          </cell>
          <cell r="M87">
            <v>1.00000000011642</v>
          </cell>
          <cell r="N87" t="str">
            <v>Routine Maintenance</v>
          </cell>
        </row>
        <row r="88">
          <cell r="B88" t="str">
            <v>RB2017</v>
          </cell>
          <cell r="C88"/>
          <cell r="D88" t="str">
            <v>320GC-DKJ</v>
          </cell>
          <cell r="E88" t="str">
            <v>4170 - BD LH track loose SMU 9103,3</v>
          </cell>
          <cell r="F88"/>
          <cell r="G88"/>
          <cell r="H88"/>
          <cell r="I88" t="str">
            <v/>
          </cell>
          <cell r="J88" t="str">
            <v>ü</v>
          </cell>
          <cell r="K88">
            <v>46146.8125</v>
          </cell>
          <cell r="L88">
            <v>46147.095138888901</v>
          </cell>
          <cell r="M88">
            <v>6.7833333332673602</v>
          </cell>
          <cell r="N88" t="str">
            <v>General Repair</v>
          </cell>
        </row>
        <row r="89">
          <cell r="B89"/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 t="str">
            <v>General Repair</v>
          </cell>
        </row>
        <row r="90">
          <cell r="B90" t="str">
            <v>RB2017</v>
          </cell>
          <cell r="C90"/>
          <cell r="D90" t="str">
            <v>320GC-DKJ</v>
          </cell>
          <cell r="E90" t="str">
            <v>4170 - BD Track link problem SMU 9126,6</v>
          </cell>
          <cell r="F90"/>
          <cell r="G90"/>
          <cell r="H90"/>
          <cell r="I90" t="str">
            <v/>
          </cell>
          <cell r="J90" t="str">
            <v>ü</v>
          </cell>
          <cell r="K90">
            <v>46148.603472222203</v>
          </cell>
          <cell r="L90">
            <v>46149.3125</v>
          </cell>
          <cell r="M90">
            <v>17.0166666666046</v>
          </cell>
          <cell r="N90" t="str">
            <v>General Repair</v>
          </cell>
        </row>
        <row r="91">
          <cell r="B91"/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 t="str">
            <v>General Repair</v>
          </cell>
        </row>
        <row r="92">
          <cell r="B92"/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 t="str">
            <v>General Repair</v>
          </cell>
        </row>
        <row r="93">
          <cell r="B93"/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 t="str">
            <v>General Repair</v>
          </cell>
        </row>
        <row r="94">
          <cell r="B94" t="str">
            <v>RB2017</v>
          </cell>
          <cell r="C94"/>
          <cell r="D94" t="str">
            <v>320GC-DKJ</v>
          </cell>
          <cell r="E94" t="str">
            <v>5057 - BD Hyd oil leak - Accident SMU 9126,6</v>
          </cell>
          <cell r="F94"/>
          <cell r="G94"/>
          <cell r="H94"/>
          <cell r="I94" t="str">
            <v/>
          </cell>
          <cell r="J94" t="str">
            <v>ü</v>
          </cell>
          <cell r="K94">
            <v>46152.469444444403</v>
          </cell>
          <cell r="L94">
            <v>46153.191666666702</v>
          </cell>
          <cell r="M94">
            <v>17.333333333255698</v>
          </cell>
          <cell r="N94" t="str">
            <v>General Repair</v>
          </cell>
        </row>
        <row r="95">
          <cell r="B95"/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 t="str">
            <v>General Repair</v>
          </cell>
        </row>
        <row r="96">
          <cell r="B96" t="str">
            <v>RB2019</v>
          </cell>
          <cell r="C96"/>
          <cell r="D96" t="str">
            <v>320GC-DKJ</v>
          </cell>
          <cell r="E96" t="str">
            <v>7500 - RM 250 HRS + BACKLOGS (W20) SMU 5912,5</v>
          </cell>
          <cell r="F96"/>
          <cell r="G96"/>
          <cell r="H96"/>
          <cell r="I96" t="str">
            <v>ü</v>
          </cell>
          <cell r="J96" t="str">
            <v/>
          </cell>
          <cell r="K96">
            <v>46152.590277777803</v>
          </cell>
          <cell r="L96">
            <v>46152.609722222202</v>
          </cell>
          <cell r="M96">
            <v>0.46666666661622003</v>
          </cell>
          <cell r="N96" t="str">
            <v>Routine Maintenance</v>
          </cell>
        </row>
        <row r="97">
          <cell r="B97" t="str">
            <v>RB2020</v>
          </cell>
          <cell r="C97"/>
          <cell r="D97" t="str">
            <v>320GC-DKJ</v>
          </cell>
          <cell r="E97" t="str">
            <v>5457 - BD Rod cyl bucket crack SMU 6568,6</v>
          </cell>
          <cell r="F97"/>
          <cell r="G97"/>
          <cell r="H97"/>
          <cell r="I97" t="str">
            <v/>
          </cell>
          <cell r="J97" t="str">
            <v>ü</v>
          </cell>
          <cell r="K97">
            <v>46144.447916666701</v>
          </cell>
          <cell r="L97">
            <v>46146.698611111096</v>
          </cell>
          <cell r="M97">
            <v>54.016666666721001</v>
          </cell>
          <cell r="N97" t="str">
            <v>General Repair</v>
          </cell>
        </row>
        <row r="98">
          <cell r="B98"/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 t="str">
            <v>General Repair</v>
          </cell>
        </row>
        <row r="99">
          <cell r="B99"/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 t="str">
            <v>General Repair</v>
          </cell>
        </row>
        <row r="100">
          <cell r="B100"/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 t="str">
            <v>General Repair</v>
          </cell>
        </row>
        <row r="101">
          <cell r="B101"/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 t="str">
            <v>General Repair</v>
          </cell>
        </row>
        <row r="102">
          <cell r="B102" t="str">
            <v>RB2020</v>
          </cell>
          <cell r="C102"/>
          <cell r="D102" t="str">
            <v>320GC-DKJ</v>
          </cell>
          <cell r="E102" t="str">
            <v>4170 - BL Master pin track loose SMU 6642,5</v>
          </cell>
          <cell r="F102"/>
          <cell r="G102"/>
          <cell r="H102"/>
          <cell r="I102" t="str">
            <v/>
          </cell>
          <cell r="J102" t="str">
            <v>ü</v>
          </cell>
          <cell r="K102">
            <v>46150.414583333302</v>
          </cell>
          <cell r="L102">
            <v>46150.439583333296</v>
          </cell>
          <cell r="M102">
            <v>0.60000000003492504</v>
          </cell>
          <cell r="N102" t="str">
            <v>General Repair</v>
          </cell>
        </row>
        <row r="103">
          <cell r="B103"/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 t="str">
            <v>General Repair</v>
          </cell>
        </row>
        <row r="104">
          <cell r="B104" t="str">
            <v>RB2020</v>
          </cell>
          <cell r="C104"/>
          <cell r="D104" t="str">
            <v>320GC-DKJ</v>
          </cell>
          <cell r="E104" t="str">
            <v>7527 - PM 2000 HRS +  ADJUST VALVE + BACKLOGS (W16) SMU 6659,6</v>
          </cell>
          <cell r="F104"/>
          <cell r="G104"/>
          <cell r="H104"/>
          <cell r="I104" t="str">
            <v>ü</v>
          </cell>
          <cell r="J104" t="str">
            <v/>
          </cell>
          <cell r="K104">
            <v>46151.464583333298</v>
          </cell>
          <cell r="L104">
            <v>46154.527083333298</v>
          </cell>
          <cell r="M104">
            <v>73.5</v>
          </cell>
          <cell r="N104" t="str">
            <v>Servicing</v>
          </cell>
        </row>
        <row r="105"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 t="str">
            <v>Servicing</v>
          </cell>
        </row>
        <row r="106">
          <cell r="B106"/>
          <cell r="C106"/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 t="str">
            <v>Servicing</v>
          </cell>
        </row>
        <row r="107">
          <cell r="B107"/>
          <cell r="C107"/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 t="str">
            <v>Servicing</v>
          </cell>
        </row>
        <row r="108">
          <cell r="B108"/>
          <cell r="C108"/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 t="str">
            <v>Servicing</v>
          </cell>
        </row>
        <row r="109">
          <cell r="B109" t="str">
            <v>RB2021</v>
          </cell>
          <cell r="C109"/>
          <cell r="D109" t="str">
            <v>320GC-DKJ</v>
          </cell>
          <cell r="E109" t="str">
            <v>4180 - BD Track roller loose SMU</v>
          </cell>
          <cell r="F109"/>
          <cell r="G109"/>
          <cell r="H109"/>
          <cell r="I109" t="str">
            <v/>
          </cell>
          <cell r="J109" t="str">
            <v>ü</v>
          </cell>
          <cell r="K109">
            <v>46149.261111111096</v>
          </cell>
          <cell r="L109">
            <v>46149.3125</v>
          </cell>
          <cell r="M109">
            <v>1.2333333333372101</v>
          </cell>
          <cell r="N109" t="str">
            <v>General Repair</v>
          </cell>
        </row>
        <row r="110">
          <cell r="B110"/>
          <cell r="C110"/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 t="str">
            <v>General Repair</v>
          </cell>
        </row>
        <row r="111">
          <cell r="B111" t="str">
            <v>RB2021</v>
          </cell>
          <cell r="C111"/>
          <cell r="D111" t="str">
            <v>320GC-DKJ</v>
          </cell>
          <cell r="E111" t="str">
            <v>6001 - BD Replace bucket to std silet SMU 5924,9</v>
          </cell>
          <cell r="F111"/>
          <cell r="G111"/>
          <cell r="H111"/>
          <cell r="I111" t="str">
            <v/>
          </cell>
          <cell r="J111" t="str">
            <v>ü</v>
          </cell>
          <cell r="K111">
            <v>46155.15</v>
          </cell>
          <cell r="L111">
            <v>46155.195138888899</v>
          </cell>
          <cell r="M111">
            <v>1.08333333337214</v>
          </cell>
          <cell r="N111" t="str">
            <v>General Repair</v>
          </cell>
        </row>
        <row r="112">
          <cell r="B112"/>
          <cell r="C112"/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 t="str">
            <v>General Repair</v>
          </cell>
        </row>
        <row r="113">
          <cell r="B113" t="str">
            <v>RB2022</v>
          </cell>
          <cell r="C113"/>
          <cell r="D113" t="str">
            <v>320GC-DKJ</v>
          </cell>
          <cell r="E113" t="str">
            <v>1401 - BD Eng low powr SMU 12490,4</v>
          </cell>
          <cell r="F113"/>
          <cell r="G113"/>
          <cell r="H113"/>
          <cell r="I113" t="str">
            <v/>
          </cell>
          <cell r="J113" t="str">
            <v>ü</v>
          </cell>
          <cell r="K113">
            <v>46149.3125</v>
          </cell>
          <cell r="L113">
            <v>46149.493750000001</v>
          </cell>
          <cell r="M113">
            <v>4.3500000000349202</v>
          </cell>
          <cell r="N113" t="str">
            <v>General Repair</v>
          </cell>
        </row>
        <row r="114">
          <cell r="B114"/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 t="str">
            <v>General Repair</v>
          </cell>
        </row>
        <row r="115">
          <cell r="B115"/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 t="str">
            <v>General Repair</v>
          </cell>
        </row>
        <row r="116">
          <cell r="B116" t="str">
            <v>RB2022</v>
          </cell>
          <cell r="C116"/>
          <cell r="D116" t="str">
            <v>320GC-DKJ</v>
          </cell>
          <cell r="E116" t="str">
            <v>7500 - RM 250 HRS + BACKLOGS (W19) SMU 12500,8</v>
          </cell>
          <cell r="F116"/>
          <cell r="G116"/>
          <cell r="H116"/>
          <cell r="I116" t="str">
            <v>ü</v>
          </cell>
          <cell r="J116" t="str">
            <v/>
          </cell>
          <cell r="K116">
            <v>46150.3972222222</v>
          </cell>
          <cell r="L116">
            <v>46150.438888888901</v>
          </cell>
          <cell r="M116">
            <v>0.99999999994179201</v>
          </cell>
          <cell r="N116" t="str">
            <v>Routine Maintenance</v>
          </cell>
        </row>
        <row r="117">
          <cell r="B117" t="str">
            <v>RB2023</v>
          </cell>
          <cell r="C117"/>
          <cell r="D117" t="str">
            <v>320GC-DKJ</v>
          </cell>
          <cell r="E117" t="str">
            <v>5057 - BD Hyd oil leak SMU 7964,5</v>
          </cell>
          <cell r="F117"/>
          <cell r="G117"/>
          <cell r="H117"/>
          <cell r="I117" t="str">
            <v/>
          </cell>
          <cell r="J117" t="str">
            <v>ü</v>
          </cell>
          <cell r="K117">
            <v>46143.360416666699</v>
          </cell>
          <cell r="L117">
            <v>46143.738888888904</v>
          </cell>
          <cell r="M117">
            <v>9.0833333332557196</v>
          </cell>
          <cell r="N117" t="str">
            <v>General Repair</v>
          </cell>
        </row>
        <row r="118">
          <cell r="B118"/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 t="str">
            <v>General Repair</v>
          </cell>
        </row>
        <row r="119">
          <cell r="B119"/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 t="str">
            <v>General Repair</v>
          </cell>
        </row>
        <row r="120">
          <cell r="B120"/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 t="str">
            <v>General Repair</v>
          </cell>
        </row>
        <row r="121">
          <cell r="B121"/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 t="str">
            <v>General Repair</v>
          </cell>
        </row>
        <row r="122">
          <cell r="B122" t="str">
            <v>RB2024</v>
          </cell>
          <cell r="C122"/>
          <cell r="D122" t="str">
            <v>320GC-DKJ</v>
          </cell>
          <cell r="E122" t="str">
            <v>7500 - RM 250 HRS + CONTINUE PM1000 + BACKLOGS (W19) SMU 12449,6</v>
          </cell>
          <cell r="F122"/>
          <cell r="G122"/>
          <cell r="H122"/>
          <cell r="I122" t="str">
            <v>ü</v>
          </cell>
          <cell r="J122" t="str">
            <v/>
          </cell>
          <cell r="K122">
            <v>46148.336805555598</v>
          </cell>
          <cell r="L122">
            <v>46150.844444444403</v>
          </cell>
          <cell r="M122">
            <v>60.183333333407099</v>
          </cell>
          <cell r="N122" t="str">
            <v>Routine Maintenance</v>
          </cell>
        </row>
        <row r="123">
          <cell r="B123"/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 t="str">
            <v>Routine Maintenance</v>
          </cell>
        </row>
        <row r="124">
          <cell r="B124"/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 t="str">
            <v>Routine Maintenance</v>
          </cell>
        </row>
        <row r="125">
          <cell r="B125"/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 t="str">
            <v>Routine Maintenance</v>
          </cell>
        </row>
        <row r="126">
          <cell r="B126"/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 t="str">
            <v>Routine Maintenance</v>
          </cell>
        </row>
        <row r="127">
          <cell r="B127"/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 t="str">
            <v>Routine Maintenance</v>
          </cell>
        </row>
        <row r="128">
          <cell r="B128"/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 t="str">
            <v>Routine Maintenance</v>
          </cell>
        </row>
        <row r="129">
          <cell r="B129"/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 t="str">
            <v>Routine Maintenance</v>
          </cell>
        </row>
        <row r="130">
          <cell r="B130" t="str">
            <v>RB2024</v>
          </cell>
          <cell r="C130"/>
          <cell r="D130" t="str">
            <v>320GC-DKJ</v>
          </cell>
          <cell r="E130" t="str">
            <v>7525 - PM 500 HRS + BACKLOGS (W20) SMU 12515,2</v>
          </cell>
          <cell r="F130"/>
          <cell r="G130"/>
          <cell r="H130"/>
          <cell r="I130" t="str">
            <v>ü</v>
          </cell>
          <cell r="J130" t="str">
            <v/>
          </cell>
          <cell r="K130">
            <v>46155.149305555598</v>
          </cell>
          <cell r="L130">
            <v>46155.176388888904</v>
          </cell>
          <cell r="M130">
            <v>0.65000000002328295</v>
          </cell>
          <cell r="N130" t="str">
            <v>Servicing</v>
          </cell>
        </row>
        <row r="131"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 t="str">
            <v>Servicing</v>
          </cell>
        </row>
        <row r="132">
          <cell r="B132" t="str">
            <v>RB2025</v>
          </cell>
          <cell r="C132"/>
          <cell r="D132" t="str">
            <v>320GC-DKJ</v>
          </cell>
          <cell r="E132" t="str">
            <v>1261 - BD Engine low power SMU 11256,7</v>
          </cell>
          <cell r="F132"/>
          <cell r="G132"/>
          <cell r="H132"/>
          <cell r="I132" t="str">
            <v/>
          </cell>
          <cell r="J132" t="str">
            <v>ü</v>
          </cell>
          <cell r="K132">
            <v>46143.422222222202</v>
          </cell>
          <cell r="L132">
            <v>46143.641666666699</v>
          </cell>
          <cell r="M132">
            <v>5.2666666667209903</v>
          </cell>
          <cell r="N132" t="str">
            <v>General Repair</v>
          </cell>
        </row>
        <row r="133"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 t="str">
            <v>General Repair</v>
          </cell>
        </row>
        <row r="134"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 t="str">
            <v>General Repair</v>
          </cell>
        </row>
        <row r="135">
          <cell r="B135"/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 t="str">
            <v>General Repair</v>
          </cell>
        </row>
        <row r="136">
          <cell r="B136" t="str">
            <v>RB2026</v>
          </cell>
          <cell r="C136"/>
          <cell r="D136" t="str">
            <v>320GC-DKJ</v>
          </cell>
          <cell r="E136" t="str">
            <v>7527 - PM 2000 HRS +  ADJUST VALVE + BACKLOGS (W15) SMU 8732.8</v>
          </cell>
          <cell r="F136"/>
          <cell r="G136"/>
          <cell r="H136"/>
          <cell r="I136" t="str">
            <v>ü</v>
          </cell>
          <cell r="J136" t="str">
            <v/>
          </cell>
          <cell r="K136">
            <v>46143</v>
          </cell>
          <cell r="L136">
            <v>46148.737500000003</v>
          </cell>
          <cell r="M136">
            <v>137.70000000006999</v>
          </cell>
          <cell r="N136" t="str">
            <v>Servicing</v>
          </cell>
        </row>
        <row r="137">
          <cell r="B137"/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 t="str">
            <v>Servicing</v>
          </cell>
        </row>
        <row r="138">
          <cell r="B138"/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 t="str">
            <v>Servicing</v>
          </cell>
        </row>
        <row r="139">
          <cell r="B139"/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 t="str">
            <v>Servicing</v>
          </cell>
        </row>
        <row r="140">
          <cell r="B140"/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 t="str">
            <v>Servicing</v>
          </cell>
        </row>
        <row r="141">
          <cell r="B141" t="str">
            <v>RB2026</v>
          </cell>
          <cell r="C141"/>
          <cell r="D141" t="str">
            <v>320GC-DKJ</v>
          </cell>
          <cell r="E141" t="str">
            <v>4351 - BD Final drive leak SMU 8737,5</v>
          </cell>
          <cell r="F141"/>
          <cell r="G141"/>
          <cell r="H141"/>
          <cell r="I141" t="str">
            <v/>
          </cell>
          <cell r="J141" t="str">
            <v>ü</v>
          </cell>
          <cell r="K141">
            <v>46148.880555555603</v>
          </cell>
          <cell r="L141">
            <v>46149.510416666701</v>
          </cell>
          <cell r="M141">
            <v>15.1166666665231</v>
          </cell>
          <cell r="N141" t="str">
            <v>Inspection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 t="str">
            <v>Inspection</v>
          </cell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 t="str">
            <v>Inspection</v>
          </cell>
        </row>
        <row r="144"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 t="str">
            <v>Inspection</v>
          </cell>
        </row>
        <row r="145">
          <cell r="B145" t="str">
            <v>RB2027</v>
          </cell>
          <cell r="C145"/>
          <cell r="D145" t="str">
            <v>320GC-DKJ</v>
          </cell>
          <cell r="E145" t="str">
            <v>5457 - BD Cylinder bucket crack SMU 5419</v>
          </cell>
          <cell r="F145"/>
          <cell r="G145"/>
          <cell r="H145"/>
          <cell r="I145" t="str">
            <v/>
          </cell>
          <cell r="J145" t="str">
            <v>ü</v>
          </cell>
          <cell r="K145">
            <v>46143.6694444444</v>
          </cell>
          <cell r="L145">
            <v>46144.681944444397</v>
          </cell>
          <cell r="M145">
            <v>24.299999999930201</v>
          </cell>
          <cell r="N145" t="str">
            <v>Inspection</v>
          </cell>
        </row>
        <row r="146"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 t="str">
            <v>Inspection</v>
          </cell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 t="str">
            <v>Inspection</v>
          </cell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 t="str">
            <v>Inspection</v>
          </cell>
        </row>
        <row r="149">
          <cell r="B149" t="str">
            <v>RB2028</v>
          </cell>
          <cell r="C149"/>
          <cell r="D149" t="str">
            <v>320GC-DKJ</v>
          </cell>
          <cell r="E149" t="str">
            <v>2373 - BD Worklamp off SMU 17060,1</v>
          </cell>
          <cell r="F149"/>
          <cell r="G149"/>
          <cell r="H149"/>
          <cell r="I149" t="str">
            <v/>
          </cell>
          <cell r="J149" t="str">
            <v>ü</v>
          </cell>
          <cell r="K149">
            <v>46151.238194444399</v>
          </cell>
          <cell r="L149">
            <v>46151.3125</v>
          </cell>
          <cell r="M149">
            <v>1.78333333338378</v>
          </cell>
          <cell r="N149" t="str">
            <v>General Repair</v>
          </cell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 t="str">
            <v>General Repair</v>
          </cell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 t="str">
            <v>General Repair</v>
          </cell>
        </row>
        <row r="152">
          <cell r="B152" t="str">
            <v>RB2028</v>
          </cell>
          <cell r="C152"/>
          <cell r="D152" t="str">
            <v>320GC-DKJ</v>
          </cell>
          <cell r="E152" t="str">
            <v>7525 - PM 500 HRS + BACKLOGS (W19) SMU 17053</v>
          </cell>
          <cell r="F152"/>
          <cell r="G152"/>
          <cell r="H152"/>
          <cell r="I152" t="str">
            <v>ü</v>
          </cell>
          <cell r="J152" t="str">
            <v/>
          </cell>
          <cell r="K152">
            <v>46152.8881944444</v>
          </cell>
          <cell r="L152">
            <v>46152.95</v>
          </cell>
          <cell r="M152">
            <v>1.48333333327901</v>
          </cell>
          <cell r="N152" t="str">
            <v>Servicing</v>
          </cell>
        </row>
        <row r="153">
          <cell r="B153" t="str">
            <v>RB2029</v>
          </cell>
          <cell r="C153"/>
          <cell r="D153" t="str">
            <v>320GC-DKJ</v>
          </cell>
          <cell r="E153" t="str">
            <v>4050 - BD Track low power SMU 9585,6</v>
          </cell>
          <cell r="F153"/>
          <cell r="G153"/>
          <cell r="H153"/>
          <cell r="I153" t="str">
            <v/>
          </cell>
          <cell r="J153" t="str">
            <v>ü</v>
          </cell>
          <cell r="K153">
            <v>46143</v>
          </cell>
          <cell r="L153">
            <v>46144.238194444399</v>
          </cell>
          <cell r="M153">
            <v>29.716666666616199</v>
          </cell>
          <cell r="N153" t="str">
            <v>Inspection</v>
          </cell>
        </row>
        <row r="154"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 t="str">
            <v>Inspection</v>
          </cell>
        </row>
        <row r="155"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 t="str">
            <v>Inspection</v>
          </cell>
        </row>
        <row r="156"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 t="str">
            <v>Inspection</v>
          </cell>
        </row>
        <row r="157">
          <cell r="B157" t="str">
            <v>RB2029</v>
          </cell>
          <cell r="C157"/>
          <cell r="D157" t="str">
            <v>320GC-DKJ</v>
          </cell>
          <cell r="E157" t="str">
            <v>7525 - PM 500 HRS + BACKLOGS (W18) SMU 9626</v>
          </cell>
          <cell r="F157"/>
          <cell r="G157"/>
          <cell r="H157"/>
          <cell r="I157" t="str">
            <v>ü</v>
          </cell>
          <cell r="J157" t="str">
            <v/>
          </cell>
          <cell r="K157">
            <v>46145.457638888904</v>
          </cell>
          <cell r="L157">
            <v>46145.495138888902</v>
          </cell>
          <cell r="M157">
            <v>0.89999999996507496</v>
          </cell>
          <cell r="N157" t="str">
            <v>Servicing</v>
          </cell>
        </row>
        <row r="158">
          <cell r="B158"/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 t="str">
            <v>Servicing</v>
          </cell>
        </row>
        <row r="159">
          <cell r="B159" t="str">
            <v>RB2029</v>
          </cell>
          <cell r="C159"/>
          <cell r="D159" t="str">
            <v>320GC-DKJ</v>
          </cell>
          <cell r="E159" t="str">
            <v>4170 - BD LH pin master track link loose SMU 9659,7</v>
          </cell>
          <cell r="F159"/>
          <cell r="G159"/>
          <cell r="H159"/>
          <cell r="I159" t="str">
            <v/>
          </cell>
          <cell r="J159" t="str">
            <v>ü</v>
          </cell>
          <cell r="K159">
            <v>46148.615277777797</v>
          </cell>
          <cell r="L159">
            <v>46149.520833333299</v>
          </cell>
          <cell r="M159">
            <v>21.733333333453601</v>
          </cell>
          <cell r="N159" t="str">
            <v>Inspection</v>
          </cell>
        </row>
        <row r="160">
          <cell r="B160"/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 t="str">
            <v>Inspection</v>
          </cell>
        </row>
        <row r="161">
          <cell r="B161"/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 t="str">
            <v>Inspection</v>
          </cell>
        </row>
        <row r="162">
          <cell r="B162"/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 t="str">
            <v>Inspection</v>
          </cell>
        </row>
        <row r="163">
          <cell r="B163" t="str">
            <v>RB2029</v>
          </cell>
          <cell r="C163"/>
          <cell r="D163" t="str">
            <v>320GC-DKJ</v>
          </cell>
          <cell r="E163" t="str">
            <v>4170 - BD Track low tension SMU 9669,3</v>
          </cell>
          <cell r="F163"/>
          <cell r="G163"/>
          <cell r="H163"/>
          <cell r="I163" t="str">
            <v/>
          </cell>
          <cell r="J163" t="str">
            <v>ü</v>
          </cell>
          <cell r="K163">
            <v>46150.088888888902</v>
          </cell>
          <cell r="L163">
            <v>46150.402083333298</v>
          </cell>
          <cell r="M163">
            <v>7.5166666667209903</v>
          </cell>
          <cell r="N163" t="str">
            <v>General Repair</v>
          </cell>
        </row>
        <row r="164"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 t="str">
            <v>General Repair</v>
          </cell>
        </row>
        <row r="165">
          <cell r="B165"/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 t="str">
            <v>General Repair</v>
          </cell>
        </row>
        <row r="166">
          <cell r="B166"/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 t="str">
            <v>General Repair</v>
          </cell>
        </row>
        <row r="167">
          <cell r="B167" t="str">
            <v>RB2029</v>
          </cell>
          <cell r="C167"/>
          <cell r="D167" t="str">
            <v>320GC-DKJ</v>
          </cell>
          <cell r="E167" t="str">
            <v>5057 - BD Hyd oil leak SMU 9696</v>
          </cell>
          <cell r="F167"/>
          <cell r="G167"/>
          <cell r="H167"/>
          <cell r="I167" t="str">
            <v/>
          </cell>
          <cell r="J167" t="str">
            <v>ü</v>
          </cell>
          <cell r="K167">
            <v>46152.436805555597</v>
          </cell>
          <cell r="L167">
            <v>46152.730555555601</v>
          </cell>
          <cell r="M167">
            <v>7.0500000001047702</v>
          </cell>
          <cell r="N167" t="str">
            <v>General Repair</v>
          </cell>
        </row>
        <row r="168">
          <cell r="B168"/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 t="str">
            <v>General Repair</v>
          </cell>
        </row>
        <row r="169">
          <cell r="B169"/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 t="str">
            <v>General Repair</v>
          </cell>
        </row>
        <row r="170">
          <cell r="B170"/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 t="str">
            <v>General Repair</v>
          </cell>
        </row>
        <row r="171">
          <cell r="B171"/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 t="str">
            <v>General Repair</v>
          </cell>
        </row>
        <row r="172">
          <cell r="B172" t="str">
            <v>RB2030</v>
          </cell>
          <cell r="C172"/>
          <cell r="D172" t="str">
            <v>320GC-DKJ</v>
          </cell>
          <cell r="E172" t="str">
            <v>4155 - BD LH Bolt sprocket SMU 9610</v>
          </cell>
          <cell r="F172"/>
          <cell r="G172"/>
          <cell r="H172"/>
          <cell r="I172" t="str">
            <v/>
          </cell>
          <cell r="J172" t="str">
            <v>ü</v>
          </cell>
          <cell r="K172">
            <v>46143.665972222203</v>
          </cell>
          <cell r="L172">
            <v>46143.977083333302</v>
          </cell>
          <cell r="M172">
            <v>7.4666666665580097</v>
          </cell>
          <cell r="N172" t="str">
            <v>Inspection</v>
          </cell>
        </row>
        <row r="173"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 t="str">
            <v>Inspection</v>
          </cell>
        </row>
        <row r="174">
          <cell r="B174" t="str">
            <v>RB2031</v>
          </cell>
          <cell r="C174"/>
          <cell r="D174" t="str">
            <v>320GC-DKJ</v>
          </cell>
          <cell r="E174" t="str">
            <v>7525 - PM 500 HRS + BACKLOGS (W20) SMU 10088,1</v>
          </cell>
          <cell r="F174"/>
          <cell r="G174"/>
          <cell r="H174"/>
          <cell r="I174" t="str">
            <v/>
          </cell>
          <cell r="J174" t="str">
            <v/>
          </cell>
          <cell r="K174">
            <v>46155.086111111101</v>
          </cell>
          <cell r="L174">
            <v>46155.129166666702</v>
          </cell>
          <cell r="M174">
            <v>1.03333333338378</v>
          </cell>
          <cell r="N174" t="str">
            <v>Servicing</v>
          </cell>
        </row>
        <row r="175">
          <cell r="B175"/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 t="str">
            <v>Servicing</v>
          </cell>
        </row>
        <row r="176">
          <cell r="B176"/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  <cell r="N176" t="str">
            <v>Servicing</v>
          </cell>
        </row>
        <row r="177">
          <cell r="B177"/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 t="str">
            <v>Servicing</v>
          </cell>
        </row>
        <row r="178">
          <cell r="B178" t="str">
            <v>RB2032</v>
          </cell>
          <cell r="C178"/>
          <cell r="D178" t="str">
            <v>320GC-DKJ</v>
          </cell>
          <cell r="E178" t="str">
            <v>4177 - BD Track stuck SMU 10638</v>
          </cell>
          <cell r="F178"/>
          <cell r="G178"/>
          <cell r="H178"/>
          <cell r="I178" t="str">
            <v/>
          </cell>
          <cell r="J178" t="str">
            <v>ü</v>
          </cell>
          <cell r="K178">
            <v>46144.828472222202</v>
          </cell>
          <cell r="L178">
            <v>46144.95</v>
          </cell>
          <cell r="M178">
            <v>2.9166666665696499</v>
          </cell>
          <cell r="N178" t="str">
            <v>Inspection</v>
          </cell>
        </row>
        <row r="179">
          <cell r="B179"/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 t="str">
            <v>Inspection</v>
          </cell>
        </row>
        <row r="180">
          <cell r="B180"/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 t="str">
            <v>Inspection</v>
          </cell>
        </row>
        <row r="181">
          <cell r="B181"/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 t="str">
            <v>Inspection</v>
          </cell>
        </row>
        <row r="182">
          <cell r="B182"/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 t="str">
            <v>Inspection</v>
          </cell>
        </row>
        <row r="183">
          <cell r="B183" t="str">
            <v>RB2032</v>
          </cell>
          <cell r="C183"/>
          <cell r="D183" t="str">
            <v>320GC-DKJ</v>
          </cell>
          <cell r="E183" t="str">
            <v>1411 - BD Engine wont start SMU 10693,7</v>
          </cell>
          <cell r="F183"/>
          <cell r="G183"/>
          <cell r="H183"/>
          <cell r="I183" t="str">
            <v/>
          </cell>
          <cell r="J183" t="str">
            <v>ü</v>
          </cell>
          <cell r="K183">
            <v>46148.327777777798</v>
          </cell>
          <cell r="L183">
            <v>46148.382638888899</v>
          </cell>
          <cell r="M183">
            <v>1.3166666667675599</v>
          </cell>
          <cell r="N183" t="str">
            <v>General Repair</v>
          </cell>
        </row>
        <row r="184">
          <cell r="B184"/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 t="str">
            <v>General Repair</v>
          </cell>
        </row>
        <row r="185">
          <cell r="B185" t="str">
            <v>RB2033</v>
          </cell>
          <cell r="C185"/>
          <cell r="D185" t="str">
            <v>320GC-DKJ</v>
          </cell>
          <cell r="E185" t="str">
            <v>5050 - BD Hyd oil leak SMU</v>
          </cell>
          <cell r="F185"/>
          <cell r="G185"/>
          <cell r="H185"/>
          <cell r="I185" t="str">
            <v/>
          </cell>
          <cell r="J185" t="str">
            <v>ü</v>
          </cell>
          <cell r="K185">
            <v>46143.020138888904</v>
          </cell>
          <cell r="L185">
            <v>46143.153472222199</v>
          </cell>
          <cell r="M185">
            <v>3.1999999999534299</v>
          </cell>
          <cell r="N185" t="str">
            <v>General Repair</v>
          </cell>
        </row>
        <row r="186">
          <cell r="B186"/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 t="str">
            <v>General Repair</v>
          </cell>
        </row>
        <row r="187">
          <cell r="B187"/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 t="str">
            <v>General Repair</v>
          </cell>
        </row>
        <row r="188">
          <cell r="B188"/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 t="str">
            <v>General Repair</v>
          </cell>
        </row>
        <row r="189">
          <cell r="B189" t="str">
            <v>RB2033</v>
          </cell>
          <cell r="C189"/>
          <cell r="D189" t="str">
            <v>320GC-DKJ</v>
          </cell>
          <cell r="E189" t="str">
            <v>1000 - BD Low power SMU 13776</v>
          </cell>
          <cell r="F189"/>
          <cell r="G189"/>
          <cell r="H189"/>
          <cell r="I189" t="str">
            <v/>
          </cell>
          <cell r="J189" t="str">
            <v>ü</v>
          </cell>
          <cell r="K189">
            <v>46144.210416666698</v>
          </cell>
          <cell r="L189">
            <v>46144.3125</v>
          </cell>
          <cell r="M189">
            <v>2.4499999999534299</v>
          </cell>
          <cell r="N189" t="str">
            <v>General Repair</v>
          </cell>
        </row>
        <row r="190">
          <cell r="B190"/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 t="str">
            <v>General Repair</v>
          </cell>
        </row>
        <row r="191">
          <cell r="B191"/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 t="str">
            <v>General Repair</v>
          </cell>
        </row>
        <row r="192">
          <cell r="B192"/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 t="str">
            <v>General Repair</v>
          </cell>
        </row>
        <row r="193">
          <cell r="B193" t="str">
            <v>RB2033</v>
          </cell>
          <cell r="C193"/>
          <cell r="D193" t="str">
            <v>320GC-DKJ</v>
          </cell>
          <cell r="E193" t="str">
            <v>4170 - BD LH Master pin track link loose SMU 13818,8</v>
          </cell>
          <cell r="F193"/>
          <cell r="G193"/>
          <cell r="H193"/>
          <cell r="I193" t="str">
            <v/>
          </cell>
          <cell r="J193" t="str">
            <v>ü</v>
          </cell>
          <cell r="K193">
            <v>46146.665972222203</v>
          </cell>
          <cell r="L193">
            <v>46146.7097222222</v>
          </cell>
          <cell r="M193">
            <v>1.0499999999301499</v>
          </cell>
          <cell r="N193" t="str">
            <v>General Repair</v>
          </cell>
        </row>
        <row r="194">
          <cell r="B194"/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 t="str">
            <v>General Repair</v>
          </cell>
        </row>
        <row r="195">
          <cell r="B195" t="str">
            <v>RB2033</v>
          </cell>
          <cell r="C195"/>
          <cell r="D195" t="str">
            <v>320GC-DKJ</v>
          </cell>
          <cell r="E195" t="str">
            <v>7500 - RM 250 HRS + BACKLOGS (W19)</v>
          </cell>
          <cell r="F195"/>
          <cell r="G195"/>
          <cell r="H195"/>
          <cell r="I195" t="str">
            <v>ü</v>
          </cell>
          <cell r="J195" t="str">
            <v/>
          </cell>
          <cell r="K195">
            <v>46147.246527777803</v>
          </cell>
          <cell r="L195">
            <v>46147.288194444402</v>
          </cell>
          <cell r="M195">
            <v>0.99999999994179201</v>
          </cell>
          <cell r="N195" t="str">
            <v>Routine Maintenance</v>
          </cell>
        </row>
        <row r="196">
          <cell r="B196" t="str">
            <v>RB2033</v>
          </cell>
          <cell r="C196"/>
          <cell r="D196" t="str">
            <v>320GC-DKJ</v>
          </cell>
          <cell r="E196" t="str">
            <v>1000 - BD Mounting support engine broken SMU 13867</v>
          </cell>
          <cell r="F196"/>
          <cell r="G196"/>
          <cell r="H196"/>
          <cell r="I196" t="str">
            <v/>
          </cell>
          <cell r="J196" t="str">
            <v>ü</v>
          </cell>
          <cell r="K196">
            <v>46148.763888888898</v>
          </cell>
          <cell r="L196">
            <v>46154.177083333299</v>
          </cell>
          <cell r="M196">
            <v>129.91666666668601</v>
          </cell>
          <cell r="N196" t="str">
            <v>General Repair</v>
          </cell>
        </row>
        <row r="197">
          <cell r="B197"/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 t="str">
            <v>General Repair</v>
          </cell>
        </row>
        <row r="198">
          <cell r="B198"/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 t="str">
            <v>General Repair</v>
          </cell>
        </row>
        <row r="199">
          <cell r="B199"/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 t="str">
            <v>General Repair</v>
          </cell>
        </row>
        <row r="200">
          <cell r="B200" t="str">
            <v>RB2034</v>
          </cell>
          <cell r="C200"/>
          <cell r="D200" t="str">
            <v>320GC-DKJ</v>
          </cell>
          <cell r="E200" t="str">
            <v>7525 - PM 500 HRS + BACKLOGS (W19) (Sent to TU Shop) SMU 8034,4</v>
          </cell>
          <cell r="F200"/>
          <cell r="G200"/>
          <cell r="H200"/>
          <cell r="I200" t="str">
            <v>ü</v>
          </cell>
          <cell r="J200" t="str">
            <v/>
          </cell>
          <cell r="K200">
            <v>46144.65</v>
          </cell>
          <cell r="L200">
            <v>46145.739583333299</v>
          </cell>
          <cell r="M200">
            <v>26.150000000023301</v>
          </cell>
          <cell r="N200" t="str">
            <v>Servicing</v>
          </cell>
        </row>
        <row r="201">
          <cell r="B201"/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 t="str">
            <v>Servicing</v>
          </cell>
        </row>
        <row r="202">
          <cell r="B202"/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 t="str">
            <v>Servicing</v>
          </cell>
        </row>
        <row r="203">
          <cell r="B203"/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 t="str">
            <v>Servicing</v>
          </cell>
        </row>
        <row r="204">
          <cell r="B204"/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 t="str">
            <v>Servicing</v>
          </cell>
        </row>
        <row r="205">
          <cell r="B205"/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 t="str">
            <v>Servicing</v>
          </cell>
        </row>
        <row r="206">
          <cell r="B206" t="str">
            <v>RB3007</v>
          </cell>
          <cell r="C206"/>
          <cell r="D206" t="str">
            <v>330NG-KEL</v>
          </cell>
          <cell r="E206" t="str">
            <v>4170 - BD Track loose SMU 6183,3</v>
          </cell>
          <cell r="F206"/>
          <cell r="G206"/>
          <cell r="H206"/>
          <cell r="I206" t="str">
            <v/>
          </cell>
          <cell r="J206" t="str">
            <v>ü</v>
          </cell>
          <cell r="K206">
            <v>46147.222222222197</v>
          </cell>
          <cell r="L206">
            <v>46147.745833333298</v>
          </cell>
          <cell r="M206">
            <v>12.566666666767601</v>
          </cell>
          <cell r="N206" t="str">
            <v>General Repair</v>
          </cell>
        </row>
        <row r="207">
          <cell r="B207"/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 t="str">
            <v>General Repair</v>
          </cell>
        </row>
        <row r="208">
          <cell r="B208"/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 t="str">
            <v>General Repair</v>
          </cell>
        </row>
        <row r="209">
          <cell r="B209"/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 t="str">
            <v>General Repair</v>
          </cell>
        </row>
        <row r="210">
          <cell r="B210" t="str">
            <v>RB3007</v>
          </cell>
          <cell r="C210"/>
          <cell r="D210" t="str">
            <v>330NG-KEL</v>
          </cell>
          <cell r="E210" t="str">
            <v>4157 - BD  LH Track link loose SMU 6191,2 (backed up by RB3020 per 07-05-2026 10:14) (aktual ready on 08-05-26 15:02)</v>
          </cell>
          <cell r="F210"/>
          <cell r="G210"/>
          <cell r="H210"/>
          <cell r="I210" t="str">
            <v>ü</v>
          </cell>
          <cell r="J210" t="str">
            <v/>
          </cell>
          <cell r="K210">
            <v>46148.379861111098</v>
          </cell>
          <cell r="L210">
            <v>46149.462500000001</v>
          </cell>
          <cell r="M210">
            <v>25.9833333333372</v>
          </cell>
          <cell r="N210" t="str">
            <v>Changeout</v>
          </cell>
        </row>
        <row r="211">
          <cell r="B211"/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 t="str">
            <v>Inspection</v>
          </cell>
        </row>
        <row r="212">
          <cell r="B212"/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 t="str">
            <v>Inspection</v>
          </cell>
        </row>
        <row r="213">
          <cell r="B213"/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 t="str">
            <v>Inspection</v>
          </cell>
        </row>
        <row r="214">
          <cell r="B214"/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 t="str">
            <v>Inspection</v>
          </cell>
        </row>
        <row r="215">
          <cell r="B215"/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 t="str">
            <v>Changeout</v>
          </cell>
        </row>
        <row r="216">
          <cell r="B216" t="str">
            <v>RB3007</v>
          </cell>
          <cell r="C216"/>
          <cell r="D216" t="str">
            <v>330NG-KEL</v>
          </cell>
          <cell r="E216" t="str">
            <v>7308 - BD Worklamp off SMU 6199</v>
          </cell>
          <cell r="F216"/>
          <cell r="G216"/>
          <cell r="H216"/>
          <cell r="I216" t="str">
            <v/>
          </cell>
          <cell r="J216" t="str">
            <v>ü</v>
          </cell>
          <cell r="K216">
            <v>46151.095138888901</v>
          </cell>
          <cell r="L216">
            <v>46151.1965277778</v>
          </cell>
          <cell r="M216">
            <v>2.4333333334070599</v>
          </cell>
          <cell r="N216" t="str">
            <v>General Repair</v>
          </cell>
        </row>
        <row r="217">
          <cell r="B217"/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 t="str">
            <v>General Repair</v>
          </cell>
        </row>
        <row r="218">
          <cell r="B218"/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 t="str">
            <v>General Repair</v>
          </cell>
        </row>
        <row r="219">
          <cell r="B219"/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 t="str">
            <v>General Repair</v>
          </cell>
        </row>
        <row r="220">
          <cell r="B220" t="str">
            <v>RB3009</v>
          </cell>
          <cell r="C220"/>
          <cell r="D220" t="str">
            <v>330NG-KEL</v>
          </cell>
          <cell r="E220" t="str">
            <v>7525 - PM 500 HRS + BACKLOGS (W20)  SMU 15168,7</v>
          </cell>
          <cell r="F220"/>
          <cell r="G220"/>
          <cell r="H220"/>
          <cell r="I220" t="str">
            <v>ü</v>
          </cell>
          <cell r="J220" t="str">
            <v/>
          </cell>
          <cell r="K220">
            <v>46149.613888888904</v>
          </cell>
          <cell r="L220">
            <v>46149.7055555556</v>
          </cell>
          <cell r="M220">
            <v>2.2000000000116402</v>
          </cell>
          <cell r="N220" t="str">
            <v>Servicing</v>
          </cell>
        </row>
        <row r="221">
          <cell r="B221"/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 t="str">
            <v>Servicing</v>
          </cell>
        </row>
        <row r="222">
          <cell r="B222"/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 t="str">
            <v>Servicing</v>
          </cell>
        </row>
        <row r="223">
          <cell r="B223" t="str">
            <v>RB3010</v>
          </cell>
          <cell r="C223"/>
          <cell r="D223" t="str">
            <v>330NG-KEL</v>
          </cell>
          <cell r="E223" t="str">
            <v>7540 - BD Hyd oil leak SMU 6183,8</v>
          </cell>
          <cell r="F223"/>
          <cell r="G223"/>
          <cell r="H223"/>
          <cell r="I223" t="str">
            <v/>
          </cell>
          <cell r="J223" t="str">
            <v>ü</v>
          </cell>
          <cell r="K223">
            <v>46147.9506944444</v>
          </cell>
          <cell r="L223">
            <v>46148.109722222202</v>
          </cell>
          <cell r="M223">
            <v>3.8166666667093501</v>
          </cell>
          <cell r="N223" t="str">
            <v>General Repair</v>
          </cell>
        </row>
        <row r="224">
          <cell r="B224"/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 t="str">
            <v>General Repair</v>
          </cell>
        </row>
        <row r="225">
          <cell r="B225"/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 t="str">
            <v>General Repair</v>
          </cell>
        </row>
        <row r="226">
          <cell r="B226" t="str">
            <v>RB3010</v>
          </cell>
          <cell r="C226"/>
          <cell r="D226" t="str">
            <v>330NG-KEL</v>
          </cell>
          <cell r="E226" t="str">
            <v>7525 - PM 500 HRS + BACKLOGS (W18) SMU 6184,8</v>
          </cell>
          <cell r="F226"/>
          <cell r="G226"/>
          <cell r="H226"/>
          <cell r="I226" t="str">
            <v>ü</v>
          </cell>
          <cell r="J226" t="str">
            <v/>
          </cell>
          <cell r="K226">
            <v>46148.430555555598</v>
          </cell>
          <cell r="L226">
            <v>46148.451388888898</v>
          </cell>
          <cell r="M226">
            <v>0.50000000005820799</v>
          </cell>
          <cell r="N226" t="str">
            <v>Servicing</v>
          </cell>
        </row>
        <row r="227">
          <cell r="B227" t="str">
            <v>RB3010</v>
          </cell>
          <cell r="C227"/>
          <cell r="D227" t="str">
            <v>330NG-KEL</v>
          </cell>
          <cell r="E227" t="str">
            <v>4170 - BD Track link loose SMU 6186,7</v>
          </cell>
          <cell r="F227"/>
          <cell r="G227"/>
          <cell r="H227"/>
          <cell r="I227" t="str">
            <v/>
          </cell>
          <cell r="J227" t="str">
            <v>ü</v>
          </cell>
          <cell r="K227">
            <v>46149.412499999999</v>
          </cell>
          <cell r="L227">
            <v>46149.5</v>
          </cell>
          <cell r="M227">
            <v>2.1000000000349202</v>
          </cell>
          <cell r="N227" t="str">
            <v>General Repair</v>
          </cell>
        </row>
        <row r="228">
          <cell r="B228"/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 t="str">
            <v>General Repair</v>
          </cell>
        </row>
        <row r="229">
          <cell r="B229"/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 t="str">
            <v>General Repair</v>
          </cell>
        </row>
        <row r="230">
          <cell r="B230"/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 t="str">
            <v>General Repair</v>
          </cell>
        </row>
        <row r="231">
          <cell r="B231" t="str">
            <v>RB3010</v>
          </cell>
          <cell r="C231"/>
          <cell r="D231" t="str">
            <v>330NG-KEL</v>
          </cell>
          <cell r="E231" t="str">
            <v>4155 - BD LH Bolt sprocket loose SMU 6236</v>
          </cell>
          <cell r="F231"/>
          <cell r="G231"/>
          <cell r="H231"/>
          <cell r="I231" t="str">
            <v/>
          </cell>
          <cell r="J231" t="str">
            <v>ü</v>
          </cell>
          <cell r="K231">
            <v>46154.459027777797</v>
          </cell>
          <cell r="L231">
            <v>46154.629861111098</v>
          </cell>
          <cell r="M231">
            <v>4.1000000000931296</v>
          </cell>
          <cell r="N231" t="str">
            <v>General Repair</v>
          </cell>
        </row>
        <row r="232">
          <cell r="B232"/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 t="str">
            <v>General Repair</v>
          </cell>
        </row>
        <row r="233">
          <cell r="B233" t="str">
            <v>RB3011</v>
          </cell>
          <cell r="C233"/>
          <cell r="D233" t="str">
            <v>330NG-KEL</v>
          </cell>
          <cell r="E233" t="str">
            <v>4170 - BD Track low tension SMU 4794,9</v>
          </cell>
          <cell r="F233"/>
          <cell r="G233"/>
          <cell r="H233"/>
          <cell r="I233" t="str">
            <v/>
          </cell>
          <cell r="J233" t="str">
            <v>ü</v>
          </cell>
          <cell r="K233">
            <v>46151.447222222203</v>
          </cell>
          <cell r="L233">
            <v>46151.499305555597</v>
          </cell>
          <cell r="M233">
            <v>1.24999999988358</v>
          </cell>
          <cell r="N233" t="str">
            <v>General Repair</v>
          </cell>
        </row>
        <row r="234">
          <cell r="B234"/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  <cell r="N234" t="str">
            <v>General Repair</v>
          </cell>
        </row>
        <row r="235">
          <cell r="B235"/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 t="str">
            <v>General Repair</v>
          </cell>
        </row>
        <row r="236">
          <cell r="B236" t="str">
            <v>RB3011</v>
          </cell>
          <cell r="C236"/>
          <cell r="D236" t="str">
            <v>330NG-KEL</v>
          </cell>
          <cell r="E236" t="str">
            <v>7525 - PM 500 HRS + BACKLOGS (W20) SMU 4809,7</v>
          </cell>
          <cell r="F236"/>
          <cell r="G236"/>
          <cell r="H236"/>
          <cell r="I236" t="str">
            <v>ü</v>
          </cell>
          <cell r="J236" t="str">
            <v/>
          </cell>
          <cell r="K236">
            <v>46152.499305555597</v>
          </cell>
          <cell r="L236">
            <v>46152.583333333299</v>
          </cell>
          <cell r="M236">
            <v>2.0166666667792001</v>
          </cell>
          <cell r="N236" t="str">
            <v>Servicing</v>
          </cell>
        </row>
        <row r="237">
          <cell r="B237"/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 t="str">
            <v>Servicing</v>
          </cell>
        </row>
        <row r="238">
          <cell r="B238"/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 t="str">
            <v>Servicing</v>
          </cell>
        </row>
        <row r="239">
          <cell r="B239" t="str">
            <v>RB3011</v>
          </cell>
          <cell r="C239"/>
          <cell r="D239" t="str">
            <v>330NG-KEL</v>
          </cell>
          <cell r="E239" t="str">
            <v>6513 - BD Bucket noise/repair finding commissioning SMU 4849,1</v>
          </cell>
          <cell r="F239"/>
          <cell r="G239"/>
          <cell r="H239"/>
          <cell r="I239" t="str">
            <v/>
          </cell>
          <cell r="J239" t="str">
            <v>ü</v>
          </cell>
          <cell r="K239">
            <v>46154.868055555598</v>
          </cell>
          <cell r="L239">
            <v>46155.1430555556</v>
          </cell>
          <cell r="M239">
            <v>6.6000000000349202</v>
          </cell>
          <cell r="N239" t="str">
            <v>Inspection</v>
          </cell>
        </row>
        <row r="240">
          <cell r="B240"/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 t="str">
            <v>Inspection</v>
          </cell>
        </row>
        <row r="241">
          <cell r="B241"/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 t="str">
            <v>Inspection</v>
          </cell>
        </row>
        <row r="242">
          <cell r="B242" t="str">
            <v>RB3012</v>
          </cell>
          <cell r="C242"/>
          <cell r="D242" t="str">
            <v>330NG-KEL</v>
          </cell>
          <cell r="E242" t="str">
            <v>4180 - BD RH Track low tension SMU 8699</v>
          </cell>
          <cell r="F242"/>
          <cell r="G242"/>
          <cell r="H242"/>
          <cell r="I242" t="str">
            <v/>
          </cell>
          <cell r="J242" t="str">
            <v>ü</v>
          </cell>
          <cell r="K242">
            <v>46147.438888888901</v>
          </cell>
          <cell r="L242">
            <v>46147.677083333299</v>
          </cell>
          <cell r="M242">
            <v>5.7166666667908403</v>
          </cell>
          <cell r="N242" t="str">
            <v>Inspection</v>
          </cell>
        </row>
        <row r="243">
          <cell r="B243"/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 t="str">
            <v>Inspection</v>
          </cell>
        </row>
        <row r="244">
          <cell r="B244"/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 t="str">
            <v>Inspection</v>
          </cell>
        </row>
        <row r="245">
          <cell r="B245"/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 t="str">
            <v>Inspection</v>
          </cell>
        </row>
        <row r="246">
          <cell r="B246"/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 t="str">
            <v>Inspection</v>
          </cell>
        </row>
        <row r="247">
          <cell r="B247" t="str">
            <v>RB3012</v>
          </cell>
          <cell r="C247"/>
          <cell r="D247" t="str">
            <v>330NG-KEL</v>
          </cell>
          <cell r="E247" t="str">
            <v>4170 - BD Track low tension SMU 8730,5</v>
          </cell>
          <cell r="F247"/>
          <cell r="G247"/>
          <cell r="H247"/>
          <cell r="I247" t="str">
            <v/>
          </cell>
          <cell r="J247" t="str">
            <v>ü</v>
          </cell>
          <cell r="K247">
            <v>46149.836111111101</v>
          </cell>
          <cell r="L247">
            <v>46149.954166666699</v>
          </cell>
          <cell r="M247">
            <v>2.8333333334885502</v>
          </cell>
          <cell r="N247" t="str">
            <v>General Repair</v>
          </cell>
        </row>
        <row r="248">
          <cell r="B248"/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 t="str">
            <v>General Repair</v>
          </cell>
        </row>
        <row r="249">
          <cell r="B249"/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 t="str">
            <v>General Repair</v>
          </cell>
        </row>
        <row r="250">
          <cell r="B250"/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 t="str">
            <v>General Repair</v>
          </cell>
        </row>
        <row r="251">
          <cell r="B251" t="str">
            <v>RB3012</v>
          </cell>
          <cell r="C251"/>
          <cell r="D251" t="str">
            <v>330NG-KEL</v>
          </cell>
          <cell r="E251" t="str">
            <v>4158 - BD RH track link loose + 7525 - PM 500 HRS + BACKLOGS (W20) SMU 8763,5</v>
          </cell>
          <cell r="F251"/>
          <cell r="G251"/>
          <cell r="H251"/>
          <cell r="I251" t="str">
            <v>ü</v>
          </cell>
          <cell r="J251" t="str">
            <v/>
          </cell>
          <cell r="K251">
            <v>46153.337500000001</v>
          </cell>
          <cell r="L251">
            <v>46154.179861111101</v>
          </cell>
          <cell r="M251">
            <v>20.216666666558002</v>
          </cell>
          <cell r="N251" t="str">
            <v>Servicing</v>
          </cell>
        </row>
        <row r="252">
          <cell r="B252"/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 t="str">
            <v>Servicing</v>
          </cell>
        </row>
        <row r="253">
          <cell r="B253"/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 t="str">
            <v>Servicing</v>
          </cell>
        </row>
        <row r="254">
          <cell r="B254"/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 t="str">
            <v>Servicing</v>
          </cell>
        </row>
        <row r="255">
          <cell r="B255"/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  <cell r="M255"/>
          <cell r="N255" t="str">
            <v>Servicing</v>
          </cell>
        </row>
        <row r="256">
          <cell r="B256" t="str">
            <v>RB3013</v>
          </cell>
          <cell r="C256"/>
          <cell r="D256" t="str">
            <v>330NG-KEL</v>
          </cell>
          <cell r="E256" t="str">
            <v>7526 - PM 1000 HRS +  ADJUST VALVE + BACKLOGS (W18) SMU 6592,2</v>
          </cell>
          <cell r="F256"/>
          <cell r="G256"/>
          <cell r="H256"/>
          <cell r="I256" t="str">
            <v>ü</v>
          </cell>
          <cell r="J256" t="str">
            <v/>
          </cell>
          <cell r="K256">
            <v>46143</v>
          </cell>
          <cell r="L256">
            <v>46145.972222222197</v>
          </cell>
          <cell r="M256">
            <v>71.333333333255695</v>
          </cell>
          <cell r="N256" t="str">
            <v>Servicing</v>
          </cell>
        </row>
        <row r="257">
          <cell r="B257"/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  <cell r="N257" t="str">
            <v>Servicing</v>
          </cell>
        </row>
        <row r="258">
          <cell r="B258"/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  <cell r="N258" t="str">
            <v>Servicing</v>
          </cell>
        </row>
        <row r="259">
          <cell r="B259"/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 t="str">
            <v>Servicing</v>
          </cell>
        </row>
        <row r="260">
          <cell r="B260" t="str">
            <v>RB3013</v>
          </cell>
          <cell r="C260"/>
          <cell r="D260" t="str">
            <v>330NG-KEL</v>
          </cell>
          <cell r="E260" t="str">
            <v>5095 - BD Error 1046 /Hyd oil temp SMU 6627,7</v>
          </cell>
          <cell r="F260"/>
          <cell r="G260"/>
          <cell r="H260"/>
          <cell r="I260" t="str">
            <v/>
          </cell>
          <cell r="J260" t="str">
            <v>ü</v>
          </cell>
          <cell r="K260">
            <v>46148.604861111096</v>
          </cell>
          <cell r="L260">
            <v>46148.8125</v>
          </cell>
          <cell r="M260">
            <v>4.9833333333372103</v>
          </cell>
          <cell r="N260" t="str">
            <v>General Repair</v>
          </cell>
        </row>
        <row r="261">
          <cell r="B261"/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 t="str">
            <v>General Repair</v>
          </cell>
        </row>
        <row r="262">
          <cell r="B262"/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 t="str">
            <v>General Repair</v>
          </cell>
        </row>
        <row r="263">
          <cell r="B263"/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 t="str">
            <v>General Repair</v>
          </cell>
        </row>
        <row r="264">
          <cell r="B264"/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 t="str">
            <v>General Repair</v>
          </cell>
        </row>
        <row r="265">
          <cell r="B265" t="str">
            <v>RB3013</v>
          </cell>
          <cell r="C265"/>
          <cell r="D265" t="str">
            <v>330NG-KEL</v>
          </cell>
          <cell r="E265" t="str">
            <v>1261 - BD Eng low powr SMU</v>
          </cell>
          <cell r="F265"/>
          <cell r="G265"/>
          <cell r="H265"/>
          <cell r="I265" t="str">
            <v/>
          </cell>
          <cell r="J265" t="str">
            <v>ü</v>
          </cell>
          <cell r="K265">
            <v>46149.594444444403</v>
          </cell>
          <cell r="L265">
            <v>46149.713888888902</v>
          </cell>
          <cell r="M265">
            <v>2.8666666665812999</v>
          </cell>
          <cell r="N265" t="str">
            <v>Inspection</v>
          </cell>
        </row>
        <row r="266">
          <cell r="B266"/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  <cell r="N266" t="str">
            <v>Inspection</v>
          </cell>
        </row>
        <row r="267">
          <cell r="B267"/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  <cell r="N267" t="str">
            <v>Inspection</v>
          </cell>
        </row>
        <row r="268">
          <cell r="B268"/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 t="str">
            <v>Inspection</v>
          </cell>
        </row>
        <row r="269">
          <cell r="B269" t="str">
            <v>RB3013</v>
          </cell>
          <cell r="C269"/>
          <cell r="D269" t="str">
            <v>330NG-KEL</v>
          </cell>
          <cell r="E269" t="str">
            <v>4050 - BD RH track stuck SMU 6666,5</v>
          </cell>
          <cell r="F269"/>
          <cell r="G269"/>
          <cell r="H269"/>
          <cell r="I269" t="str">
            <v/>
          </cell>
          <cell r="J269" t="str">
            <v>ü</v>
          </cell>
          <cell r="K269">
            <v>46152.486111111102</v>
          </cell>
          <cell r="L269">
            <v>46153.635416666701</v>
          </cell>
          <cell r="M269">
            <v>27.583333333313899</v>
          </cell>
          <cell r="N269" t="str">
            <v>Changeout</v>
          </cell>
        </row>
        <row r="270">
          <cell r="B270"/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 t="str">
            <v>Changeout</v>
          </cell>
        </row>
        <row r="271">
          <cell r="B271"/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  <cell r="N271" t="str">
            <v>Changeout</v>
          </cell>
        </row>
        <row r="272">
          <cell r="B272"/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  <cell r="N272" t="str">
            <v>Changeout</v>
          </cell>
        </row>
        <row r="273">
          <cell r="B273"/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  <cell r="N273" t="str">
            <v>Changeout</v>
          </cell>
        </row>
        <row r="274">
          <cell r="B274" t="str">
            <v>RB3014</v>
          </cell>
          <cell r="C274"/>
          <cell r="D274" t="str">
            <v>330NG-KEL</v>
          </cell>
          <cell r="E274" t="str">
            <v>4164 - BD RH bolt Sprocket loose SMU 4397</v>
          </cell>
          <cell r="F274"/>
          <cell r="G274"/>
          <cell r="H274"/>
          <cell r="I274" t="str">
            <v/>
          </cell>
          <cell r="J274" t="str">
            <v>ü</v>
          </cell>
          <cell r="K274">
            <v>46146.380555555603</v>
          </cell>
          <cell r="L274">
            <v>46146.642361111102</v>
          </cell>
          <cell r="M274">
            <v>6.2833333332091597</v>
          </cell>
          <cell r="N274" t="str">
            <v>General Repair</v>
          </cell>
        </row>
        <row r="275">
          <cell r="B275"/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  <cell r="M275"/>
          <cell r="N275" t="str">
            <v>General Repair</v>
          </cell>
        </row>
        <row r="276">
          <cell r="B276"/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  <cell r="M276"/>
          <cell r="N276" t="str">
            <v>General Repair</v>
          </cell>
        </row>
        <row r="277">
          <cell r="B277" t="str">
            <v>RB3014</v>
          </cell>
          <cell r="C277"/>
          <cell r="D277" t="str">
            <v>330NG-KEL</v>
          </cell>
          <cell r="E277" t="str">
            <v>5057 - BD Hyd oil leak SMU 4399</v>
          </cell>
          <cell r="F277"/>
          <cell r="G277"/>
          <cell r="H277"/>
          <cell r="I277" t="str">
            <v/>
          </cell>
          <cell r="J277" t="str">
            <v>ü</v>
          </cell>
          <cell r="K277">
            <v>46146.702083333301</v>
          </cell>
          <cell r="L277">
            <v>46147.472222222197</v>
          </cell>
          <cell r="M277">
            <v>18.4833333333372</v>
          </cell>
          <cell r="N277" t="str">
            <v>Inspection</v>
          </cell>
        </row>
        <row r="278">
          <cell r="B278"/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 t="str">
            <v>Inspection</v>
          </cell>
        </row>
        <row r="279">
          <cell r="B279"/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  <cell r="N279" t="str">
            <v>Inspection</v>
          </cell>
        </row>
        <row r="280">
          <cell r="B280"/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  <cell r="N280" t="str">
            <v>Inspection</v>
          </cell>
        </row>
        <row r="281">
          <cell r="B281"/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  <cell r="M281"/>
          <cell r="N281" t="str">
            <v>Inspection</v>
          </cell>
        </row>
        <row r="282">
          <cell r="B282" t="str">
            <v>RB3014</v>
          </cell>
          <cell r="C282"/>
          <cell r="D282" t="str">
            <v>330NG-KEL</v>
          </cell>
          <cell r="E282" t="str">
            <v>5057 - BD Hyd oil leak SMU 4418,3</v>
          </cell>
          <cell r="F282"/>
          <cell r="G282"/>
          <cell r="H282"/>
          <cell r="I282" t="str">
            <v/>
          </cell>
          <cell r="J282" t="str">
            <v>ü</v>
          </cell>
          <cell r="K282">
            <v>46148.6381944444</v>
          </cell>
          <cell r="L282">
            <v>46149.245833333298</v>
          </cell>
          <cell r="M282">
            <v>14.583333333372099</v>
          </cell>
          <cell r="N282" t="str">
            <v>Inspection</v>
          </cell>
        </row>
        <row r="283">
          <cell r="B283"/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  <cell r="M283"/>
          <cell r="N283" t="str">
            <v>Inspection</v>
          </cell>
        </row>
        <row r="284">
          <cell r="B284"/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 t="str">
            <v>Inspection</v>
          </cell>
        </row>
        <row r="285">
          <cell r="B285" t="str">
            <v>RB3014</v>
          </cell>
          <cell r="C285"/>
          <cell r="D285" t="str">
            <v>330NG-KEL</v>
          </cell>
          <cell r="E285" t="str">
            <v>7500 - RM 250 HRS + BACKLOGS (W19) SMU: 4419</v>
          </cell>
          <cell r="F285"/>
          <cell r="G285"/>
          <cell r="H285"/>
          <cell r="I285" t="str">
            <v>ü</v>
          </cell>
          <cell r="J285" t="str">
            <v/>
          </cell>
          <cell r="K285">
            <v>46149.569444444402</v>
          </cell>
          <cell r="L285">
            <v>46149.609027777798</v>
          </cell>
          <cell r="M285">
            <v>0.94999999995343398</v>
          </cell>
          <cell r="N285" t="str">
            <v>Routine Maintenance</v>
          </cell>
        </row>
        <row r="286">
          <cell r="B286" t="str">
            <v>RB3014</v>
          </cell>
          <cell r="C286"/>
          <cell r="D286" t="str">
            <v>330NG-KEL</v>
          </cell>
          <cell r="E286" t="str">
            <v>1431 - BD Rotary lamp off SMU 4504,5</v>
          </cell>
          <cell r="F286"/>
          <cell r="G286"/>
          <cell r="H286"/>
          <cell r="I286" t="str">
            <v/>
          </cell>
          <cell r="J286" t="str">
            <v>ü</v>
          </cell>
          <cell r="K286">
            <v>46154.474305555603</v>
          </cell>
          <cell r="L286">
            <v>46154.677083333299</v>
          </cell>
          <cell r="M286">
            <v>4.8666666666395004</v>
          </cell>
          <cell r="N286" t="str">
            <v>General Repair</v>
          </cell>
        </row>
        <row r="287">
          <cell r="B287" t="str">
            <v>RB3016</v>
          </cell>
          <cell r="C287"/>
          <cell r="D287" t="str">
            <v>330NG-KEL</v>
          </cell>
          <cell r="E287" t="str">
            <v>7273 - BD Cover eng problem SMU 4718,5</v>
          </cell>
          <cell r="F287"/>
          <cell r="G287"/>
          <cell r="H287"/>
          <cell r="I287" t="str">
            <v/>
          </cell>
          <cell r="J287" t="str">
            <v>ü</v>
          </cell>
          <cell r="K287">
            <v>46145.762499999997</v>
          </cell>
          <cell r="L287">
            <v>46145.8125</v>
          </cell>
          <cell r="M287">
            <v>1.2000000000698501</v>
          </cell>
          <cell r="N287" t="str">
            <v>General Repair</v>
          </cell>
        </row>
        <row r="288">
          <cell r="B288"/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  <cell r="N288" t="str">
            <v>General Repair</v>
          </cell>
        </row>
        <row r="289">
          <cell r="B289" t="str">
            <v>RB3016</v>
          </cell>
          <cell r="C289"/>
          <cell r="D289" t="str">
            <v>330NG-KEL</v>
          </cell>
          <cell r="E289" t="str">
            <v>7273 - BD Eng cover loose SMU</v>
          </cell>
          <cell r="F289"/>
          <cell r="G289"/>
          <cell r="H289"/>
          <cell r="I289" t="str">
            <v/>
          </cell>
          <cell r="J289" t="str">
            <v>ü</v>
          </cell>
          <cell r="K289">
            <v>46146.6784722222</v>
          </cell>
          <cell r="L289">
            <v>46146.878472222197</v>
          </cell>
          <cell r="M289">
            <v>4.7999999999301499</v>
          </cell>
          <cell r="N289" t="str">
            <v>General Repair</v>
          </cell>
        </row>
        <row r="290">
          <cell r="B290"/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 t="str">
            <v>General Repair</v>
          </cell>
        </row>
        <row r="291">
          <cell r="B291" t="str">
            <v>RB3016</v>
          </cell>
          <cell r="C291"/>
          <cell r="D291" t="str">
            <v>330NG-KEL</v>
          </cell>
          <cell r="E291" t="str">
            <v>7525 - PM 500 HRS + BACKLOGS (W19) SMU 4797</v>
          </cell>
          <cell r="F291"/>
          <cell r="G291"/>
          <cell r="H291"/>
          <cell r="I291" t="str">
            <v>ü</v>
          </cell>
          <cell r="J291" t="str">
            <v/>
          </cell>
          <cell r="K291">
            <v>46149.935416666704</v>
          </cell>
          <cell r="L291">
            <v>46149.999305555597</v>
          </cell>
          <cell r="M291">
            <v>1.53333333326736</v>
          </cell>
          <cell r="N291" t="str">
            <v>Servicing</v>
          </cell>
        </row>
        <row r="292">
          <cell r="B292"/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 t="str">
            <v>Servicing</v>
          </cell>
        </row>
        <row r="293">
          <cell r="B293" t="str">
            <v>RB3017</v>
          </cell>
          <cell r="C293"/>
          <cell r="D293" t="str">
            <v>330NG-KEL</v>
          </cell>
          <cell r="E293" t="str">
            <v>4157 - BD Track link loose SMU 5562,2</v>
          </cell>
          <cell r="F293"/>
          <cell r="G293"/>
          <cell r="H293"/>
          <cell r="I293" t="str">
            <v/>
          </cell>
          <cell r="J293" t="str">
            <v>ü</v>
          </cell>
          <cell r="K293">
            <v>46144.008333333302</v>
          </cell>
          <cell r="L293">
            <v>46144.683333333298</v>
          </cell>
          <cell r="M293">
            <v>16.200000000069799</v>
          </cell>
          <cell r="N293" t="str">
            <v>Inspection</v>
          </cell>
        </row>
        <row r="294">
          <cell r="B294"/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  <cell r="M294"/>
          <cell r="N294" t="str">
            <v>Inspection</v>
          </cell>
        </row>
        <row r="295">
          <cell r="B295"/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  <cell r="M295"/>
          <cell r="N295" t="str">
            <v>Inspection</v>
          </cell>
        </row>
        <row r="296">
          <cell r="B296"/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  <cell r="N296" t="str">
            <v>Inspection</v>
          </cell>
        </row>
        <row r="297">
          <cell r="B297"/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  <cell r="N297" t="str">
            <v>Inspection</v>
          </cell>
        </row>
        <row r="298">
          <cell r="B298" t="str">
            <v>RB3017</v>
          </cell>
          <cell r="C298"/>
          <cell r="D298" t="str">
            <v>330NG-KEL</v>
          </cell>
          <cell r="E298" t="str">
            <v>4351  - BD Hyd oil leak SMU 5611</v>
          </cell>
          <cell r="F298"/>
          <cell r="G298"/>
          <cell r="H298"/>
          <cell r="I298" t="str">
            <v/>
          </cell>
          <cell r="J298" t="str">
            <v>ü</v>
          </cell>
          <cell r="K298">
            <v>46150.7902777778</v>
          </cell>
          <cell r="L298">
            <v>46151.228472222203</v>
          </cell>
          <cell r="M298">
            <v>10.516666666720999</v>
          </cell>
          <cell r="N298" t="str">
            <v>General Repair</v>
          </cell>
        </row>
        <row r="299">
          <cell r="B299"/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  <cell r="N299" t="str">
            <v>General Repair</v>
          </cell>
        </row>
        <row r="300">
          <cell r="B300"/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  <cell r="M300"/>
          <cell r="N300" t="str">
            <v>General Repair</v>
          </cell>
        </row>
        <row r="301">
          <cell r="B301" t="str">
            <v>RB3018</v>
          </cell>
          <cell r="C301"/>
          <cell r="D301" t="str">
            <v>330NG-KEL</v>
          </cell>
          <cell r="E301" t="str">
            <v>7525 - PM 500 HRS + BACKLOGS (W20) SMU 9644,9</v>
          </cell>
          <cell r="F301"/>
          <cell r="G301"/>
          <cell r="H301"/>
          <cell r="I301" t="str">
            <v>ü</v>
          </cell>
          <cell r="J301" t="str">
            <v/>
          </cell>
          <cell r="K301">
            <v>46154.640972222202</v>
          </cell>
          <cell r="L301">
            <v>46154.685416666704</v>
          </cell>
          <cell r="M301">
            <v>1.06666666665114</v>
          </cell>
          <cell r="N301" t="str">
            <v>Servicing</v>
          </cell>
        </row>
        <row r="302">
          <cell r="B302"/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  <cell r="N302" t="str">
            <v>Servicing</v>
          </cell>
        </row>
        <row r="303">
          <cell r="B303"/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  <cell r="N303" t="str">
            <v>Servicing</v>
          </cell>
        </row>
        <row r="304">
          <cell r="B304"/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 t="str">
            <v>Servicing</v>
          </cell>
        </row>
        <row r="305">
          <cell r="B305" t="str">
            <v>RB3019</v>
          </cell>
          <cell r="C305"/>
          <cell r="D305" t="str">
            <v>330GC-FEK</v>
          </cell>
          <cell r="E305" t="str">
            <v>4351 - BD Hyd oil leak SMU 9326,3</v>
          </cell>
          <cell r="F305"/>
          <cell r="G305"/>
          <cell r="H305"/>
          <cell r="I305" t="str">
            <v/>
          </cell>
          <cell r="J305" t="str">
            <v>ü</v>
          </cell>
          <cell r="K305">
            <v>46143</v>
          </cell>
          <cell r="L305">
            <v>46143.4194444444</v>
          </cell>
          <cell r="M305">
            <v>10.0666666666511</v>
          </cell>
          <cell r="N305" t="str">
            <v>General Repair</v>
          </cell>
        </row>
        <row r="306">
          <cell r="B306"/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 t="str">
            <v>General Repair</v>
          </cell>
        </row>
        <row r="307">
          <cell r="B307"/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  <cell r="N307" t="str">
            <v>General Repair</v>
          </cell>
        </row>
        <row r="308">
          <cell r="B308" t="str">
            <v>RB3019</v>
          </cell>
          <cell r="C308"/>
          <cell r="D308" t="str">
            <v>330GC-FEK</v>
          </cell>
          <cell r="E308" t="str">
            <v>5057 - BD Hyd oil leak SMU 9349,5</v>
          </cell>
          <cell r="F308"/>
          <cell r="G308"/>
          <cell r="H308"/>
          <cell r="I308" t="str">
            <v/>
          </cell>
          <cell r="J308" t="str">
            <v>ü</v>
          </cell>
          <cell r="K308">
            <v>46145.335416666698</v>
          </cell>
          <cell r="L308">
            <v>46145.920138888898</v>
          </cell>
          <cell r="M308">
            <v>14.033333333325601</v>
          </cell>
          <cell r="N308" t="str">
            <v>General Repair</v>
          </cell>
        </row>
        <row r="309">
          <cell r="B309"/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 t="str">
            <v>General Repair</v>
          </cell>
        </row>
        <row r="310">
          <cell r="B310"/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  <cell r="N310" t="str">
            <v>General Repair</v>
          </cell>
        </row>
        <row r="311">
          <cell r="B311"/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 t="str">
            <v>General Repair</v>
          </cell>
        </row>
        <row r="312">
          <cell r="B312"/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  <cell r="N312" t="str">
            <v>General Repair</v>
          </cell>
        </row>
        <row r="313">
          <cell r="B313" t="str">
            <v>RB3019</v>
          </cell>
          <cell r="C313"/>
          <cell r="D313" t="str">
            <v>330GC-FEK</v>
          </cell>
          <cell r="E313" t="str">
            <v>5057 - BD Hyd oil leak SMU 9349,5</v>
          </cell>
          <cell r="F313"/>
          <cell r="G313"/>
          <cell r="H313"/>
          <cell r="I313" t="str">
            <v/>
          </cell>
          <cell r="J313" t="str">
            <v>ü</v>
          </cell>
          <cell r="K313">
            <v>46145.336805555598</v>
          </cell>
          <cell r="L313">
            <v>46145.918749999997</v>
          </cell>
          <cell r="M313">
            <v>13.9666666666162</v>
          </cell>
          <cell r="N313" t="str">
            <v>General Repair</v>
          </cell>
        </row>
        <row r="314">
          <cell r="B314"/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  <cell r="M314"/>
          <cell r="N314" t="str">
            <v>General Repair</v>
          </cell>
        </row>
        <row r="315">
          <cell r="B315" t="str">
            <v>RB3019</v>
          </cell>
          <cell r="C315"/>
          <cell r="D315" t="str">
            <v>330GC-FEK</v>
          </cell>
          <cell r="E315" t="str">
            <v>4170 - BD RH track loose SMU 9357,5</v>
          </cell>
          <cell r="F315"/>
          <cell r="G315"/>
          <cell r="H315"/>
          <cell r="I315" t="str">
            <v/>
          </cell>
          <cell r="J315" t="str">
            <v>ü</v>
          </cell>
          <cell r="K315">
            <v>46146.637499999997</v>
          </cell>
          <cell r="L315">
            <v>46147.0222222222</v>
          </cell>
          <cell r="M315">
            <v>9.2333333333954197</v>
          </cell>
          <cell r="N315" t="str">
            <v>General Repair</v>
          </cell>
        </row>
        <row r="316">
          <cell r="B316"/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  <cell r="N316" t="str">
            <v>General Repair</v>
          </cell>
        </row>
        <row r="317">
          <cell r="B317"/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 t="str">
            <v>General Repair</v>
          </cell>
        </row>
        <row r="318">
          <cell r="B318"/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  <cell r="N318" t="str">
            <v>General Repair</v>
          </cell>
        </row>
        <row r="319">
          <cell r="B319" t="str">
            <v>RB3019</v>
          </cell>
          <cell r="C319"/>
          <cell r="D319" t="str">
            <v>330GC-FEK</v>
          </cell>
          <cell r="E319" t="str">
            <v>5057 BD Hydraulic Oil Leak SMU 9377,1</v>
          </cell>
          <cell r="F319"/>
          <cell r="G319"/>
          <cell r="H319"/>
          <cell r="I319" t="str">
            <v/>
          </cell>
          <cell r="J319" t="str">
            <v/>
          </cell>
          <cell r="K319">
            <v>46149.636111111096</v>
          </cell>
          <cell r="L319">
            <v>46150.204166666699</v>
          </cell>
          <cell r="M319">
            <v>13.633333333418699</v>
          </cell>
          <cell r="N319" t="str">
            <v>Inspection</v>
          </cell>
        </row>
        <row r="320">
          <cell r="B320"/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  <cell r="M320"/>
          <cell r="N320" t="str">
            <v>Inspection</v>
          </cell>
        </row>
        <row r="321">
          <cell r="B321"/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 t="str">
            <v>Inspection</v>
          </cell>
        </row>
        <row r="322">
          <cell r="B322"/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 t="str">
            <v>Inspection</v>
          </cell>
        </row>
        <row r="323">
          <cell r="B323"/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 t="str">
            <v>Inspection</v>
          </cell>
        </row>
        <row r="324">
          <cell r="B324" t="str">
            <v>RB3019</v>
          </cell>
          <cell r="C324"/>
          <cell r="D324" t="str">
            <v>330GC-FEK</v>
          </cell>
          <cell r="E324" t="str">
            <v>7063 - BD Swing bearing high clearance SMU (backed up by RB3020 per 09-05-2026 11:42) (aktual ready on .........)</v>
          </cell>
          <cell r="F324"/>
          <cell r="G324"/>
          <cell r="H324"/>
          <cell r="I324" t="str">
            <v/>
          </cell>
          <cell r="J324" t="str">
            <v>ü</v>
          </cell>
          <cell r="K324">
            <v>46151.006944444402</v>
          </cell>
          <cell r="L324">
            <v>46155.277777777803</v>
          </cell>
          <cell r="M324">
            <v>102.50000000005799</v>
          </cell>
          <cell r="N324" t="str">
            <v>General Repair</v>
          </cell>
        </row>
        <row r="325">
          <cell r="B325"/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 t="str">
            <v>General Repair</v>
          </cell>
        </row>
        <row r="326">
          <cell r="B326" t="str">
            <v>RBA001</v>
          </cell>
          <cell r="C326"/>
          <cell r="D326" t="str">
            <v>320K-ZBN</v>
          </cell>
          <cell r="E326" t="str">
            <v>9214 - BD Pontoon leak SMU 7235,8</v>
          </cell>
          <cell r="F326"/>
          <cell r="G326"/>
          <cell r="H326"/>
          <cell r="I326" t="str">
            <v/>
          </cell>
          <cell r="J326" t="str">
            <v>ü</v>
          </cell>
          <cell r="K326">
            <v>46143.873611111099</v>
          </cell>
          <cell r="L326">
            <v>46145.240277777797</v>
          </cell>
          <cell r="M326">
            <v>32.799999999871901</v>
          </cell>
          <cell r="N326" t="str">
            <v>General Repair</v>
          </cell>
        </row>
        <row r="327">
          <cell r="B327"/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  <cell r="N327" t="str">
            <v>General Repair</v>
          </cell>
        </row>
        <row r="328">
          <cell r="B328"/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  <cell r="N328" t="str">
            <v>General Repair</v>
          </cell>
        </row>
        <row r="329">
          <cell r="B329"/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  <cell r="N329" t="str">
            <v>General Repair</v>
          </cell>
        </row>
        <row r="330">
          <cell r="B330" t="str">
            <v>RBA001</v>
          </cell>
          <cell r="C330"/>
          <cell r="D330" t="str">
            <v>320K-ZBN</v>
          </cell>
          <cell r="E330" t="str">
            <v>9214 - BD Dragflow switch on SMU 7336</v>
          </cell>
          <cell r="F330"/>
          <cell r="G330"/>
          <cell r="H330"/>
          <cell r="I330" t="str">
            <v/>
          </cell>
          <cell r="J330" t="str">
            <v>ü</v>
          </cell>
          <cell r="K330">
            <v>46151.335416666698</v>
          </cell>
          <cell r="L330">
            <v>46151.522916666698</v>
          </cell>
          <cell r="M330">
            <v>4.5</v>
          </cell>
          <cell r="N330" t="str">
            <v>General Repair</v>
          </cell>
        </row>
        <row r="331">
          <cell r="B331"/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  <cell r="N331" t="str">
            <v>General Repair</v>
          </cell>
        </row>
        <row r="332">
          <cell r="B332"/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 t="str">
            <v>General Repair</v>
          </cell>
        </row>
        <row r="333">
          <cell r="B333" t="str">
            <v>RBA001</v>
          </cell>
          <cell r="C333"/>
          <cell r="D333" t="str">
            <v>320K-ZBN</v>
          </cell>
          <cell r="E333" t="str">
            <v>5057 - BD Hyd oil low level SMU 3757</v>
          </cell>
          <cell r="F333"/>
          <cell r="G333"/>
          <cell r="H333"/>
          <cell r="I333" t="str">
            <v/>
          </cell>
          <cell r="J333" t="str">
            <v>ü</v>
          </cell>
          <cell r="K333">
            <v>46152.876388888901</v>
          </cell>
          <cell r="L333">
            <v>46152.999305555597</v>
          </cell>
          <cell r="M333">
            <v>2.9500000000116402</v>
          </cell>
          <cell r="N333" t="str">
            <v>General Repair</v>
          </cell>
        </row>
        <row r="334">
          <cell r="B334"/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  <cell r="M334"/>
          <cell r="N334" t="str">
            <v>General Repair</v>
          </cell>
        </row>
        <row r="335">
          <cell r="B335"/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  <cell r="M335"/>
          <cell r="N335" t="str">
            <v>General Repair</v>
          </cell>
        </row>
        <row r="336">
          <cell r="B336"/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  <cell r="M336"/>
          <cell r="N336" t="str">
            <v>General Repair</v>
          </cell>
        </row>
        <row r="337">
          <cell r="B337" t="str">
            <v>RBA002</v>
          </cell>
          <cell r="C337"/>
          <cell r="D337" t="str">
            <v>320K-ZBN</v>
          </cell>
          <cell r="E337" t="str">
            <v>7525 - BD Hyd oil leak &amp;  PM 500 HRS + BACKLOGS (W17) SMU 4460,6</v>
          </cell>
          <cell r="F337"/>
          <cell r="G337"/>
          <cell r="H337"/>
          <cell r="I337" t="str">
            <v>ü</v>
          </cell>
          <cell r="J337" t="str">
            <v/>
          </cell>
          <cell r="K337">
            <v>46143</v>
          </cell>
          <cell r="L337">
            <v>46148.943749999999</v>
          </cell>
          <cell r="M337">
            <v>142.64999999996499</v>
          </cell>
          <cell r="N337" t="str">
            <v>General Repair</v>
          </cell>
        </row>
        <row r="338">
          <cell r="B338"/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 t="str">
            <v>General Repair</v>
          </cell>
        </row>
        <row r="339">
          <cell r="B339"/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 t="str">
            <v>General Repair</v>
          </cell>
        </row>
        <row r="340">
          <cell r="B340"/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 t="str">
            <v>General Repair</v>
          </cell>
        </row>
        <row r="341">
          <cell r="B341"/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  <cell r="M341"/>
          <cell r="N341" t="str">
            <v>General Repair</v>
          </cell>
        </row>
        <row r="342">
          <cell r="B342" t="str">
            <v>RBA002</v>
          </cell>
          <cell r="C342"/>
          <cell r="D342" t="str">
            <v>320K-ZBN</v>
          </cell>
          <cell r="E342" t="str">
            <v>9214 - BD Pontoon leak SMU 4492,2</v>
          </cell>
          <cell r="F342"/>
          <cell r="G342"/>
          <cell r="H342"/>
          <cell r="I342" t="str">
            <v/>
          </cell>
          <cell r="J342" t="str">
            <v>ü</v>
          </cell>
          <cell r="K342">
            <v>46150.890277777798</v>
          </cell>
          <cell r="L342">
            <v>46153.572222222203</v>
          </cell>
          <cell r="M342">
            <v>64.366666666755904</v>
          </cell>
          <cell r="N342" t="str">
            <v>General Repair</v>
          </cell>
        </row>
        <row r="343">
          <cell r="B343"/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  <cell r="M343"/>
          <cell r="N343" t="str">
            <v>General Repair</v>
          </cell>
        </row>
        <row r="344">
          <cell r="B344"/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/>
          <cell r="N344" t="str">
            <v>General Repair</v>
          </cell>
        </row>
        <row r="345">
          <cell r="B345"/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  <cell r="M345"/>
          <cell r="N345" t="str">
            <v>General Repair</v>
          </cell>
        </row>
        <row r="346">
          <cell r="B346"/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  <cell r="M346"/>
          <cell r="N346" t="str">
            <v>General Repair</v>
          </cell>
        </row>
        <row r="347">
          <cell r="B347" t="str">
            <v>RS501</v>
          </cell>
          <cell r="C347"/>
          <cell r="D347" t="str">
            <v>6020B</v>
          </cell>
          <cell r="E347" t="str">
            <v>1274 - BD Hose fuel leak SMU 32673</v>
          </cell>
          <cell r="F347"/>
          <cell r="G347"/>
          <cell r="H347"/>
          <cell r="I347" t="str">
            <v/>
          </cell>
          <cell r="J347" t="str">
            <v>ü</v>
          </cell>
          <cell r="K347">
            <v>46148.570833333302</v>
          </cell>
          <cell r="L347">
            <v>46148.588194444397</v>
          </cell>
          <cell r="M347">
            <v>0.416666666627862</v>
          </cell>
          <cell r="N347" t="str">
            <v>Changeout</v>
          </cell>
        </row>
        <row r="348">
          <cell r="B348" t="str">
            <v>RS501</v>
          </cell>
          <cell r="C348"/>
          <cell r="D348" t="str">
            <v>6020B</v>
          </cell>
          <cell r="E348" t="str">
            <v>7063 - BD Swing stuck</v>
          </cell>
          <cell r="F348"/>
          <cell r="G348"/>
          <cell r="H348"/>
          <cell r="I348" t="str">
            <v/>
          </cell>
          <cell r="J348" t="str">
            <v>ü</v>
          </cell>
          <cell r="K348">
            <v>46148.980555555601</v>
          </cell>
          <cell r="L348">
            <v>46149.05</v>
          </cell>
          <cell r="M348">
            <v>1.6666666666860701</v>
          </cell>
          <cell r="N348" t="str">
            <v>General Repair</v>
          </cell>
        </row>
        <row r="349">
          <cell r="B349"/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 t="str">
            <v>General Repair</v>
          </cell>
        </row>
        <row r="350">
          <cell r="B350" t="str">
            <v>RS501</v>
          </cell>
          <cell r="C350"/>
          <cell r="D350" t="str">
            <v>6020B</v>
          </cell>
          <cell r="E350" t="str">
            <v>7526 - CONTINUE PM 1000 HRS + REPLACE 2x FD + BACKLOGS (W19) SMU 32705</v>
          </cell>
          <cell r="F350"/>
          <cell r="G350"/>
          <cell r="H350"/>
          <cell r="I350" t="str">
            <v>ü</v>
          </cell>
          <cell r="J350" t="str">
            <v/>
          </cell>
          <cell r="K350">
            <v>46150.338888888902</v>
          </cell>
          <cell r="L350">
            <v>46152.538194444402</v>
          </cell>
          <cell r="M350">
            <v>52.783333333383801</v>
          </cell>
          <cell r="N350" t="str">
            <v>Servicing</v>
          </cell>
        </row>
        <row r="351">
          <cell r="B351"/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 t="str">
            <v>Servicing</v>
          </cell>
        </row>
        <row r="352">
          <cell r="B352"/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  <cell r="N352" t="str">
            <v>Servicing</v>
          </cell>
        </row>
        <row r="353">
          <cell r="B353"/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  <cell r="N353" t="str">
            <v>Servicing</v>
          </cell>
        </row>
        <row r="354">
          <cell r="B354"/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 t="str">
            <v>Servicing</v>
          </cell>
        </row>
        <row r="355">
          <cell r="B355"/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 t="str">
            <v>Servicing</v>
          </cell>
        </row>
        <row r="356">
          <cell r="B356" t="str">
            <v>RT401</v>
          </cell>
          <cell r="C356"/>
          <cell r="D356" t="str">
            <v>777E-KDP</v>
          </cell>
          <cell r="E356" t="str">
            <v>7525 - PM 500 HRS + BACKLOGS (W16)SMU  37827,6  (backed up by RT402 per 02-05-2026 15:55) (aktual ready on 07-05-26 01:21 )</v>
          </cell>
          <cell r="F356"/>
          <cell r="G356"/>
          <cell r="H356"/>
          <cell r="I356" t="str">
            <v>ü</v>
          </cell>
          <cell r="J356" t="str">
            <v/>
          </cell>
          <cell r="K356">
            <v>46144.663194444402</v>
          </cell>
          <cell r="L356">
            <v>46144.7902777778</v>
          </cell>
          <cell r="M356">
            <v>3.0499999999883598</v>
          </cell>
          <cell r="N356" t="str">
            <v>Servicing</v>
          </cell>
        </row>
        <row r="357">
          <cell r="B357"/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 t="str">
            <v>Servicing</v>
          </cell>
        </row>
        <row r="358">
          <cell r="B358"/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  <cell r="M358"/>
          <cell r="N358" t="str">
            <v>Servicing</v>
          </cell>
        </row>
        <row r="359">
          <cell r="B359"/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  <cell r="M359"/>
          <cell r="N359" t="str">
            <v>Servicing</v>
          </cell>
        </row>
        <row r="360">
          <cell r="B360"/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 t="str">
            <v>Servicing</v>
          </cell>
        </row>
        <row r="361">
          <cell r="B361" t="str">
            <v>RT401</v>
          </cell>
          <cell r="C361"/>
          <cell r="D361" t="str">
            <v>777E-KDP</v>
          </cell>
          <cell r="E361" t="str">
            <v>5057 - BD Hyd oil leak SMU 37846,8</v>
          </cell>
          <cell r="F361"/>
          <cell r="G361"/>
          <cell r="H361"/>
          <cell r="I361" t="str">
            <v/>
          </cell>
          <cell r="J361" t="str">
            <v>ü</v>
          </cell>
          <cell r="K361">
            <v>46150.082638888904</v>
          </cell>
          <cell r="L361">
            <v>46150.195138888899</v>
          </cell>
          <cell r="M361">
            <v>2.7000000000698501</v>
          </cell>
          <cell r="N361" t="str">
            <v>General Repair</v>
          </cell>
        </row>
        <row r="362"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 t="str">
            <v>General Repair</v>
          </cell>
        </row>
        <row r="363"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 t="str">
            <v>General Repair</v>
          </cell>
        </row>
        <row r="364">
          <cell r="B364" t="str">
            <v>RT401</v>
          </cell>
          <cell r="C364"/>
          <cell r="D364" t="str">
            <v>777E-KDP</v>
          </cell>
          <cell r="E364" t="str">
            <v>1634 - BD Brake Oil Temp On SMU 37887,5</v>
          </cell>
          <cell r="F364"/>
          <cell r="G364"/>
          <cell r="H364"/>
          <cell r="I364" t="str">
            <v/>
          </cell>
          <cell r="J364" t="str">
            <v>ü</v>
          </cell>
          <cell r="K364">
            <v>46152.334027777797</v>
          </cell>
          <cell r="L364">
            <v>46152.432638888902</v>
          </cell>
          <cell r="M364">
            <v>2.3666666666977099</v>
          </cell>
          <cell r="N364" t="str">
            <v>Inspection</v>
          </cell>
        </row>
        <row r="365">
          <cell r="B365"/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  <cell r="M365"/>
          <cell r="N365" t="str">
            <v>Inspection</v>
          </cell>
        </row>
        <row r="366">
          <cell r="B366"/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 t="str">
            <v>Inspection</v>
          </cell>
        </row>
        <row r="367">
          <cell r="B367"/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 t="str">
            <v>Inspection</v>
          </cell>
        </row>
        <row r="368">
          <cell r="B368" t="str">
            <v>RT401</v>
          </cell>
          <cell r="C368"/>
          <cell r="D368" t="str">
            <v>777E-KDP</v>
          </cell>
          <cell r="E368" t="str">
            <v>7320 - BD AC Problem SMU 37909,6</v>
          </cell>
          <cell r="F368"/>
          <cell r="G368"/>
          <cell r="H368"/>
          <cell r="I368" t="str">
            <v/>
          </cell>
          <cell r="J368" t="str">
            <v>ü</v>
          </cell>
          <cell r="K368">
            <v>46153.493055555598</v>
          </cell>
          <cell r="L368">
            <v>46153.661805555603</v>
          </cell>
          <cell r="M368">
            <v>4.0500000001047702</v>
          </cell>
          <cell r="N368" t="str">
            <v>General Repair</v>
          </cell>
        </row>
        <row r="369">
          <cell r="B369"/>
          <cell r="C369"/>
          <cell r="D369"/>
          <cell r="E369"/>
          <cell r="F369"/>
          <cell r="G369"/>
          <cell r="H369"/>
          <cell r="I369"/>
          <cell r="J369"/>
          <cell r="K369"/>
          <cell r="L369"/>
          <cell r="M369"/>
          <cell r="N369" t="str">
            <v>General Repair</v>
          </cell>
        </row>
        <row r="370">
          <cell r="B370" t="str">
            <v>RT401</v>
          </cell>
          <cell r="C370"/>
          <cell r="D370" t="str">
            <v>777E-KDP</v>
          </cell>
          <cell r="E370" t="str">
            <v>4257 - BD Brake temp high SMU 37915,9</v>
          </cell>
          <cell r="F370"/>
          <cell r="G370"/>
          <cell r="H370"/>
          <cell r="I370" t="str">
            <v/>
          </cell>
          <cell r="J370" t="str">
            <v>ü</v>
          </cell>
          <cell r="K370">
            <v>46153.989583333299</v>
          </cell>
          <cell r="L370">
            <v>46154.149305555598</v>
          </cell>
          <cell r="M370">
            <v>3.83333333325572</v>
          </cell>
          <cell r="N370" t="str">
            <v>General Repair</v>
          </cell>
        </row>
        <row r="371">
          <cell r="B371"/>
          <cell r="C371"/>
          <cell r="D371"/>
          <cell r="E371"/>
          <cell r="F371"/>
          <cell r="G371"/>
          <cell r="H371"/>
          <cell r="I371"/>
          <cell r="J371"/>
          <cell r="K371"/>
          <cell r="L371"/>
          <cell r="M371"/>
          <cell r="N371" t="str">
            <v>General Repair</v>
          </cell>
        </row>
        <row r="372">
          <cell r="B372"/>
          <cell r="C372"/>
          <cell r="D372"/>
          <cell r="E372"/>
          <cell r="F372"/>
          <cell r="G372"/>
          <cell r="H372"/>
          <cell r="I372"/>
          <cell r="J372"/>
          <cell r="K372"/>
          <cell r="L372"/>
          <cell r="M372"/>
          <cell r="N372" t="str">
            <v>General Repair</v>
          </cell>
        </row>
        <row r="373">
          <cell r="B373"/>
          <cell r="C373"/>
          <cell r="D373"/>
          <cell r="E373"/>
          <cell r="F373"/>
          <cell r="G373"/>
          <cell r="H373"/>
          <cell r="I373"/>
          <cell r="J373"/>
          <cell r="K373"/>
          <cell r="L373"/>
          <cell r="M373"/>
          <cell r="N373" t="str">
            <v>General Repair</v>
          </cell>
        </row>
        <row r="374">
          <cell r="B374" t="str">
            <v>RT401</v>
          </cell>
          <cell r="C374"/>
          <cell r="D374" t="str">
            <v>777E-KDP</v>
          </cell>
          <cell r="E374" t="str">
            <v>1397 - BD Belt AC broken SMU 37926,2</v>
          </cell>
          <cell r="F374"/>
          <cell r="G374"/>
          <cell r="H374"/>
          <cell r="I374" t="str">
            <v/>
          </cell>
          <cell r="J374" t="str">
            <v>ü</v>
          </cell>
          <cell r="K374">
            <v>46154.658333333296</v>
          </cell>
          <cell r="L374">
            <v>46154.873611111099</v>
          </cell>
          <cell r="M374">
            <v>5.1666666667442804</v>
          </cell>
          <cell r="N374" t="str">
            <v>Inspection</v>
          </cell>
        </row>
        <row r="375">
          <cell r="B375"/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  <cell r="M375"/>
          <cell r="N375" t="str">
            <v>Inspection</v>
          </cell>
        </row>
        <row r="376">
          <cell r="B376" t="str">
            <v>RT402</v>
          </cell>
          <cell r="C376"/>
          <cell r="D376" t="str">
            <v>777E-KDP</v>
          </cell>
          <cell r="E376" t="str">
            <v>7200 - BD Suspension problem SMU 36411,3</v>
          </cell>
          <cell r="F376"/>
          <cell r="G376"/>
          <cell r="H376"/>
          <cell r="I376" t="str">
            <v/>
          </cell>
          <cell r="J376" t="str">
            <v>ü</v>
          </cell>
          <cell r="K376">
            <v>46146.223611111098</v>
          </cell>
          <cell r="L376">
            <v>46146.628472222197</v>
          </cell>
          <cell r="M376">
            <v>9.7166666665580106</v>
          </cell>
          <cell r="N376" t="str">
            <v>General Repair</v>
          </cell>
        </row>
        <row r="377">
          <cell r="B377"/>
          <cell r="C377"/>
          <cell r="D377"/>
          <cell r="E377"/>
          <cell r="F377"/>
          <cell r="G377"/>
          <cell r="H377"/>
          <cell r="I377"/>
          <cell r="J377"/>
          <cell r="K377"/>
          <cell r="L377"/>
          <cell r="M377"/>
          <cell r="N377" t="str">
            <v>General Repair</v>
          </cell>
        </row>
        <row r="378">
          <cell r="B378"/>
          <cell r="C378"/>
          <cell r="D378"/>
          <cell r="E378"/>
          <cell r="F378"/>
          <cell r="G378"/>
          <cell r="H378"/>
          <cell r="I378"/>
          <cell r="J378"/>
          <cell r="K378"/>
          <cell r="L378"/>
          <cell r="M378"/>
          <cell r="N378" t="str">
            <v>General Repair</v>
          </cell>
        </row>
        <row r="379">
          <cell r="B379"/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  <cell r="M379"/>
          <cell r="N379" t="str">
            <v>General Repair</v>
          </cell>
        </row>
        <row r="380">
          <cell r="B380"/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  <cell r="M380"/>
          <cell r="N380" t="str">
            <v>General Repair</v>
          </cell>
        </row>
        <row r="381">
          <cell r="B381" t="str">
            <v>RT402</v>
          </cell>
          <cell r="C381"/>
          <cell r="D381" t="str">
            <v>777E-KDP</v>
          </cell>
          <cell r="E381" t="str">
            <v>7271 - BD Tail gate problem SMU 36450,8</v>
          </cell>
          <cell r="F381"/>
          <cell r="G381"/>
          <cell r="H381"/>
          <cell r="I381" t="str">
            <v/>
          </cell>
          <cell r="J381" t="str">
            <v>ü</v>
          </cell>
          <cell r="K381">
            <v>46148.589583333298</v>
          </cell>
          <cell r="L381">
            <v>46148.59375</v>
          </cell>
          <cell r="M381">
            <v>9.9999999976716894E-2</v>
          </cell>
          <cell r="N381" t="str">
            <v>General Repair</v>
          </cell>
        </row>
        <row r="382">
          <cell r="B382"/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  <cell r="M382"/>
          <cell r="N382" t="str">
            <v>General Repair</v>
          </cell>
        </row>
        <row r="383">
          <cell r="B383" t="str">
            <v>RT402</v>
          </cell>
          <cell r="C383"/>
          <cell r="D383" t="str">
            <v>777E-KDP</v>
          </cell>
          <cell r="E383" t="str">
            <v>7401 - BD FSS problem SMU</v>
          </cell>
          <cell r="F383"/>
          <cell r="G383"/>
          <cell r="H383"/>
          <cell r="I383" t="str">
            <v/>
          </cell>
          <cell r="J383" t="str">
            <v>ü</v>
          </cell>
          <cell r="K383">
            <v>46150.161111111098</v>
          </cell>
          <cell r="L383">
            <v>46150.218055555597</v>
          </cell>
          <cell r="M383">
            <v>1.3666666665813001</v>
          </cell>
          <cell r="N383" t="str">
            <v>General Repair</v>
          </cell>
        </row>
        <row r="384">
          <cell r="B384"/>
          <cell r="C384"/>
          <cell r="D384"/>
          <cell r="E384"/>
          <cell r="F384"/>
          <cell r="G384"/>
          <cell r="H384"/>
          <cell r="I384"/>
          <cell r="J384"/>
          <cell r="K384"/>
          <cell r="L384"/>
          <cell r="M384"/>
          <cell r="N384" t="str">
            <v>General Repair</v>
          </cell>
        </row>
        <row r="385">
          <cell r="B385" t="str">
            <v>RT402</v>
          </cell>
          <cell r="C385"/>
          <cell r="D385" t="str">
            <v>777E-KDP</v>
          </cell>
          <cell r="E385" t="str">
            <v>1000 - BD Eng warning on SMU 36498,6</v>
          </cell>
          <cell r="F385"/>
          <cell r="G385"/>
          <cell r="H385"/>
          <cell r="I385" t="str">
            <v/>
          </cell>
          <cell r="J385" t="str">
            <v>ü</v>
          </cell>
          <cell r="K385">
            <v>46152.722916666702</v>
          </cell>
          <cell r="L385">
            <v>46152.872916666704</v>
          </cell>
          <cell r="M385">
            <v>3.6000000000349202</v>
          </cell>
          <cell r="N385" t="str">
            <v>General Repair</v>
          </cell>
        </row>
        <row r="386">
          <cell r="B386"/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  <cell r="M386"/>
          <cell r="N386" t="str">
            <v>General Repair</v>
          </cell>
        </row>
        <row r="387">
          <cell r="B387" t="str">
            <v>RT402</v>
          </cell>
          <cell r="C387"/>
          <cell r="D387" t="str">
            <v>777E-KDP</v>
          </cell>
          <cell r="E387" t="str">
            <v>1051 - BD Engine low power SMU 36503,8</v>
          </cell>
          <cell r="F387"/>
          <cell r="G387"/>
          <cell r="H387"/>
          <cell r="I387" t="str">
            <v/>
          </cell>
          <cell r="J387" t="str">
            <v>ü</v>
          </cell>
          <cell r="K387">
            <v>46153.081944444399</v>
          </cell>
          <cell r="L387">
            <v>46153.163194444402</v>
          </cell>
          <cell r="M387">
            <v>1.9500000000698501</v>
          </cell>
          <cell r="N387" t="str">
            <v>General Repair</v>
          </cell>
        </row>
        <row r="388">
          <cell r="B388"/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  <cell r="M388"/>
          <cell r="N388" t="str">
            <v>General Repair</v>
          </cell>
        </row>
        <row r="389">
          <cell r="B389"/>
          <cell r="C389"/>
          <cell r="D389"/>
          <cell r="E389"/>
          <cell r="F389"/>
          <cell r="G389"/>
          <cell r="H389"/>
          <cell r="I389"/>
          <cell r="J389"/>
          <cell r="K389"/>
          <cell r="L389"/>
          <cell r="M389"/>
          <cell r="N389" t="str">
            <v>General Repair</v>
          </cell>
        </row>
        <row r="390">
          <cell r="B390"/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  <cell r="M390"/>
          <cell r="N390" t="str">
            <v>General Repair</v>
          </cell>
        </row>
        <row r="391">
          <cell r="B391"/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  <cell r="M391"/>
          <cell r="N391" t="str">
            <v>General Repair</v>
          </cell>
        </row>
        <row r="392">
          <cell r="B392" t="str">
            <v>RT402</v>
          </cell>
          <cell r="C392"/>
          <cell r="D392" t="str">
            <v>777E-KDP</v>
          </cell>
          <cell r="E392" t="str">
            <v>1261 - BD Low power SMU 36513,4</v>
          </cell>
          <cell r="F392"/>
          <cell r="G392"/>
          <cell r="H392"/>
          <cell r="I392" t="str">
            <v/>
          </cell>
          <cell r="J392" t="str">
            <v>ü</v>
          </cell>
          <cell r="K392">
            <v>46153.633333333302</v>
          </cell>
          <cell r="L392">
            <v>46153.752777777801</v>
          </cell>
          <cell r="M392">
            <v>2.8666666667559202</v>
          </cell>
          <cell r="N392" t="str">
            <v>General Repair</v>
          </cell>
        </row>
        <row r="393">
          <cell r="B393"/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  <cell r="M393"/>
          <cell r="N393" t="str">
            <v>General Repair</v>
          </cell>
        </row>
        <row r="394">
          <cell r="B394"/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  <cell r="M394"/>
          <cell r="N394" t="str">
            <v>General Repair</v>
          </cell>
        </row>
        <row r="395">
          <cell r="B395"/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  <cell r="M395"/>
          <cell r="N395" t="str">
            <v>General Repair</v>
          </cell>
        </row>
        <row r="396">
          <cell r="B396" t="str">
            <v>RT402</v>
          </cell>
          <cell r="C396"/>
          <cell r="D396" t="str">
            <v>777E-KDP</v>
          </cell>
          <cell r="E396" t="str">
            <v>1000 - BD Eng wont start SMU 36513,6</v>
          </cell>
          <cell r="F396"/>
          <cell r="G396"/>
          <cell r="H396"/>
          <cell r="I396" t="str">
            <v/>
          </cell>
          <cell r="J396" t="str">
            <v>ü</v>
          </cell>
          <cell r="K396">
            <v>46153.835416666698</v>
          </cell>
          <cell r="L396">
            <v>46154.008333333302</v>
          </cell>
          <cell r="M396">
            <v>4.1499999999068704</v>
          </cell>
          <cell r="N396" t="str">
            <v>General Repair</v>
          </cell>
        </row>
        <row r="397">
          <cell r="B397"/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  <cell r="M397"/>
          <cell r="N397" t="str">
            <v>General Repair</v>
          </cell>
        </row>
        <row r="398">
          <cell r="B398"/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  <cell r="M398"/>
          <cell r="N398" t="str">
            <v>General Repair</v>
          </cell>
        </row>
        <row r="399">
          <cell r="B399"/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  <cell r="M399"/>
          <cell r="N399" t="str">
            <v>General Repair</v>
          </cell>
        </row>
        <row r="400">
          <cell r="B400"/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  <cell r="M400"/>
          <cell r="N400" t="str">
            <v>General Repair</v>
          </cell>
        </row>
        <row r="401">
          <cell r="B401" t="str">
            <v>RT403</v>
          </cell>
          <cell r="C401"/>
          <cell r="D401" t="str">
            <v>777D-FKR</v>
          </cell>
          <cell r="E401" t="str">
            <v>4261 - BD Air pressure SMU 32523,4</v>
          </cell>
          <cell r="F401"/>
          <cell r="G401"/>
          <cell r="H401"/>
          <cell r="I401" t="str">
            <v/>
          </cell>
          <cell r="J401" t="str">
            <v>ü</v>
          </cell>
          <cell r="K401">
            <v>46143</v>
          </cell>
          <cell r="L401">
            <v>46143.1875</v>
          </cell>
          <cell r="M401">
            <v>4.5</v>
          </cell>
          <cell r="N401" t="str">
            <v>Changeout</v>
          </cell>
        </row>
        <row r="402">
          <cell r="B402"/>
          <cell r="C402"/>
          <cell r="D402"/>
          <cell r="E402"/>
          <cell r="F402"/>
          <cell r="G402"/>
          <cell r="H402"/>
          <cell r="I402"/>
          <cell r="J402"/>
          <cell r="K402"/>
          <cell r="L402"/>
          <cell r="M402"/>
          <cell r="N402" t="str">
            <v>Changeout</v>
          </cell>
        </row>
        <row r="403">
          <cell r="B403"/>
          <cell r="C403"/>
          <cell r="D403"/>
          <cell r="E403"/>
          <cell r="F403"/>
          <cell r="G403"/>
          <cell r="H403"/>
          <cell r="I403"/>
          <cell r="J403"/>
          <cell r="K403"/>
          <cell r="L403"/>
          <cell r="M403"/>
          <cell r="N403" t="str">
            <v>Changeout</v>
          </cell>
        </row>
        <row r="404">
          <cell r="B404"/>
          <cell r="C404"/>
          <cell r="D404"/>
          <cell r="E404"/>
          <cell r="F404"/>
          <cell r="G404"/>
          <cell r="H404"/>
          <cell r="I404"/>
          <cell r="J404"/>
          <cell r="K404"/>
          <cell r="L404"/>
          <cell r="M404"/>
          <cell r="N404" t="str">
            <v>Changeout</v>
          </cell>
        </row>
        <row r="405">
          <cell r="B405"/>
          <cell r="C405"/>
          <cell r="D405"/>
          <cell r="E405"/>
          <cell r="F405"/>
          <cell r="G405"/>
          <cell r="H405"/>
          <cell r="I405"/>
          <cell r="J405"/>
          <cell r="K405"/>
          <cell r="L405"/>
          <cell r="M405"/>
          <cell r="N405" t="str">
            <v>Changeout</v>
          </cell>
        </row>
        <row r="406">
          <cell r="B406" t="str">
            <v>RT403</v>
          </cell>
          <cell r="C406"/>
          <cell r="D406" t="str">
            <v>777D-FKR</v>
          </cell>
          <cell r="E406" t="str">
            <v>1000 - BD Low power SMU 32525,8</v>
          </cell>
          <cell r="F406"/>
          <cell r="G406"/>
          <cell r="H406"/>
          <cell r="I406" t="str">
            <v/>
          </cell>
          <cell r="J406" t="str">
            <v>ü</v>
          </cell>
          <cell r="K406">
            <v>46143.3215277778</v>
          </cell>
          <cell r="L406">
            <v>46143.698611111096</v>
          </cell>
          <cell r="M406">
            <v>9.0499999999883602</v>
          </cell>
          <cell r="N406" t="str">
            <v>General Repair</v>
          </cell>
        </row>
        <row r="407">
          <cell r="B407"/>
          <cell r="C407"/>
          <cell r="D407"/>
          <cell r="E407"/>
          <cell r="F407"/>
          <cell r="G407"/>
          <cell r="H407"/>
          <cell r="I407"/>
          <cell r="J407"/>
          <cell r="K407"/>
          <cell r="L407"/>
          <cell r="M407"/>
          <cell r="N407" t="str">
            <v>General Repair</v>
          </cell>
        </row>
        <row r="408">
          <cell r="B408"/>
          <cell r="C408"/>
          <cell r="D408"/>
          <cell r="E408"/>
          <cell r="F408"/>
          <cell r="G408"/>
          <cell r="H408"/>
          <cell r="I408"/>
          <cell r="J408"/>
          <cell r="K408"/>
          <cell r="L408"/>
          <cell r="M408"/>
          <cell r="N408" t="str">
            <v>General Repair</v>
          </cell>
        </row>
        <row r="409">
          <cell r="B409"/>
          <cell r="C409"/>
          <cell r="D409"/>
          <cell r="E409"/>
          <cell r="F409"/>
          <cell r="G409"/>
          <cell r="H409"/>
          <cell r="I409"/>
          <cell r="J409"/>
          <cell r="K409"/>
          <cell r="L409"/>
          <cell r="M409"/>
          <cell r="N409" t="str">
            <v>General Repair</v>
          </cell>
        </row>
        <row r="410">
          <cell r="B410" t="str">
            <v>RT403</v>
          </cell>
          <cell r="C410"/>
          <cell r="D410" t="str">
            <v>777D-FKR</v>
          </cell>
          <cell r="E410" t="str">
            <v>5503 - BD Air pressure drop SMU 32556,9</v>
          </cell>
          <cell r="F410"/>
          <cell r="G410"/>
          <cell r="H410"/>
          <cell r="I410" t="str">
            <v/>
          </cell>
          <cell r="J410" t="str">
            <v>ü</v>
          </cell>
          <cell r="K410">
            <v>46145.172916666699</v>
          </cell>
          <cell r="L410">
            <v>46145.472916666702</v>
          </cell>
          <cell r="M410">
            <v>7.1999999998952298</v>
          </cell>
          <cell r="N410" t="str">
            <v>General Repair</v>
          </cell>
        </row>
        <row r="411">
          <cell r="B411"/>
          <cell r="C411"/>
          <cell r="D411"/>
          <cell r="E411"/>
          <cell r="F411"/>
          <cell r="G411"/>
          <cell r="H411"/>
          <cell r="I411"/>
          <cell r="J411"/>
          <cell r="K411"/>
          <cell r="L411"/>
          <cell r="M411"/>
          <cell r="N411" t="str">
            <v>General Repair</v>
          </cell>
        </row>
        <row r="412">
          <cell r="B412"/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  <cell r="M412"/>
          <cell r="N412" t="str">
            <v>General Repair</v>
          </cell>
        </row>
        <row r="413">
          <cell r="B413"/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  <cell r="M413"/>
          <cell r="N413" t="str">
            <v>General Repair</v>
          </cell>
        </row>
        <row r="414">
          <cell r="B414"/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  <cell r="M414"/>
          <cell r="N414" t="str">
            <v>General Repair</v>
          </cell>
        </row>
        <row r="415">
          <cell r="B415" t="str">
            <v>RT403</v>
          </cell>
          <cell r="C415"/>
          <cell r="D415" t="str">
            <v>777D-FKR</v>
          </cell>
          <cell r="E415" t="str">
            <v>7000 - BD Heat glove emergency missing SMU 32648,1</v>
          </cell>
          <cell r="F415"/>
          <cell r="G415"/>
          <cell r="H415"/>
          <cell r="I415" t="str">
            <v/>
          </cell>
          <cell r="J415" t="str">
            <v>ü</v>
          </cell>
          <cell r="K415">
            <v>46150.315277777801</v>
          </cell>
          <cell r="L415">
            <v>46150.379861111098</v>
          </cell>
          <cell r="M415">
            <v>1.54999999998836</v>
          </cell>
          <cell r="N415" t="str">
            <v>General Repair</v>
          </cell>
        </row>
        <row r="416">
          <cell r="B416"/>
          <cell r="C416"/>
          <cell r="D416"/>
          <cell r="E416"/>
          <cell r="F416"/>
          <cell r="G416"/>
          <cell r="H416"/>
          <cell r="I416"/>
          <cell r="J416"/>
          <cell r="K416"/>
          <cell r="L416"/>
          <cell r="M416"/>
          <cell r="N416" t="str">
            <v>General Repair</v>
          </cell>
        </row>
        <row r="417">
          <cell r="B417"/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  <cell r="N417" t="str">
            <v>General Repair</v>
          </cell>
        </row>
        <row r="418">
          <cell r="B418" t="str">
            <v>RT403</v>
          </cell>
          <cell r="C418"/>
          <cell r="D418" t="str">
            <v>777D-FKR</v>
          </cell>
          <cell r="E418" t="str">
            <v>1000 - BD Engine warning on SMU 32691,7</v>
          </cell>
          <cell r="F418"/>
          <cell r="G418"/>
          <cell r="H418"/>
          <cell r="I418" t="str">
            <v/>
          </cell>
          <cell r="J418" t="str">
            <v>ü</v>
          </cell>
          <cell r="K418">
            <v>46152.714583333298</v>
          </cell>
          <cell r="L418">
            <v>46152.948611111096</v>
          </cell>
          <cell r="M418">
            <v>5.6166666666395004</v>
          </cell>
          <cell r="N418" t="str">
            <v>General Repair</v>
          </cell>
        </row>
        <row r="419">
          <cell r="B419"/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 t="str">
            <v>General Repair</v>
          </cell>
        </row>
        <row r="420">
          <cell r="B420"/>
          <cell r="C420"/>
          <cell r="D420"/>
          <cell r="E420"/>
          <cell r="F420"/>
          <cell r="G420"/>
          <cell r="H420"/>
          <cell r="I420"/>
          <cell r="J420"/>
          <cell r="K420"/>
          <cell r="L420"/>
          <cell r="M420"/>
          <cell r="N420" t="str">
            <v>General Repair</v>
          </cell>
        </row>
        <row r="421">
          <cell r="B421"/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  <cell r="M421"/>
          <cell r="N421" t="str">
            <v>General Repair</v>
          </cell>
        </row>
        <row r="422">
          <cell r="B422"/>
          <cell r="C422"/>
          <cell r="D422"/>
          <cell r="E422"/>
          <cell r="F422"/>
          <cell r="G422"/>
          <cell r="H422"/>
          <cell r="I422"/>
          <cell r="J422"/>
          <cell r="K422"/>
          <cell r="L422"/>
          <cell r="M422"/>
          <cell r="N422" t="str">
            <v>General Repair</v>
          </cell>
        </row>
        <row r="423">
          <cell r="B423" t="str">
            <v>RT403</v>
          </cell>
          <cell r="C423"/>
          <cell r="D423" t="str">
            <v>777D-FKR</v>
          </cell>
          <cell r="E423" t="str">
            <v>7327 - BD Safety belt problem SMU 32708</v>
          </cell>
          <cell r="F423"/>
          <cell r="G423"/>
          <cell r="H423"/>
          <cell r="I423" t="str">
            <v/>
          </cell>
          <cell r="J423" t="str">
            <v>ü</v>
          </cell>
          <cell r="K423">
            <v>46153.806250000001</v>
          </cell>
          <cell r="L423">
            <v>46154.836111111101</v>
          </cell>
          <cell r="M423">
            <v>24.716666666558002</v>
          </cell>
          <cell r="N423" t="str">
            <v>General Repair</v>
          </cell>
        </row>
        <row r="424">
          <cell r="B424"/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  <cell r="M424"/>
          <cell r="N424" t="str">
            <v>General Repair</v>
          </cell>
        </row>
        <row r="425">
          <cell r="B425"/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  <cell r="M425"/>
          <cell r="N425" t="str">
            <v>General Repair</v>
          </cell>
        </row>
        <row r="426">
          <cell r="B426"/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  <cell r="M426"/>
          <cell r="N426" t="str">
            <v>General Repair</v>
          </cell>
        </row>
        <row r="427">
          <cell r="B427" t="str">
            <v>RT403</v>
          </cell>
          <cell r="C427"/>
          <cell r="D427" t="str">
            <v>777D-FKR</v>
          </cell>
          <cell r="E427" t="str">
            <v>1000 - BD Isolation box missing SMU 32722</v>
          </cell>
          <cell r="F427"/>
          <cell r="G427"/>
          <cell r="H427"/>
          <cell r="I427" t="str">
            <v/>
          </cell>
          <cell r="J427" t="str">
            <v>ü</v>
          </cell>
          <cell r="K427">
            <v>46154.583333333299</v>
          </cell>
          <cell r="L427">
            <v>46154.604166666701</v>
          </cell>
          <cell r="M427">
            <v>0.49999999988358501</v>
          </cell>
          <cell r="N427" t="str">
            <v>General Repair</v>
          </cell>
        </row>
        <row r="428">
          <cell r="B428"/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  <cell r="M428"/>
          <cell r="N428" t="str">
            <v>General Repair</v>
          </cell>
        </row>
        <row r="429">
          <cell r="B429"/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  <cell r="M429"/>
          <cell r="N429" t="str">
            <v>General Repair</v>
          </cell>
        </row>
        <row r="430">
          <cell r="B430" t="str">
            <v>RT404</v>
          </cell>
          <cell r="C430"/>
          <cell r="D430" t="str">
            <v>777D-FKR</v>
          </cell>
          <cell r="E430" t="str">
            <v>5503 - BD Air pressure drop SMU 39759,3</v>
          </cell>
          <cell r="F430"/>
          <cell r="G430"/>
          <cell r="H430"/>
          <cell r="I430" t="str">
            <v/>
          </cell>
          <cell r="J430" t="str">
            <v>ü</v>
          </cell>
          <cell r="K430">
            <v>46145.431250000001</v>
          </cell>
          <cell r="L430">
            <v>46145.6965277778</v>
          </cell>
          <cell r="M430">
            <v>6.3666666666395004</v>
          </cell>
          <cell r="N430" t="str">
            <v>General Repair</v>
          </cell>
        </row>
        <row r="431">
          <cell r="B431"/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  <cell r="M431"/>
          <cell r="N431" t="str">
            <v>General Repair</v>
          </cell>
        </row>
        <row r="432">
          <cell r="B432"/>
          <cell r="C432"/>
          <cell r="D432"/>
          <cell r="E432"/>
          <cell r="F432"/>
          <cell r="G432"/>
          <cell r="H432"/>
          <cell r="I432"/>
          <cell r="J432"/>
          <cell r="K432"/>
          <cell r="L432"/>
          <cell r="M432"/>
          <cell r="N432" t="str">
            <v>General Repair</v>
          </cell>
        </row>
        <row r="433">
          <cell r="B433"/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  <cell r="M433"/>
          <cell r="N433" t="str">
            <v>General Repair</v>
          </cell>
        </row>
        <row r="434">
          <cell r="B434" t="str">
            <v>RT404</v>
          </cell>
          <cell r="C434"/>
          <cell r="D434" t="str">
            <v>777D-FKR</v>
          </cell>
          <cell r="E434" t="str">
            <v>2373 - BD Worklamp RH problem SMU 39764,6</v>
          </cell>
          <cell r="F434"/>
          <cell r="G434"/>
          <cell r="H434"/>
          <cell r="I434" t="str">
            <v/>
          </cell>
          <cell r="J434" t="str">
            <v>ü</v>
          </cell>
          <cell r="K434">
            <v>46145.934722222199</v>
          </cell>
          <cell r="L434">
            <v>46146.129861111098</v>
          </cell>
          <cell r="M434">
            <v>4.6833333334070604</v>
          </cell>
          <cell r="N434" t="str">
            <v>General Repair</v>
          </cell>
        </row>
        <row r="435">
          <cell r="B435"/>
          <cell r="C435"/>
          <cell r="D435"/>
          <cell r="E435"/>
          <cell r="F435"/>
          <cell r="G435"/>
          <cell r="H435"/>
          <cell r="I435"/>
          <cell r="J435"/>
          <cell r="K435"/>
          <cell r="L435"/>
          <cell r="M435"/>
          <cell r="N435" t="str">
            <v>General Repair</v>
          </cell>
        </row>
        <row r="436">
          <cell r="B436"/>
          <cell r="C436"/>
          <cell r="D436"/>
          <cell r="E436"/>
          <cell r="F436"/>
          <cell r="G436"/>
          <cell r="H436"/>
          <cell r="I436"/>
          <cell r="J436"/>
          <cell r="K436"/>
          <cell r="L436"/>
          <cell r="M436"/>
          <cell r="N436" t="str">
            <v>General Repair</v>
          </cell>
        </row>
        <row r="437">
          <cell r="B437"/>
          <cell r="C437"/>
          <cell r="D437"/>
          <cell r="E437"/>
          <cell r="F437"/>
          <cell r="G437"/>
          <cell r="H437"/>
          <cell r="I437"/>
          <cell r="J437"/>
          <cell r="K437"/>
          <cell r="L437"/>
          <cell r="M437"/>
          <cell r="N437" t="str">
            <v>General Repair</v>
          </cell>
        </row>
        <row r="438">
          <cell r="B438"/>
          <cell r="C438"/>
          <cell r="D438"/>
          <cell r="E438"/>
          <cell r="F438"/>
          <cell r="G438"/>
          <cell r="H438"/>
          <cell r="I438"/>
          <cell r="J438"/>
          <cell r="K438"/>
          <cell r="L438"/>
          <cell r="M438"/>
          <cell r="N438" t="str">
            <v>General Repair</v>
          </cell>
        </row>
        <row r="439">
          <cell r="B439" t="str">
            <v>RT405</v>
          </cell>
          <cell r="C439"/>
          <cell r="D439" t="str">
            <v>777D-FKR</v>
          </cell>
          <cell r="E439" t="str">
            <v>1000 - BD Engine ind on SMU 33505,5</v>
          </cell>
          <cell r="F439"/>
          <cell r="G439"/>
          <cell r="H439"/>
          <cell r="I439" t="str">
            <v/>
          </cell>
          <cell r="J439" t="str">
            <v>ü</v>
          </cell>
          <cell r="K439">
            <v>46143.639583333301</v>
          </cell>
          <cell r="L439">
            <v>46143.757638888899</v>
          </cell>
          <cell r="M439">
            <v>2.8333333334885502</v>
          </cell>
          <cell r="N439" t="str">
            <v>General Repair</v>
          </cell>
        </row>
        <row r="440">
          <cell r="B440"/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  <cell r="M440"/>
          <cell r="N440" t="str">
            <v>General Repair</v>
          </cell>
        </row>
        <row r="441">
          <cell r="B441"/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  <cell r="M441"/>
          <cell r="N441" t="str">
            <v>General Repair</v>
          </cell>
        </row>
        <row r="442">
          <cell r="B442"/>
          <cell r="C442"/>
          <cell r="D442"/>
          <cell r="E442"/>
          <cell r="F442"/>
          <cell r="G442"/>
          <cell r="H442"/>
          <cell r="I442"/>
          <cell r="J442"/>
          <cell r="K442"/>
          <cell r="L442"/>
          <cell r="M442"/>
          <cell r="N442" t="str">
            <v>General Repair</v>
          </cell>
        </row>
        <row r="443">
          <cell r="B443"/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  <cell r="M443"/>
          <cell r="N443" t="str">
            <v>General Repair</v>
          </cell>
        </row>
        <row r="444">
          <cell r="B444" t="str">
            <v>RT405</v>
          </cell>
          <cell r="C444"/>
          <cell r="D444" t="str">
            <v>777D-FKR</v>
          </cell>
          <cell r="E444" t="str">
            <v>3120 - BD Retarder problem SMU 33521,4</v>
          </cell>
          <cell r="F444"/>
          <cell r="G444"/>
          <cell r="H444"/>
          <cell r="I444" t="str">
            <v/>
          </cell>
          <cell r="J444" t="str">
            <v>ü</v>
          </cell>
          <cell r="K444">
            <v>46144.535416666702</v>
          </cell>
          <cell r="L444">
            <v>46144.625</v>
          </cell>
          <cell r="M444">
            <v>2.15000000002328</v>
          </cell>
          <cell r="N444" t="str">
            <v>General Repair</v>
          </cell>
        </row>
        <row r="445">
          <cell r="B445"/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  <cell r="M445"/>
          <cell r="N445" t="str">
            <v>General Repair</v>
          </cell>
        </row>
        <row r="446">
          <cell r="B446"/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  <cell r="M446"/>
          <cell r="N446" t="str">
            <v>General Repair</v>
          </cell>
        </row>
        <row r="447">
          <cell r="B447"/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  <cell r="M447"/>
          <cell r="N447" t="str">
            <v>General Repair</v>
          </cell>
        </row>
        <row r="448">
          <cell r="B448"/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  <cell r="M448"/>
          <cell r="N448" t="str">
            <v>General Repair</v>
          </cell>
        </row>
        <row r="449">
          <cell r="B449" t="str">
            <v>RT405</v>
          </cell>
          <cell r="C449"/>
          <cell r="D449" t="str">
            <v>777D-FKR</v>
          </cell>
          <cell r="E449" t="str">
            <v>1000 - BD Eng ind on SMU 33538,5</v>
          </cell>
          <cell r="F449"/>
          <cell r="G449"/>
          <cell r="H449"/>
          <cell r="I449" t="str">
            <v/>
          </cell>
          <cell r="J449" t="str">
            <v>ü</v>
          </cell>
          <cell r="K449">
            <v>46145.453472222202</v>
          </cell>
          <cell r="L449">
            <v>46145.663888888899</v>
          </cell>
          <cell r="M449">
            <v>5.0500000000465697</v>
          </cell>
          <cell r="N449" t="str">
            <v>General Repair</v>
          </cell>
        </row>
        <row r="450">
          <cell r="B450"/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  <cell r="M450"/>
          <cell r="N450" t="str">
            <v>General Repair</v>
          </cell>
        </row>
        <row r="451">
          <cell r="B451"/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  <cell r="M451"/>
          <cell r="N451" t="str">
            <v>General Repair</v>
          </cell>
        </row>
        <row r="452">
          <cell r="B452"/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  <cell r="M452"/>
          <cell r="N452" t="str">
            <v>General Repair</v>
          </cell>
        </row>
        <row r="453">
          <cell r="B453" t="str">
            <v>RT405</v>
          </cell>
          <cell r="C453"/>
          <cell r="D453" t="str">
            <v>777D-FKR</v>
          </cell>
          <cell r="E453" t="str">
            <v>7308 - BD Lock door problem SMU</v>
          </cell>
          <cell r="F453"/>
          <cell r="G453"/>
          <cell r="H453"/>
          <cell r="I453" t="str">
            <v/>
          </cell>
          <cell r="J453" t="str">
            <v>ü</v>
          </cell>
          <cell r="K453">
            <v>46148.146527777797</v>
          </cell>
          <cell r="L453">
            <v>46148.284722222197</v>
          </cell>
          <cell r="M453">
            <v>3.3166666666511402</v>
          </cell>
          <cell r="N453" t="str">
            <v>General Repair</v>
          </cell>
        </row>
        <row r="454">
          <cell r="B454"/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  <cell r="M454"/>
          <cell r="N454" t="str">
            <v>General Repair</v>
          </cell>
        </row>
        <row r="455">
          <cell r="B455"/>
          <cell r="C455"/>
          <cell r="D455"/>
          <cell r="E455"/>
          <cell r="F455"/>
          <cell r="G455"/>
          <cell r="H455"/>
          <cell r="I455"/>
          <cell r="J455"/>
          <cell r="K455"/>
          <cell r="L455"/>
          <cell r="M455"/>
          <cell r="N455" t="str">
            <v>General Repair</v>
          </cell>
        </row>
        <row r="456">
          <cell r="B456"/>
          <cell r="C456"/>
          <cell r="D456"/>
          <cell r="E456"/>
          <cell r="F456"/>
          <cell r="G456"/>
          <cell r="H456"/>
          <cell r="I456"/>
          <cell r="J456"/>
          <cell r="K456"/>
          <cell r="L456"/>
          <cell r="M456"/>
          <cell r="N456" t="str">
            <v>General Repair</v>
          </cell>
        </row>
        <row r="457">
          <cell r="B457" t="str">
            <v>RT405</v>
          </cell>
          <cell r="C457"/>
          <cell r="D457" t="str">
            <v>777D-FKR</v>
          </cell>
          <cell r="E457" t="str">
            <v>7305 - BD Wiper problem SMU</v>
          </cell>
          <cell r="F457"/>
          <cell r="G457"/>
          <cell r="H457"/>
          <cell r="I457" t="str">
            <v/>
          </cell>
          <cell r="J457" t="str">
            <v>ü</v>
          </cell>
          <cell r="K457">
            <v>46149.007638888899</v>
          </cell>
          <cell r="L457">
            <v>46149.116666666698</v>
          </cell>
          <cell r="M457">
            <v>2.6166666666395</v>
          </cell>
          <cell r="N457" t="str">
            <v>General Repair</v>
          </cell>
        </row>
        <row r="458">
          <cell r="B458"/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  <cell r="M458"/>
          <cell r="N458" t="str">
            <v>General Repair</v>
          </cell>
        </row>
        <row r="459">
          <cell r="B459"/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  <cell r="M459"/>
          <cell r="N459" t="str">
            <v>General Repair</v>
          </cell>
        </row>
        <row r="460">
          <cell r="B460"/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  <cell r="M460"/>
          <cell r="N460" t="str">
            <v>General Repair</v>
          </cell>
        </row>
        <row r="461">
          <cell r="B461" t="str">
            <v>RT405</v>
          </cell>
          <cell r="C461"/>
          <cell r="D461" t="str">
            <v>777D-FKR</v>
          </cell>
          <cell r="E461" t="str">
            <v>7470 - BD Coolant level problem SMU 33605,5</v>
          </cell>
          <cell r="F461"/>
          <cell r="G461"/>
          <cell r="H461"/>
          <cell r="I461" t="str">
            <v/>
          </cell>
          <cell r="J461" t="str">
            <v>ü</v>
          </cell>
          <cell r="K461">
            <v>46149.309722222199</v>
          </cell>
          <cell r="L461">
            <v>46149.408333333296</v>
          </cell>
          <cell r="M461">
            <v>2.3666666666977099</v>
          </cell>
          <cell r="N461" t="str">
            <v>General Repair</v>
          </cell>
        </row>
        <row r="462">
          <cell r="B462"/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  <cell r="M462"/>
          <cell r="N462" t="str">
            <v>General Repair</v>
          </cell>
        </row>
        <row r="463">
          <cell r="B463"/>
          <cell r="C463"/>
          <cell r="D463"/>
          <cell r="E463"/>
          <cell r="F463"/>
          <cell r="G463"/>
          <cell r="H463"/>
          <cell r="I463"/>
          <cell r="J463"/>
          <cell r="K463"/>
          <cell r="L463"/>
          <cell r="M463"/>
          <cell r="N463" t="str">
            <v>General Repair</v>
          </cell>
        </row>
        <row r="464">
          <cell r="B464"/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  <cell r="M464"/>
          <cell r="N464" t="str">
            <v>General Repair</v>
          </cell>
        </row>
        <row r="465">
          <cell r="B465" t="str">
            <v>RT405</v>
          </cell>
          <cell r="C465"/>
          <cell r="D465" t="str">
            <v>777D-FKR</v>
          </cell>
          <cell r="E465" t="str">
            <v>1050 - BD Eng monitor on SMU  33625,7</v>
          </cell>
          <cell r="F465"/>
          <cell r="G465"/>
          <cell r="H465"/>
          <cell r="I465" t="str">
            <v/>
          </cell>
          <cell r="J465" t="str">
            <v>ü</v>
          </cell>
          <cell r="K465">
            <v>46150.5847222222</v>
          </cell>
          <cell r="L465">
            <v>46150.995833333298</v>
          </cell>
          <cell r="M465">
            <v>9.8666666666977108</v>
          </cell>
          <cell r="N465" t="str">
            <v>General Repair</v>
          </cell>
        </row>
        <row r="466">
          <cell r="B466"/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  <cell r="M466"/>
          <cell r="N466" t="str">
            <v>General Repair</v>
          </cell>
        </row>
        <row r="467">
          <cell r="B467"/>
          <cell r="C467"/>
          <cell r="D467"/>
          <cell r="E467"/>
          <cell r="F467"/>
          <cell r="G467"/>
          <cell r="H467"/>
          <cell r="I467"/>
          <cell r="J467"/>
          <cell r="K467"/>
          <cell r="L467"/>
          <cell r="M467"/>
          <cell r="N467" t="str">
            <v>General Repair</v>
          </cell>
        </row>
        <row r="468">
          <cell r="B468"/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 t="str">
            <v>General Repair</v>
          </cell>
        </row>
        <row r="469">
          <cell r="B469" t="str">
            <v>RT406</v>
          </cell>
          <cell r="C469"/>
          <cell r="D469" t="str">
            <v>777-7W8</v>
          </cell>
          <cell r="E469" t="str">
            <v>7775 - BD Overdue Daily Inspection</v>
          </cell>
          <cell r="F469"/>
          <cell r="G469"/>
          <cell r="H469"/>
          <cell r="I469" t="str">
            <v/>
          </cell>
          <cell r="J469" t="str">
            <v>ü</v>
          </cell>
          <cell r="K469">
            <v>46143.427777777797</v>
          </cell>
          <cell r="L469">
            <v>46143.444444444402</v>
          </cell>
          <cell r="M469">
            <v>0.400000000081491</v>
          </cell>
          <cell r="N469" t="str">
            <v>Inspection</v>
          </cell>
        </row>
        <row r="470">
          <cell r="B470"/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 t="str">
            <v>Inspection</v>
          </cell>
        </row>
        <row r="471">
          <cell r="B471" t="str">
            <v>RT406</v>
          </cell>
          <cell r="C471"/>
          <cell r="D471" t="str">
            <v>777-7W8</v>
          </cell>
          <cell r="E471" t="str">
            <v>7273 - BD Regulator Door Problem SMU</v>
          </cell>
          <cell r="F471"/>
          <cell r="G471"/>
          <cell r="H471"/>
          <cell r="I471" t="str">
            <v/>
          </cell>
          <cell r="J471" t="str">
            <v>ü</v>
          </cell>
          <cell r="K471">
            <v>46143.708333333299</v>
          </cell>
          <cell r="L471">
            <v>46143.742361111101</v>
          </cell>
          <cell r="M471">
            <v>0.81666666653472897</v>
          </cell>
          <cell r="N471" t="str">
            <v>General Repair</v>
          </cell>
        </row>
        <row r="472">
          <cell r="B472"/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  <cell r="M472"/>
          <cell r="N472" t="str">
            <v>General Repair</v>
          </cell>
        </row>
        <row r="473">
          <cell r="B473" t="str">
            <v>RT406</v>
          </cell>
          <cell r="C473"/>
          <cell r="D473" t="str">
            <v>777-7W8</v>
          </cell>
          <cell r="E473" t="str">
            <v>1250 - BD Fuel pressure low SMU 20276,4</v>
          </cell>
          <cell r="F473"/>
          <cell r="G473"/>
          <cell r="H473"/>
          <cell r="I473" t="str">
            <v/>
          </cell>
          <cell r="J473" t="str">
            <v>ü</v>
          </cell>
          <cell r="K473">
            <v>46144.882638888899</v>
          </cell>
          <cell r="L473">
            <v>46145.2055555556</v>
          </cell>
          <cell r="M473">
            <v>7.7499999999417897</v>
          </cell>
          <cell r="N473" t="str">
            <v>Inspection</v>
          </cell>
        </row>
        <row r="474">
          <cell r="B474"/>
          <cell r="C474"/>
          <cell r="D474"/>
          <cell r="E474"/>
          <cell r="F474"/>
          <cell r="G474"/>
          <cell r="H474"/>
          <cell r="I474"/>
          <cell r="J474"/>
          <cell r="K474"/>
          <cell r="L474"/>
          <cell r="M474"/>
          <cell r="N474" t="str">
            <v>Inspection</v>
          </cell>
        </row>
        <row r="475">
          <cell r="B475"/>
          <cell r="C475"/>
          <cell r="D475"/>
          <cell r="E475"/>
          <cell r="F475"/>
          <cell r="G475"/>
          <cell r="H475"/>
          <cell r="I475"/>
          <cell r="J475"/>
          <cell r="K475"/>
          <cell r="L475"/>
          <cell r="M475"/>
          <cell r="N475" t="str">
            <v>Inspection</v>
          </cell>
        </row>
        <row r="476">
          <cell r="B476"/>
          <cell r="C476"/>
          <cell r="D476"/>
          <cell r="E476"/>
          <cell r="F476"/>
          <cell r="G476"/>
          <cell r="H476"/>
          <cell r="I476"/>
          <cell r="J476"/>
          <cell r="K476"/>
          <cell r="L476"/>
          <cell r="M476"/>
          <cell r="N476" t="str">
            <v>Inspection</v>
          </cell>
        </row>
        <row r="477">
          <cell r="B477"/>
          <cell r="C477"/>
          <cell r="D477"/>
          <cell r="E477"/>
          <cell r="F477"/>
          <cell r="G477"/>
          <cell r="H477"/>
          <cell r="I477"/>
          <cell r="J477"/>
          <cell r="K477"/>
          <cell r="L477"/>
          <cell r="M477"/>
          <cell r="N477" t="str">
            <v>Inspection</v>
          </cell>
        </row>
        <row r="478">
          <cell r="B478" t="str">
            <v>RT406</v>
          </cell>
          <cell r="C478"/>
          <cell r="D478" t="str">
            <v>777-7W8</v>
          </cell>
          <cell r="E478" t="str">
            <v>7527 - PM 2000 HRS +  ADJUST VALVE + BACKLOGS (W19) SMU 20422,7 (backed up by RT402 per 10-05-2026 17:45) (aktual ready on 12-05-26 05:47)</v>
          </cell>
          <cell r="F478"/>
          <cell r="G478"/>
          <cell r="H478"/>
          <cell r="I478" t="str">
            <v>ü</v>
          </cell>
          <cell r="J478" t="str">
            <v/>
          </cell>
          <cell r="K478">
            <v>46152.747222222199</v>
          </cell>
          <cell r="L478">
            <v>46152.843055555597</v>
          </cell>
          <cell r="M478">
            <v>2.2999999999883598</v>
          </cell>
          <cell r="N478" t="str">
            <v>Servicing</v>
          </cell>
        </row>
        <row r="479">
          <cell r="B479" t="str">
            <v>RT407</v>
          </cell>
          <cell r="C479"/>
          <cell r="D479" t="str">
            <v>777-7W8</v>
          </cell>
          <cell r="E479" t="str">
            <v>2429 - BD Wiper problem SMU 20400,8</v>
          </cell>
          <cell r="F479"/>
          <cell r="G479"/>
          <cell r="H479"/>
          <cell r="I479" t="str">
            <v/>
          </cell>
          <cell r="J479" t="str">
            <v>ü</v>
          </cell>
          <cell r="K479">
            <v>46144.414583333302</v>
          </cell>
          <cell r="L479">
            <v>46144.449305555601</v>
          </cell>
          <cell r="M479">
            <v>0.83333333343034599</v>
          </cell>
          <cell r="N479" t="str">
            <v>General Repair</v>
          </cell>
        </row>
        <row r="480">
          <cell r="B480"/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  <cell r="M480"/>
          <cell r="N480" t="str">
            <v>General Repair</v>
          </cell>
        </row>
        <row r="481">
          <cell r="B481"/>
          <cell r="C481"/>
          <cell r="D481"/>
          <cell r="E481"/>
          <cell r="F481"/>
          <cell r="G481"/>
          <cell r="H481"/>
          <cell r="I481"/>
          <cell r="J481"/>
          <cell r="K481"/>
          <cell r="L481"/>
          <cell r="M481"/>
          <cell r="N481" t="str">
            <v>General Repair</v>
          </cell>
        </row>
        <row r="482">
          <cell r="B482" t="str">
            <v>RT407</v>
          </cell>
          <cell r="C482"/>
          <cell r="D482" t="str">
            <v>777-7W8</v>
          </cell>
          <cell r="E482" t="str">
            <v>1250 - BD Fuel pressure low SMU 20419,2</v>
          </cell>
          <cell r="F482"/>
          <cell r="G482"/>
          <cell r="H482"/>
          <cell r="I482" t="str">
            <v/>
          </cell>
          <cell r="J482" t="str">
            <v>ü</v>
          </cell>
          <cell r="K482">
            <v>46145.338888888902</v>
          </cell>
          <cell r="L482">
            <v>46145.683333333298</v>
          </cell>
          <cell r="M482">
            <v>8.2666666667209903</v>
          </cell>
          <cell r="N482" t="str">
            <v>Inspection</v>
          </cell>
        </row>
        <row r="483">
          <cell r="B483"/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  <cell r="N483" t="str">
            <v>Inspection</v>
          </cell>
        </row>
        <row r="484">
          <cell r="B484"/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  <cell r="M484"/>
          <cell r="N484" t="str">
            <v>Inspection</v>
          </cell>
        </row>
        <row r="485">
          <cell r="B485"/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  <cell r="N485" t="str">
            <v>Inspection</v>
          </cell>
        </row>
        <row r="486">
          <cell r="B486"/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  <cell r="M486"/>
          <cell r="N486" t="str">
            <v>Inspection</v>
          </cell>
        </row>
        <row r="487">
          <cell r="B487" t="str">
            <v>RT407</v>
          </cell>
          <cell r="C487"/>
          <cell r="D487" t="str">
            <v>777-7W8</v>
          </cell>
          <cell r="E487" t="str">
            <v>1261 - BD Engine Error 03 SMU 20431,7</v>
          </cell>
          <cell r="F487"/>
          <cell r="G487"/>
          <cell r="H487"/>
          <cell r="I487" t="str">
            <v/>
          </cell>
          <cell r="J487" t="str">
            <v>ü</v>
          </cell>
          <cell r="K487">
            <v>46146.3125</v>
          </cell>
          <cell r="L487">
            <v>46146.425000000003</v>
          </cell>
          <cell r="M487">
            <v>2.7000000000698501</v>
          </cell>
          <cell r="N487" t="str">
            <v>General Repair</v>
          </cell>
        </row>
        <row r="488">
          <cell r="B488"/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  <cell r="M488"/>
          <cell r="N488" t="str">
            <v>General Repair</v>
          </cell>
        </row>
        <row r="489"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 t="str">
            <v>General Repair</v>
          </cell>
        </row>
        <row r="490">
          <cell r="B490" t="str">
            <v>RT407</v>
          </cell>
          <cell r="C490"/>
          <cell r="D490" t="str">
            <v>777-7W8</v>
          </cell>
          <cell r="E490" t="str">
            <v>7527 - PM 2000 HRS +  ADJUST VALVE + BACKLOGS (W18) SMU 20456,9 (backed up by RT402 per 07-05-2026 10:14) (aktual ready on 08-05-26 23:28)</v>
          </cell>
          <cell r="F490"/>
          <cell r="G490"/>
          <cell r="H490"/>
          <cell r="I490" t="str">
            <v>ü</v>
          </cell>
          <cell r="J490" t="str">
            <v/>
          </cell>
          <cell r="K490">
            <v>46147.6652777778</v>
          </cell>
          <cell r="L490">
            <v>46149.340972222199</v>
          </cell>
          <cell r="M490">
            <v>40.216666666616199</v>
          </cell>
          <cell r="N490" t="str">
            <v>Servicing</v>
          </cell>
        </row>
        <row r="491">
          <cell r="B491"/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 t="str">
            <v>Servicing</v>
          </cell>
        </row>
        <row r="492">
          <cell r="B492" t="str">
            <v>RT407</v>
          </cell>
          <cell r="C492"/>
          <cell r="D492" t="str">
            <v>777-7W8</v>
          </cell>
          <cell r="E492" t="str">
            <v>7327 - BD Seat belt problem SMU 20474,2</v>
          </cell>
          <cell r="F492"/>
          <cell r="G492"/>
          <cell r="H492"/>
          <cell r="I492" t="str">
            <v/>
          </cell>
          <cell r="J492" t="str">
            <v>ü</v>
          </cell>
          <cell r="K492">
            <v>46151.809027777803</v>
          </cell>
          <cell r="L492">
            <v>46151.8569444444</v>
          </cell>
          <cell r="M492">
            <v>1.14999999990687</v>
          </cell>
          <cell r="N492" t="str">
            <v>General Repair</v>
          </cell>
        </row>
        <row r="493">
          <cell r="B493"/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  <cell r="M493"/>
          <cell r="N493" t="str">
            <v>General Repair</v>
          </cell>
        </row>
        <row r="494">
          <cell r="B494"/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  <cell r="M494"/>
          <cell r="N494" t="str">
            <v>General Repair</v>
          </cell>
        </row>
        <row r="495">
          <cell r="B495" t="str">
            <v>RT408</v>
          </cell>
          <cell r="C495"/>
          <cell r="D495" t="str">
            <v>777-7W8</v>
          </cell>
          <cell r="E495" t="str">
            <v>3030 - BD Transm problem SMU 20394,2</v>
          </cell>
          <cell r="F495"/>
          <cell r="G495"/>
          <cell r="H495"/>
          <cell r="I495" t="str">
            <v/>
          </cell>
          <cell r="J495" t="str">
            <v>ü</v>
          </cell>
          <cell r="K495">
            <v>46143.920833333301</v>
          </cell>
          <cell r="L495">
            <v>46143.974305555603</v>
          </cell>
          <cell r="M495">
            <v>1.2833333335002</v>
          </cell>
          <cell r="N495" t="str">
            <v>General Repair</v>
          </cell>
        </row>
        <row r="496">
          <cell r="B496"/>
          <cell r="C496"/>
          <cell r="D496"/>
          <cell r="E496"/>
          <cell r="F496"/>
          <cell r="G496"/>
          <cell r="H496"/>
          <cell r="I496"/>
          <cell r="J496"/>
          <cell r="K496"/>
          <cell r="L496"/>
          <cell r="M496"/>
          <cell r="N496" t="str">
            <v>General Repair</v>
          </cell>
        </row>
        <row r="497">
          <cell r="B497"/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  <cell r="M497"/>
          <cell r="N497" t="str">
            <v>General Repair</v>
          </cell>
        </row>
        <row r="498">
          <cell r="B498"/>
          <cell r="C498"/>
          <cell r="D498"/>
          <cell r="E498"/>
          <cell r="F498"/>
          <cell r="G498"/>
          <cell r="H498"/>
          <cell r="I498"/>
          <cell r="J498"/>
          <cell r="K498"/>
          <cell r="L498"/>
          <cell r="M498"/>
          <cell r="N498" t="str">
            <v>General Repair</v>
          </cell>
        </row>
        <row r="499">
          <cell r="B499" t="str">
            <v>RT408</v>
          </cell>
          <cell r="C499"/>
          <cell r="D499" t="str">
            <v>777-7W8</v>
          </cell>
          <cell r="E499" t="str">
            <v>3030 - BD Transm problem SMU 20436,7</v>
          </cell>
          <cell r="F499"/>
          <cell r="G499"/>
          <cell r="H499"/>
          <cell r="I499" t="str">
            <v/>
          </cell>
          <cell r="J499" t="str">
            <v>ü</v>
          </cell>
          <cell r="K499">
            <v>46145.971527777801</v>
          </cell>
          <cell r="L499">
            <v>46146.217361111099</v>
          </cell>
          <cell r="M499">
            <v>5.9000000000232804</v>
          </cell>
          <cell r="N499" t="str">
            <v>General Repair</v>
          </cell>
        </row>
        <row r="500">
          <cell r="B500"/>
          <cell r="C500"/>
          <cell r="D500"/>
          <cell r="E500"/>
          <cell r="F500"/>
          <cell r="G500"/>
          <cell r="H500"/>
          <cell r="I500"/>
          <cell r="J500"/>
          <cell r="K500"/>
          <cell r="L500"/>
          <cell r="M500"/>
          <cell r="N500" t="str">
            <v>General Repair</v>
          </cell>
        </row>
        <row r="501">
          <cell r="B501"/>
          <cell r="C501"/>
          <cell r="D501"/>
          <cell r="E501"/>
          <cell r="F501"/>
          <cell r="G501"/>
          <cell r="H501"/>
          <cell r="I501"/>
          <cell r="J501"/>
          <cell r="K501"/>
          <cell r="L501"/>
          <cell r="M501"/>
          <cell r="N501" t="str">
            <v>General Repair</v>
          </cell>
        </row>
        <row r="502">
          <cell r="B502"/>
          <cell r="C502"/>
          <cell r="D502"/>
          <cell r="E502"/>
          <cell r="F502"/>
          <cell r="G502"/>
          <cell r="H502"/>
          <cell r="I502"/>
          <cell r="J502"/>
          <cell r="K502"/>
          <cell r="L502"/>
          <cell r="M502"/>
          <cell r="N502" t="str">
            <v>General Repair</v>
          </cell>
        </row>
        <row r="503">
          <cell r="B503"/>
          <cell r="C503"/>
          <cell r="D503"/>
          <cell r="E503"/>
          <cell r="F503"/>
          <cell r="G503"/>
          <cell r="H503"/>
          <cell r="I503"/>
          <cell r="J503"/>
          <cell r="K503"/>
          <cell r="L503"/>
          <cell r="M503"/>
          <cell r="N503" t="str">
            <v>General Repair</v>
          </cell>
        </row>
        <row r="504">
          <cell r="B504" t="str">
            <v>RT408</v>
          </cell>
          <cell r="C504"/>
          <cell r="D504" t="str">
            <v>777-7W8</v>
          </cell>
          <cell r="E504" t="str">
            <v>1000 - BD Bracket dispatch broken SMU</v>
          </cell>
          <cell r="F504"/>
          <cell r="G504"/>
          <cell r="H504"/>
          <cell r="I504" t="str">
            <v/>
          </cell>
          <cell r="J504" t="str">
            <v>ü</v>
          </cell>
          <cell r="K504">
            <v>46146.597916666702</v>
          </cell>
          <cell r="L504">
            <v>46146.922916666699</v>
          </cell>
          <cell r="M504">
            <v>7.8000000001047702</v>
          </cell>
          <cell r="N504" t="str">
            <v>General Repair</v>
          </cell>
        </row>
        <row r="505">
          <cell r="B505"/>
          <cell r="C505"/>
          <cell r="D505"/>
          <cell r="E505"/>
          <cell r="F505"/>
          <cell r="G505"/>
          <cell r="H505"/>
          <cell r="I505"/>
          <cell r="J505"/>
          <cell r="K505"/>
          <cell r="L505"/>
          <cell r="M505"/>
          <cell r="N505" t="str">
            <v>General Repair</v>
          </cell>
        </row>
        <row r="506">
          <cell r="B506"/>
          <cell r="C506"/>
          <cell r="D506"/>
          <cell r="E506"/>
          <cell r="F506"/>
          <cell r="G506"/>
          <cell r="H506"/>
          <cell r="I506"/>
          <cell r="J506"/>
          <cell r="K506"/>
          <cell r="L506"/>
          <cell r="M506"/>
          <cell r="N506" t="str">
            <v>General Repair</v>
          </cell>
        </row>
        <row r="507">
          <cell r="B507"/>
          <cell r="C507"/>
          <cell r="D507"/>
          <cell r="E507"/>
          <cell r="F507"/>
          <cell r="G507"/>
          <cell r="H507"/>
          <cell r="I507"/>
          <cell r="J507"/>
          <cell r="K507"/>
          <cell r="L507"/>
          <cell r="M507"/>
          <cell r="N507" t="str">
            <v>General Repair</v>
          </cell>
        </row>
        <row r="508">
          <cell r="B508"/>
          <cell r="C508"/>
          <cell r="D508"/>
          <cell r="E508"/>
          <cell r="F508"/>
          <cell r="G508"/>
          <cell r="H508"/>
          <cell r="I508"/>
          <cell r="J508"/>
          <cell r="K508"/>
          <cell r="L508"/>
          <cell r="M508"/>
          <cell r="N508" t="str">
            <v>General Repair</v>
          </cell>
        </row>
        <row r="509">
          <cell r="B509" t="str">
            <v>RT408</v>
          </cell>
          <cell r="C509"/>
          <cell r="D509" t="str">
            <v>777-7W8</v>
          </cell>
          <cell r="E509" t="str">
            <v>1715 - BD Fuel pressure low SMU 20552,7</v>
          </cell>
          <cell r="F509"/>
          <cell r="G509"/>
          <cell r="H509"/>
          <cell r="I509" t="str">
            <v/>
          </cell>
          <cell r="J509" t="str">
            <v>ü</v>
          </cell>
          <cell r="K509">
            <v>46152.170833333301</v>
          </cell>
          <cell r="L509">
            <v>46152.404861111099</v>
          </cell>
          <cell r="M509">
            <v>5.6166666668141296</v>
          </cell>
          <cell r="N509" t="str">
            <v>General Repair</v>
          </cell>
        </row>
        <row r="510">
          <cell r="B510"/>
          <cell r="C510"/>
          <cell r="D510"/>
          <cell r="E510"/>
          <cell r="F510"/>
          <cell r="G510"/>
          <cell r="H510"/>
          <cell r="I510"/>
          <cell r="J510"/>
          <cell r="K510"/>
          <cell r="L510"/>
          <cell r="M510"/>
          <cell r="N510" t="str">
            <v>General Repair</v>
          </cell>
        </row>
        <row r="511">
          <cell r="B511"/>
          <cell r="C511"/>
          <cell r="D511"/>
          <cell r="E511"/>
          <cell r="F511"/>
          <cell r="G511"/>
          <cell r="H511"/>
          <cell r="I511"/>
          <cell r="J511"/>
          <cell r="K511"/>
          <cell r="L511"/>
          <cell r="M511"/>
          <cell r="N511" t="str">
            <v>General Repair</v>
          </cell>
        </row>
        <row r="512">
          <cell r="B512"/>
          <cell r="C512"/>
          <cell r="D512"/>
          <cell r="E512"/>
          <cell r="F512"/>
          <cell r="G512"/>
          <cell r="H512"/>
          <cell r="I512"/>
          <cell r="J512"/>
          <cell r="K512"/>
          <cell r="L512"/>
          <cell r="M512"/>
          <cell r="N512" t="str">
            <v>General Repair</v>
          </cell>
        </row>
        <row r="513">
          <cell r="B513"/>
          <cell r="C513"/>
          <cell r="D513"/>
          <cell r="E513"/>
          <cell r="F513"/>
          <cell r="G513"/>
          <cell r="H513"/>
          <cell r="I513"/>
          <cell r="J513"/>
          <cell r="K513"/>
          <cell r="L513"/>
          <cell r="M513"/>
          <cell r="N513" t="str">
            <v>General Repair</v>
          </cell>
        </row>
        <row r="514">
          <cell r="B514" t="str">
            <v>RT409</v>
          </cell>
          <cell r="C514"/>
          <cell r="D514" t="str">
            <v>777-7W8</v>
          </cell>
          <cell r="E514" t="str">
            <v>1252 - BD Fuel pressure low SMU 19949,3</v>
          </cell>
          <cell r="F514"/>
          <cell r="G514"/>
          <cell r="H514"/>
          <cell r="I514" t="str">
            <v/>
          </cell>
          <cell r="J514" t="str">
            <v>ü</v>
          </cell>
          <cell r="K514">
            <v>46146.636805555601</v>
          </cell>
          <cell r="L514">
            <v>46146.926388888904</v>
          </cell>
          <cell r="M514">
            <v>6.9499999999534303</v>
          </cell>
          <cell r="N514" t="str">
            <v>General Repair</v>
          </cell>
        </row>
        <row r="515">
          <cell r="B515"/>
          <cell r="C515"/>
          <cell r="D515"/>
          <cell r="E515"/>
          <cell r="F515"/>
          <cell r="G515"/>
          <cell r="H515"/>
          <cell r="I515"/>
          <cell r="J515"/>
          <cell r="K515"/>
          <cell r="L515"/>
          <cell r="M515"/>
          <cell r="N515" t="str">
            <v>General Repair</v>
          </cell>
        </row>
        <row r="516">
          <cell r="B516"/>
          <cell r="C516"/>
          <cell r="D516"/>
          <cell r="E516"/>
          <cell r="F516"/>
          <cell r="G516"/>
          <cell r="H516"/>
          <cell r="I516"/>
          <cell r="J516"/>
          <cell r="K516"/>
          <cell r="L516"/>
          <cell r="M516"/>
          <cell r="N516" t="str">
            <v>General Repair</v>
          </cell>
        </row>
        <row r="517">
          <cell r="B517"/>
          <cell r="C517"/>
          <cell r="D517"/>
          <cell r="E517"/>
          <cell r="F517"/>
          <cell r="G517"/>
          <cell r="H517"/>
          <cell r="I517"/>
          <cell r="J517"/>
          <cell r="K517"/>
          <cell r="L517"/>
          <cell r="M517"/>
          <cell r="N517" t="str">
            <v>General Repair</v>
          </cell>
        </row>
        <row r="518">
          <cell r="B518" t="str">
            <v>RT409</v>
          </cell>
          <cell r="C518"/>
          <cell r="D518" t="str">
            <v>777-7W8</v>
          </cell>
          <cell r="E518" t="str">
            <v>1000 - BD Eng ind on SMU 19952,6</v>
          </cell>
          <cell r="F518"/>
          <cell r="G518"/>
          <cell r="H518"/>
          <cell r="I518" t="str">
            <v/>
          </cell>
          <cell r="J518" t="str">
            <v>ü</v>
          </cell>
          <cell r="K518">
            <v>46147.120138888902</v>
          </cell>
          <cell r="L518">
            <v>46147.208333333299</v>
          </cell>
          <cell r="M518">
            <v>2.1166666667559202</v>
          </cell>
          <cell r="N518" t="str">
            <v>General Repair</v>
          </cell>
        </row>
        <row r="519">
          <cell r="B519"/>
          <cell r="C519"/>
          <cell r="D519"/>
          <cell r="E519"/>
          <cell r="F519"/>
          <cell r="G519"/>
          <cell r="H519"/>
          <cell r="I519"/>
          <cell r="J519"/>
          <cell r="K519"/>
          <cell r="L519"/>
          <cell r="M519"/>
          <cell r="N519" t="str">
            <v>General Repair</v>
          </cell>
        </row>
        <row r="520">
          <cell r="B520"/>
          <cell r="C520"/>
          <cell r="D520"/>
          <cell r="E520"/>
          <cell r="F520"/>
          <cell r="G520"/>
          <cell r="H520"/>
          <cell r="I520"/>
          <cell r="J520"/>
          <cell r="K520"/>
          <cell r="L520"/>
          <cell r="M520"/>
          <cell r="N520" t="str">
            <v>General Repair</v>
          </cell>
        </row>
        <row r="521">
          <cell r="B521"/>
          <cell r="C521"/>
          <cell r="D521"/>
          <cell r="E521"/>
          <cell r="F521"/>
          <cell r="G521"/>
          <cell r="H521"/>
          <cell r="I521"/>
          <cell r="J521"/>
          <cell r="K521"/>
          <cell r="L521"/>
          <cell r="M521"/>
          <cell r="N521" t="str">
            <v>General Repair</v>
          </cell>
        </row>
        <row r="522">
          <cell r="B522"/>
          <cell r="C522"/>
          <cell r="D522"/>
          <cell r="E522"/>
          <cell r="F522"/>
          <cell r="G522"/>
          <cell r="H522"/>
          <cell r="I522"/>
          <cell r="J522"/>
          <cell r="K522"/>
          <cell r="L522"/>
          <cell r="M522"/>
          <cell r="N522" t="str">
            <v>General Repair</v>
          </cell>
        </row>
        <row r="523">
          <cell r="B523" t="str">
            <v>RT409</v>
          </cell>
          <cell r="C523"/>
          <cell r="D523" t="str">
            <v>777-7W8</v>
          </cell>
          <cell r="E523" t="str">
            <v>1062 - BD Muffler broken SMU 20015,1</v>
          </cell>
          <cell r="F523"/>
          <cell r="G523"/>
          <cell r="H523"/>
          <cell r="I523" t="str">
            <v/>
          </cell>
          <cell r="J523" t="str">
            <v>ü</v>
          </cell>
          <cell r="K523">
            <v>46150.425694444399</v>
          </cell>
          <cell r="L523">
            <v>46150.640972222202</v>
          </cell>
          <cell r="M523">
            <v>5.1666666667442804</v>
          </cell>
          <cell r="N523" t="str">
            <v>General Repair</v>
          </cell>
        </row>
        <row r="524">
          <cell r="B524"/>
          <cell r="C524"/>
          <cell r="D524"/>
          <cell r="E524"/>
          <cell r="F524"/>
          <cell r="G524"/>
          <cell r="H524"/>
          <cell r="I524"/>
          <cell r="J524"/>
          <cell r="K524"/>
          <cell r="L524"/>
          <cell r="M524"/>
          <cell r="N524" t="str">
            <v>General Repair</v>
          </cell>
        </row>
        <row r="525">
          <cell r="B525"/>
          <cell r="C525"/>
          <cell r="D525"/>
          <cell r="E525"/>
          <cell r="F525"/>
          <cell r="G525"/>
          <cell r="H525"/>
          <cell r="I525"/>
          <cell r="J525"/>
          <cell r="K525"/>
          <cell r="L525"/>
          <cell r="M525"/>
          <cell r="N525" t="str">
            <v>General Repair</v>
          </cell>
        </row>
        <row r="526">
          <cell r="B526" t="str">
            <v>RT409</v>
          </cell>
          <cell r="C526"/>
          <cell r="D526" t="str">
            <v>777-7W8</v>
          </cell>
          <cell r="E526" t="str">
            <v>1380 - BD Coolant temp on SMU 20018,5</v>
          </cell>
          <cell r="F526"/>
          <cell r="G526"/>
          <cell r="H526"/>
          <cell r="I526" t="str">
            <v/>
          </cell>
          <cell r="J526" t="str">
            <v>ü</v>
          </cell>
          <cell r="K526">
            <v>46150.771527777797</v>
          </cell>
          <cell r="L526">
            <v>46150.999305555597</v>
          </cell>
          <cell r="M526">
            <v>5.4666666666744304</v>
          </cell>
          <cell r="N526" t="str">
            <v>General Repair</v>
          </cell>
        </row>
        <row r="527">
          <cell r="B527"/>
          <cell r="C527"/>
          <cell r="D527"/>
          <cell r="E527"/>
          <cell r="F527"/>
          <cell r="G527"/>
          <cell r="H527"/>
          <cell r="I527"/>
          <cell r="J527"/>
          <cell r="K527"/>
          <cell r="L527"/>
          <cell r="M527"/>
          <cell r="N527" t="str">
            <v>General Repair</v>
          </cell>
        </row>
        <row r="528">
          <cell r="B528"/>
          <cell r="C528"/>
          <cell r="D528"/>
          <cell r="E528"/>
          <cell r="F528"/>
          <cell r="G528"/>
          <cell r="H528"/>
          <cell r="I528"/>
          <cell r="J528"/>
          <cell r="K528"/>
          <cell r="L528"/>
          <cell r="M528"/>
          <cell r="N528" t="str">
            <v>General Repair</v>
          </cell>
        </row>
        <row r="529">
          <cell r="B529"/>
          <cell r="C529"/>
          <cell r="D529"/>
          <cell r="E529"/>
          <cell r="F529"/>
          <cell r="G529"/>
          <cell r="H529"/>
          <cell r="I529"/>
          <cell r="J529"/>
          <cell r="K529"/>
          <cell r="L529"/>
          <cell r="M529"/>
          <cell r="N529" t="str">
            <v>General Repair</v>
          </cell>
        </row>
        <row r="530">
          <cell r="B530"/>
          <cell r="C530"/>
          <cell r="D530"/>
          <cell r="E530"/>
          <cell r="F530"/>
          <cell r="G530"/>
          <cell r="H530"/>
          <cell r="I530"/>
          <cell r="J530"/>
          <cell r="K530"/>
          <cell r="L530"/>
          <cell r="M530"/>
          <cell r="N530" t="str">
            <v>General Repair</v>
          </cell>
        </row>
        <row r="531">
          <cell r="B531" t="str">
            <v>RT409</v>
          </cell>
          <cell r="C531"/>
          <cell r="D531" t="str">
            <v>777-7W8</v>
          </cell>
          <cell r="E531" t="str">
            <v>3030 - BD Transmission problem SMU 20034,7</v>
          </cell>
          <cell r="F531"/>
          <cell r="G531"/>
          <cell r="H531"/>
          <cell r="I531" t="str">
            <v/>
          </cell>
          <cell r="J531" t="str">
            <v>ü</v>
          </cell>
          <cell r="K531">
            <v>46151.7902777778</v>
          </cell>
          <cell r="L531">
            <v>46151.952083333301</v>
          </cell>
          <cell r="M531">
            <v>3.8833333332440798</v>
          </cell>
          <cell r="N531" t="str">
            <v>General Repair</v>
          </cell>
        </row>
        <row r="532">
          <cell r="B532"/>
          <cell r="C532"/>
          <cell r="D532"/>
          <cell r="E532"/>
          <cell r="F532"/>
          <cell r="G532"/>
          <cell r="H532"/>
          <cell r="I532"/>
          <cell r="J532"/>
          <cell r="K532"/>
          <cell r="L532"/>
          <cell r="M532"/>
          <cell r="N532" t="str">
            <v>General Repair</v>
          </cell>
        </row>
        <row r="533">
          <cell r="B533"/>
          <cell r="C533"/>
          <cell r="D533"/>
          <cell r="E533"/>
          <cell r="F533"/>
          <cell r="G533"/>
          <cell r="H533"/>
          <cell r="I533"/>
          <cell r="J533"/>
          <cell r="K533"/>
          <cell r="L533"/>
          <cell r="M533"/>
          <cell r="N533" t="str">
            <v>General Repair</v>
          </cell>
        </row>
        <row r="534">
          <cell r="B534"/>
          <cell r="C534"/>
          <cell r="D534"/>
          <cell r="E534"/>
          <cell r="F534"/>
          <cell r="G534"/>
          <cell r="H534"/>
          <cell r="I534"/>
          <cell r="J534"/>
          <cell r="K534"/>
          <cell r="L534"/>
          <cell r="M534"/>
          <cell r="N534" t="str">
            <v>General Repair</v>
          </cell>
        </row>
        <row r="535">
          <cell r="B535" t="str">
            <v>RT409</v>
          </cell>
          <cell r="C535"/>
          <cell r="D535" t="str">
            <v>777-7W8</v>
          </cell>
          <cell r="E535" t="str">
            <v>1250 - BD Engine ind ON SMU 200065,2</v>
          </cell>
          <cell r="F535"/>
          <cell r="G535"/>
          <cell r="H535"/>
          <cell r="I535" t="str">
            <v/>
          </cell>
          <cell r="J535" t="str">
            <v>ü</v>
          </cell>
          <cell r="K535">
            <v>46153.391666666699</v>
          </cell>
          <cell r="L535">
            <v>46153.59375</v>
          </cell>
          <cell r="M535">
            <v>4.8499999999185102</v>
          </cell>
          <cell r="N535" t="str">
            <v>Inspection</v>
          </cell>
        </row>
        <row r="536">
          <cell r="B536"/>
          <cell r="C536"/>
          <cell r="D536"/>
          <cell r="E536"/>
          <cell r="F536"/>
          <cell r="G536"/>
          <cell r="H536"/>
          <cell r="I536"/>
          <cell r="J536"/>
          <cell r="K536"/>
          <cell r="L536"/>
          <cell r="M536"/>
          <cell r="N536" t="str">
            <v>Inspection</v>
          </cell>
        </row>
        <row r="537">
          <cell r="B537" t="str">
            <v>RT410</v>
          </cell>
          <cell r="C537"/>
          <cell r="D537" t="str">
            <v>777D-FKR</v>
          </cell>
          <cell r="E537" t="str">
            <v>7320 - BD AC problem SMU 30237,1</v>
          </cell>
          <cell r="F537"/>
          <cell r="G537"/>
          <cell r="H537"/>
          <cell r="I537" t="str">
            <v/>
          </cell>
          <cell r="J537" t="str">
            <v>ü</v>
          </cell>
          <cell r="K537">
            <v>46145.4194444444</v>
          </cell>
          <cell r="L537">
            <v>46145.625</v>
          </cell>
          <cell r="M537">
            <v>4.9333333333488598</v>
          </cell>
          <cell r="N537" t="str">
            <v>General Repair</v>
          </cell>
        </row>
        <row r="538">
          <cell r="B538"/>
          <cell r="C538"/>
          <cell r="D538"/>
          <cell r="E538"/>
          <cell r="F538"/>
          <cell r="G538"/>
          <cell r="H538"/>
          <cell r="I538"/>
          <cell r="J538"/>
          <cell r="K538"/>
          <cell r="L538"/>
          <cell r="M538"/>
          <cell r="N538" t="str">
            <v>General Repair</v>
          </cell>
        </row>
        <row r="539">
          <cell r="B539"/>
          <cell r="C539"/>
          <cell r="D539"/>
          <cell r="E539"/>
          <cell r="F539"/>
          <cell r="G539"/>
          <cell r="H539"/>
          <cell r="I539"/>
          <cell r="J539"/>
          <cell r="K539"/>
          <cell r="L539"/>
          <cell r="M539"/>
          <cell r="N539" t="str">
            <v>General Repair</v>
          </cell>
        </row>
        <row r="540">
          <cell r="B540"/>
          <cell r="C540"/>
          <cell r="D540"/>
          <cell r="E540"/>
          <cell r="F540"/>
          <cell r="G540"/>
          <cell r="H540"/>
          <cell r="I540"/>
          <cell r="J540"/>
          <cell r="K540"/>
          <cell r="L540"/>
          <cell r="M540"/>
          <cell r="N540" t="str">
            <v>General Repair</v>
          </cell>
        </row>
        <row r="541">
          <cell r="B541"/>
          <cell r="C541"/>
          <cell r="D541"/>
          <cell r="E541"/>
          <cell r="F541"/>
          <cell r="G541"/>
          <cell r="H541"/>
          <cell r="I541"/>
          <cell r="J541"/>
          <cell r="K541"/>
          <cell r="L541"/>
          <cell r="M541"/>
          <cell r="N541" t="str">
            <v>General Repair</v>
          </cell>
        </row>
        <row r="542">
          <cell r="B542" t="str">
            <v>RT410</v>
          </cell>
          <cell r="C542"/>
          <cell r="D542" t="str">
            <v>777D-FKR</v>
          </cell>
          <cell r="E542" t="str">
            <v>7320 - BD AC problem SMU 30240</v>
          </cell>
          <cell r="F542"/>
          <cell r="G542"/>
          <cell r="H542"/>
          <cell r="I542" t="str">
            <v/>
          </cell>
          <cell r="J542" t="str">
            <v>ü</v>
          </cell>
          <cell r="K542">
            <v>46145.75</v>
          </cell>
          <cell r="L542">
            <v>46146.147916666698</v>
          </cell>
          <cell r="M542">
            <v>9.5500000000465697</v>
          </cell>
          <cell r="N542" t="str">
            <v>General Repair</v>
          </cell>
        </row>
        <row r="543">
          <cell r="B543"/>
          <cell r="C543"/>
          <cell r="D543"/>
          <cell r="E543"/>
          <cell r="F543"/>
          <cell r="G543"/>
          <cell r="H543"/>
          <cell r="I543"/>
          <cell r="J543"/>
          <cell r="K543"/>
          <cell r="L543"/>
          <cell r="M543"/>
          <cell r="N543" t="str">
            <v>General Repair</v>
          </cell>
        </row>
        <row r="544">
          <cell r="B544"/>
          <cell r="C544"/>
          <cell r="D544"/>
          <cell r="E544"/>
          <cell r="F544"/>
          <cell r="G544"/>
          <cell r="H544"/>
          <cell r="I544"/>
          <cell r="J544"/>
          <cell r="K544"/>
          <cell r="L544"/>
          <cell r="M544"/>
          <cell r="N544" t="str">
            <v>General Repair</v>
          </cell>
        </row>
        <row r="545">
          <cell r="B545"/>
          <cell r="C545"/>
          <cell r="D545"/>
          <cell r="E545"/>
          <cell r="F545"/>
          <cell r="G545"/>
          <cell r="H545"/>
          <cell r="I545"/>
          <cell r="J545"/>
          <cell r="K545"/>
          <cell r="L545"/>
          <cell r="M545"/>
          <cell r="N545" t="str">
            <v>General Repair</v>
          </cell>
        </row>
        <row r="546">
          <cell r="B546"/>
          <cell r="C546"/>
          <cell r="D546"/>
          <cell r="E546"/>
          <cell r="F546"/>
          <cell r="G546"/>
          <cell r="H546"/>
          <cell r="I546"/>
          <cell r="J546"/>
          <cell r="K546"/>
          <cell r="L546"/>
          <cell r="M546"/>
          <cell r="N546" t="str">
            <v>General Repair</v>
          </cell>
        </row>
        <row r="547">
          <cell r="B547" t="str">
            <v>RT410</v>
          </cell>
          <cell r="C547"/>
          <cell r="D547" t="str">
            <v>777D-FKR</v>
          </cell>
          <cell r="E547" t="str">
            <v>7402 BD Horn problem SMU 30.267,3</v>
          </cell>
          <cell r="F547"/>
          <cell r="G547"/>
          <cell r="H547"/>
          <cell r="I547" t="str">
            <v/>
          </cell>
          <cell r="J547" t="str">
            <v>ü</v>
          </cell>
          <cell r="K547">
            <v>46147.563194444403</v>
          </cell>
          <cell r="L547">
            <v>46147.619444444397</v>
          </cell>
          <cell r="M547">
            <v>1.3499999998603001</v>
          </cell>
          <cell r="N547" t="str">
            <v>General Repair</v>
          </cell>
        </row>
        <row r="548">
          <cell r="B548"/>
          <cell r="C548"/>
          <cell r="D548"/>
          <cell r="E548"/>
          <cell r="F548"/>
          <cell r="G548"/>
          <cell r="H548"/>
          <cell r="I548"/>
          <cell r="J548"/>
          <cell r="K548"/>
          <cell r="L548"/>
          <cell r="M548"/>
          <cell r="N548" t="str">
            <v>General Repair</v>
          </cell>
        </row>
        <row r="549">
          <cell r="B549"/>
          <cell r="C549"/>
          <cell r="D549"/>
          <cell r="E549"/>
          <cell r="F549"/>
          <cell r="G549"/>
          <cell r="H549"/>
          <cell r="I549"/>
          <cell r="J549"/>
          <cell r="K549"/>
          <cell r="L549"/>
          <cell r="M549"/>
          <cell r="N549" t="str">
            <v>General Repair</v>
          </cell>
        </row>
        <row r="550">
          <cell r="B550"/>
          <cell r="C550"/>
          <cell r="D550"/>
          <cell r="E550"/>
          <cell r="F550"/>
          <cell r="G550"/>
          <cell r="H550"/>
          <cell r="I550"/>
          <cell r="J550"/>
          <cell r="K550"/>
          <cell r="L550"/>
          <cell r="M550"/>
          <cell r="N550" t="str">
            <v>General Repair</v>
          </cell>
        </row>
        <row r="551">
          <cell r="B551" t="str">
            <v>RT410</v>
          </cell>
          <cell r="C551"/>
          <cell r="D551" t="str">
            <v>777D-FKR</v>
          </cell>
          <cell r="E551" t="str">
            <v>3030 - BD Transmission problem SMU 30278,6</v>
          </cell>
          <cell r="F551"/>
          <cell r="G551"/>
          <cell r="H551"/>
          <cell r="I551" t="str">
            <v/>
          </cell>
          <cell r="J551" t="str">
            <v>ü</v>
          </cell>
          <cell r="K551">
            <v>46148.15</v>
          </cell>
          <cell r="L551">
            <v>46148.286111111098</v>
          </cell>
          <cell r="M551">
            <v>3.2666666666627902</v>
          </cell>
          <cell r="N551" t="str">
            <v>General Repair</v>
          </cell>
        </row>
        <row r="552">
          <cell r="B552"/>
          <cell r="C552"/>
          <cell r="D552"/>
          <cell r="E552"/>
          <cell r="F552"/>
          <cell r="G552"/>
          <cell r="H552"/>
          <cell r="I552"/>
          <cell r="J552"/>
          <cell r="K552"/>
          <cell r="L552"/>
          <cell r="M552"/>
          <cell r="N552" t="str">
            <v>General Repair</v>
          </cell>
        </row>
        <row r="553">
          <cell r="B553"/>
          <cell r="C553"/>
          <cell r="D553"/>
          <cell r="E553"/>
          <cell r="F553"/>
          <cell r="G553"/>
          <cell r="H553"/>
          <cell r="I553"/>
          <cell r="J553"/>
          <cell r="K553"/>
          <cell r="L553"/>
          <cell r="M553"/>
          <cell r="N553" t="str">
            <v>General Repair</v>
          </cell>
        </row>
        <row r="554">
          <cell r="B554"/>
          <cell r="C554"/>
          <cell r="D554"/>
          <cell r="E554"/>
          <cell r="F554"/>
          <cell r="G554"/>
          <cell r="H554"/>
          <cell r="I554"/>
          <cell r="J554"/>
          <cell r="K554"/>
          <cell r="L554"/>
          <cell r="M554"/>
          <cell r="N554" t="str">
            <v>General Repair</v>
          </cell>
        </row>
        <row r="555">
          <cell r="B555" t="str">
            <v>RT410</v>
          </cell>
          <cell r="C555"/>
          <cell r="D555" t="str">
            <v>777D-FKR</v>
          </cell>
          <cell r="E555" t="str">
            <v>7320 - BD AC problem SMU 30284,3</v>
          </cell>
          <cell r="F555"/>
          <cell r="G555"/>
          <cell r="H555"/>
          <cell r="I555" t="str">
            <v/>
          </cell>
          <cell r="J555" t="str">
            <v>ü</v>
          </cell>
          <cell r="K555">
            <v>46148.584027777797</v>
          </cell>
          <cell r="L555">
            <v>46148.902083333298</v>
          </cell>
          <cell r="M555">
            <v>7.6333333334187001</v>
          </cell>
          <cell r="N555" t="str">
            <v>General Repair</v>
          </cell>
        </row>
        <row r="556">
          <cell r="B556"/>
          <cell r="C556"/>
          <cell r="D556"/>
          <cell r="E556"/>
          <cell r="F556"/>
          <cell r="G556"/>
          <cell r="H556"/>
          <cell r="I556"/>
          <cell r="J556"/>
          <cell r="K556"/>
          <cell r="L556"/>
          <cell r="M556"/>
          <cell r="N556" t="str">
            <v>General Repair</v>
          </cell>
        </row>
        <row r="557">
          <cell r="B557"/>
          <cell r="C557"/>
          <cell r="D557"/>
          <cell r="E557"/>
          <cell r="F557"/>
          <cell r="G557"/>
          <cell r="H557"/>
          <cell r="I557"/>
          <cell r="J557"/>
          <cell r="K557"/>
          <cell r="L557"/>
          <cell r="M557"/>
          <cell r="N557" t="str">
            <v>General Repair</v>
          </cell>
        </row>
        <row r="558">
          <cell r="B558"/>
          <cell r="C558"/>
          <cell r="D558"/>
          <cell r="E558"/>
          <cell r="F558"/>
          <cell r="G558"/>
          <cell r="H558"/>
          <cell r="I558"/>
          <cell r="J558"/>
          <cell r="K558"/>
          <cell r="L558"/>
          <cell r="M558"/>
          <cell r="N558" t="str">
            <v>General Repair</v>
          </cell>
        </row>
        <row r="559">
          <cell r="B559" t="str">
            <v>RT410</v>
          </cell>
          <cell r="C559"/>
          <cell r="D559" t="str">
            <v>777D-FKR</v>
          </cell>
          <cell r="E559" t="str">
            <v>4312 - BD Retarder lamp and HMU problem SMU 30315</v>
          </cell>
          <cell r="F559"/>
          <cell r="G559"/>
          <cell r="H559"/>
          <cell r="I559" t="str">
            <v/>
          </cell>
          <cell r="J559" t="str">
            <v>ü</v>
          </cell>
          <cell r="K559">
            <v>46150.429861111101</v>
          </cell>
          <cell r="L559">
            <v>46150.670138888898</v>
          </cell>
          <cell r="M559">
            <v>5.7666666667791997</v>
          </cell>
          <cell r="N559" t="str">
            <v>General Repair</v>
          </cell>
        </row>
        <row r="560">
          <cell r="B560"/>
          <cell r="C560"/>
          <cell r="D560"/>
          <cell r="E560"/>
          <cell r="F560"/>
          <cell r="G560"/>
          <cell r="H560"/>
          <cell r="I560"/>
          <cell r="J560"/>
          <cell r="K560"/>
          <cell r="L560"/>
          <cell r="M560"/>
          <cell r="N560" t="str">
            <v>General Repair</v>
          </cell>
        </row>
        <row r="561">
          <cell r="B561"/>
          <cell r="C561"/>
          <cell r="D561"/>
          <cell r="E561"/>
          <cell r="F561"/>
          <cell r="G561"/>
          <cell r="H561"/>
          <cell r="I561"/>
          <cell r="J561"/>
          <cell r="K561"/>
          <cell r="L561"/>
          <cell r="M561"/>
          <cell r="N561" t="str">
            <v>General Repair</v>
          </cell>
        </row>
        <row r="562">
          <cell r="B562" t="str">
            <v>Total</v>
          </cell>
          <cell r="C562"/>
          <cell r="D562">
            <v>2541.0500000008601</v>
          </cell>
          <cell r="E562"/>
          <cell r="F562"/>
          <cell r="G562"/>
          <cell r="H562"/>
          <cell r="I562"/>
          <cell r="J562"/>
          <cell r="K562"/>
          <cell r="L562"/>
          <cell r="M562"/>
          <cell r="N562" t="str">
            <v/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5.487856597225" createdVersion="8" refreshedVersion="8" minRefreshableVersion="3" recordCount="4" xr:uid="{810A2AA7-2B3B-4C3C-B6C8-900F27B58DF0}">
  <cacheSource type="worksheet">
    <worksheetSource ref="A1:I6" sheet="Sheet3"/>
  </cacheSource>
  <cacheFields count="9">
    <cacheField name="Model" numFmtId="0">
      <sharedItems containsMixedTypes="1" containsNumber="1" containsInteger="1" minValue="6020" maxValue="6020" count="3">
        <n v="6020"/>
        <s v="7W8"/>
        <s v="FKR/KDP"/>
      </sharedItems>
    </cacheField>
    <cacheField name="Quota Hrs" numFmtId="0">
      <sharedItems containsSemiMixedTypes="0" containsString="0" containsNumber="1" containsInteger="1" minValue="8" maxValue="24" count="3">
        <n v="24"/>
        <n v="8"/>
        <n v="10"/>
      </sharedItems>
    </cacheField>
    <cacheField name="Unit" numFmtId="0">
      <sharedItems count="4">
        <s v="RS501"/>
        <s v="RT408"/>
        <s v="RT409"/>
        <s v="RT410"/>
      </sharedItems>
    </cacheField>
    <cacheField name="Daily" numFmtId="0">
      <sharedItems containsSemiMixedTypes="0" containsString="0" containsNumber="1" containsInteger="1" minValue="0" maxValue="0" count="1">
        <n v="0"/>
      </sharedItems>
    </cacheField>
    <cacheField name="WTD" numFmtId="0">
      <sharedItems containsSemiMixedTypes="0" containsString="0" containsNumber="1" minValue="0.13" maxValue="224.96" count="4">
        <n v="40.4"/>
        <n v="0.13"/>
        <n v="97.45"/>
        <n v="224.96"/>
      </sharedItems>
    </cacheField>
    <cacheField name="MTD" numFmtId="0">
      <sharedItems containsSemiMixedTypes="0" containsString="0" containsNumber="1" minValue="0.13" maxValue="224.96" count="4">
        <n v="40.4"/>
        <n v="0.13"/>
        <n v="97.45"/>
        <n v="224.96"/>
      </sharedItems>
    </cacheField>
    <cacheField name="HYTD 1" numFmtId="0">
      <sharedItems containsSemiMixedTypes="0" containsString="0" containsNumber="1" containsInteger="1" minValue="0" maxValue="0" count="1">
        <n v="0"/>
      </sharedItems>
    </cacheField>
    <cacheField name="HYTD 2" numFmtId="0">
      <sharedItems containsSemiMixedTypes="0" containsString="0" containsNumber="1" minValue="0.13" maxValue="224.96" count="4">
        <n v="40.4"/>
        <n v="0.13"/>
        <n v="97.45"/>
        <n v="224.96"/>
      </sharedItems>
    </cacheField>
    <cacheField name="YTD" numFmtId="0">
      <sharedItems containsSemiMixedTypes="0" containsString="0" containsNumber="1" minValue="0.13" maxValue="224.96" count="4">
        <n v="40.4"/>
        <n v="0.13"/>
        <n v="97.45"/>
        <n v="224.9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  <x v="0"/>
    <x v="0"/>
    <x v="0"/>
    <x v="0"/>
    <x v="0"/>
  </r>
  <r>
    <x v="1"/>
    <x v="1"/>
    <x v="1"/>
    <x v="0"/>
    <x v="1"/>
    <x v="1"/>
    <x v="0"/>
    <x v="1"/>
    <x v="1"/>
  </r>
  <r>
    <x v="1"/>
    <x v="1"/>
    <x v="2"/>
    <x v="0"/>
    <x v="2"/>
    <x v="2"/>
    <x v="0"/>
    <x v="2"/>
    <x v="2"/>
  </r>
  <r>
    <x v="2"/>
    <x v="2"/>
    <x v="3"/>
    <x v="0"/>
    <x v="3"/>
    <x v="3"/>
    <x v="0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7C29A-65A8-4968-9F7B-1AD7E1BBADCD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O16" firstHeaderRow="2" firstDataRow="2" firstDataCol="9"/>
  <pivotFields count="9"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2"/>
        <item x="0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4">
        <item x="1"/>
        <item x="0"/>
        <item x="2"/>
        <item x="3"/>
      </items>
    </pivotField>
    <pivotField axis="axisRow" compact="0" outline="0" showAll="0" defaultSubtotal="0">
      <items count="4">
        <item x="1"/>
        <item x="0"/>
        <item x="2"/>
        <item x="3"/>
      </items>
    </pivotField>
    <pivotField axis="axisRow" compact="0" outline="0" showAll="0" defaultSubtotal="0">
      <items count="1">
        <item x="0"/>
      </items>
    </pivotField>
    <pivotField axis="axisRow" compact="0" outline="0" showAll="0">
      <items count="5">
        <item x="1"/>
        <item x="0"/>
        <item x="2"/>
        <item x="3"/>
        <item t="default"/>
      </items>
    </pivotField>
    <pivotField axis="axisRow" compact="0" outline="0" showAll="0">
      <items count="5">
        <item x="1"/>
        <item x="0"/>
        <item x="2"/>
        <item x="3"/>
        <item t="default"/>
      </items>
    </pivotField>
  </pivotFields>
  <rowFields count="9">
    <field x="0"/>
    <field x="1"/>
    <field x="2"/>
    <field x="3"/>
    <field x="4"/>
    <field x="5"/>
    <field x="6"/>
    <field x="7"/>
    <field x="8"/>
  </rowFields>
  <rowItems count="12">
    <i>
      <x/>
      <x v="2"/>
      <x/>
      <x/>
      <x v="1"/>
      <x v="1"/>
      <x/>
      <x v="1"/>
      <x v="1"/>
    </i>
    <i t="default" r="7">
      <x v="1"/>
    </i>
    <i t="default">
      <x/>
    </i>
    <i>
      <x v="1"/>
      <x/>
      <x v="1"/>
      <x/>
      <x/>
      <x/>
      <x/>
      <x/>
      <x/>
    </i>
    <i t="default" r="7">
      <x/>
    </i>
    <i r="2">
      <x v="2"/>
      <x/>
      <x v="2"/>
      <x v="2"/>
      <x/>
      <x v="2"/>
      <x v="2"/>
    </i>
    <i t="default" r="7">
      <x v="2"/>
    </i>
    <i t="default">
      <x v="1"/>
    </i>
    <i>
      <x v="2"/>
      <x v="1"/>
      <x v="3"/>
      <x/>
      <x v="3"/>
      <x v="3"/>
      <x/>
      <x v="3"/>
      <x v="3"/>
    </i>
    <i t="default" r="7">
      <x v="3"/>
    </i>
    <i t="default">
      <x v="2"/>
    </i>
    <i t="grand">
      <x/>
    </i>
  </rowItems>
  <colItems count="1">
    <i/>
  </colItems>
  <formats count="9">
    <format dxfId="37">
      <pivotArea type="origin" dataOnly="0" labelOnly="1" outline="0" fieldPosition="0"/>
    </format>
    <format dxfId="36">
      <pivotArea field="0" type="button" dataOnly="0" labelOnly="1" outline="0" axis="axisRow" fieldPosition="0"/>
    </format>
    <format dxfId="35">
      <pivotArea dataOnly="0" labelOnly="1" outline="0" fieldPosition="0">
        <references count="1">
          <reference field="0" count="1">
            <x v="0"/>
          </reference>
        </references>
      </pivotArea>
    </format>
    <format dxfId="34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33">
      <pivotArea dataOnly="0" labelOnly="1" outline="0" fieldPosition="0">
        <references count="1">
          <reference field="0" count="1">
            <x v="1"/>
          </reference>
        </references>
      </pivotArea>
    </format>
    <format dxfId="32">
      <pivotArea dataOnly="0" labelOnly="1" outline="0" fieldPosition="0">
        <references count="1">
          <reference field="0" count="1" defaultSubtotal="1">
            <x v="1"/>
          </reference>
        </references>
      </pivotArea>
    </format>
    <format dxfId="31">
      <pivotArea dataOnly="0" labelOnly="1" outline="0" fieldPosition="0">
        <references count="1">
          <reference field="0" count="1">
            <x v="2"/>
          </reference>
        </references>
      </pivotArea>
    </format>
    <format dxfId="30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2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883D-19DD-49A2-BCDE-A5E3BC0EAEB3}">
  <sheetPr codeName="Sheet1"/>
  <dimension ref="A1:AP54"/>
  <sheetViews>
    <sheetView showGridLines="0" zoomScale="71" zoomScaleNormal="80" workbookViewId="0">
      <pane xSplit="35" ySplit="2" topLeftCell="AJ3" activePane="bottomRight" state="frozen"/>
      <selection activeCell="B1" sqref="B1"/>
      <selection pane="topRight" activeCell="AK1" sqref="AK1"/>
      <selection pane="bottomLeft" activeCell="B3" sqref="B3"/>
      <selection pane="bottomRight" activeCell="AM3" sqref="AM3"/>
    </sheetView>
  </sheetViews>
  <sheetFormatPr defaultColWidth="13.7109375" defaultRowHeight="12.75" x14ac:dyDescent="0.2"/>
  <cols>
    <col min="1" max="1" width="5.42578125" style="29" customWidth="1"/>
    <col min="2" max="2" width="20.7109375" style="21" customWidth="1"/>
    <col min="3" max="3" width="23.7109375" style="29" customWidth="1"/>
    <col min="4" max="4" width="25.42578125" style="21" customWidth="1"/>
    <col min="5" max="35" width="13.7109375" style="21" hidden="1" customWidth="1"/>
    <col min="36" max="39" width="8.7109375" style="21" customWidth="1"/>
    <col min="40" max="41" width="10.5703125" style="21" customWidth="1"/>
    <col min="42" max="42" width="75.42578125" style="21" bestFit="1" customWidth="1"/>
    <col min="43" max="16384" width="13.7109375" style="21"/>
  </cols>
  <sheetData>
    <row r="1" spans="1:41" s="22" customFormat="1" ht="36" customHeight="1" x14ac:dyDescent="0.2">
      <c r="A1" s="44"/>
      <c r="B1" s="213" t="s">
        <v>51</v>
      </c>
      <c r="C1" s="213"/>
      <c r="D1" s="20"/>
      <c r="E1" s="45">
        <v>0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46">
        <v>0</v>
      </c>
      <c r="AK1" s="46">
        <v>0</v>
      </c>
      <c r="AL1" s="46">
        <v>0</v>
      </c>
      <c r="AM1" s="46">
        <v>1</v>
      </c>
      <c r="AN1" s="46"/>
      <c r="AO1" s="46"/>
    </row>
    <row r="2" spans="1:41" s="23" customFormat="1" ht="21.6" customHeight="1" x14ac:dyDescent="0.2">
      <c r="A2" s="24"/>
      <c r="B2" s="25" t="s">
        <v>37</v>
      </c>
      <c r="C2" s="25" t="s">
        <v>49</v>
      </c>
      <c r="D2" s="26" t="s">
        <v>38</v>
      </c>
      <c r="E2" s="26">
        <v>46047</v>
      </c>
      <c r="F2" s="26">
        <v>46048</v>
      </c>
      <c r="G2" s="26">
        <v>46049</v>
      </c>
      <c r="H2" s="26">
        <v>46050</v>
      </c>
      <c r="I2" s="26">
        <v>46051</v>
      </c>
      <c r="J2" s="26">
        <v>46052</v>
      </c>
      <c r="K2" s="26">
        <v>46053</v>
      </c>
      <c r="L2" s="26">
        <v>46054</v>
      </c>
      <c r="M2" s="26">
        <v>46055</v>
      </c>
      <c r="N2" s="26">
        <v>46056</v>
      </c>
      <c r="O2" s="26">
        <v>46057</v>
      </c>
      <c r="P2" s="26">
        <v>46058</v>
      </c>
      <c r="Q2" s="26">
        <v>46059</v>
      </c>
      <c r="R2" s="26">
        <v>46060</v>
      </c>
      <c r="S2" s="26">
        <v>46061</v>
      </c>
      <c r="T2" s="26">
        <v>46062</v>
      </c>
      <c r="U2" s="26">
        <v>46063</v>
      </c>
      <c r="V2" s="26">
        <v>46064</v>
      </c>
      <c r="W2" s="26">
        <v>46065</v>
      </c>
      <c r="X2" s="26">
        <v>46066</v>
      </c>
      <c r="Y2" s="26">
        <v>46067</v>
      </c>
      <c r="Z2" s="26">
        <v>46068</v>
      </c>
      <c r="AA2" s="26">
        <v>46069</v>
      </c>
      <c r="AB2" s="26">
        <v>46070</v>
      </c>
      <c r="AC2" s="26">
        <v>46071</v>
      </c>
      <c r="AD2" s="26">
        <v>46072</v>
      </c>
      <c r="AE2" s="26">
        <v>46073</v>
      </c>
      <c r="AF2" s="26">
        <v>46074</v>
      </c>
      <c r="AG2" s="26">
        <v>46075</v>
      </c>
      <c r="AH2" s="26">
        <v>46076</v>
      </c>
      <c r="AI2" s="26">
        <v>46077</v>
      </c>
      <c r="AJ2" s="30">
        <v>46053</v>
      </c>
      <c r="AK2" s="30">
        <v>46081</v>
      </c>
      <c r="AL2" s="30">
        <v>46111</v>
      </c>
      <c r="AM2" s="30" t="s">
        <v>88</v>
      </c>
      <c r="AN2" s="64" t="s">
        <v>61</v>
      </c>
      <c r="AO2" s="67" t="s">
        <v>56</v>
      </c>
    </row>
    <row r="3" spans="1:41" s="28" customFormat="1" ht="15" customHeight="1" x14ac:dyDescent="0.2">
      <c r="A3" s="27" t="str">
        <f>C3&amp;D3</f>
        <v>320GC - DFOverall MTD</v>
      </c>
      <c r="B3" s="43" t="s">
        <v>39</v>
      </c>
      <c r="C3" s="49" t="s">
        <v>44</v>
      </c>
      <c r="D3" s="68" t="s">
        <v>30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6">
        <v>0.92807646356020768</v>
      </c>
      <c r="AK3" s="36">
        <v>0.92807646356020768</v>
      </c>
      <c r="AL3" s="36">
        <v>0.96230158730152948</v>
      </c>
      <c r="AM3" s="36" t="e">
        <f>VLOOKUP(A3,Overall!B:DD,83,0)</f>
        <v>#N/A</v>
      </c>
      <c r="AN3" s="36" t="e">
        <f>AVERAGE(AJ3:AM3)</f>
        <v>#N/A</v>
      </c>
      <c r="AO3" s="69">
        <v>0.88</v>
      </c>
    </row>
    <row r="4" spans="1:41" s="28" customFormat="1" ht="15" customHeight="1" x14ac:dyDescent="0.2">
      <c r="A4" s="27" t="str">
        <f t="shared" ref="A4:A22" si="0">C4&amp;D4</f>
        <v>320GC - DFOverall YTD</v>
      </c>
      <c r="B4" s="34" t="s">
        <v>39</v>
      </c>
      <c r="C4" s="50" t="s">
        <v>44</v>
      </c>
      <c r="D4" s="70" t="s">
        <v>31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56">
        <v>0.94172138047133835</v>
      </c>
      <c r="AK4" s="56">
        <v>0.94172138047133835</v>
      </c>
      <c r="AL4" s="56">
        <v>0.94866410084778841</v>
      </c>
      <c r="AM4" s="36" t="e">
        <f>VLOOKUP(A4,Overall!B:DD,83,0)</f>
        <v>#N/A</v>
      </c>
      <c r="AN4" s="56" t="e">
        <f t="shared" ref="AN4:AN23" si="1">AVERAGE(AJ4:AM4)</f>
        <v>#N/A</v>
      </c>
      <c r="AO4" s="71">
        <v>0.88</v>
      </c>
    </row>
    <row r="5" spans="1:41" s="28" customFormat="1" ht="15" customHeight="1" x14ac:dyDescent="0.2">
      <c r="A5" s="27" t="str">
        <f t="shared" si="0"/>
        <v>320GC - DFLeftover Downtime MTD (hr)</v>
      </c>
      <c r="B5" s="35" t="s">
        <v>39</v>
      </c>
      <c r="C5" s="47" t="s">
        <v>44</v>
      </c>
      <c r="D5" s="17" t="s">
        <v>36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32">
        <v>0</v>
      </c>
      <c r="Y5" s="32">
        <v>0</v>
      </c>
      <c r="Z5" s="32">
        <v>0</v>
      </c>
      <c r="AA5" s="32">
        <v>0</v>
      </c>
      <c r="AB5" s="32">
        <v>0</v>
      </c>
      <c r="AC5" s="32">
        <v>0</v>
      </c>
      <c r="AD5" s="32">
        <v>0</v>
      </c>
      <c r="AE5" s="32">
        <v>0</v>
      </c>
      <c r="AF5" s="32">
        <v>0</v>
      </c>
      <c r="AG5" s="32">
        <v>0</v>
      </c>
      <c r="AH5" s="32">
        <v>0</v>
      </c>
      <c r="AI5" s="32">
        <v>0</v>
      </c>
      <c r="AJ5" s="39">
        <v>107.30666666638334</v>
      </c>
      <c r="AK5" s="39">
        <v>107.30666666638334</v>
      </c>
      <c r="AL5" s="39">
        <v>165.9199999998836</v>
      </c>
      <c r="AM5" s="36" t="e">
        <f>VLOOKUP(A5,Overall!B:DD,83,0)</f>
        <v>#N/A</v>
      </c>
      <c r="AN5" s="39" t="e">
        <f t="shared" si="1"/>
        <v>#N/A</v>
      </c>
      <c r="AO5" s="72">
        <v>25</v>
      </c>
    </row>
    <row r="6" spans="1:41" s="28" customFormat="1" ht="15" customHeight="1" x14ac:dyDescent="0.2">
      <c r="A6" s="27" t="str">
        <f t="shared" si="0"/>
        <v>320GCOverall MTD</v>
      </c>
      <c r="B6" s="43" t="s">
        <v>39</v>
      </c>
      <c r="C6" s="31" t="s">
        <v>40</v>
      </c>
      <c r="D6" s="70" t="s">
        <v>30</v>
      </c>
      <c r="E6" s="32" t="e">
        <v>#REF!</v>
      </c>
      <c r="F6" s="32" t="e">
        <v>#REF!</v>
      </c>
      <c r="G6" s="32" t="e">
        <v>#REF!</v>
      </c>
      <c r="H6" s="32" t="e">
        <v>#REF!</v>
      </c>
      <c r="I6" s="32" t="e">
        <v>#REF!</v>
      </c>
      <c r="J6" s="32" t="e">
        <v>#REF!</v>
      </c>
      <c r="K6" s="32" t="e">
        <v>#REF!</v>
      </c>
      <c r="L6" s="32" t="e">
        <v>#REF!</v>
      </c>
      <c r="M6" s="32" t="e">
        <v>#REF!</v>
      </c>
      <c r="N6" s="32" t="e">
        <v>#REF!</v>
      </c>
      <c r="O6" s="32" t="e">
        <v>#REF!</v>
      </c>
      <c r="P6" s="32" t="e">
        <v>#REF!</v>
      </c>
      <c r="Q6" s="32" t="e">
        <v>#REF!</v>
      </c>
      <c r="R6" s="32" t="e">
        <v>#REF!</v>
      </c>
      <c r="S6" s="32" t="e">
        <v>#REF!</v>
      </c>
      <c r="T6" s="32" t="e">
        <v>#REF!</v>
      </c>
      <c r="U6" s="32" t="e">
        <v>#REF!</v>
      </c>
      <c r="V6" s="32" t="e">
        <v>#REF!</v>
      </c>
      <c r="W6" s="32" t="e">
        <v>#REF!</v>
      </c>
      <c r="X6" s="32" t="e">
        <v>#REF!</v>
      </c>
      <c r="Y6" s="32" t="e">
        <v>#REF!</v>
      </c>
      <c r="Z6" s="32" t="e">
        <v>#REF!</v>
      </c>
      <c r="AA6" s="32" t="e">
        <v>#REF!</v>
      </c>
      <c r="AB6" s="32" t="e">
        <v>#REF!</v>
      </c>
      <c r="AC6" s="32" t="e">
        <v>#REF!</v>
      </c>
      <c r="AD6" s="32" t="e">
        <v>#REF!</v>
      </c>
      <c r="AE6" s="32" t="e">
        <v>#REF!</v>
      </c>
      <c r="AF6" s="32" t="e">
        <v>#REF!</v>
      </c>
      <c r="AG6" s="32" t="e">
        <v>#REF!</v>
      </c>
      <c r="AH6" s="32" t="e">
        <v>#REF!</v>
      </c>
      <c r="AI6" s="32" t="e">
        <v>#REF!</v>
      </c>
      <c r="AJ6" s="56">
        <v>0.90184634974527755</v>
      </c>
      <c r="AK6" s="56">
        <v>0.90184634974527755</v>
      </c>
      <c r="AL6" s="56">
        <v>0.92089990601504579</v>
      </c>
      <c r="AM6" s="36" t="e">
        <f>VLOOKUP(A6,Overall!B:DD,83,0)</f>
        <v>#N/A</v>
      </c>
      <c r="AN6" s="56" t="e">
        <f t="shared" si="1"/>
        <v>#N/A</v>
      </c>
      <c r="AO6" s="71">
        <v>0.88</v>
      </c>
    </row>
    <row r="7" spans="1:41" s="28" customFormat="1" ht="15" customHeight="1" x14ac:dyDescent="0.2">
      <c r="A7" s="27" t="str">
        <f t="shared" si="0"/>
        <v>320GCOverall YTD</v>
      </c>
      <c r="B7" s="34" t="s">
        <v>39</v>
      </c>
      <c r="C7" s="33" t="s">
        <v>40</v>
      </c>
      <c r="D7" s="68" t="s">
        <v>31</v>
      </c>
      <c r="E7" s="32" t="e">
        <v>#REF!</v>
      </c>
      <c r="F7" s="32" t="e">
        <v>#REF!</v>
      </c>
      <c r="G7" s="32" t="e">
        <v>#REF!</v>
      </c>
      <c r="H7" s="32" t="e">
        <v>#REF!</v>
      </c>
      <c r="I7" s="32" t="e">
        <v>#REF!</v>
      </c>
      <c r="J7" s="32" t="e">
        <v>#REF!</v>
      </c>
      <c r="K7" s="32" t="e">
        <v>#REF!</v>
      </c>
      <c r="L7" s="32" t="e">
        <v>#REF!</v>
      </c>
      <c r="M7" s="32" t="e">
        <v>#REF!</v>
      </c>
      <c r="N7" s="32" t="e">
        <v>#REF!</v>
      </c>
      <c r="O7" s="32" t="e">
        <v>#REF!</v>
      </c>
      <c r="P7" s="32" t="e">
        <v>#REF!</v>
      </c>
      <c r="Q7" s="32" t="e">
        <v>#REF!</v>
      </c>
      <c r="R7" s="32" t="e">
        <v>#REF!</v>
      </c>
      <c r="S7" s="32" t="e">
        <v>#REF!</v>
      </c>
      <c r="T7" s="32" t="e">
        <v>#REF!</v>
      </c>
      <c r="U7" s="32" t="e">
        <v>#REF!</v>
      </c>
      <c r="V7" s="32" t="e">
        <v>#REF!</v>
      </c>
      <c r="W7" s="32" t="e">
        <v>#REF!</v>
      </c>
      <c r="X7" s="32" t="e">
        <v>#REF!</v>
      </c>
      <c r="Y7" s="32" t="e">
        <v>#REF!</v>
      </c>
      <c r="Z7" s="32" t="e">
        <v>#REF!</v>
      </c>
      <c r="AA7" s="32" t="e">
        <v>#REF!</v>
      </c>
      <c r="AB7" s="32" t="e">
        <v>#REF!</v>
      </c>
      <c r="AC7" s="32" t="e">
        <v>#REF!</v>
      </c>
      <c r="AD7" s="32" t="e">
        <v>#REF!</v>
      </c>
      <c r="AE7" s="32" t="e">
        <v>#REF!</v>
      </c>
      <c r="AF7" s="32" t="e">
        <v>#REF!</v>
      </c>
      <c r="AG7" s="32" t="e">
        <v>#REF!</v>
      </c>
      <c r="AH7" s="32" t="e">
        <v>#REF!</v>
      </c>
      <c r="AI7" s="32" t="e">
        <v>#REF!</v>
      </c>
      <c r="AJ7" s="32">
        <v>0.90185639287607411</v>
      </c>
      <c r="AK7" s="32">
        <v>0.90185639287607411</v>
      </c>
      <c r="AL7" s="32">
        <v>0.90828071056151027</v>
      </c>
      <c r="AM7" s="36" t="e">
        <f>VLOOKUP(A7,Overall!B:DD,83,0)</f>
        <v>#N/A</v>
      </c>
      <c r="AN7" s="32" t="e">
        <f t="shared" si="1"/>
        <v>#N/A</v>
      </c>
      <c r="AO7" s="73">
        <v>0.88</v>
      </c>
    </row>
    <row r="8" spans="1:41" s="28" customFormat="1" ht="15" customHeight="1" x14ac:dyDescent="0.2">
      <c r="A8" s="27" t="str">
        <f t="shared" si="0"/>
        <v>320GCLeftover Downtime MTD (hr)</v>
      </c>
      <c r="B8" s="35" t="s">
        <v>39</v>
      </c>
      <c r="C8" s="47" t="s">
        <v>40</v>
      </c>
      <c r="D8" s="70" t="s">
        <v>36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57">
        <v>308.81999999924301</v>
      </c>
      <c r="AK8" s="57">
        <v>308.81999999924301</v>
      </c>
      <c r="AL8" s="57">
        <v>522.21000000010486</v>
      </c>
      <c r="AM8" s="36" t="e">
        <f>VLOOKUP(A8,Overall!B:DD,83,0)</f>
        <v>#N/A</v>
      </c>
      <c r="AN8" s="57" t="e">
        <f t="shared" si="1"/>
        <v>#N/A</v>
      </c>
      <c r="AO8" s="74">
        <v>25</v>
      </c>
    </row>
    <row r="9" spans="1:41" s="28" customFormat="1" ht="15" customHeight="1" x14ac:dyDescent="0.2">
      <c r="A9" s="27" t="str">
        <f t="shared" si="0"/>
        <v>330NGOverall MTD</v>
      </c>
      <c r="B9" s="43" t="s">
        <v>39</v>
      </c>
      <c r="C9" s="31" t="s">
        <v>42</v>
      </c>
      <c r="D9" s="68" t="s">
        <v>30</v>
      </c>
      <c r="E9" s="32">
        <v>0.90579459064321877</v>
      </c>
      <c r="F9" s="32">
        <v>0.97419590643288467</v>
      </c>
      <c r="G9" s="32">
        <v>0.97288011695893239</v>
      </c>
      <c r="H9" s="32">
        <v>0.97446393762182104</v>
      </c>
      <c r="I9" s="32">
        <v>0.96557017543857093</v>
      </c>
      <c r="J9" s="32">
        <v>0.9664546783624437</v>
      </c>
      <c r="K9" s="32">
        <v>0.95903996101352329</v>
      </c>
      <c r="L9" s="32">
        <v>0.94842836257299856</v>
      </c>
      <c r="M9" s="32">
        <v>0.9368649488303179</v>
      </c>
      <c r="N9" s="32">
        <v>0.93208252111750856</v>
      </c>
      <c r="O9" s="32">
        <v>0.92347222222209291</v>
      </c>
      <c r="P9" s="32">
        <v>0.92019537480052427</v>
      </c>
      <c r="Q9" s="32">
        <v>0.92242629142290555</v>
      </c>
      <c r="R9" s="32">
        <v>0.92434491677903829</v>
      </c>
      <c r="S9" s="32">
        <v>0.92138680033407272</v>
      </c>
      <c r="T9" s="32">
        <v>0.92238791422992983</v>
      </c>
      <c r="U9" s="32">
        <v>0.92324104532154272</v>
      </c>
      <c r="V9" s="32">
        <v>0.9164903680769162</v>
      </c>
      <c r="W9" s="32">
        <v>0.9118157082519931</v>
      </c>
      <c r="X9" s="32">
        <v>0.91263465681737299</v>
      </c>
      <c r="Y9" s="32">
        <v>0.90649488304082759</v>
      </c>
      <c r="Z9" s="32">
        <v>0.90783556112492703</v>
      </c>
      <c r="AA9" s="32">
        <v>0.90724016480585135</v>
      </c>
      <c r="AB9" s="32">
        <v>0.90375031782344928</v>
      </c>
      <c r="AC9" s="32">
        <v>0.90403112816754094</v>
      </c>
      <c r="AD9" s="32">
        <v>0.90494298245604643</v>
      </c>
      <c r="AE9" s="32">
        <v>0.90568066801612068</v>
      </c>
      <c r="AF9" s="32">
        <v>0.90531595191675818</v>
      </c>
      <c r="AG9" s="32">
        <v>0.90313283208014217</v>
      </c>
      <c r="AH9" s="32">
        <v>0.90227994555348179</v>
      </c>
      <c r="AI9" s="32">
        <v>0.90202850877187446</v>
      </c>
      <c r="AJ9" s="36">
        <v>0.85312805474090103</v>
      </c>
      <c r="AK9" s="36">
        <v>0.85312805474090103</v>
      </c>
      <c r="AL9" s="36">
        <v>0.83609081890330683</v>
      </c>
      <c r="AM9" s="36" t="e">
        <f>VLOOKUP(A9,Overall!B:DD,83,0)</f>
        <v>#N/A</v>
      </c>
      <c r="AN9" s="36" t="e">
        <f t="shared" si="1"/>
        <v>#N/A</v>
      </c>
      <c r="AO9" s="69">
        <v>0.88</v>
      </c>
    </row>
    <row r="10" spans="1:41" s="28" customFormat="1" ht="15" customHeight="1" x14ac:dyDescent="0.2">
      <c r="A10" s="27" t="str">
        <f t="shared" si="0"/>
        <v>330NGOverall YTD</v>
      </c>
      <c r="B10" s="34" t="s">
        <v>39</v>
      </c>
      <c r="C10" s="33" t="s">
        <v>42</v>
      </c>
      <c r="D10" s="70" t="s">
        <v>31</v>
      </c>
      <c r="E10" s="32">
        <v>0.90186936525335293</v>
      </c>
      <c r="F10" s="32">
        <v>0.9047624269005341</v>
      </c>
      <c r="G10" s="32">
        <v>0.90733173076916673</v>
      </c>
      <c r="H10" s="32">
        <v>0.90993542884984935</v>
      </c>
      <c r="I10" s="32">
        <v>0.91096948099409836</v>
      </c>
      <c r="J10" s="32">
        <v>0.9130047640652651</v>
      </c>
      <c r="K10" s="32">
        <v>0.913303484405387</v>
      </c>
      <c r="L10" s="32">
        <v>0.91238268722875671</v>
      </c>
      <c r="M10" s="32">
        <v>0.91061826114759414</v>
      </c>
      <c r="N10" s="32">
        <v>0.91010931685266805</v>
      </c>
      <c r="O10" s="32">
        <v>0.90822314671474702</v>
      </c>
      <c r="P10" s="32">
        <v>0.9076289682538925</v>
      </c>
      <c r="Q10" s="32">
        <v>0.90872167397653714</v>
      </c>
      <c r="R10" s="32">
        <v>0.9097661806542694</v>
      </c>
      <c r="S10" s="32">
        <v>0.90905999923046021</v>
      </c>
      <c r="T10" s="32">
        <v>0.90976111485972866</v>
      </c>
      <c r="U10" s="32">
        <v>0.91041803728062887</v>
      </c>
      <c r="V10" s="32">
        <v>0.90793173227775714</v>
      </c>
      <c r="W10" s="32">
        <v>0.90613208368134157</v>
      </c>
      <c r="X10" s="32">
        <v>0.90662612199094317</v>
      </c>
      <c r="Y10" s="32">
        <v>0.90397187333856865</v>
      </c>
      <c r="Z10" s="32">
        <v>0.90465358999342083</v>
      </c>
      <c r="AA10" s="32">
        <v>0.90443800851759126</v>
      </c>
      <c r="AB10" s="32">
        <v>0.90278983140467661</v>
      </c>
      <c r="AC10" s="32">
        <v>0.90295024671044688</v>
      </c>
      <c r="AD10" s="32">
        <v>0.90343753729554344</v>
      </c>
      <c r="AE10" s="32">
        <v>0.90385124268999217</v>
      </c>
      <c r="AF10" s="32">
        <v>0.90369402878103799</v>
      </c>
      <c r="AG10" s="32">
        <v>0.90254969354470094</v>
      </c>
      <c r="AH10" s="32">
        <v>0.9020940223987064</v>
      </c>
      <c r="AI10" s="32">
        <v>0.90195777831919821</v>
      </c>
      <c r="AJ10" s="56">
        <v>0.81315197428829433</v>
      </c>
      <c r="AK10" s="56">
        <v>0.81315197428829433</v>
      </c>
      <c r="AL10" s="56">
        <v>0.82089037970058776</v>
      </c>
      <c r="AM10" s="36" t="e">
        <f>VLOOKUP(A10,Overall!B:DD,83,0)</f>
        <v>#N/A</v>
      </c>
      <c r="AN10" s="56" t="e">
        <f t="shared" si="1"/>
        <v>#N/A</v>
      </c>
      <c r="AO10" s="71">
        <v>0.88</v>
      </c>
    </row>
    <row r="11" spans="1:41" x14ac:dyDescent="0.2">
      <c r="A11" s="27" t="str">
        <f t="shared" si="0"/>
        <v>330NGLeftover Downtime MTD (hr)</v>
      </c>
      <c r="B11" s="35" t="s">
        <v>39</v>
      </c>
      <c r="C11" s="47" t="s">
        <v>42</v>
      </c>
      <c r="D11" s="17" t="s">
        <v>36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5">
        <v>-219.92000000046551</v>
      </c>
      <c r="AK11" s="15">
        <v>-219.92000000046551</v>
      </c>
      <c r="AL11" s="15">
        <v>-324.57666666675595</v>
      </c>
      <c r="AM11" s="36" t="e">
        <f>VLOOKUP(A11,Overall!B:DD,83,0)</f>
        <v>#N/A</v>
      </c>
      <c r="AN11" s="15" t="e">
        <f t="shared" si="1"/>
        <v>#N/A</v>
      </c>
      <c r="AO11" s="75">
        <v>25</v>
      </c>
    </row>
    <row r="12" spans="1:41" s="28" customFormat="1" ht="15" customHeight="1" x14ac:dyDescent="0.2">
      <c r="A12" s="27" t="str">
        <f t="shared" si="0"/>
        <v>320GC - LAOverall MTD</v>
      </c>
      <c r="B12" s="48" t="s">
        <v>39</v>
      </c>
      <c r="C12" s="49" t="s">
        <v>45</v>
      </c>
      <c r="D12" s="70" t="s">
        <v>30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58">
        <v>0.81599462365603914</v>
      </c>
      <c r="AK12" s="58">
        <v>0.81599462365603914</v>
      </c>
      <c r="AL12" s="58">
        <v>0.91764219576719963</v>
      </c>
      <c r="AM12" s="36" t="e">
        <f>VLOOKUP(A12,Overall!B:DD,83,0)</f>
        <v>#N/A</v>
      </c>
      <c r="AN12" s="58" t="e">
        <f t="shared" si="1"/>
        <v>#N/A</v>
      </c>
      <c r="AO12" s="76">
        <v>0.88</v>
      </c>
    </row>
    <row r="13" spans="1:41" s="28" customFormat="1" ht="15" customHeight="1" x14ac:dyDescent="0.2">
      <c r="A13" s="27" t="str">
        <f t="shared" si="0"/>
        <v>320GC - LAOverall YTD</v>
      </c>
      <c r="B13" s="34" t="s">
        <v>39</v>
      </c>
      <c r="C13" s="50" t="s">
        <v>45</v>
      </c>
      <c r="D13" s="68" t="s">
        <v>31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6">
        <v>0.85728956228959952</v>
      </c>
      <c r="AK13" s="36">
        <v>0.85728956228959952</v>
      </c>
      <c r="AL13" s="36">
        <v>0.87764948683625976</v>
      </c>
      <c r="AM13" s="36" t="e">
        <f>VLOOKUP(A13,Overall!B:DD,83,0)</f>
        <v>#N/A</v>
      </c>
      <c r="AN13" s="36" t="e">
        <f t="shared" si="1"/>
        <v>#N/A</v>
      </c>
      <c r="AO13" s="69">
        <v>0.88</v>
      </c>
    </row>
    <row r="14" spans="1:41" s="28" customFormat="1" ht="15" customHeight="1" x14ac:dyDescent="0.2">
      <c r="A14" s="27" t="str">
        <f t="shared" si="0"/>
        <v>320GC - LALeftover Downtime MTD (hr)</v>
      </c>
      <c r="B14" s="35" t="s">
        <v>39</v>
      </c>
      <c r="C14" s="51" t="s">
        <v>45</v>
      </c>
      <c r="D14" s="59" t="s">
        <v>36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60">
        <v>-142.85999999972086</v>
      </c>
      <c r="AK14" s="60">
        <v>-142.85999999972086</v>
      </c>
      <c r="AL14" s="60">
        <v>75.8866666666745</v>
      </c>
      <c r="AM14" s="36" t="e">
        <f>VLOOKUP(A14,Overall!B:DD,83,0)</f>
        <v>#N/A</v>
      </c>
      <c r="AN14" s="60" t="e">
        <f t="shared" si="1"/>
        <v>#N/A</v>
      </c>
      <c r="AO14" s="77">
        <v>25</v>
      </c>
    </row>
    <row r="15" spans="1:41" x14ac:dyDescent="0.2">
      <c r="A15" s="27" t="str">
        <f t="shared" si="0"/>
        <v>777D/EOverall MTD</v>
      </c>
      <c r="B15" s="43" t="s">
        <v>39</v>
      </c>
      <c r="C15" s="31" t="s">
        <v>50</v>
      </c>
      <c r="D15" s="68" t="s">
        <v>30</v>
      </c>
      <c r="AJ15" s="32">
        <v>0.84209999999999996</v>
      </c>
      <c r="AK15" s="32">
        <v>0.87813926940639275</v>
      </c>
      <c r="AL15" s="32">
        <v>0.84464285714285714</v>
      </c>
      <c r="AM15" s="36" t="e">
        <f>VLOOKUP(A15,Overall!B:DD,83,0)</f>
        <v>#N/A</v>
      </c>
      <c r="AN15" s="32" t="e">
        <f t="shared" si="1"/>
        <v>#N/A</v>
      </c>
      <c r="AO15" s="73">
        <v>0.88</v>
      </c>
    </row>
    <row r="16" spans="1:41" x14ac:dyDescent="0.2">
      <c r="A16" s="27" t="str">
        <f t="shared" si="0"/>
        <v>KDP &amp; FKROverall YTD</v>
      </c>
      <c r="B16" s="34" t="s">
        <v>39</v>
      </c>
      <c r="C16" s="33" t="s">
        <v>47</v>
      </c>
      <c r="D16" s="70" t="s">
        <v>31</v>
      </c>
      <c r="AJ16" s="56">
        <f>AJ15</f>
        <v>0.84209999999999996</v>
      </c>
      <c r="AK16" s="56">
        <f>AVERAGE(AJ15:AK15)</f>
        <v>0.8601196347031963</v>
      </c>
      <c r="AL16" s="56">
        <v>0.87374323279195676</v>
      </c>
      <c r="AM16" s="36" t="e">
        <f>VLOOKUP(A16,Overall!B:DD,83,0)</f>
        <v>#N/A</v>
      </c>
      <c r="AN16" s="56" t="e">
        <f t="shared" si="1"/>
        <v>#N/A</v>
      </c>
      <c r="AO16" s="71">
        <v>0.88</v>
      </c>
    </row>
    <row r="17" spans="1:42" x14ac:dyDescent="0.2">
      <c r="A17" s="27" t="str">
        <f t="shared" si="0"/>
        <v>KDP &amp; FKRLeftover Downtime MTD (hr)</v>
      </c>
      <c r="B17" s="34" t="s">
        <v>39</v>
      </c>
      <c r="C17" s="33" t="s">
        <v>47</v>
      </c>
      <c r="D17" s="68" t="s">
        <v>36</v>
      </c>
      <c r="AJ17" s="15">
        <v>-20</v>
      </c>
      <c r="AK17" s="15">
        <v>-6.5199999999999818</v>
      </c>
      <c r="AL17" s="15">
        <v>-118.80000000000018</v>
      </c>
      <c r="AM17" s="36" t="e">
        <f>VLOOKUP(A17,Overall!B:DD,83,0)</f>
        <v>#N/A</v>
      </c>
      <c r="AN17" s="15" t="e">
        <f t="shared" si="1"/>
        <v>#N/A</v>
      </c>
      <c r="AO17" s="75">
        <v>25</v>
      </c>
    </row>
    <row r="18" spans="1:42" x14ac:dyDescent="0.2">
      <c r="A18" s="27" t="str">
        <f t="shared" si="0"/>
        <v>777Overall MTD</v>
      </c>
      <c r="B18" s="52" t="s">
        <v>39</v>
      </c>
      <c r="C18" s="31">
        <v>777</v>
      </c>
      <c r="D18" s="70" t="s">
        <v>30</v>
      </c>
      <c r="AJ18" s="58">
        <v>0.88900000000000001</v>
      </c>
      <c r="AK18" s="58">
        <v>0.9223790322580645</v>
      </c>
      <c r="AL18" s="58">
        <v>0.8917410714285714</v>
      </c>
      <c r="AM18" s="36" t="e">
        <f>VLOOKUP(A18,Overall!B:DD,83,0)</f>
        <v>#N/A</v>
      </c>
      <c r="AN18" s="58" t="e">
        <f t="shared" si="1"/>
        <v>#N/A</v>
      </c>
      <c r="AO18" s="76">
        <v>0.88</v>
      </c>
    </row>
    <row r="19" spans="1:42" x14ac:dyDescent="0.2">
      <c r="A19" s="27" t="str">
        <f t="shared" si="0"/>
        <v>7W8Overall YTD</v>
      </c>
      <c r="B19" s="34" t="s">
        <v>39</v>
      </c>
      <c r="C19" s="33" t="s">
        <v>48</v>
      </c>
      <c r="D19" s="68" t="s">
        <v>31</v>
      </c>
      <c r="AJ19" s="32">
        <f>AJ18</f>
        <v>0.88900000000000001</v>
      </c>
      <c r="AK19" s="32">
        <v>0.8929924242424242</v>
      </c>
      <c r="AL19" s="32">
        <v>0.89257028112449799</v>
      </c>
      <c r="AM19" s="36" t="e">
        <f>VLOOKUP(A19,Overall!B:DD,83,0)</f>
        <v>#N/A</v>
      </c>
      <c r="AN19" s="32" t="e">
        <f t="shared" si="1"/>
        <v>#N/A</v>
      </c>
      <c r="AO19" s="73">
        <v>0.88</v>
      </c>
    </row>
    <row r="20" spans="1:42" x14ac:dyDescent="0.2">
      <c r="A20" s="27" t="str">
        <f t="shared" si="0"/>
        <v>7W8Leftover Downtime MTD (hr)</v>
      </c>
      <c r="B20" s="54"/>
      <c r="C20" s="53" t="s">
        <v>48</v>
      </c>
      <c r="D20" s="61" t="s">
        <v>36</v>
      </c>
      <c r="AJ20" s="62">
        <v>92</v>
      </c>
      <c r="AK20" s="62">
        <v>126.11999999999989</v>
      </c>
      <c r="AL20" s="62">
        <v>31.559999999999945</v>
      </c>
      <c r="AM20" s="36" t="e">
        <f>VLOOKUP(A20,Overall!B:DD,83,0)</f>
        <v>#N/A</v>
      </c>
      <c r="AN20" s="62" t="e">
        <f t="shared" si="1"/>
        <v>#N/A</v>
      </c>
      <c r="AO20" s="78">
        <v>25</v>
      </c>
    </row>
    <row r="21" spans="1:42" x14ac:dyDescent="0.2">
      <c r="A21" s="27" t="str">
        <f t="shared" si="0"/>
        <v>6020Overall MTD</v>
      </c>
      <c r="B21" s="52" t="s">
        <v>39</v>
      </c>
      <c r="C21" s="31">
        <v>6020</v>
      </c>
      <c r="D21" s="68" t="s">
        <v>30</v>
      </c>
      <c r="AJ21" s="36">
        <v>0.85099999999999998</v>
      </c>
      <c r="AK21" s="32">
        <v>0.94189999999999996</v>
      </c>
      <c r="AL21" s="36">
        <f>1-(44/(24*31))</f>
        <v>0.94086021505376349</v>
      </c>
      <c r="AM21" s="36" t="e">
        <f>VLOOKUP(A21,Overall!B:DD,83,0)</f>
        <v>#N/A</v>
      </c>
      <c r="AN21" s="36" t="e">
        <f t="shared" si="1"/>
        <v>#N/A</v>
      </c>
      <c r="AO21" s="69">
        <v>0.88</v>
      </c>
    </row>
    <row r="22" spans="1:42" x14ac:dyDescent="0.2">
      <c r="A22" s="27" t="str">
        <f t="shared" si="0"/>
        <v>7W8Overall YTD</v>
      </c>
      <c r="B22" s="34" t="s">
        <v>39</v>
      </c>
      <c r="C22" s="33" t="s">
        <v>48</v>
      </c>
      <c r="D22" s="70" t="s">
        <v>31</v>
      </c>
      <c r="AJ22" s="56">
        <f>AJ21</f>
        <v>0.85099999999999998</v>
      </c>
      <c r="AK22" s="79">
        <f>AVERAGE(AJ21:AK21)</f>
        <v>0.89644999999999997</v>
      </c>
      <c r="AL22" s="56">
        <f>AVERAGE(AJ21:AL21)</f>
        <v>0.91125340501792118</v>
      </c>
      <c r="AM22" s="36" t="e">
        <f>VLOOKUP(A22,Overall!B:DD,83,0)</f>
        <v>#N/A</v>
      </c>
      <c r="AN22" s="56" t="e">
        <f t="shared" si="1"/>
        <v>#N/A</v>
      </c>
      <c r="AO22" s="71">
        <v>0.88</v>
      </c>
    </row>
    <row r="23" spans="1:42" x14ac:dyDescent="0.2">
      <c r="A23" s="27" t="str">
        <f>C23&amp;D23</f>
        <v>7W8Leftover Downtime MTD (hr)</v>
      </c>
      <c r="B23" s="54"/>
      <c r="C23" s="53" t="s">
        <v>48</v>
      </c>
      <c r="D23" s="37" t="s">
        <v>36</v>
      </c>
      <c r="AJ23" s="38">
        <f>-(24*30*3%)</f>
        <v>-21.599999999999998</v>
      </c>
      <c r="AK23" s="38">
        <v>36.200000000000003</v>
      </c>
      <c r="AL23" s="38">
        <v>41.11</v>
      </c>
      <c r="AM23" s="36" t="e">
        <f>VLOOKUP(A23,Overall!B:DD,83,0)</f>
        <v>#N/A</v>
      </c>
      <c r="AN23" s="38" t="e">
        <f t="shared" si="1"/>
        <v>#N/A</v>
      </c>
      <c r="AO23" s="80">
        <v>25</v>
      </c>
    </row>
    <row r="27" spans="1:42" ht="36" customHeight="1" x14ac:dyDescent="0.2">
      <c r="B27" s="213" t="s">
        <v>53</v>
      </c>
      <c r="C27" s="213"/>
    </row>
    <row r="28" spans="1:42" s="23" customFormat="1" ht="21.6" customHeight="1" x14ac:dyDescent="0.2">
      <c r="A28" s="24"/>
      <c r="B28" s="25" t="s">
        <v>37</v>
      </c>
      <c r="C28" s="25" t="s">
        <v>49</v>
      </c>
      <c r="D28" s="25" t="s">
        <v>38</v>
      </c>
      <c r="E28" s="26">
        <v>46047</v>
      </c>
      <c r="F28" s="26">
        <v>46048</v>
      </c>
      <c r="G28" s="26">
        <v>46049</v>
      </c>
      <c r="H28" s="26">
        <v>46050</v>
      </c>
      <c r="I28" s="26">
        <v>46051</v>
      </c>
      <c r="J28" s="26">
        <v>46052</v>
      </c>
      <c r="K28" s="26">
        <v>46053</v>
      </c>
      <c r="L28" s="26">
        <v>46054</v>
      </c>
      <c r="M28" s="26">
        <v>46055</v>
      </c>
      <c r="N28" s="26">
        <v>46056</v>
      </c>
      <c r="O28" s="26">
        <v>46057</v>
      </c>
      <c r="P28" s="26">
        <v>46058</v>
      </c>
      <c r="Q28" s="26">
        <v>46059</v>
      </c>
      <c r="R28" s="26">
        <v>46060</v>
      </c>
      <c r="S28" s="26">
        <v>46061</v>
      </c>
      <c r="T28" s="26">
        <v>46062</v>
      </c>
      <c r="U28" s="26">
        <v>46063</v>
      </c>
      <c r="V28" s="26">
        <v>46064</v>
      </c>
      <c r="W28" s="26">
        <v>46065</v>
      </c>
      <c r="X28" s="26">
        <v>46066</v>
      </c>
      <c r="Y28" s="26">
        <v>46067</v>
      </c>
      <c r="Z28" s="26">
        <v>46068</v>
      </c>
      <c r="AA28" s="26">
        <v>46069</v>
      </c>
      <c r="AB28" s="26">
        <v>46070</v>
      </c>
      <c r="AC28" s="26">
        <v>46071</v>
      </c>
      <c r="AD28" s="26">
        <v>46072</v>
      </c>
      <c r="AE28" s="26">
        <v>46073</v>
      </c>
      <c r="AF28" s="26">
        <v>46074</v>
      </c>
      <c r="AG28" s="26">
        <v>46075</v>
      </c>
      <c r="AH28" s="26">
        <v>46076</v>
      </c>
      <c r="AI28" s="26">
        <v>46077</v>
      </c>
      <c r="AJ28" s="30">
        <v>46047</v>
      </c>
      <c r="AK28" s="30">
        <v>46078</v>
      </c>
      <c r="AL28" s="30">
        <v>46106</v>
      </c>
      <c r="AM28" s="30">
        <v>46119</v>
      </c>
      <c r="AN28" s="64" t="s">
        <v>61</v>
      </c>
      <c r="AO28" s="64" t="s">
        <v>56</v>
      </c>
      <c r="AP28" s="66" t="s">
        <v>57</v>
      </c>
    </row>
    <row r="29" spans="1:42" x14ac:dyDescent="0.2">
      <c r="A29" s="29">
        <v>1</v>
      </c>
      <c r="B29" s="18" t="s">
        <v>55</v>
      </c>
      <c r="C29" s="49" t="s">
        <v>43</v>
      </c>
      <c r="D29" s="55" t="s">
        <v>52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60">
        <v>127.60609766139214</v>
      </c>
      <c r="AK29" s="60">
        <v>89.174716759210696</v>
      </c>
      <c r="AL29" s="60">
        <v>88.356889173443108</v>
      </c>
      <c r="AM29" s="60">
        <v>81.004517453790598</v>
      </c>
      <c r="AN29" s="60">
        <f t="shared" ref="AN29:AN42" si="2">AVERAGE(AJ29:AM29)</f>
        <v>96.535555261959132</v>
      </c>
      <c r="AO29" s="60">
        <v>60</v>
      </c>
      <c r="AP29" s="211" t="s">
        <v>60</v>
      </c>
    </row>
    <row r="30" spans="1:42" x14ac:dyDescent="0.2">
      <c r="A30" s="29">
        <v>2</v>
      </c>
      <c r="B30"/>
      <c r="C30" s="50" t="str">
        <f>C29</f>
        <v>320GC-DF</v>
      </c>
      <c r="D30" s="16" t="s">
        <v>54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15">
        <v>13.061904761873697</v>
      </c>
      <c r="AK30" s="15">
        <v>12.175000000046564</v>
      </c>
      <c r="AL30" s="15">
        <v>12.574074074082702</v>
      </c>
      <c r="AM30" s="15">
        <v>29.496666666667483</v>
      </c>
      <c r="AN30" s="15">
        <f t="shared" si="2"/>
        <v>16.82691137566761</v>
      </c>
      <c r="AO30" s="15">
        <v>8</v>
      </c>
      <c r="AP30" s="212"/>
    </row>
    <row r="31" spans="1:42" x14ac:dyDescent="0.2">
      <c r="A31" s="29">
        <v>3</v>
      </c>
      <c r="B31"/>
      <c r="C31" s="31" t="s">
        <v>40</v>
      </c>
      <c r="D31" s="55" t="s">
        <v>52</v>
      </c>
      <c r="E31" s="32" t="e">
        <v>#REF!</v>
      </c>
      <c r="F31" s="32" t="e">
        <v>#REF!</v>
      </c>
      <c r="G31" s="32" t="e">
        <v>#REF!</v>
      </c>
      <c r="H31" s="32" t="e">
        <v>#REF!</v>
      </c>
      <c r="I31" s="32" t="e">
        <v>#REF!</v>
      </c>
      <c r="J31" s="32" t="e">
        <v>#REF!</v>
      </c>
      <c r="K31" s="32" t="e">
        <v>#REF!</v>
      </c>
      <c r="L31" s="32" t="e">
        <v>#REF!</v>
      </c>
      <c r="M31" s="32" t="e">
        <v>#REF!</v>
      </c>
      <c r="N31" s="32" t="e">
        <v>#REF!</v>
      </c>
      <c r="O31" s="32" t="e">
        <v>#REF!</v>
      </c>
      <c r="P31" s="32" t="e">
        <v>#REF!</v>
      </c>
      <c r="Q31" s="32" t="e">
        <v>#REF!</v>
      </c>
      <c r="R31" s="32" t="e">
        <v>#REF!</v>
      </c>
      <c r="S31" s="32" t="e">
        <v>#REF!</v>
      </c>
      <c r="T31" s="32" t="e">
        <v>#REF!</v>
      </c>
      <c r="U31" s="32" t="e">
        <v>#REF!</v>
      </c>
      <c r="V31" s="32" t="e">
        <v>#REF!</v>
      </c>
      <c r="W31" s="32" t="e">
        <v>#REF!</v>
      </c>
      <c r="X31" s="32" t="e">
        <v>#REF!</v>
      </c>
      <c r="Y31" s="32" t="e">
        <v>#REF!</v>
      </c>
      <c r="Z31" s="32" t="e">
        <v>#REF!</v>
      </c>
      <c r="AA31" s="32" t="e">
        <v>#REF!</v>
      </c>
      <c r="AB31" s="32" t="e">
        <v>#REF!</v>
      </c>
      <c r="AC31" s="32" t="e">
        <v>#REF!</v>
      </c>
      <c r="AD31" s="32" t="e">
        <v>#REF!</v>
      </c>
      <c r="AE31" s="32" t="e">
        <v>#REF!</v>
      </c>
      <c r="AF31" s="32" t="e">
        <v>#REF!</v>
      </c>
      <c r="AG31" s="32" t="e">
        <v>#REF!</v>
      </c>
      <c r="AH31" s="32" t="e">
        <v>#REF!</v>
      </c>
      <c r="AI31" s="32" t="e">
        <v>#REF!</v>
      </c>
      <c r="AJ31" s="60">
        <v>77.146633414844374</v>
      </c>
      <c r="AK31" s="60">
        <v>100.24359458813753</v>
      </c>
      <c r="AL31" s="60">
        <v>79.948135539594929</v>
      </c>
      <c r="AM31" s="60">
        <v>138.7988955049527</v>
      </c>
      <c r="AN31" s="60">
        <f t="shared" si="2"/>
        <v>99.034314761882371</v>
      </c>
      <c r="AO31" s="60">
        <v>60</v>
      </c>
      <c r="AP31" s="211" t="s">
        <v>60</v>
      </c>
    </row>
    <row r="32" spans="1:42" x14ac:dyDescent="0.2">
      <c r="A32" s="29">
        <v>4</v>
      </c>
      <c r="B32"/>
      <c r="C32" s="50" t="str">
        <f>C31</f>
        <v>320GC</v>
      </c>
      <c r="D32" s="16" t="s">
        <v>54</v>
      </c>
      <c r="E32" s="32" t="e">
        <v>#REF!</v>
      </c>
      <c r="F32" s="32" t="e">
        <v>#REF!</v>
      </c>
      <c r="G32" s="32" t="e">
        <v>#REF!</v>
      </c>
      <c r="H32" s="32" t="e">
        <v>#REF!</v>
      </c>
      <c r="I32" s="32" t="e">
        <v>#REF!</v>
      </c>
      <c r="J32" s="32" t="e">
        <v>#REF!</v>
      </c>
      <c r="K32" s="32" t="e">
        <v>#REF!</v>
      </c>
      <c r="L32" s="32" t="e">
        <v>#REF!</v>
      </c>
      <c r="M32" s="32" t="e">
        <v>#REF!</v>
      </c>
      <c r="N32" s="32" t="e">
        <v>#REF!</v>
      </c>
      <c r="O32" s="32" t="e">
        <v>#REF!</v>
      </c>
      <c r="P32" s="32" t="e">
        <v>#REF!</v>
      </c>
      <c r="Q32" s="32" t="e">
        <v>#REF!</v>
      </c>
      <c r="R32" s="32" t="e">
        <v>#REF!</v>
      </c>
      <c r="S32" s="32" t="e">
        <v>#REF!</v>
      </c>
      <c r="T32" s="32" t="e">
        <v>#REF!</v>
      </c>
      <c r="U32" s="32" t="e">
        <v>#REF!</v>
      </c>
      <c r="V32" s="32" t="e">
        <v>#REF!</v>
      </c>
      <c r="W32" s="32" t="e">
        <v>#REF!</v>
      </c>
      <c r="X32" s="32" t="e">
        <v>#REF!</v>
      </c>
      <c r="Y32" s="32" t="e">
        <v>#REF!</v>
      </c>
      <c r="Z32" s="32" t="e">
        <v>#REF!</v>
      </c>
      <c r="AA32" s="32" t="e">
        <v>#REF!</v>
      </c>
      <c r="AB32" s="32" t="e">
        <v>#REF!</v>
      </c>
      <c r="AC32" s="32" t="e">
        <v>#REF!</v>
      </c>
      <c r="AD32" s="32" t="e">
        <v>#REF!</v>
      </c>
      <c r="AE32" s="32" t="e">
        <v>#REF!</v>
      </c>
      <c r="AF32" s="32" t="e">
        <v>#REF!</v>
      </c>
      <c r="AG32" s="32" t="e">
        <v>#REF!</v>
      </c>
      <c r="AH32" s="32" t="e">
        <v>#REF!</v>
      </c>
      <c r="AI32" s="32" t="e">
        <v>#REF!</v>
      </c>
      <c r="AJ32" s="15">
        <v>18.147666666676525</v>
      </c>
      <c r="AK32" s="15">
        <v>18.980555555563821</v>
      </c>
      <c r="AL32" s="15">
        <v>15.183734939760441</v>
      </c>
      <c r="AM32" s="15">
        <v>10.981249999989815</v>
      </c>
      <c r="AN32" s="15">
        <f t="shared" si="2"/>
        <v>15.82330179049765</v>
      </c>
      <c r="AO32" s="15">
        <v>8</v>
      </c>
      <c r="AP32" s="212"/>
    </row>
    <row r="33" spans="1:42" x14ac:dyDescent="0.2">
      <c r="A33" s="29">
        <v>5</v>
      </c>
      <c r="B33"/>
      <c r="C33" s="31" t="s">
        <v>42</v>
      </c>
      <c r="D33" s="55" t="s">
        <v>52</v>
      </c>
      <c r="E33" s="32">
        <v>0.90579459064321877</v>
      </c>
      <c r="F33" s="32">
        <v>0.97419590643288467</v>
      </c>
      <c r="G33" s="32">
        <v>0.97288011695893239</v>
      </c>
      <c r="H33" s="32">
        <v>0.97446393762182104</v>
      </c>
      <c r="I33" s="32">
        <v>0.96557017543857093</v>
      </c>
      <c r="J33" s="32">
        <v>0.9664546783624437</v>
      </c>
      <c r="K33" s="32">
        <v>0.95903996101352329</v>
      </c>
      <c r="L33" s="32">
        <v>0.94842836257299856</v>
      </c>
      <c r="M33" s="32">
        <v>0.9368649488303179</v>
      </c>
      <c r="N33" s="32">
        <v>0.93208252111750856</v>
      </c>
      <c r="O33" s="32">
        <v>0.92347222222209291</v>
      </c>
      <c r="P33" s="32">
        <v>0.92019537480052427</v>
      </c>
      <c r="Q33" s="32">
        <v>0.92242629142290555</v>
      </c>
      <c r="R33" s="32">
        <v>0.92434491677903829</v>
      </c>
      <c r="S33" s="32">
        <v>0.92138680033407272</v>
      </c>
      <c r="T33" s="32">
        <v>0.92238791422992983</v>
      </c>
      <c r="U33" s="32">
        <v>0.92324104532154272</v>
      </c>
      <c r="V33" s="32">
        <v>0.9164903680769162</v>
      </c>
      <c r="W33" s="32">
        <v>0.9118157082519931</v>
      </c>
      <c r="X33" s="32">
        <v>0.91263465681737299</v>
      </c>
      <c r="Y33" s="32">
        <v>0.90649488304082759</v>
      </c>
      <c r="Z33" s="32">
        <v>0.90783556112492703</v>
      </c>
      <c r="AA33" s="32">
        <v>0.90724016480585135</v>
      </c>
      <c r="AB33" s="32">
        <v>0.90375031782344928</v>
      </c>
      <c r="AC33" s="32">
        <v>0.90403112816754094</v>
      </c>
      <c r="AD33" s="32">
        <v>0.90494298245604643</v>
      </c>
      <c r="AE33" s="32">
        <v>0.90568066801612068</v>
      </c>
      <c r="AF33" s="32">
        <v>0.90531595191675818</v>
      </c>
      <c r="AG33" s="32">
        <v>0.90313283208014217</v>
      </c>
      <c r="AH33" s="32">
        <v>0.90227994555348179</v>
      </c>
      <c r="AI33" s="32">
        <v>0.90202850877187446</v>
      </c>
      <c r="AJ33" s="60">
        <v>59.444194648968903</v>
      </c>
      <c r="AK33" s="60">
        <v>66.150029351759471</v>
      </c>
      <c r="AL33" s="60">
        <v>66.684858454709016</v>
      </c>
      <c r="AM33" s="60">
        <v>166.66889883969526</v>
      </c>
      <c r="AN33" s="60">
        <f t="shared" si="2"/>
        <v>89.736995323783162</v>
      </c>
      <c r="AO33" s="60">
        <v>60</v>
      </c>
      <c r="AP33" s="211" t="s">
        <v>60</v>
      </c>
    </row>
    <row r="34" spans="1:42" x14ac:dyDescent="0.2">
      <c r="A34" s="29">
        <v>6</v>
      </c>
      <c r="B34"/>
      <c r="C34" s="50" t="str">
        <f>C33</f>
        <v>330NG</v>
      </c>
      <c r="D34" s="16" t="s">
        <v>54</v>
      </c>
      <c r="E34" s="32">
        <v>0.90186936525335293</v>
      </c>
      <c r="F34" s="32">
        <v>0.9047624269005341</v>
      </c>
      <c r="G34" s="32">
        <v>0.90733173076916673</v>
      </c>
      <c r="H34" s="32">
        <v>0.90993542884984935</v>
      </c>
      <c r="I34" s="32">
        <v>0.91096948099409836</v>
      </c>
      <c r="J34" s="32">
        <v>0.9130047640652651</v>
      </c>
      <c r="K34" s="32">
        <v>0.913303484405387</v>
      </c>
      <c r="L34" s="32">
        <v>0.91238268722875671</v>
      </c>
      <c r="M34" s="32">
        <v>0.91061826114759414</v>
      </c>
      <c r="N34" s="32">
        <v>0.91010931685266805</v>
      </c>
      <c r="O34" s="32">
        <v>0.90822314671474702</v>
      </c>
      <c r="P34" s="32">
        <v>0.9076289682538925</v>
      </c>
      <c r="Q34" s="32">
        <v>0.90872167397653714</v>
      </c>
      <c r="R34" s="32">
        <v>0.9097661806542694</v>
      </c>
      <c r="S34" s="32">
        <v>0.90905999923046021</v>
      </c>
      <c r="T34" s="32">
        <v>0.90976111485972866</v>
      </c>
      <c r="U34" s="32">
        <v>0.91041803728062887</v>
      </c>
      <c r="V34" s="32">
        <v>0.90793173227775714</v>
      </c>
      <c r="W34" s="32">
        <v>0.90613208368134157</v>
      </c>
      <c r="X34" s="32">
        <v>0.90662612199094317</v>
      </c>
      <c r="Y34" s="32">
        <v>0.90397187333856865</v>
      </c>
      <c r="Z34" s="32">
        <v>0.90465358999342083</v>
      </c>
      <c r="AA34" s="32">
        <v>0.90443800851759126</v>
      </c>
      <c r="AB34" s="32">
        <v>0.90278983140467661</v>
      </c>
      <c r="AC34" s="32">
        <v>0.90295024671044688</v>
      </c>
      <c r="AD34" s="32">
        <v>0.90343753729554344</v>
      </c>
      <c r="AE34" s="32">
        <v>0.90385124268999217</v>
      </c>
      <c r="AF34" s="32">
        <v>0.90369402878103799</v>
      </c>
      <c r="AG34" s="32">
        <v>0.90254969354470094</v>
      </c>
      <c r="AH34" s="32">
        <v>0.9020940223987064</v>
      </c>
      <c r="AI34" s="32">
        <v>0.90195777831919821</v>
      </c>
      <c r="AJ34" s="15">
        <v>30.44313725490834</v>
      </c>
      <c r="AK34" s="15">
        <v>20.129022988511824</v>
      </c>
      <c r="AL34" s="15">
        <v>27.484000000002567</v>
      </c>
      <c r="AM34" s="15">
        <v>19.572727272726222</v>
      </c>
      <c r="AN34" s="15">
        <f t="shared" si="2"/>
        <v>24.407221879037241</v>
      </c>
      <c r="AO34" s="15">
        <v>8</v>
      </c>
      <c r="AP34" s="212"/>
    </row>
    <row r="35" spans="1:42" x14ac:dyDescent="0.2">
      <c r="A35" s="29">
        <v>7</v>
      </c>
      <c r="B35"/>
      <c r="C35" s="49" t="s">
        <v>41</v>
      </c>
      <c r="D35" s="55" t="s">
        <v>52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60">
        <v>68.278359381702757</v>
      </c>
      <c r="AK35" s="60">
        <v>76.136840575525497</v>
      </c>
      <c r="AL35" s="60">
        <v>72.764018207629391</v>
      </c>
      <c r="AM35" s="60">
        <v>181.70459768234966</v>
      </c>
      <c r="AN35" s="60">
        <f t="shared" si="2"/>
        <v>99.720953961801825</v>
      </c>
      <c r="AO35" s="60">
        <v>60</v>
      </c>
      <c r="AP35" s="211" t="s">
        <v>60</v>
      </c>
    </row>
    <row r="36" spans="1:42" x14ac:dyDescent="0.2">
      <c r="A36" s="29">
        <v>8</v>
      </c>
      <c r="B36"/>
      <c r="C36" s="50" t="str">
        <f>C35</f>
        <v>320GC-LA</v>
      </c>
      <c r="D36" s="16" t="s">
        <v>54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15">
        <v>10.980833333337802</v>
      </c>
      <c r="AK36" s="15">
        <v>28.916666666693338</v>
      </c>
      <c r="AL36" s="15">
        <v>9.3511111111263769</v>
      </c>
      <c r="AM36" s="15">
        <v>40.455555555468898</v>
      </c>
      <c r="AN36" s="15">
        <f t="shared" si="2"/>
        <v>22.426041666656605</v>
      </c>
      <c r="AO36" s="15">
        <v>8</v>
      </c>
      <c r="AP36" s="212"/>
    </row>
    <row r="37" spans="1:42" x14ac:dyDescent="0.2">
      <c r="A37" s="29">
        <v>9</v>
      </c>
      <c r="B37"/>
      <c r="C37" s="31" t="s">
        <v>50</v>
      </c>
      <c r="D37" s="55" t="s">
        <v>52</v>
      </c>
      <c r="AJ37" s="60">
        <v>34.004379205249386</v>
      </c>
      <c r="AK37" s="60">
        <v>36.814134853391224</v>
      </c>
      <c r="AL37" s="60">
        <v>29.23235274263855</v>
      </c>
      <c r="AM37" s="60">
        <v>77.289099569300532</v>
      </c>
      <c r="AN37" s="60">
        <f t="shared" si="2"/>
        <v>44.334991592644926</v>
      </c>
      <c r="AO37" s="60">
        <v>60</v>
      </c>
      <c r="AP37" s="211" t="s">
        <v>62</v>
      </c>
    </row>
    <row r="38" spans="1:42" x14ac:dyDescent="0.2">
      <c r="A38" s="29">
        <v>10</v>
      </c>
      <c r="B38"/>
      <c r="C38" s="50" t="str">
        <f>C37</f>
        <v>777D/E</v>
      </c>
      <c r="D38" s="16" t="s">
        <v>54</v>
      </c>
      <c r="AJ38" s="15">
        <v>8.7902439024324917</v>
      </c>
      <c r="AK38" s="15">
        <v>5.1497619047594663</v>
      </c>
      <c r="AL38" s="15">
        <v>6.3036324786147704</v>
      </c>
      <c r="AM38" s="15">
        <v>10.387254901973339</v>
      </c>
      <c r="AN38" s="15">
        <f t="shared" si="2"/>
        <v>7.6577232969450169</v>
      </c>
      <c r="AO38" s="15">
        <v>8</v>
      </c>
      <c r="AP38" s="212"/>
    </row>
    <row r="39" spans="1:42" x14ac:dyDescent="0.2">
      <c r="A39" s="29">
        <v>11</v>
      </c>
      <c r="B39"/>
      <c r="C39" s="31">
        <v>777</v>
      </c>
      <c r="D39" s="55" t="s">
        <v>52</v>
      </c>
      <c r="AJ39" s="60">
        <v>47.313615293183162</v>
      </c>
      <c r="AK39" s="60">
        <v>73.559841749861562</v>
      </c>
      <c r="AL39" s="60">
        <v>41.08493181380814</v>
      </c>
      <c r="AM39" s="60">
        <v>76.435417834223614</v>
      </c>
      <c r="AN39" s="60">
        <f t="shared" si="2"/>
        <v>59.598451672769123</v>
      </c>
      <c r="AO39" s="60">
        <v>60</v>
      </c>
      <c r="AP39" s="211" t="s">
        <v>63</v>
      </c>
    </row>
    <row r="40" spans="1:42" x14ac:dyDescent="0.2">
      <c r="A40" s="29">
        <v>12</v>
      </c>
      <c r="B40"/>
      <c r="C40" s="50">
        <f>C39</f>
        <v>777</v>
      </c>
      <c r="D40" s="16" t="s">
        <v>54</v>
      </c>
      <c r="AJ40" s="15">
        <v>7.8046511627806803</v>
      </c>
      <c r="AK40" s="15">
        <v>8.7666666666794164</v>
      </c>
      <c r="AL40" s="15">
        <v>7.4801587301522625</v>
      </c>
      <c r="AM40" s="15">
        <v>3.7166666666923374</v>
      </c>
      <c r="AN40" s="15">
        <f t="shared" si="2"/>
        <v>6.9420358065761736</v>
      </c>
      <c r="AO40" s="15">
        <v>8</v>
      </c>
      <c r="AP40" s="212"/>
    </row>
    <row r="41" spans="1:42" x14ac:dyDescent="0.2">
      <c r="A41" s="29">
        <v>13</v>
      </c>
      <c r="B41"/>
      <c r="C41" s="31">
        <v>6020</v>
      </c>
      <c r="D41" s="55" t="s">
        <v>52</v>
      </c>
      <c r="AJ41" s="60">
        <v>17.935718569477352</v>
      </c>
      <c r="AK41" s="60">
        <v>32.417498110936712</v>
      </c>
      <c r="AL41" s="60">
        <v>30.530349054010571</v>
      </c>
      <c r="AM41" s="60">
        <v>21.125</v>
      </c>
      <c r="AN41" s="60">
        <f t="shared" si="2"/>
        <v>25.502141433606159</v>
      </c>
      <c r="AO41" s="60">
        <v>60</v>
      </c>
      <c r="AP41" s="211" t="s">
        <v>62</v>
      </c>
    </row>
    <row r="42" spans="1:42" x14ac:dyDescent="0.2">
      <c r="B42" s="63"/>
      <c r="C42" s="47">
        <f>C41</f>
        <v>6020</v>
      </c>
      <c r="D42" s="16" t="s">
        <v>54</v>
      </c>
      <c r="AJ42" s="15">
        <v>6.4325000000040777</v>
      </c>
      <c r="AK42" s="15">
        <v>3.7928571428721107</v>
      </c>
      <c r="AL42" s="15">
        <v>1.6083333333247403</v>
      </c>
      <c r="AM42" s="15">
        <v>2.3187500000058212</v>
      </c>
      <c r="AN42" s="15">
        <f t="shared" si="2"/>
        <v>3.5381101190516873</v>
      </c>
      <c r="AO42" s="15">
        <v>8</v>
      </c>
      <c r="AP42" s="212"/>
    </row>
    <row r="43" spans="1:42" customFormat="1" x14ac:dyDescent="0.2"/>
    <row r="44" spans="1:42" x14ac:dyDescent="0.2">
      <c r="B44" s="19" t="s">
        <v>58</v>
      </c>
    </row>
    <row r="45" spans="1:42" x14ac:dyDescent="0.2">
      <c r="B45" s="19" t="s">
        <v>59</v>
      </c>
    </row>
    <row r="46" spans="1:42" x14ac:dyDescent="0.2">
      <c r="AP46" s="65" t="s">
        <v>64</v>
      </c>
    </row>
    <row r="47" spans="1:42" x14ac:dyDescent="0.2">
      <c r="AP47" s="65" t="s">
        <v>65</v>
      </c>
    </row>
    <row r="48" spans="1:42" x14ac:dyDescent="0.2">
      <c r="AP48" s="65" t="s">
        <v>68</v>
      </c>
    </row>
    <row r="49" spans="42:42" x14ac:dyDescent="0.2">
      <c r="AP49" s="65" t="s">
        <v>70</v>
      </c>
    </row>
    <row r="50" spans="42:42" x14ac:dyDescent="0.2">
      <c r="AP50" s="65" t="s">
        <v>67</v>
      </c>
    </row>
    <row r="51" spans="42:42" x14ac:dyDescent="0.2">
      <c r="AP51" s="65" t="s">
        <v>69</v>
      </c>
    </row>
    <row r="54" spans="42:42" x14ac:dyDescent="0.2">
      <c r="AP54" s="65" t="s">
        <v>66</v>
      </c>
    </row>
  </sheetData>
  <autoFilter ref="A28:AP42" xr:uid="{F524883D-19DD-49A2-BCDE-A5E3BC0EAEB3}"/>
  <mergeCells count="9">
    <mergeCell ref="AP37:AP38"/>
    <mergeCell ref="AP39:AP40"/>
    <mergeCell ref="AP41:AP42"/>
    <mergeCell ref="B1:C1"/>
    <mergeCell ref="B27:C27"/>
    <mergeCell ref="AP29:AP30"/>
    <mergeCell ref="AP31:AP32"/>
    <mergeCell ref="AP33:AP34"/>
    <mergeCell ref="AP35:AP36"/>
  </mergeCells>
  <conditionalFormatting sqref="B21:C21">
    <cfRule type="cellIs" dxfId="28" priority="26" operator="lessThan">
      <formula>0.88</formula>
    </cfRule>
  </conditionalFormatting>
  <conditionalFormatting sqref="B23:D23">
    <cfRule type="cellIs" dxfId="27" priority="25" operator="lessThan">
      <formula>0</formula>
    </cfRule>
  </conditionalFormatting>
  <conditionalFormatting sqref="C41">
    <cfRule type="cellIs" dxfId="26" priority="9" operator="lessThan">
      <formula>0.88</formula>
    </cfRule>
  </conditionalFormatting>
  <conditionalFormatting sqref="C11:AL11 AN11:XFD11 B20:D20">
    <cfRule type="cellIs" dxfId="25" priority="35" operator="lessThan">
      <formula>0</formula>
    </cfRule>
  </conditionalFormatting>
  <conditionalFormatting sqref="D3:D4 D12:D13">
    <cfRule type="cellIs" dxfId="24" priority="39" operator="lessThan">
      <formula>0.88</formula>
    </cfRule>
  </conditionalFormatting>
  <conditionalFormatting sqref="D5">
    <cfRule type="cellIs" dxfId="23" priority="33" operator="lessThan">
      <formula>0</formula>
    </cfRule>
  </conditionalFormatting>
  <conditionalFormatting sqref="D14">
    <cfRule type="cellIs" dxfId="22" priority="34" operator="lessThan">
      <formula>0</formula>
    </cfRule>
  </conditionalFormatting>
  <conditionalFormatting sqref="D15:D19">
    <cfRule type="cellIs" dxfId="21" priority="31" operator="lessThan">
      <formula>0.88</formula>
    </cfRule>
  </conditionalFormatting>
  <conditionalFormatting sqref="D21:D22">
    <cfRule type="cellIs" dxfId="20" priority="24" operator="lessThan">
      <formula>0.88</formula>
    </cfRule>
  </conditionalFormatting>
  <conditionalFormatting sqref="D35:D42">
    <cfRule type="cellIs" dxfId="19" priority="7" operator="lessThan">
      <formula>0.88</formula>
    </cfRule>
  </conditionalFormatting>
  <conditionalFormatting sqref="D29:AI34 E35:AI36 C37 C39">
    <cfRule type="cellIs" dxfId="18" priority="18" operator="lessThan">
      <formula>0.88</formula>
    </cfRule>
  </conditionalFormatting>
  <conditionalFormatting sqref="E1">
    <cfRule type="iconSet" priority="38">
      <iconSet iconSet="4Arrows" showValue="0">
        <cfvo type="percent" val="0"/>
        <cfvo type="num" val="1"/>
        <cfvo type="num" val="2"/>
        <cfvo type="num" val="3"/>
      </iconSet>
    </cfRule>
  </conditionalFormatting>
  <conditionalFormatting sqref="E3:AM3 E4:AL5 AM4:AM23 D6:AL10 E12:AL14 B15:C15 B18:C18 AJ21:AK21 AJ22">
    <cfRule type="cellIs" dxfId="17" priority="37" operator="lessThan">
      <formula>0.88</formula>
    </cfRule>
  </conditionalFormatting>
  <conditionalFormatting sqref="AJ15:AL19">
    <cfRule type="cellIs" dxfId="16" priority="27" operator="lessThan">
      <formula>0.88</formula>
    </cfRule>
  </conditionalFormatting>
  <conditionalFormatting sqref="AJ20:AL20 AN20:AO20">
    <cfRule type="cellIs" dxfId="15" priority="28" operator="lessThan">
      <formula>0</formula>
    </cfRule>
  </conditionalFormatting>
  <conditionalFormatting sqref="AJ23:AL23 AN23:AO23">
    <cfRule type="cellIs" dxfId="14" priority="21" operator="lessThan">
      <formula>0</formula>
    </cfRule>
  </conditionalFormatting>
  <conditionalFormatting sqref="AJ1:AO1">
    <cfRule type="iconSet" priority="66">
      <iconSet iconSet="4Arrows" showValue="0">
        <cfvo type="percent" val="0"/>
        <cfvo type="num" val="1"/>
        <cfvo type="num" val="2"/>
        <cfvo type="num" val="3"/>
      </iconSet>
    </cfRule>
  </conditionalFormatting>
  <conditionalFormatting sqref="AL21:AL22 AN21:AO22">
    <cfRule type="cellIs" dxfId="13" priority="1" operator="lessThan">
      <formula>0.88</formula>
    </cfRule>
  </conditionalFormatting>
  <conditionalFormatting sqref="AN3:AO10">
    <cfRule type="cellIs" dxfId="12" priority="3" operator="lessThan">
      <formula>0.88</formula>
    </cfRule>
  </conditionalFormatting>
  <conditionalFormatting sqref="AN12:AO19">
    <cfRule type="cellIs" dxfId="11" priority="2" operator="lessThan">
      <formula>0.88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F44A-BB37-4F27-9AD2-8400431CDD25}">
  <sheetPr codeName="Sheet2"/>
  <dimension ref="A1:OZ27"/>
  <sheetViews>
    <sheetView showGridLines="0" zoomScale="70" zoomScaleNormal="70" workbookViewId="0">
      <pane xSplit="5" ySplit="3" topLeftCell="F4" activePane="bottomRight" state="frozen"/>
      <selection activeCell="B1" sqref="B1"/>
      <selection pane="topRight" activeCell="F1" sqref="F1"/>
      <selection pane="bottomLeft" activeCell="B3" sqref="B3"/>
      <selection pane="bottomRight" activeCell="F4" sqref="F4"/>
    </sheetView>
  </sheetViews>
  <sheetFormatPr defaultColWidth="13.7109375" defaultRowHeight="12.75" x14ac:dyDescent="0.2"/>
  <cols>
    <col min="1" max="1" width="11.5703125" style="82" customWidth="1"/>
    <col min="2" max="2" width="6.140625" style="29" customWidth="1"/>
    <col min="3" max="3" width="20.7109375" style="19" customWidth="1"/>
    <col min="4" max="4" width="23.7109375" style="19" customWidth="1"/>
    <col min="5" max="5" width="25.42578125" style="21" customWidth="1"/>
    <col min="6" max="416" width="10.5703125" style="21" customWidth="1"/>
    <col min="417" max="16384" width="13.7109375" style="21"/>
  </cols>
  <sheetData>
    <row r="1" spans="1:416" ht="43.5" customHeight="1" x14ac:dyDescent="0.2">
      <c r="F1" s="22">
        <v>3</v>
      </c>
      <c r="AJ1" s="22">
        <v>0</v>
      </c>
      <c r="AK1" s="22">
        <v>3</v>
      </c>
      <c r="BL1" s="22">
        <v>0</v>
      </c>
      <c r="BM1" s="22">
        <v>3</v>
      </c>
      <c r="CQ1" s="22">
        <v>0</v>
      </c>
      <c r="CR1" s="22">
        <v>3</v>
      </c>
      <c r="DU1" s="22">
        <v>0</v>
      </c>
      <c r="DV1" s="22">
        <v>3</v>
      </c>
      <c r="FU1" s="22">
        <v>1</v>
      </c>
    </row>
    <row r="2" spans="1:416" s="88" customFormat="1" ht="14.45" customHeight="1" x14ac:dyDescent="0.2">
      <c r="A2" s="127"/>
      <c r="B2" s="128"/>
      <c r="C2" s="214" t="s">
        <v>95</v>
      </c>
      <c r="D2" s="214"/>
      <c r="E2" s="129"/>
      <c r="F2" s="130">
        <f>WEEKNUM(F3)</f>
        <v>1</v>
      </c>
      <c r="G2" s="130">
        <f t="shared" ref="G2:AV2" si="0">WEEKNUM(G3)</f>
        <v>1</v>
      </c>
      <c r="H2" s="130">
        <f t="shared" si="0"/>
        <v>1</v>
      </c>
      <c r="I2" s="130">
        <f t="shared" si="0"/>
        <v>2</v>
      </c>
      <c r="J2" s="130">
        <f t="shared" si="0"/>
        <v>2</v>
      </c>
      <c r="K2" s="130">
        <f t="shared" si="0"/>
        <v>2</v>
      </c>
      <c r="L2" s="130">
        <f t="shared" si="0"/>
        <v>2</v>
      </c>
      <c r="M2" s="130">
        <f t="shared" si="0"/>
        <v>2</v>
      </c>
      <c r="N2" s="130">
        <f t="shared" si="0"/>
        <v>2</v>
      </c>
      <c r="O2" s="130">
        <f t="shared" si="0"/>
        <v>2</v>
      </c>
      <c r="P2" s="130">
        <f t="shared" si="0"/>
        <v>3</v>
      </c>
      <c r="Q2" s="130">
        <f t="shared" si="0"/>
        <v>3</v>
      </c>
      <c r="R2" s="130">
        <f t="shared" si="0"/>
        <v>3</v>
      </c>
      <c r="S2" s="130">
        <f t="shared" si="0"/>
        <v>3</v>
      </c>
      <c r="T2" s="130">
        <f t="shared" si="0"/>
        <v>3</v>
      </c>
      <c r="U2" s="130">
        <f t="shared" si="0"/>
        <v>3</v>
      </c>
      <c r="V2" s="130">
        <f t="shared" si="0"/>
        <v>3</v>
      </c>
      <c r="W2" s="130">
        <f t="shared" si="0"/>
        <v>4</v>
      </c>
      <c r="X2" s="130">
        <f t="shared" si="0"/>
        <v>4</v>
      </c>
      <c r="Y2" s="130">
        <f t="shared" si="0"/>
        <v>4</v>
      </c>
      <c r="Z2" s="130">
        <f t="shared" si="0"/>
        <v>4</v>
      </c>
      <c r="AA2" s="130">
        <f t="shared" si="0"/>
        <v>4</v>
      </c>
      <c r="AB2" s="130">
        <f t="shared" si="0"/>
        <v>4</v>
      </c>
      <c r="AC2" s="130">
        <f t="shared" si="0"/>
        <v>4</v>
      </c>
      <c r="AD2" s="130">
        <f t="shared" si="0"/>
        <v>5</v>
      </c>
      <c r="AE2" s="130">
        <f t="shared" si="0"/>
        <v>5</v>
      </c>
      <c r="AF2" s="130">
        <f t="shared" si="0"/>
        <v>5</v>
      </c>
      <c r="AG2" s="130">
        <f t="shared" si="0"/>
        <v>5</v>
      </c>
      <c r="AH2" s="130">
        <f t="shared" si="0"/>
        <v>5</v>
      </c>
      <c r="AI2" s="130">
        <f t="shared" si="0"/>
        <v>5</v>
      </c>
      <c r="AJ2" s="130">
        <f t="shared" si="0"/>
        <v>5</v>
      </c>
      <c r="AK2" s="130">
        <f t="shared" si="0"/>
        <v>6</v>
      </c>
      <c r="AL2" s="130">
        <f t="shared" si="0"/>
        <v>6</v>
      </c>
      <c r="AM2" s="130">
        <f t="shared" si="0"/>
        <v>6</v>
      </c>
      <c r="AN2" s="130">
        <f t="shared" si="0"/>
        <v>6</v>
      </c>
      <c r="AO2" s="130">
        <f t="shared" si="0"/>
        <v>6</v>
      </c>
      <c r="AP2" s="130">
        <f t="shared" si="0"/>
        <v>6</v>
      </c>
      <c r="AQ2" s="130">
        <f t="shared" si="0"/>
        <v>6</v>
      </c>
      <c r="AR2" s="130">
        <f t="shared" si="0"/>
        <v>7</v>
      </c>
      <c r="AS2" s="130">
        <f t="shared" si="0"/>
        <v>7</v>
      </c>
      <c r="AT2" s="130">
        <f t="shared" si="0"/>
        <v>7</v>
      </c>
      <c r="AU2" s="130">
        <f t="shared" si="0"/>
        <v>7</v>
      </c>
      <c r="AV2" s="130">
        <f t="shared" si="0"/>
        <v>7</v>
      </c>
      <c r="AW2" s="130">
        <f t="shared" ref="AW2" si="1">WEEKNUM(AW3)</f>
        <v>7</v>
      </c>
      <c r="AX2" s="130">
        <f t="shared" ref="AX2" si="2">WEEKNUM(AX3)</f>
        <v>7</v>
      </c>
      <c r="AY2" s="130">
        <f t="shared" ref="AY2" si="3">WEEKNUM(AY3)</f>
        <v>8</v>
      </c>
      <c r="AZ2" s="130">
        <f t="shared" ref="AZ2" si="4">WEEKNUM(AZ3)</f>
        <v>8</v>
      </c>
      <c r="BA2" s="130">
        <f t="shared" ref="BA2" si="5">WEEKNUM(BA3)</f>
        <v>8</v>
      </c>
      <c r="BB2" s="130">
        <f t="shared" ref="BB2" si="6">WEEKNUM(BB3)</f>
        <v>8</v>
      </c>
      <c r="BC2" s="130">
        <f t="shared" ref="BC2" si="7">WEEKNUM(BC3)</f>
        <v>8</v>
      </c>
      <c r="BD2" s="130">
        <f t="shared" ref="BD2" si="8">WEEKNUM(BD3)</f>
        <v>8</v>
      </c>
      <c r="BE2" s="130">
        <f t="shared" ref="BE2" si="9">WEEKNUM(BE3)</f>
        <v>8</v>
      </c>
      <c r="BF2" s="130">
        <f t="shared" ref="BF2" si="10">WEEKNUM(BF3)</f>
        <v>9</v>
      </c>
      <c r="BG2" s="130">
        <f t="shared" ref="BG2" si="11">WEEKNUM(BG3)</f>
        <v>9</v>
      </c>
      <c r="BH2" s="130">
        <f t="shared" ref="BH2" si="12">WEEKNUM(BH3)</f>
        <v>9</v>
      </c>
      <c r="BI2" s="130">
        <f t="shared" ref="BI2" si="13">WEEKNUM(BI3)</f>
        <v>9</v>
      </c>
      <c r="BJ2" s="130">
        <f t="shared" ref="BJ2" si="14">WEEKNUM(BJ3)</f>
        <v>9</v>
      </c>
      <c r="BK2" s="130">
        <f t="shared" ref="BK2" si="15">WEEKNUM(BK3)</f>
        <v>9</v>
      </c>
      <c r="BL2" s="130">
        <f t="shared" ref="BL2" si="16">WEEKNUM(BL3)</f>
        <v>9</v>
      </c>
      <c r="BM2" s="130">
        <f t="shared" ref="BM2" si="17">WEEKNUM(BM3)</f>
        <v>10</v>
      </c>
      <c r="BN2" s="130">
        <f t="shared" ref="BN2" si="18">WEEKNUM(BN3)</f>
        <v>10</v>
      </c>
      <c r="BO2" s="130">
        <f t="shared" ref="BO2" si="19">WEEKNUM(BO3)</f>
        <v>10</v>
      </c>
      <c r="BP2" s="130">
        <f t="shared" ref="BP2" si="20">WEEKNUM(BP3)</f>
        <v>10</v>
      </c>
      <c r="BQ2" s="130">
        <f t="shared" ref="BQ2" si="21">WEEKNUM(BQ3)</f>
        <v>10</v>
      </c>
      <c r="BR2" s="130">
        <f t="shared" ref="BR2" si="22">WEEKNUM(BR3)</f>
        <v>10</v>
      </c>
      <c r="BS2" s="130">
        <f t="shared" ref="BS2" si="23">WEEKNUM(BS3)</f>
        <v>10</v>
      </c>
      <c r="BT2" s="130">
        <f t="shared" ref="BT2" si="24">WEEKNUM(BT3)</f>
        <v>11</v>
      </c>
      <c r="BU2" s="130">
        <f t="shared" ref="BU2" si="25">WEEKNUM(BU3)</f>
        <v>11</v>
      </c>
      <c r="BV2" s="130">
        <f t="shared" ref="BV2" si="26">WEEKNUM(BV3)</f>
        <v>11</v>
      </c>
      <c r="BW2" s="130">
        <f t="shared" ref="BW2" si="27">WEEKNUM(BW3)</f>
        <v>11</v>
      </c>
      <c r="BX2" s="130">
        <f t="shared" ref="BX2" si="28">WEEKNUM(BX3)</f>
        <v>11</v>
      </c>
      <c r="BY2" s="130">
        <f t="shared" ref="BY2" si="29">WEEKNUM(BY3)</f>
        <v>11</v>
      </c>
      <c r="BZ2" s="130">
        <f t="shared" ref="BZ2" si="30">WEEKNUM(BZ3)</f>
        <v>11</v>
      </c>
      <c r="CA2" s="130">
        <f t="shared" ref="CA2" si="31">WEEKNUM(CA3)</f>
        <v>12</v>
      </c>
      <c r="CB2" s="130">
        <f t="shared" ref="CB2" si="32">WEEKNUM(CB3)</f>
        <v>12</v>
      </c>
      <c r="CC2" s="130">
        <f t="shared" ref="CC2" si="33">WEEKNUM(CC3)</f>
        <v>12</v>
      </c>
      <c r="CD2" s="130">
        <f t="shared" ref="CD2" si="34">WEEKNUM(CD3)</f>
        <v>12</v>
      </c>
      <c r="CE2" s="130">
        <f t="shared" ref="CE2" si="35">WEEKNUM(CE3)</f>
        <v>12</v>
      </c>
      <c r="CF2" s="130">
        <f t="shared" ref="CF2" si="36">WEEKNUM(CF3)</f>
        <v>12</v>
      </c>
      <c r="CG2" s="130">
        <f t="shared" ref="CG2" si="37">WEEKNUM(CG3)</f>
        <v>12</v>
      </c>
      <c r="CH2" s="130">
        <f t="shared" ref="CH2" si="38">WEEKNUM(CH3)</f>
        <v>13</v>
      </c>
      <c r="CI2" s="130">
        <f t="shared" ref="CI2" si="39">WEEKNUM(CI3)</f>
        <v>13</v>
      </c>
      <c r="CJ2" s="130">
        <f t="shared" ref="CJ2" si="40">WEEKNUM(CJ3)</f>
        <v>13</v>
      </c>
      <c r="CK2" s="130">
        <f t="shared" ref="CK2" si="41">WEEKNUM(CK3)</f>
        <v>13</v>
      </c>
      <c r="CL2" s="130">
        <f t="shared" ref="CL2" si="42">WEEKNUM(CL3)</f>
        <v>13</v>
      </c>
      <c r="CM2" s="130">
        <f t="shared" ref="CM2" si="43">WEEKNUM(CM3)</f>
        <v>13</v>
      </c>
      <c r="CN2" s="130">
        <f t="shared" ref="CN2" si="44">WEEKNUM(CN3)</f>
        <v>13</v>
      </c>
      <c r="CO2" s="130">
        <f t="shared" ref="CO2" si="45">WEEKNUM(CO3)</f>
        <v>14</v>
      </c>
      <c r="CP2" s="130">
        <f t="shared" ref="CP2" si="46">WEEKNUM(CP3)</f>
        <v>14</v>
      </c>
      <c r="CQ2" s="130">
        <f t="shared" ref="CQ2" si="47">WEEKNUM(CQ3)</f>
        <v>14</v>
      </c>
      <c r="CR2" s="130">
        <f t="shared" ref="CR2" si="48">WEEKNUM(CR3)</f>
        <v>14</v>
      </c>
      <c r="CS2" s="130">
        <f t="shared" ref="CS2" si="49">WEEKNUM(CS3)</f>
        <v>14</v>
      </c>
      <c r="CT2" s="130">
        <f t="shared" ref="CT2" si="50">WEEKNUM(CT3)</f>
        <v>14</v>
      </c>
      <c r="CU2" s="130">
        <f t="shared" ref="CU2" si="51">WEEKNUM(CU3)</f>
        <v>14</v>
      </c>
      <c r="CV2" s="130">
        <f t="shared" ref="CV2" si="52">WEEKNUM(CV3)</f>
        <v>15</v>
      </c>
      <c r="CW2" s="130">
        <f t="shared" ref="CW2" si="53">WEEKNUM(CW3)</f>
        <v>15</v>
      </c>
      <c r="CX2" s="130">
        <f t="shared" ref="CX2" si="54">WEEKNUM(CX3)</f>
        <v>15</v>
      </c>
      <c r="CY2" s="130">
        <f t="shared" ref="CY2" si="55">WEEKNUM(CY3)</f>
        <v>15</v>
      </c>
      <c r="CZ2" s="130">
        <f t="shared" ref="CZ2" si="56">WEEKNUM(CZ3)</f>
        <v>15</v>
      </c>
      <c r="DA2" s="130">
        <f t="shared" ref="DA2" si="57">WEEKNUM(DA3)</f>
        <v>15</v>
      </c>
      <c r="DB2" s="130">
        <f t="shared" ref="DB2" si="58">WEEKNUM(DB3)</f>
        <v>15</v>
      </c>
      <c r="DC2" s="130">
        <f t="shared" ref="DC2" si="59">WEEKNUM(DC3)</f>
        <v>16</v>
      </c>
      <c r="DD2" s="130">
        <f t="shared" ref="DD2" si="60">WEEKNUM(DD3)</f>
        <v>16</v>
      </c>
      <c r="DE2" s="130">
        <f t="shared" ref="DE2" si="61">WEEKNUM(DE3)</f>
        <v>16</v>
      </c>
      <c r="DF2" s="130">
        <f t="shared" ref="DF2" si="62">WEEKNUM(DF3)</f>
        <v>16</v>
      </c>
      <c r="DG2" s="130">
        <f t="shared" ref="DG2" si="63">WEEKNUM(DG3)</f>
        <v>16</v>
      </c>
      <c r="DH2" s="130">
        <f t="shared" ref="DH2" si="64">WEEKNUM(DH3)</f>
        <v>16</v>
      </c>
      <c r="DI2" s="130">
        <f t="shared" ref="DI2" si="65">WEEKNUM(DI3)</f>
        <v>16</v>
      </c>
      <c r="DJ2" s="130">
        <f t="shared" ref="DJ2" si="66">WEEKNUM(DJ3)</f>
        <v>17</v>
      </c>
      <c r="DK2" s="130">
        <f t="shared" ref="DK2" si="67">WEEKNUM(DK3)</f>
        <v>17</v>
      </c>
      <c r="DL2" s="130">
        <f t="shared" ref="DL2" si="68">WEEKNUM(DL3)</f>
        <v>17</v>
      </c>
      <c r="DM2" s="130">
        <f t="shared" ref="DM2" si="69">WEEKNUM(DM3)</f>
        <v>17</v>
      </c>
      <c r="DN2" s="130">
        <f t="shared" ref="DN2" si="70">WEEKNUM(DN3)</f>
        <v>17</v>
      </c>
      <c r="DO2" s="130">
        <f t="shared" ref="DO2" si="71">WEEKNUM(DO3)</f>
        <v>17</v>
      </c>
      <c r="DP2" s="130">
        <f t="shared" ref="DP2" si="72">WEEKNUM(DP3)</f>
        <v>17</v>
      </c>
      <c r="DQ2" s="130">
        <f t="shared" ref="DQ2" si="73">WEEKNUM(DQ3)</f>
        <v>18</v>
      </c>
      <c r="DR2" s="130">
        <f t="shared" ref="DR2" si="74">WEEKNUM(DR3)</f>
        <v>18</v>
      </c>
      <c r="DS2" s="130">
        <f t="shared" ref="DS2" si="75">WEEKNUM(DS3)</f>
        <v>18</v>
      </c>
      <c r="DT2" s="130">
        <f t="shared" ref="DT2" si="76">WEEKNUM(DT3)</f>
        <v>18</v>
      </c>
      <c r="DU2" s="130">
        <f t="shared" ref="DU2" si="77">WEEKNUM(DU3)</f>
        <v>18</v>
      </c>
      <c r="DV2" s="130">
        <f t="shared" ref="DV2" si="78">WEEKNUM(DV3)</f>
        <v>18</v>
      </c>
      <c r="DW2" s="130">
        <f t="shared" ref="DW2" si="79">WEEKNUM(DW3)</f>
        <v>18</v>
      </c>
      <c r="DX2" s="130">
        <f t="shared" ref="DX2" si="80">WEEKNUM(DX3)</f>
        <v>19</v>
      </c>
      <c r="DY2" s="130">
        <f t="shared" ref="DY2" si="81">WEEKNUM(DY3)</f>
        <v>19</v>
      </c>
      <c r="DZ2" s="130">
        <f t="shared" ref="DZ2" si="82">WEEKNUM(DZ3)</f>
        <v>19</v>
      </c>
      <c r="EA2" s="130">
        <f t="shared" ref="EA2" si="83">WEEKNUM(EA3)</f>
        <v>19</v>
      </c>
      <c r="EB2" s="130">
        <f t="shared" ref="EB2" si="84">WEEKNUM(EB3)</f>
        <v>19</v>
      </c>
      <c r="EC2" s="130">
        <f t="shared" ref="EC2" si="85">WEEKNUM(EC3)</f>
        <v>19</v>
      </c>
      <c r="ED2" s="130">
        <f t="shared" ref="ED2" si="86">WEEKNUM(ED3)</f>
        <v>19</v>
      </c>
      <c r="EE2" s="130">
        <f t="shared" ref="EE2" si="87">WEEKNUM(EE3)</f>
        <v>20</v>
      </c>
      <c r="EF2" s="130">
        <f t="shared" ref="EF2" si="88">WEEKNUM(EF3)</f>
        <v>20</v>
      </c>
      <c r="EG2" s="130">
        <f t="shared" ref="EG2" si="89">WEEKNUM(EG3)</f>
        <v>20</v>
      </c>
      <c r="EH2" s="130">
        <f t="shared" ref="EH2" si="90">WEEKNUM(EH3)</f>
        <v>20</v>
      </c>
      <c r="EI2" s="130">
        <f t="shared" ref="EI2" si="91">WEEKNUM(EI3)</f>
        <v>20</v>
      </c>
      <c r="EJ2" s="130">
        <f t="shared" ref="EJ2" si="92">WEEKNUM(EJ3)</f>
        <v>20</v>
      </c>
      <c r="EK2" s="130">
        <f t="shared" ref="EK2" si="93">WEEKNUM(EK3)</f>
        <v>20</v>
      </c>
      <c r="EL2" s="130">
        <f t="shared" ref="EL2" si="94">WEEKNUM(EL3)</f>
        <v>21</v>
      </c>
      <c r="EM2" s="130">
        <f t="shared" ref="EM2" si="95">WEEKNUM(EM3)</f>
        <v>21</v>
      </c>
      <c r="EN2" s="130">
        <f t="shared" ref="EN2" si="96">WEEKNUM(EN3)</f>
        <v>21</v>
      </c>
      <c r="EO2" s="130">
        <f t="shared" ref="EO2" si="97">WEEKNUM(EO3)</f>
        <v>21</v>
      </c>
      <c r="EP2" s="130">
        <f t="shared" ref="EP2" si="98">WEEKNUM(EP3)</f>
        <v>21</v>
      </c>
      <c r="EQ2" s="130">
        <f t="shared" ref="EQ2" si="99">WEEKNUM(EQ3)</f>
        <v>21</v>
      </c>
      <c r="ER2" s="130">
        <f t="shared" ref="ER2" si="100">WEEKNUM(ER3)</f>
        <v>21</v>
      </c>
      <c r="ES2" s="130">
        <f t="shared" ref="ES2" si="101">WEEKNUM(ES3)</f>
        <v>22</v>
      </c>
      <c r="ET2" s="130">
        <f t="shared" ref="ET2" si="102">WEEKNUM(ET3)</f>
        <v>22</v>
      </c>
      <c r="EU2" s="130">
        <f t="shared" ref="EU2" si="103">WEEKNUM(EU3)</f>
        <v>22</v>
      </c>
      <c r="EV2" s="130">
        <f t="shared" ref="EV2" si="104">WEEKNUM(EV3)</f>
        <v>22</v>
      </c>
      <c r="EW2" s="130">
        <f t="shared" ref="EW2" si="105">WEEKNUM(EW3)</f>
        <v>22</v>
      </c>
      <c r="EX2" s="130">
        <f t="shared" ref="EX2" si="106">WEEKNUM(EX3)</f>
        <v>22</v>
      </c>
      <c r="EY2" s="130">
        <f t="shared" ref="EY2" si="107">WEEKNUM(EY3)</f>
        <v>22</v>
      </c>
      <c r="EZ2" s="130">
        <f t="shared" ref="EZ2" si="108">WEEKNUM(EZ3)</f>
        <v>23</v>
      </c>
      <c r="FA2" s="130">
        <f t="shared" ref="FA2" si="109">WEEKNUM(FA3)</f>
        <v>23</v>
      </c>
      <c r="FB2" s="130">
        <f t="shared" ref="FB2" si="110">WEEKNUM(FB3)</f>
        <v>23</v>
      </c>
      <c r="FC2" s="130">
        <f t="shared" ref="FC2" si="111">WEEKNUM(FC3)</f>
        <v>23</v>
      </c>
      <c r="FD2" s="130">
        <f t="shared" ref="FD2" si="112">WEEKNUM(FD3)</f>
        <v>23</v>
      </c>
      <c r="FE2" s="130">
        <f t="shared" ref="FE2" si="113">WEEKNUM(FE3)</f>
        <v>23</v>
      </c>
      <c r="FF2" s="130">
        <f t="shared" ref="FF2" si="114">WEEKNUM(FF3)</f>
        <v>23</v>
      </c>
      <c r="FG2" s="130">
        <f t="shared" ref="FG2" si="115">WEEKNUM(FG3)</f>
        <v>24</v>
      </c>
      <c r="FH2" s="130">
        <f t="shared" ref="FH2" si="116">WEEKNUM(FH3)</f>
        <v>24</v>
      </c>
      <c r="FI2" s="130">
        <f t="shared" ref="FI2" si="117">WEEKNUM(FI3)</f>
        <v>24</v>
      </c>
      <c r="FJ2" s="130">
        <f t="shared" ref="FJ2" si="118">WEEKNUM(FJ3)</f>
        <v>24</v>
      </c>
      <c r="FK2" s="130">
        <f t="shared" ref="FK2" si="119">WEEKNUM(FK3)</f>
        <v>24</v>
      </c>
      <c r="FL2" s="130">
        <f t="shared" ref="FL2" si="120">WEEKNUM(FL3)</f>
        <v>24</v>
      </c>
      <c r="FM2" s="130">
        <f t="shared" ref="FM2" si="121">WEEKNUM(FM3)</f>
        <v>24</v>
      </c>
      <c r="FN2" s="130">
        <f t="shared" ref="FN2" si="122">WEEKNUM(FN3)</f>
        <v>25</v>
      </c>
      <c r="FO2" s="130">
        <f t="shared" ref="FO2" si="123">WEEKNUM(FO3)</f>
        <v>25</v>
      </c>
      <c r="FP2" s="130">
        <f t="shared" ref="FP2" si="124">WEEKNUM(FP3)</f>
        <v>25</v>
      </c>
      <c r="FQ2" s="130">
        <f t="shared" ref="FQ2" si="125">WEEKNUM(FQ3)</f>
        <v>25</v>
      </c>
      <c r="FR2" s="130">
        <f t="shared" ref="FR2" si="126">WEEKNUM(FR3)</f>
        <v>25</v>
      </c>
      <c r="FS2" s="130">
        <f t="shared" ref="FS2" si="127">WEEKNUM(FS3)</f>
        <v>25</v>
      </c>
      <c r="FT2" s="130">
        <f t="shared" ref="FT2" si="128">WEEKNUM(FT3)</f>
        <v>25</v>
      </c>
      <c r="FU2" s="130">
        <f t="shared" ref="FU2" si="129">WEEKNUM(FU3)</f>
        <v>26</v>
      </c>
      <c r="FV2" s="130">
        <f t="shared" ref="FV2" si="130">WEEKNUM(FV3)</f>
        <v>26</v>
      </c>
      <c r="FW2" s="130">
        <f t="shared" ref="FW2" si="131">WEEKNUM(FW3)</f>
        <v>26</v>
      </c>
      <c r="FX2" s="130">
        <f t="shared" ref="FX2" si="132">WEEKNUM(FX3)</f>
        <v>26</v>
      </c>
      <c r="FY2" s="130">
        <f t="shared" ref="FY2" si="133">WEEKNUM(FY3)</f>
        <v>26</v>
      </c>
      <c r="FZ2" s="130">
        <f t="shared" ref="FZ2" si="134">WEEKNUM(FZ3)</f>
        <v>26</v>
      </c>
      <c r="GA2" s="130">
        <f t="shared" ref="GA2" si="135">WEEKNUM(GA3)</f>
        <v>26</v>
      </c>
      <c r="GB2" s="130">
        <f t="shared" ref="GB2" si="136">WEEKNUM(GB3)</f>
        <v>27</v>
      </c>
      <c r="GC2" s="130">
        <f t="shared" ref="GC2" si="137">WEEKNUM(GC3)</f>
        <v>27</v>
      </c>
      <c r="GD2" s="130">
        <f t="shared" ref="GD2" si="138">WEEKNUM(GD3)</f>
        <v>27</v>
      </c>
      <c r="GE2" s="130">
        <f t="shared" ref="GE2" si="139">WEEKNUM(GE3)</f>
        <v>27</v>
      </c>
      <c r="GF2" s="130">
        <f t="shared" ref="GF2" si="140">WEEKNUM(GF3)</f>
        <v>27</v>
      </c>
      <c r="GG2" s="130">
        <f t="shared" ref="GG2" si="141">WEEKNUM(GG3)</f>
        <v>27</v>
      </c>
      <c r="GH2" s="130">
        <f t="shared" ref="GH2" si="142">WEEKNUM(GH3)</f>
        <v>27</v>
      </c>
      <c r="GI2" s="130">
        <f t="shared" ref="GI2" si="143">WEEKNUM(GI3)</f>
        <v>28</v>
      </c>
      <c r="GJ2" s="130">
        <f t="shared" ref="GJ2" si="144">WEEKNUM(GJ3)</f>
        <v>28</v>
      </c>
      <c r="GK2" s="130">
        <f t="shared" ref="GK2" si="145">WEEKNUM(GK3)</f>
        <v>28</v>
      </c>
      <c r="GL2" s="130">
        <f t="shared" ref="GL2" si="146">WEEKNUM(GL3)</f>
        <v>28</v>
      </c>
      <c r="GM2" s="130">
        <f t="shared" ref="GM2" si="147">WEEKNUM(GM3)</f>
        <v>28</v>
      </c>
      <c r="GN2" s="130">
        <f t="shared" ref="GN2" si="148">WEEKNUM(GN3)</f>
        <v>28</v>
      </c>
      <c r="GO2" s="130">
        <f t="shared" ref="GO2" si="149">WEEKNUM(GO3)</f>
        <v>28</v>
      </c>
      <c r="GP2" s="130">
        <f t="shared" ref="GP2" si="150">WEEKNUM(GP3)</f>
        <v>29</v>
      </c>
      <c r="GQ2" s="130">
        <f t="shared" ref="GQ2" si="151">WEEKNUM(GQ3)</f>
        <v>29</v>
      </c>
      <c r="GR2" s="130">
        <f t="shared" ref="GR2" si="152">WEEKNUM(GR3)</f>
        <v>29</v>
      </c>
      <c r="GS2" s="130">
        <f t="shared" ref="GS2" si="153">WEEKNUM(GS3)</f>
        <v>29</v>
      </c>
      <c r="GT2" s="130">
        <f t="shared" ref="GT2" si="154">WEEKNUM(GT3)</f>
        <v>29</v>
      </c>
      <c r="GU2" s="130">
        <f t="shared" ref="GU2" si="155">WEEKNUM(GU3)</f>
        <v>29</v>
      </c>
      <c r="GV2" s="130">
        <f t="shared" ref="GV2" si="156">WEEKNUM(GV3)</f>
        <v>29</v>
      </c>
      <c r="GW2" s="130">
        <f t="shared" ref="GW2" si="157">WEEKNUM(GW3)</f>
        <v>30</v>
      </c>
      <c r="GX2" s="130">
        <f t="shared" ref="GX2" si="158">WEEKNUM(GX3)</f>
        <v>30</v>
      </c>
      <c r="GY2" s="130">
        <f t="shared" ref="GY2" si="159">WEEKNUM(GY3)</f>
        <v>30</v>
      </c>
      <c r="GZ2" s="130">
        <f t="shared" ref="GZ2" si="160">WEEKNUM(GZ3)</f>
        <v>30</v>
      </c>
      <c r="HA2" s="130">
        <f t="shared" ref="HA2" si="161">WEEKNUM(HA3)</f>
        <v>30</v>
      </c>
      <c r="HB2" s="130">
        <f t="shared" ref="HB2" si="162">WEEKNUM(HB3)</f>
        <v>30</v>
      </c>
      <c r="HC2" s="130">
        <f t="shared" ref="HC2" si="163">WEEKNUM(HC3)</f>
        <v>30</v>
      </c>
      <c r="HD2" s="130">
        <f t="shared" ref="HD2" si="164">WEEKNUM(HD3)</f>
        <v>31</v>
      </c>
      <c r="HE2" s="130">
        <f t="shared" ref="HE2" si="165">WEEKNUM(HE3)</f>
        <v>31</v>
      </c>
      <c r="HF2" s="130">
        <f t="shared" ref="HF2" si="166">WEEKNUM(HF3)</f>
        <v>31</v>
      </c>
      <c r="HG2" s="130">
        <f t="shared" ref="HG2" si="167">WEEKNUM(HG3)</f>
        <v>31</v>
      </c>
      <c r="HH2" s="130">
        <f t="shared" ref="HH2" si="168">WEEKNUM(HH3)</f>
        <v>31</v>
      </c>
      <c r="HI2" s="130">
        <f t="shared" ref="HI2" si="169">WEEKNUM(HI3)</f>
        <v>31</v>
      </c>
      <c r="HJ2" s="130">
        <f t="shared" ref="HJ2" si="170">WEEKNUM(HJ3)</f>
        <v>31</v>
      </c>
      <c r="HK2" s="130">
        <f t="shared" ref="HK2" si="171">WEEKNUM(HK3)</f>
        <v>32</v>
      </c>
      <c r="HL2" s="130">
        <f t="shared" ref="HL2" si="172">WEEKNUM(HL3)</f>
        <v>32</v>
      </c>
      <c r="HM2" s="130">
        <f t="shared" ref="HM2" si="173">WEEKNUM(HM3)</f>
        <v>32</v>
      </c>
      <c r="HN2" s="130">
        <f t="shared" ref="HN2" si="174">WEEKNUM(HN3)</f>
        <v>32</v>
      </c>
      <c r="HO2" s="130">
        <f t="shared" ref="HO2" si="175">WEEKNUM(HO3)</f>
        <v>32</v>
      </c>
      <c r="HP2" s="130">
        <f t="shared" ref="HP2" si="176">WEEKNUM(HP3)</f>
        <v>32</v>
      </c>
      <c r="HQ2" s="130">
        <f t="shared" ref="HQ2" si="177">WEEKNUM(HQ3)</f>
        <v>32</v>
      </c>
      <c r="HR2" s="130">
        <f t="shared" ref="HR2" si="178">WEEKNUM(HR3)</f>
        <v>33</v>
      </c>
      <c r="HS2" s="130">
        <f t="shared" ref="HS2" si="179">WEEKNUM(HS3)</f>
        <v>33</v>
      </c>
      <c r="HT2" s="130">
        <f t="shared" ref="HT2" si="180">WEEKNUM(HT3)</f>
        <v>33</v>
      </c>
      <c r="HU2" s="130">
        <f t="shared" ref="HU2" si="181">WEEKNUM(HU3)</f>
        <v>33</v>
      </c>
      <c r="HV2" s="130">
        <f t="shared" ref="HV2" si="182">WEEKNUM(HV3)</f>
        <v>33</v>
      </c>
      <c r="HW2" s="130">
        <f t="shared" ref="HW2" si="183">WEEKNUM(HW3)</f>
        <v>33</v>
      </c>
      <c r="HX2" s="130">
        <f t="shared" ref="HX2" si="184">WEEKNUM(HX3)</f>
        <v>33</v>
      </c>
      <c r="HY2" s="130">
        <f t="shared" ref="HY2" si="185">WEEKNUM(HY3)</f>
        <v>34</v>
      </c>
      <c r="HZ2" s="130">
        <f t="shared" ref="HZ2" si="186">WEEKNUM(HZ3)</f>
        <v>34</v>
      </c>
      <c r="IA2" s="130">
        <f t="shared" ref="IA2" si="187">WEEKNUM(IA3)</f>
        <v>34</v>
      </c>
      <c r="IB2" s="130">
        <f t="shared" ref="IB2" si="188">WEEKNUM(IB3)</f>
        <v>34</v>
      </c>
      <c r="IC2" s="130">
        <f t="shared" ref="IC2" si="189">WEEKNUM(IC3)</f>
        <v>34</v>
      </c>
      <c r="ID2" s="130">
        <f t="shared" ref="ID2" si="190">WEEKNUM(ID3)</f>
        <v>34</v>
      </c>
      <c r="IE2" s="130">
        <f t="shared" ref="IE2" si="191">WEEKNUM(IE3)</f>
        <v>34</v>
      </c>
      <c r="IF2" s="130">
        <f t="shared" ref="IF2" si="192">WEEKNUM(IF3)</f>
        <v>35</v>
      </c>
      <c r="IG2" s="130">
        <f t="shared" ref="IG2" si="193">WEEKNUM(IG3)</f>
        <v>35</v>
      </c>
      <c r="IH2" s="130">
        <f t="shared" ref="IH2" si="194">WEEKNUM(IH3)</f>
        <v>35</v>
      </c>
      <c r="II2" s="130">
        <f t="shared" ref="II2" si="195">WEEKNUM(II3)</f>
        <v>35</v>
      </c>
      <c r="IJ2" s="130">
        <f t="shared" ref="IJ2" si="196">WEEKNUM(IJ3)</f>
        <v>35</v>
      </c>
      <c r="IK2" s="130">
        <f t="shared" ref="IK2" si="197">WEEKNUM(IK3)</f>
        <v>35</v>
      </c>
      <c r="IL2" s="130">
        <f t="shared" ref="IL2" si="198">WEEKNUM(IL3)</f>
        <v>35</v>
      </c>
      <c r="IM2" s="130">
        <f t="shared" ref="IM2" si="199">WEEKNUM(IM3)</f>
        <v>36</v>
      </c>
      <c r="IN2" s="130">
        <f t="shared" ref="IN2" si="200">WEEKNUM(IN3)</f>
        <v>36</v>
      </c>
      <c r="IO2" s="130">
        <f t="shared" ref="IO2" si="201">WEEKNUM(IO3)</f>
        <v>36</v>
      </c>
      <c r="IP2" s="130">
        <f t="shared" ref="IP2" si="202">WEEKNUM(IP3)</f>
        <v>36</v>
      </c>
      <c r="IQ2" s="130">
        <f t="shared" ref="IQ2" si="203">WEEKNUM(IQ3)</f>
        <v>36</v>
      </c>
      <c r="IR2" s="130">
        <f t="shared" ref="IR2" si="204">WEEKNUM(IR3)</f>
        <v>36</v>
      </c>
      <c r="IS2" s="130">
        <f t="shared" ref="IS2" si="205">WEEKNUM(IS3)</f>
        <v>36</v>
      </c>
      <c r="IT2" s="130">
        <f t="shared" ref="IT2" si="206">WEEKNUM(IT3)</f>
        <v>37</v>
      </c>
      <c r="IU2" s="130">
        <f t="shared" ref="IU2" si="207">WEEKNUM(IU3)</f>
        <v>37</v>
      </c>
      <c r="IV2" s="130">
        <f t="shared" ref="IV2" si="208">WEEKNUM(IV3)</f>
        <v>37</v>
      </c>
      <c r="IW2" s="130">
        <f t="shared" ref="IW2" si="209">WEEKNUM(IW3)</f>
        <v>37</v>
      </c>
      <c r="IX2" s="130">
        <f t="shared" ref="IX2" si="210">WEEKNUM(IX3)</f>
        <v>37</v>
      </c>
      <c r="IY2" s="130">
        <f t="shared" ref="IY2" si="211">WEEKNUM(IY3)</f>
        <v>37</v>
      </c>
      <c r="IZ2" s="130">
        <f t="shared" ref="IZ2" si="212">WEEKNUM(IZ3)</f>
        <v>37</v>
      </c>
      <c r="JA2" s="130">
        <f t="shared" ref="JA2" si="213">WEEKNUM(JA3)</f>
        <v>38</v>
      </c>
      <c r="JB2" s="130">
        <f t="shared" ref="JB2" si="214">WEEKNUM(JB3)</f>
        <v>38</v>
      </c>
      <c r="JC2" s="130">
        <f t="shared" ref="JC2" si="215">WEEKNUM(JC3)</f>
        <v>38</v>
      </c>
      <c r="JD2" s="130">
        <f t="shared" ref="JD2" si="216">WEEKNUM(JD3)</f>
        <v>38</v>
      </c>
      <c r="JE2" s="130">
        <f t="shared" ref="JE2" si="217">WEEKNUM(JE3)</f>
        <v>38</v>
      </c>
      <c r="JF2" s="130">
        <f t="shared" ref="JF2" si="218">WEEKNUM(JF3)</f>
        <v>38</v>
      </c>
      <c r="JG2" s="130">
        <f t="shared" ref="JG2" si="219">WEEKNUM(JG3)</f>
        <v>38</v>
      </c>
      <c r="JH2" s="130">
        <f t="shared" ref="JH2" si="220">WEEKNUM(JH3)</f>
        <v>39</v>
      </c>
      <c r="JI2" s="130">
        <f t="shared" ref="JI2" si="221">WEEKNUM(JI3)</f>
        <v>39</v>
      </c>
      <c r="JJ2" s="130">
        <f t="shared" ref="JJ2" si="222">WEEKNUM(JJ3)</f>
        <v>39</v>
      </c>
      <c r="JK2" s="130">
        <f t="shared" ref="JK2" si="223">WEEKNUM(JK3)</f>
        <v>39</v>
      </c>
      <c r="JL2" s="130">
        <f t="shared" ref="JL2" si="224">WEEKNUM(JL3)</f>
        <v>39</v>
      </c>
      <c r="JM2" s="130">
        <f t="shared" ref="JM2" si="225">WEEKNUM(JM3)</f>
        <v>39</v>
      </c>
      <c r="JN2" s="130">
        <f t="shared" ref="JN2" si="226">WEEKNUM(JN3)</f>
        <v>39</v>
      </c>
      <c r="JO2" s="130">
        <f t="shared" ref="JO2" si="227">WEEKNUM(JO3)</f>
        <v>40</v>
      </c>
      <c r="JP2" s="130">
        <f t="shared" ref="JP2" si="228">WEEKNUM(JP3)</f>
        <v>40</v>
      </c>
      <c r="JQ2" s="130">
        <f t="shared" ref="JQ2" si="229">WEEKNUM(JQ3)</f>
        <v>40</v>
      </c>
      <c r="JR2" s="130">
        <f t="shared" ref="JR2" si="230">WEEKNUM(JR3)</f>
        <v>40</v>
      </c>
      <c r="JS2" s="130">
        <f t="shared" ref="JS2" si="231">WEEKNUM(JS3)</f>
        <v>40</v>
      </c>
      <c r="JT2" s="130">
        <f t="shared" ref="JT2" si="232">WEEKNUM(JT3)</f>
        <v>40</v>
      </c>
      <c r="JU2" s="130">
        <f t="shared" ref="JU2" si="233">WEEKNUM(JU3)</f>
        <v>40</v>
      </c>
      <c r="JV2" s="130">
        <f t="shared" ref="JV2" si="234">WEEKNUM(JV3)</f>
        <v>41</v>
      </c>
      <c r="JW2" s="130">
        <f t="shared" ref="JW2" si="235">WEEKNUM(JW3)</f>
        <v>41</v>
      </c>
      <c r="JX2" s="130">
        <f t="shared" ref="JX2" si="236">WEEKNUM(JX3)</f>
        <v>41</v>
      </c>
      <c r="JY2" s="130">
        <f t="shared" ref="JY2" si="237">WEEKNUM(JY3)</f>
        <v>41</v>
      </c>
      <c r="JZ2" s="130">
        <f t="shared" ref="JZ2" si="238">WEEKNUM(JZ3)</f>
        <v>41</v>
      </c>
      <c r="KA2" s="130">
        <f t="shared" ref="KA2" si="239">WEEKNUM(KA3)</f>
        <v>41</v>
      </c>
      <c r="KB2" s="130">
        <f t="shared" ref="KB2" si="240">WEEKNUM(KB3)</f>
        <v>41</v>
      </c>
      <c r="KC2" s="130">
        <f t="shared" ref="KC2" si="241">WEEKNUM(KC3)</f>
        <v>42</v>
      </c>
      <c r="KD2" s="130">
        <f t="shared" ref="KD2" si="242">WEEKNUM(KD3)</f>
        <v>42</v>
      </c>
      <c r="KE2" s="130">
        <f t="shared" ref="KE2" si="243">WEEKNUM(KE3)</f>
        <v>42</v>
      </c>
      <c r="KF2" s="130">
        <f t="shared" ref="KF2" si="244">WEEKNUM(KF3)</f>
        <v>42</v>
      </c>
      <c r="KG2" s="130">
        <f t="shared" ref="KG2" si="245">WEEKNUM(KG3)</f>
        <v>42</v>
      </c>
      <c r="KH2" s="130">
        <f t="shared" ref="KH2" si="246">WEEKNUM(KH3)</f>
        <v>42</v>
      </c>
      <c r="KI2" s="130">
        <f t="shared" ref="KI2" si="247">WEEKNUM(KI3)</f>
        <v>42</v>
      </c>
      <c r="KJ2" s="130">
        <f t="shared" ref="KJ2" si="248">WEEKNUM(KJ3)</f>
        <v>43</v>
      </c>
      <c r="KK2" s="130">
        <f t="shared" ref="KK2" si="249">WEEKNUM(KK3)</f>
        <v>43</v>
      </c>
      <c r="KL2" s="130">
        <f t="shared" ref="KL2" si="250">WEEKNUM(KL3)</f>
        <v>43</v>
      </c>
      <c r="KM2" s="130">
        <f t="shared" ref="KM2" si="251">WEEKNUM(KM3)</f>
        <v>43</v>
      </c>
      <c r="KN2" s="130">
        <f t="shared" ref="KN2" si="252">WEEKNUM(KN3)</f>
        <v>43</v>
      </c>
      <c r="KO2" s="130">
        <f t="shared" ref="KO2" si="253">WEEKNUM(KO3)</f>
        <v>43</v>
      </c>
      <c r="KP2" s="130">
        <f t="shared" ref="KP2" si="254">WEEKNUM(KP3)</f>
        <v>43</v>
      </c>
      <c r="KQ2" s="130">
        <f t="shared" ref="KQ2" si="255">WEEKNUM(KQ3)</f>
        <v>44</v>
      </c>
      <c r="KR2" s="130">
        <f t="shared" ref="KR2" si="256">WEEKNUM(KR3)</f>
        <v>44</v>
      </c>
      <c r="KS2" s="130">
        <f t="shared" ref="KS2" si="257">WEEKNUM(KS3)</f>
        <v>44</v>
      </c>
      <c r="KT2" s="130">
        <f t="shared" ref="KT2" si="258">WEEKNUM(KT3)</f>
        <v>44</v>
      </c>
      <c r="KU2" s="130">
        <f t="shared" ref="KU2" si="259">WEEKNUM(KU3)</f>
        <v>44</v>
      </c>
      <c r="KV2" s="130">
        <f t="shared" ref="KV2" si="260">WEEKNUM(KV3)</f>
        <v>44</v>
      </c>
      <c r="KW2" s="130">
        <f t="shared" ref="KW2" si="261">WEEKNUM(KW3)</f>
        <v>44</v>
      </c>
      <c r="KX2" s="130">
        <f t="shared" ref="KX2" si="262">WEEKNUM(KX3)</f>
        <v>45</v>
      </c>
      <c r="KY2" s="130">
        <f t="shared" ref="KY2" si="263">WEEKNUM(KY3)</f>
        <v>45</v>
      </c>
      <c r="KZ2" s="130">
        <f t="shared" ref="KZ2" si="264">WEEKNUM(KZ3)</f>
        <v>45</v>
      </c>
      <c r="LA2" s="130">
        <f t="shared" ref="LA2" si="265">WEEKNUM(LA3)</f>
        <v>45</v>
      </c>
      <c r="LB2" s="130">
        <f t="shared" ref="LB2" si="266">WEEKNUM(LB3)</f>
        <v>45</v>
      </c>
      <c r="LC2" s="130">
        <f t="shared" ref="LC2" si="267">WEEKNUM(LC3)</f>
        <v>45</v>
      </c>
      <c r="LD2" s="130">
        <f t="shared" ref="LD2" si="268">WEEKNUM(LD3)</f>
        <v>45</v>
      </c>
      <c r="LE2" s="130">
        <f t="shared" ref="LE2" si="269">WEEKNUM(LE3)</f>
        <v>46</v>
      </c>
      <c r="LF2" s="130">
        <f t="shared" ref="LF2" si="270">WEEKNUM(LF3)</f>
        <v>46</v>
      </c>
      <c r="LG2" s="130">
        <f t="shared" ref="LG2" si="271">WEEKNUM(LG3)</f>
        <v>46</v>
      </c>
      <c r="LH2" s="130">
        <f t="shared" ref="LH2" si="272">WEEKNUM(LH3)</f>
        <v>46</v>
      </c>
      <c r="LI2" s="130">
        <f t="shared" ref="LI2" si="273">WEEKNUM(LI3)</f>
        <v>46</v>
      </c>
      <c r="LJ2" s="130">
        <f t="shared" ref="LJ2" si="274">WEEKNUM(LJ3)</f>
        <v>46</v>
      </c>
      <c r="LK2" s="130">
        <f t="shared" ref="LK2" si="275">WEEKNUM(LK3)</f>
        <v>46</v>
      </c>
      <c r="LL2" s="130">
        <f t="shared" ref="LL2" si="276">WEEKNUM(LL3)</f>
        <v>47</v>
      </c>
      <c r="LM2" s="130">
        <f t="shared" ref="LM2" si="277">WEEKNUM(LM3)</f>
        <v>47</v>
      </c>
      <c r="LN2" s="130">
        <f t="shared" ref="LN2" si="278">WEEKNUM(LN3)</f>
        <v>47</v>
      </c>
      <c r="LO2" s="130">
        <f t="shared" ref="LO2" si="279">WEEKNUM(LO3)</f>
        <v>47</v>
      </c>
      <c r="LP2" s="130">
        <f t="shared" ref="LP2" si="280">WEEKNUM(LP3)</f>
        <v>47</v>
      </c>
      <c r="LQ2" s="130">
        <f t="shared" ref="LQ2" si="281">WEEKNUM(LQ3)</f>
        <v>47</v>
      </c>
      <c r="LR2" s="130">
        <f t="shared" ref="LR2" si="282">WEEKNUM(LR3)</f>
        <v>47</v>
      </c>
      <c r="LS2" s="130">
        <f t="shared" ref="LS2" si="283">WEEKNUM(LS3)</f>
        <v>48</v>
      </c>
      <c r="LT2" s="130">
        <f t="shared" ref="LT2" si="284">WEEKNUM(LT3)</f>
        <v>48</v>
      </c>
      <c r="LU2" s="130">
        <f t="shared" ref="LU2" si="285">WEEKNUM(LU3)</f>
        <v>48</v>
      </c>
      <c r="LV2" s="130">
        <f t="shared" ref="LV2" si="286">WEEKNUM(LV3)</f>
        <v>48</v>
      </c>
      <c r="LW2" s="130">
        <f t="shared" ref="LW2" si="287">WEEKNUM(LW3)</f>
        <v>48</v>
      </c>
      <c r="LX2" s="130">
        <f t="shared" ref="LX2" si="288">WEEKNUM(LX3)</f>
        <v>48</v>
      </c>
      <c r="LY2" s="130">
        <f t="shared" ref="LY2" si="289">WEEKNUM(LY3)</f>
        <v>48</v>
      </c>
      <c r="LZ2" s="130">
        <f t="shared" ref="LZ2" si="290">WEEKNUM(LZ3)</f>
        <v>49</v>
      </c>
      <c r="MA2" s="130">
        <f t="shared" ref="MA2" si="291">WEEKNUM(MA3)</f>
        <v>49</v>
      </c>
      <c r="MB2" s="130">
        <f t="shared" ref="MB2" si="292">WEEKNUM(MB3)</f>
        <v>49</v>
      </c>
      <c r="MC2" s="130">
        <f t="shared" ref="MC2" si="293">WEEKNUM(MC3)</f>
        <v>49</v>
      </c>
      <c r="MD2" s="130">
        <f t="shared" ref="MD2" si="294">WEEKNUM(MD3)</f>
        <v>49</v>
      </c>
      <c r="ME2" s="130">
        <f t="shared" ref="ME2" si="295">WEEKNUM(ME3)</f>
        <v>49</v>
      </c>
      <c r="MF2" s="130">
        <f t="shared" ref="MF2" si="296">WEEKNUM(MF3)</f>
        <v>49</v>
      </c>
      <c r="MG2" s="130">
        <f t="shared" ref="MG2" si="297">WEEKNUM(MG3)</f>
        <v>50</v>
      </c>
      <c r="MH2" s="130">
        <f t="shared" ref="MH2" si="298">WEEKNUM(MH3)</f>
        <v>50</v>
      </c>
      <c r="MI2" s="130">
        <f t="shared" ref="MI2" si="299">WEEKNUM(MI3)</f>
        <v>50</v>
      </c>
      <c r="MJ2" s="130">
        <f t="shared" ref="MJ2" si="300">WEEKNUM(MJ3)</f>
        <v>50</v>
      </c>
      <c r="MK2" s="130">
        <f t="shared" ref="MK2" si="301">WEEKNUM(MK3)</f>
        <v>50</v>
      </c>
      <c r="ML2" s="130">
        <f t="shared" ref="ML2" si="302">WEEKNUM(ML3)</f>
        <v>50</v>
      </c>
      <c r="MM2" s="130">
        <f t="shared" ref="MM2" si="303">WEEKNUM(MM3)</f>
        <v>50</v>
      </c>
      <c r="MN2" s="130">
        <f t="shared" ref="MN2" si="304">WEEKNUM(MN3)</f>
        <v>51</v>
      </c>
      <c r="MO2" s="130">
        <f t="shared" ref="MO2" si="305">WEEKNUM(MO3)</f>
        <v>51</v>
      </c>
      <c r="MP2" s="130">
        <f t="shared" ref="MP2" si="306">WEEKNUM(MP3)</f>
        <v>51</v>
      </c>
      <c r="MQ2" s="130">
        <f t="shared" ref="MQ2" si="307">WEEKNUM(MQ3)</f>
        <v>51</v>
      </c>
      <c r="MR2" s="130">
        <f t="shared" ref="MR2" si="308">WEEKNUM(MR3)</f>
        <v>51</v>
      </c>
      <c r="MS2" s="130">
        <f t="shared" ref="MS2" si="309">WEEKNUM(MS3)</f>
        <v>51</v>
      </c>
      <c r="MT2" s="130">
        <f t="shared" ref="MT2" si="310">WEEKNUM(MT3)</f>
        <v>51</v>
      </c>
      <c r="MU2" s="130">
        <f t="shared" ref="MU2" si="311">WEEKNUM(MU3)</f>
        <v>52</v>
      </c>
      <c r="MV2" s="130">
        <f t="shared" ref="MV2" si="312">WEEKNUM(MV3)</f>
        <v>52</v>
      </c>
      <c r="MW2" s="130">
        <f t="shared" ref="MW2" si="313">WEEKNUM(MW3)</f>
        <v>52</v>
      </c>
      <c r="MX2" s="130">
        <f t="shared" ref="MX2" si="314">WEEKNUM(MX3)</f>
        <v>52</v>
      </c>
      <c r="MY2" s="130">
        <f t="shared" ref="MY2" si="315">WEEKNUM(MY3)</f>
        <v>52</v>
      </c>
      <c r="MZ2" s="130">
        <f t="shared" ref="MZ2" si="316">WEEKNUM(MZ3)</f>
        <v>52</v>
      </c>
      <c r="NA2" s="130">
        <f t="shared" ref="NA2" si="317">WEEKNUM(NA3)</f>
        <v>52</v>
      </c>
      <c r="NB2" s="130">
        <f t="shared" ref="NB2" si="318">WEEKNUM(NB3)</f>
        <v>53</v>
      </c>
      <c r="NC2" s="130">
        <f t="shared" ref="NC2" si="319">WEEKNUM(NC3)</f>
        <v>53</v>
      </c>
      <c r="ND2" s="130">
        <f t="shared" ref="ND2" si="320">WEEKNUM(ND3)</f>
        <v>53</v>
      </c>
      <c r="NE2" s="130">
        <f t="shared" ref="NE2" si="321">WEEKNUM(NE3)</f>
        <v>53</v>
      </c>
      <c r="NF2" s="130">
        <f t="shared" ref="NF2" si="322">WEEKNUM(NF3)</f>
        <v>53</v>
      </c>
      <c r="NG2" s="130">
        <f t="shared" ref="NG2" si="323">WEEKNUM(NG3)</f>
        <v>1</v>
      </c>
      <c r="NH2" s="130">
        <f t="shared" ref="NH2" si="324">WEEKNUM(NH3)</f>
        <v>1</v>
      </c>
      <c r="NI2" s="130">
        <f t="shared" ref="NI2" si="325">WEEKNUM(NI3)</f>
        <v>2</v>
      </c>
      <c r="NJ2" s="130">
        <f t="shared" ref="NJ2" si="326">WEEKNUM(NJ3)</f>
        <v>2</v>
      </c>
      <c r="NK2" s="130">
        <f t="shared" ref="NK2" si="327">WEEKNUM(NK3)</f>
        <v>2</v>
      </c>
      <c r="NL2" s="130">
        <f t="shared" ref="NL2" si="328">WEEKNUM(NL3)</f>
        <v>2</v>
      </c>
      <c r="NM2" s="130">
        <f t="shared" ref="NM2" si="329">WEEKNUM(NM3)</f>
        <v>2</v>
      </c>
      <c r="NN2" s="130">
        <f t="shared" ref="NN2" si="330">WEEKNUM(NN3)</f>
        <v>2</v>
      </c>
      <c r="NO2" s="130">
        <f t="shared" ref="NO2" si="331">WEEKNUM(NO3)</f>
        <v>2</v>
      </c>
      <c r="NP2" s="130">
        <f t="shared" ref="NP2" si="332">WEEKNUM(NP3)</f>
        <v>3</v>
      </c>
      <c r="NQ2" s="130">
        <f t="shared" ref="NQ2" si="333">WEEKNUM(NQ3)</f>
        <v>3</v>
      </c>
      <c r="NR2" s="130">
        <f t="shared" ref="NR2" si="334">WEEKNUM(NR3)</f>
        <v>3</v>
      </c>
      <c r="NS2" s="130">
        <f t="shared" ref="NS2" si="335">WEEKNUM(NS3)</f>
        <v>3</v>
      </c>
      <c r="NT2" s="130">
        <f t="shared" ref="NT2" si="336">WEEKNUM(NT3)</f>
        <v>3</v>
      </c>
      <c r="NU2" s="130">
        <f t="shared" ref="NU2" si="337">WEEKNUM(NU3)</f>
        <v>3</v>
      </c>
      <c r="NV2" s="130">
        <f t="shared" ref="NV2" si="338">WEEKNUM(NV3)</f>
        <v>3</v>
      </c>
      <c r="NW2" s="130">
        <f t="shared" ref="NW2" si="339">WEEKNUM(NW3)</f>
        <v>4</v>
      </c>
      <c r="NX2" s="130">
        <f t="shared" ref="NX2" si="340">WEEKNUM(NX3)</f>
        <v>4</v>
      </c>
      <c r="NY2" s="130">
        <f t="shared" ref="NY2" si="341">WEEKNUM(NY3)</f>
        <v>4</v>
      </c>
      <c r="NZ2" s="130">
        <f t="shared" ref="NZ2" si="342">WEEKNUM(NZ3)</f>
        <v>4</v>
      </c>
      <c r="OA2" s="130">
        <f t="shared" ref="OA2" si="343">WEEKNUM(OA3)</f>
        <v>4</v>
      </c>
      <c r="OB2" s="130">
        <f t="shared" ref="OB2" si="344">WEEKNUM(OB3)</f>
        <v>4</v>
      </c>
      <c r="OC2" s="130">
        <f t="shared" ref="OC2" si="345">WEEKNUM(OC3)</f>
        <v>4</v>
      </c>
      <c r="OD2" s="130">
        <f t="shared" ref="OD2" si="346">WEEKNUM(OD3)</f>
        <v>5</v>
      </c>
      <c r="OE2" s="130">
        <f t="shared" ref="OE2" si="347">WEEKNUM(OE3)</f>
        <v>5</v>
      </c>
      <c r="OF2" s="130">
        <f t="shared" ref="OF2" si="348">WEEKNUM(OF3)</f>
        <v>5</v>
      </c>
      <c r="OG2" s="130">
        <f t="shared" ref="OG2" si="349">WEEKNUM(OG3)</f>
        <v>5</v>
      </c>
      <c r="OH2" s="130">
        <f t="shared" ref="OH2" si="350">WEEKNUM(OH3)</f>
        <v>5</v>
      </c>
      <c r="OI2" s="130">
        <f t="shared" ref="OI2" si="351">WEEKNUM(OI3)</f>
        <v>5</v>
      </c>
      <c r="OJ2" s="130">
        <f t="shared" ref="OJ2" si="352">WEEKNUM(OJ3)</f>
        <v>5</v>
      </c>
      <c r="OK2" s="130">
        <f t="shared" ref="OK2" si="353">WEEKNUM(OK3)</f>
        <v>6</v>
      </c>
      <c r="OL2" s="130">
        <f t="shared" ref="OL2" si="354">WEEKNUM(OL3)</f>
        <v>6</v>
      </c>
      <c r="OM2" s="130">
        <f t="shared" ref="OM2" si="355">WEEKNUM(OM3)</f>
        <v>6</v>
      </c>
      <c r="ON2" s="130">
        <f t="shared" ref="ON2" si="356">WEEKNUM(ON3)</f>
        <v>6</v>
      </c>
      <c r="OO2" s="130">
        <f t="shared" ref="OO2" si="357">WEEKNUM(OO3)</f>
        <v>6</v>
      </c>
      <c r="OP2" s="130">
        <f t="shared" ref="OP2" si="358">WEEKNUM(OP3)</f>
        <v>6</v>
      </c>
      <c r="OQ2" s="130">
        <f t="shared" ref="OQ2" si="359">WEEKNUM(OQ3)</f>
        <v>6</v>
      </c>
      <c r="OR2" s="130">
        <f t="shared" ref="OR2" si="360">WEEKNUM(OR3)</f>
        <v>7</v>
      </c>
      <c r="OS2" s="130">
        <f t="shared" ref="OS2" si="361">WEEKNUM(OS3)</f>
        <v>7</v>
      </c>
      <c r="OT2" s="130">
        <f t="shared" ref="OT2" si="362">WEEKNUM(OT3)</f>
        <v>7</v>
      </c>
      <c r="OU2" s="130">
        <f t="shared" ref="OU2" si="363">WEEKNUM(OU3)</f>
        <v>7</v>
      </c>
      <c r="OV2" s="130">
        <f t="shared" ref="OV2" si="364">WEEKNUM(OV3)</f>
        <v>7</v>
      </c>
      <c r="OW2" s="130">
        <f t="shared" ref="OW2" si="365">WEEKNUM(OW3)</f>
        <v>7</v>
      </c>
      <c r="OX2" s="130">
        <f t="shared" ref="OX2" si="366">WEEKNUM(OX3)</f>
        <v>7</v>
      </c>
      <c r="OY2" s="130">
        <f t="shared" ref="OY2" si="367">WEEKNUM(OY3)</f>
        <v>8</v>
      </c>
      <c r="OZ2" s="130">
        <f t="shared" ref="OZ2" si="368">WEEKNUM(OZ3)</f>
        <v>8</v>
      </c>
    </row>
    <row r="3" spans="1:416" s="137" customFormat="1" x14ac:dyDescent="0.2">
      <c r="A3" s="131" t="s">
        <v>35</v>
      </c>
      <c r="B3" s="132"/>
      <c r="C3" s="133" t="s">
        <v>37</v>
      </c>
      <c r="D3" s="134" t="s">
        <v>46</v>
      </c>
      <c r="E3" s="133" t="s">
        <v>38</v>
      </c>
      <c r="F3" s="135">
        <v>46023</v>
      </c>
      <c r="G3" s="135">
        <f>F3+1</f>
        <v>46024</v>
      </c>
      <c r="H3" s="135">
        <f t="shared" ref="H3:BS3" si="369">G3+1</f>
        <v>46025</v>
      </c>
      <c r="I3" s="135">
        <f t="shared" si="369"/>
        <v>46026</v>
      </c>
      <c r="J3" s="135">
        <f t="shared" si="369"/>
        <v>46027</v>
      </c>
      <c r="K3" s="135">
        <f t="shared" si="369"/>
        <v>46028</v>
      </c>
      <c r="L3" s="135">
        <f t="shared" si="369"/>
        <v>46029</v>
      </c>
      <c r="M3" s="135">
        <f t="shared" si="369"/>
        <v>46030</v>
      </c>
      <c r="N3" s="135">
        <f t="shared" si="369"/>
        <v>46031</v>
      </c>
      <c r="O3" s="135">
        <f t="shared" si="369"/>
        <v>46032</v>
      </c>
      <c r="P3" s="135">
        <f t="shared" si="369"/>
        <v>46033</v>
      </c>
      <c r="Q3" s="135">
        <f t="shared" si="369"/>
        <v>46034</v>
      </c>
      <c r="R3" s="135">
        <f t="shared" si="369"/>
        <v>46035</v>
      </c>
      <c r="S3" s="135">
        <f t="shared" si="369"/>
        <v>46036</v>
      </c>
      <c r="T3" s="135">
        <f t="shared" si="369"/>
        <v>46037</v>
      </c>
      <c r="U3" s="135">
        <f t="shared" si="369"/>
        <v>46038</v>
      </c>
      <c r="V3" s="135">
        <f t="shared" si="369"/>
        <v>46039</v>
      </c>
      <c r="W3" s="135">
        <f t="shared" si="369"/>
        <v>46040</v>
      </c>
      <c r="X3" s="135">
        <f t="shared" si="369"/>
        <v>46041</v>
      </c>
      <c r="Y3" s="135">
        <f t="shared" si="369"/>
        <v>46042</v>
      </c>
      <c r="Z3" s="135">
        <f t="shared" si="369"/>
        <v>46043</v>
      </c>
      <c r="AA3" s="135">
        <f t="shared" si="369"/>
        <v>46044</v>
      </c>
      <c r="AB3" s="135">
        <f t="shared" si="369"/>
        <v>46045</v>
      </c>
      <c r="AC3" s="135">
        <f t="shared" si="369"/>
        <v>46046</v>
      </c>
      <c r="AD3" s="135">
        <f t="shared" si="369"/>
        <v>46047</v>
      </c>
      <c r="AE3" s="135">
        <f t="shared" si="369"/>
        <v>46048</v>
      </c>
      <c r="AF3" s="135">
        <f t="shared" si="369"/>
        <v>46049</v>
      </c>
      <c r="AG3" s="135">
        <f t="shared" si="369"/>
        <v>46050</v>
      </c>
      <c r="AH3" s="135">
        <f t="shared" si="369"/>
        <v>46051</v>
      </c>
      <c r="AI3" s="135">
        <f t="shared" si="369"/>
        <v>46052</v>
      </c>
      <c r="AJ3" s="135">
        <f t="shared" si="369"/>
        <v>46053</v>
      </c>
      <c r="AK3" s="135">
        <f t="shared" si="369"/>
        <v>46054</v>
      </c>
      <c r="AL3" s="135">
        <f t="shared" si="369"/>
        <v>46055</v>
      </c>
      <c r="AM3" s="135">
        <f t="shared" si="369"/>
        <v>46056</v>
      </c>
      <c r="AN3" s="135">
        <f t="shared" si="369"/>
        <v>46057</v>
      </c>
      <c r="AO3" s="135">
        <f t="shared" si="369"/>
        <v>46058</v>
      </c>
      <c r="AP3" s="135">
        <f t="shared" si="369"/>
        <v>46059</v>
      </c>
      <c r="AQ3" s="135">
        <f t="shared" si="369"/>
        <v>46060</v>
      </c>
      <c r="AR3" s="135">
        <f t="shared" si="369"/>
        <v>46061</v>
      </c>
      <c r="AS3" s="135">
        <f t="shared" si="369"/>
        <v>46062</v>
      </c>
      <c r="AT3" s="135">
        <f t="shared" si="369"/>
        <v>46063</v>
      </c>
      <c r="AU3" s="135">
        <f t="shared" si="369"/>
        <v>46064</v>
      </c>
      <c r="AV3" s="135">
        <f t="shared" si="369"/>
        <v>46065</v>
      </c>
      <c r="AW3" s="135">
        <f t="shared" si="369"/>
        <v>46066</v>
      </c>
      <c r="AX3" s="135">
        <f t="shared" si="369"/>
        <v>46067</v>
      </c>
      <c r="AY3" s="135">
        <f t="shared" si="369"/>
        <v>46068</v>
      </c>
      <c r="AZ3" s="135">
        <f t="shared" si="369"/>
        <v>46069</v>
      </c>
      <c r="BA3" s="135">
        <f t="shared" si="369"/>
        <v>46070</v>
      </c>
      <c r="BB3" s="135">
        <f t="shared" si="369"/>
        <v>46071</v>
      </c>
      <c r="BC3" s="135">
        <f t="shared" si="369"/>
        <v>46072</v>
      </c>
      <c r="BD3" s="135">
        <f t="shared" si="369"/>
        <v>46073</v>
      </c>
      <c r="BE3" s="135">
        <f t="shared" si="369"/>
        <v>46074</v>
      </c>
      <c r="BF3" s="135">
        <f t="shared" si="369"/>
        <v>46075</v>
      </c>
      <c r="BG3" s="135">
        <f t="shared" si="369"/>
        <v>46076</v>
      </c>
      <c r="BH3" s="135">
        <f t="shared" si="369"/>
        <v>46077</v>
      </c>
      <c r="BI3" s="135">
        <f t="shared" si="369"/>
        <v>46078</v>
      </c>
      <c r="BJ3" s="135">
        <f t="shared" si="369"/>
        <v>46079</v>
      </c>
      <c r="BK3" s="135">
        <f t="shared" si="369"/>
        <v>46080</v>
      </c>
      <c r="BL3" s="135">
        <f t="shared" si="369"/>
        <v>46081</v>
      </c>
      <c r="BM3" s="135">
        <f t="shared" si="369"/>
        <v>46082</v>
      </c>
      <c r="BN3" s="135">
        <f t="shared" si="369"/>
        <v>46083</v>
      </c>
      <c r="BO3" s="135">
        <f t="shared" si="369"/>
        <v>46084</v>
      </c>
      <c r="BP3" s="135">
        <f t="shared" si="369"/>
        <v>46085</v>
      </c>
      <c r="BQ3" s="135">
        <f t="shared" si="369"/>
        <v>46086</v>
      </c>
      <c r="BR3" s="135">
        <f t="shared" si="369"/>
        <v>46087</v>
      </c>
      <c r="BS3" s="135">
        <f t="shared" si="369"/>
        <v>46088</v>
      </c>
      <c r="BT3" s="135">
        <f t="shared" ref="BT3:EE3" si="370">BS3+1</f>
        <v>46089</v>
      </c>
      <c r="BU3" s="135">
        <f t="shared" si="370"/>
        <v>46090</v>
      </c>
      <c r="BV3" s="135">
        <f t="shared" si="370"/>
        <v>46091</v>
      </c>
      <c r="BW3" s="135">
        <f t="shared" si="370"/>
        <v>46092</v>
      </c>
      <c r="BX3" s="135">
        <f t="shared" si="370"/>
        <v>46093</v>
      </c>
      <c r="BY3" s="135">
        <f t="shared" si="370"/>
        <v>46094</v>
      </c>
      <c r="BZ3" s="135">
        <f t="shared" si="370"/>
        <v>46095</v>
      </c>
      <c r="CA3" s="135">
        <f t="shared" si="370"/>
        <v>46096</v>
      </c>
      <c r="CB3" s="135">
        <f t="shared" si="370"/>
        <v>46097</v>
      </c>
      <c r="CC3" s="135">
        <f t="shared" si="370"/>
        <v>46098</v>
      </c>
      <c r="CD3" s="135">
        <f t="shared" si="370"/>
        <v>46099</v>
      </c>
      <c r="CE3" s="135">
        <f t="shared" si="370"/>
        <v>46100</v>
      </c>
      <c r="CF3" s="135">
        <f t="shared" si="370"/>
        <v>46101</v>
      </c>
      <c r="CG3" s="135">
        <f t="shared" si="370"/>
        <v>46102</v>
      </c>
      <c r="CH3" s="135">
        <f t="shared" si="370"/>
        <v>46103</v>
      </c>
      <c r="CI3" s="135">
        <f t="shared" si="370"/>
        <v>46104</v>
      </c>
      <c r="CJ3" s="135">
        <f t="shared" si="370"/>
        <v>46105</v>
      </c>
      <c r="CK3" s="135">
        <f t="shared" si="370"/>
        <v>46106</v>
      </c>
      <c r="CL3" s="135">
        <f t="shared" si="370"/>
        <v>46107</v>
      </c>
      <c r="CM3" s="135">
        <f t="shared" si="370"/>
        <v>46108</v>
      </c>
      <c r="CN3" s="135">
        <f t="shared" si="370"/>
        <v>46109</v>
      </c>
      <c r="CO3" s="135">
        <f t="shared" si="370"/>
        <v>46110</v>
      </c>
      <c r="CP3" s="135">
        <f t="shared" si="370"/>
        <v>46111</v>
      </c>
      <c r="CQ3" s="135">
        <f t="shared" si="370"/>
        <v>46112</v>
      </c>
      <c r="CR3" s="135">
        <f t="shared" si="370"/>
        <v>46113</v>
      </c>
      <c r="CS3" s="135">
        <f t="shared" si="370"/>
        <v>46114</v>
      </c>
      <c r="CT3" s="135">
        <f t="shared" si="370"/>
        <v>46115</v>
      </c>
      <c r="CU3" s="135">
        <f t="shared" si="370"/>
        <v>46116</v>
      </c>
      <c r="CV3" s="135">
        <f t="shared" si="370"/>
        <v>46117</v>
      </c>
      <c r="CW3" s="135">
        <f t="shared" si="370"/>
        <v>46118</v>
      </c>
      <c r="CX3" s="135">
        <f t="shared" si="370"/>
        <v>46119</v>
      </c>
      <c r="CY3" s="135">
        <f t="shared" si="370"/>
        <v>46120</v>
      </c>
      <c r="CZ3" s="135">
        <f t="shared" si="370"/>
        <v>46121</v>
      </c>
      <c r="DA3" s="135">
        <f t="shared" si="370"/>
        <v>46122</v>
      </c>
      <c r="DB3" s="135">
        <f t="shared" si="370"/>
        <v>46123</v>
      </c>
      <c r="DC3" s="135">
        <f t="shared" si="370"/>
        <v>46124</v>
      </c>
      <c r="DD3" s="135">
        <f t="shared" si="370"/>
        <v>46125</v>
      </c>
      <c r="DE3" s="135">
        <f t="shared" si="370"/>
        <v>46126</v>
      </c>
      <c r="DF3" s="135">
        <f t="shared" si="370"/>
        <v>46127</v>
      </c>
      <c r="DG3" s="135">
        <f t="shared" si="370"/>
        <v>46128</v>
      </c>
      <c r="DH3" s="135">
        <f t="shared" si="370"/>
        <v>46129</v>
      </c>
      <c r="DI3" s="135">
        <f t="shared" si="370"/>
        <v>46130</v>
      </c>
      <c r="DJ3" s="135">
        <f t="shared" si="370"/>
        <v>46131</v>
      </c>
      <c r="DK3" s="135">
        <f t="shared" si="370"/>
        <v>46132</v>
      </c>
      <c r="DL3" s="135">
        <f t="shared" si="370"/>
        <v>46133</v>
      </c>
      <c r="DM3" s="135">
        <f t="shared" si="370"/>
        <v>46134</v>
      </c>
      <c r="DN3" s="135">
        <f t="shared" si="370"/>
        <v>46135</v>
      </c>
      <c r="DO3" s="135">
        <f t="shared" si="370"/>
        <v>46136</v>
      </c>
      <c r="DP3" s="135">
        <f t="shared" si="370"/>
        <v>46137</v>
      </c>
      <c r="DQ3" s="135">
        <f t="shared" si="370"/>
        <v>46138</v>
      </c>
      <c r="DR3" s="135">
        <f t="shared" si="370"/>
        <v>46139</v>
      </c>
      <c r="DS3" s="135">
        <f t="shared" si="370"/>
        <v>46140</v>
      </c>
      <c r="DT3" s="135">
        <f t="shared" si="370"/>
        <v>46141</v>
      </c>
      <c r="DU3" s="135">
        <f t="shared" si="370"/>
        <v>46142</v>
      </c>
      <c r="DV3" s="135">
        <f t="shared" si="370"/>
        <v>46143</v>
      </c>
      <c r="DW3" s="135">
        <f t="shared" si="370"/>
        <v>46144</v>
      </c>
      <c r="DX3" s="135">
        <f t="shared" si="370"/>
        <v>46145</v>
      </c>
      <c r="DY3" s="135">
        <f t="shared" si="370"/>
        <v>46146</v>
      </c>
      <c r="DZ3" s="135">
        <f t="shared" si="370"/>
        <v>46147</v>
      </c>
      <c r="EA3" s="135">
        <f t="shared" si="370"/>
        <v>46148</v>
      </c>
      <c r="EB3" s="135">
        <f t="shared" si="370"/>
        <v>46149</v>
      </c>
      <c r="EC3" s="135">
        <f t="shared" si="370"/>
        <v>46150</v>
      </c>
      <c r="ED3" s="135">
        <f t="shared" si="370"/>
        <v>46151</v>
      </c>
      <c r="EE3" s="135">
        <f t="shared" si="370"/>
        <v>46152</v>
      </c>
      <c r="EF3" s="135">
        <f t="shared" ref="EF3:GQ3" si="371">EE3+1</f>
        <v>46153</v>
      </c>
      <c r="EG3" s="135">
        <f t="shared" si="371"/>
        <v>46154</v>
      </c>
      <c r="EH3" s="135">
        <f t="shared" si="371"/>
        <v>46155</v>
      </c>
      <c r="EI3" s="135">
        <f t="shared" si="371"/>
        <v>46156</v>
      </c>
      <c r="EJ3" s="135">
        <f t="shared" si="371"/>
        <v>46157</v>
      </c>
      <c r="EK3" s="135">
        <f t="shared" si="371"/>
        <v>46158</v>
      </c>
      <c r="EL3" s="135">
        <f t="shared" si="371"/>
        <v>46159</v>
      </c>
      <c r="EM3" s="135">
        <f t="shared" si="371"/>
        <v>46160</v>
      </c>
      <c r="EN3" s="135">
        <f t="shared" si="371"/>
        <v>46161</v>
      </c>
      <c r="EO3" s="135">
        <f t="shared" si="371"/>
        <v>46162</v>
      </c>
      <c r="EP3" s="135">
        <f t="shared" si="371"/>
        <v>46163</v>
      </c>
      <c r="EQ3" s="135">
        <f t="shared" si="371"/>
        <v>46164</v>
      </c>
      <c r="ER3" s="135">
        <f t="shared" si="371"/>
        <v>46165</v>
      </c>
      <c r="ES3" s="135">
        <f t="shared" si="371"/>
        <v>46166</v>
      </c>
      <c r="ET3" s="135">
        <f t="shared" si="371"/>
        <v>46167</v>
      </c>
      <c r="EU3" s="135">
        <f t="shared" si="371"/>
        <v>46168</v>
      </c>
      <c r="EV3" s="135">
        <f t="shared" si="371"/>
        <v>46169</v>
      </c>
      <c r="EW3" s="135">
        <f t="shared" si="371"/>
        <v>46170</v>
      </c>
      <c r="EX3" s="135">
        <f t="shared" si="371"/>
        <v>46171</v>
      </c>
      <c r="EY3" s="135">
        <f t="shared" si="371"/>
        <v>46172</v>
      </c>
      <c r="EZ3" s="135">
        <f t="shared" si="371"/>
        <v>46173</v>
      </c>
      <c r="FA3" s="135">
        <f t="shared" si="371"/>
        <v>46174</v>
      </c>
      <c r="FB3" s="135">
        <f t="shared" si="371"/>
        <v>46175</v>
      </c>
      <c r="FC3" s="135">
        <f t="shared" si="371"/>
        <v>46176</v>
      </c>
      <c r="FD3" s="135">
        <f t="shared" si="371"/>
        <v>46177</v>
      </c>
      <c r="FE3" s="135">
        <f t="shared" si="371"/>
        <v>46178</v>
      </c>
      <c r="FF3" s="135">
        <f t="shared" si="371"/>
        <v>46179</v>
      </c>
      <c r="FG3" s="135">
        <f t="shared" si="371"/>
        <v>46180</v>
      </c>
      <c r="FH3" s="135">
        <f t="shared" si="371"/>
        <v>46181</v>
      </c>
      <c r="FI3" s="135">
        <f t="shared" si="371"/>
        <v>46182</v>
      </c>
      <c r="FJ3" s="135">
        <f t="shared" si="371"/>
        <v>46183</v>
      </c>
      <c r="FK3" s="135">
        <f t="shared" si="371"/>
        <v>46184</v>
      </c>
      <c r="FL3" s="135">
        <f t="shared" si="371"/>
        <v>46185</v>
      </c>
      <c r="FM3" s="135">
        <f t="shared" si="371"/>
        <v>46186</v>
      </c>
      <c r="FN3" s="135">
        <f t="shared" si="371"/>
        <v>46187</v>
      </c>
      <c r="FO3" s="135">
        <f t="shared" si="371"/>
        <v>46188</v>
      </c>
      <c r="FP3" s="135">
        <f t="shared" si="371"/>
        <v>46189</v>
      </c>
      <c r="FQ3" s="135">
        <f t="shared" si="371"/>
        <v>46190</v>
      </c>
      <c r="FR3" s="135">
        <f t="shared" si="371"/>
        <v>46191</v>
      </c>
      <c r="FS3" s="135">
        <f t="shared" si="371"/>
        <v>46192</v>
      </c>
      <c r="FT3" s="135">
        <f t="shared" si="371"/>
        <v>46193</v>
      </c>
      <c r="FU3" s="135">
        <f t="shared" si="371"/>
        <v>46194</v>
      </c>
      <c r="FV3" s="135">
        <f t="shared" si="371"/>
        <v>46195</v>
      </c>
      <c r="FW3" s="135">
        <f t="shared" si="371"/>
        <v>46196</v>
      </c>
      <c r="FX3" s="135">
        <f t="shared" si="371"/>
        <v>46197</v>
      </c>
      <c r="FY3" s="135">
        <f t="shared" si="371"/>
        <v>46198</v>
      </c>
      <c r="FZ3" s="135">
        <f t="shared" si="371"/>
        <v>46199</v>
      </c>
      <c r="GA3" s="135">
        <f t="shared" si="371"/>
        <v>46200</v>
      </c>
      <c r="GB3" s="135">
        <f t="shared" si="371"/>
        <v>46201</v>
      </c>
      <c r="GC3" s="135">
        <f t="shared" si="371"/>
        <v>46202</v>
      </c>
      <c r="GD3" s="135">
        <f t="shared" si="371"/>
        <v>46203</v>
      </c>
      <c r="GE3" s="135">
        <f t="shared" si="371"/>
        <v>46204</v>
      </c>
      <c r="GF3" s="135">
        <f t="shared" si="371"/>
        <v>46205</v>
      </c>
      <c r="GG3" s="135">
        <f t="shared" si="371"/>
        <v>46206</v>
      </c>
      <c r="GH3" s="135">
        <f t="shared" si="371"/>
        <v>46207</v>
      </c>
      <c r="GI3" s="135">
        <f t="shared" si="371"/>
        <v>46208</v>
      </c>
      <c r="GJ3" s="135">
        <f t="shared" si="371"/>
        <v>46209</v>
      </c>
      <c r="GK3" s="135">
        <f t="shared" si="371"/>
        <v>46210</v>
      </c>
      <c r="GL3" s="135">
        <f t="shared" si="371"/>
        <v>46211</v>
      </c>
      <c r="GM3" s="135">
        <f t="shared" si="371"/>
        <v>46212</v>
      </c>
      <c r="GN3" s="135">
        <f t="shared" si="371"/>
        <v>46213</v>
      </c>
      <c r="GO3" s="135">
        <f t="shared" si="371"/>
        <v>46214</v>
      </c>
      <c r="GP3" s="135">
        <f t="shared" si="371"/>
        <v>46215</v>
      </c>
      <c r="GQ3" s="135">
        <f t="shared" si="371"/>
        <v>46216</v>
      </c>
      <c r="GR3" s="135">
        <f t="shared" ref="GR3:JC3" si="372">GQ3+1</f>
        <v>46217</v>
      </c>
      <c r="GS3" s="135">
        <f t="shared" si="372"/>
        <v>46218</v>
      </c>
      <c r="GT3" s="135">
        <f t="shared" si="372"/>
        <v>46219</v>
      </c>
      <c r="GU3" s="135">
        <f t="shared" si="372"/>
        <v>46220</v>
      </c>
      <c r="GV3" s="135">
        <f t="shared" si="372"/>
        <v>46221</v>
      </c>
      <c r="GW3" s="135">
        <f t="shared" si="372"/>
        <v>46222</v>
      </c>
      <c r="GX3" s="135">
        <f t="shared" si="372"/>
        <v>46223</v>
      </c>
      <c r="GY3" s="135">
        <f t="shared" si="372"/>
        <v>46224</v>
      </c>
      <c r="GZ3" s="135">
        <f t="shared" si="372"/>
        <v>46225</v>
      </c>
      <c r="HA3" s="135">
        <f t="shared" si="372"/>
        <v>46226</v>
      </c>
      <c r="HB3" s="135">
        <f t="shared" si="372"/>
        <v>46227</v>
      </c>
      <c r="HC3" s="135">
        <f t="shared" si="372"/>
        <v>46228</v>
      </c>
      <c r="HD3" s="135">
        <f t="shared" si="372"/>
        <v>46229</v>
      </c>
      <c r="HE3" s="135">
        <f t="shared" si="372"/>
        <v>46230</v>
      </c>
      <c r="HF3" s="135">
        <f t="shared" si="372"/>
        <v>46231</v>
      </c>
      <c r="HG3" s="135">
        <f t="shared" si="372"/>
        <v>46232</v>
      </c>
      <c r="HH3" s="135">
        <f t="shared" si="372"/>
        <v>46233</v>
      </c>
      <c r="HI3" s="135">
        <f t="shared" si="372"/>
        <v>46234</v>
      </c>
      <c r="HJ3" s="135">
        <f t="shared" si="372"/>
        <v>46235</v>
      </c>
      <c r="HK3" s="135">
        <f t="shared" si="372"/>
        <v>46236</v>
      </c>
      <c r="HL3" s="135">
        <f t="shared" si="372"/>
        <v>46237</v>
      </c>
      <c r="HM3" s="135">
        <f t="shared" si="372"/>
        <v>46238</v>
      </c>
      <c r="HN3" s="135">
        <f t="shared" si="372"/>
        <v>46239</v>
      </c>
      <c r="HO3" s="135">
        <f t="shared" si="372"/>
        <v>46240</v>
      </c>
      <c r="HP3" s="135">
        <f t="shared" si="372"/>
        <v>46241</v>
      </c>
      <c r="HQ3" s="135">
        <f t="shared" si="372"/>
        <v>46242</v>
      </c>
      <c r="HR3" s="135">
        <f t="shared" si="372"/>
        <v>46243</v>
      </c>
      <c r="HS3" s="135">
        <f t="shared" si="372"/>
        <v>46244</v>
      </c>
      <c r="HT3" s="135">
        <f t="shared" si="372"/>
        <v>46245</v>
      </c>
      <c r="HU3" s="135">
        <f t="shared" si="372"/>
        <v>46246</v>
      </c>
      <c r="HV3" s="135">
        <f t="shared" si="372"/>
        <v>46247</v>
      </c>
      <c r="HW3" s="135">
        <f t="shared" si="372"/>
        <v>46248</v>
      </c>
      <c r="HX3" s="135">
        <f t="shared" si="372"/>
        <v>46249</v>
      </c>
      <c r="HY3" s="135">
        <f t="shared" si="372"/>
        <v>46250</v>
      </c>
      <c r="HZ3" s="135">
        <f t="shared" si="372"/>
        <v>46251</v>
      </c>
      <c r="IA3" s="135">
        <f t="shared" si="372"/>
        <v>46252</v>
      </c>
      <c r="IB3" s="135">
        <f t="shared" si="372"/>
        <v>46253</v>
      </c>
      <c r="IC3" s="135">
        <f t="shared" si="372"/>
        <v>46254</v>
      </c>
      <c r="ID3" s="135">
        <f t="shared" si="372"/>
        <v>46255</v>
      </c>
      <c r="IE3" s="135">
        <f t="shared" si="372"/>
        <v>46256</v>
      </c>
      <c r="IF3" s="135">
        <f t="shared" si="372"/>
        <v>46257</v>
      </c>
      <c r="IG3" s="135">
        <f t="shared" si="372"/>
        <v>46258</v>
      </c>
      <c r="IH3" s="135">
        <f t="shared" si="372"/>
        <v>46259</v>
      </c>
      <c r="II3" s="135">
        <f t="shared" si="372"/>
        <v>46260</v>
      </c>
      <c r="IJ3" s="135">
        <f t="shared" si="372"/>
        <v>46261</v>
      </c>
      <c r="IK3" s="135">
        <f t="shared" si="372"/>
        <v>46262</v>
      </c>
      <c r="IL3" s="135">
        <f t="shared" si="372"/>
        <v>46263</v>
      </c>
      <c r="IM3" s="135">
        <f t="shared" si="372"/>
        <v>46264</v>
      </c>
      <c r="IN3" s="135">
        <f t="shared" si="372"/>
        <v>46265</v>
      </c>
      <c r="IO3" s="135">
        <f t="shared" si="372"/>
        <v>46266</v>
      </c>
      <c r="IP3" s="135">
        <f t="shared" si="372"/>
        <v>46267</v>
      </c>
      <c r="IQ3" s="135">
        <f t="shared" si="372"/>
        <v>46268</v>
      </c>
      <c r="IR3" s="135">
        <f t="shared" si="372"/>
        <v>46269</v>
      </c>
      <c r="IS3" s="135">
        <f t="shared" si="372"/>
        <v>46270</v>
      </c>
      <c r="IT3" s="135">
        <f t="shared" si="372"/>
        <v>46271</v>
      </c>
      <c r="IU3" s="135">
        <f t="shared" si="372"/>
        <v>46272</v>
      </c>
      <c r="IV3" s="135">
        <f t="shared" si="372"/>
        <v>46273</v>
      </c>
      <c r="IW3" s="135">
        <f t="shared" si="372"/>
        <v>46274</v>
      </c>
      <c r="IX3" s="135">
        <f t="shared" si="372"/>
        <v>46275</v>
      </c>
      <c r="IY3" s="135">
        <f t="shared" si="372"/>
        <v>46276</v>
      </c>
      <c r="IZ3" s="135">
        <f t="shared" si="372"/>
        <v>46277</v>
      </c>
      <c r="JA3" s="135">
        <f t="shared" si="372"/>
        <v>46278</v>
      </c>
      <c r="JB3" s="135">
        <f t="shared" si="372"/>
        <v>46279</v>
      </c>
      <c r="JC3" s="135">
        <f t="shared" si="372"/>
        <v>46280</v>
      </c>
      <c r="JD3" s="135">
        <f t="shared" ref="JD3:LO3" si="373">JC3+1</f>
        <v>46281</v>
      </c>
      <c r="JE3" s="135">
        <f t="shared" si="373"/>
        <v>46282</v>
      </c>
      <c r="JF3" s="135">
        <f t="shared" si="373"/>
        <v>46283</v>
      </c>
      <c r="JG3" s="135">
        <f t="shared" si="373"/>
        <v>46284</v>
      </c>
      <c r="JH3" s="135">
        <f t="shared" si="373"/>
        <v>46285</v>
      </c>
      <c r="JI3" s="135">
        <f t="shared" si="373"/>
        <v>46286</v>
      </c>
      <c r="JJ3" s="135">
        <f t="shared" si="373"/>
        <v>46287</v>
      </c>
      <c r="JK3" s="135">
        <f t="shared" si="373"/>
        <v>46288</v>
      </c>
      <c r="JL3" s="135">
        <f t="shared" si="373"/>
        <v>46289</v>
      </c>
      <c r="JM3" s="135">
        <f t="shared" si="373"/>
        <v>46290</v>
      </c>
      <c r="JN3" s="135">
        <f t="shared" si="373"/>
        <v>46291</v>
      </c>
      <c r="JO3" s="135">
        <f t="shared" si="373"/>
        <v>46292</v>
      </c>
      <c r="JP3" s="135">
        <f t="shared" si="373"/>
        <v>46293</v>
      </c>
      <c r="JQ3" s="135">
        <f t="shared" si="373"/>
        <v>46294</v>
      </c>
      <c r="JR3" s="135">
        <f t="shared" si="373"/>
        <v>46295</v>
      </c>
      <c r="JS3" s="135">
        <f t="shared" si="373"/>
        <v>46296</v>
      </c>
      <c r="JT3" s="135">
        <f t="shared" si="373"/>
        <v>46297</v>
      </c>
      <c r="JU3" s="135">
        <f t="shared" si="373"/>
        <v>46298</v>
      </c>
      <c r="JV3" s="135">
        <f t="shared" si="373"/>
        <v>46299</v>
      </c>
      <c r="JW3" s="135">
        <f t="shared" si="373"/>
        <v>46300</v>
      </c>
      <c r="JX3" s="135">
        <f t="shared" si="373"/>
        <v>46301</v>
      </c>
      <c r="JY3" s="135">
        <f t="shared" si="373"/>
        <v>46302</v>
      </c>
      <c r="JZ3" s="135">
        <f t="shared" si="373"/>
        <v>46303</v>
      </c>
      <c r="KA3" s="135">
        <f t="shared" si="373"/>
        <v>46304</v>
      </c>
      <c r="KB3" s="135">
        <f t="shared" si="373"/>
        <v>46305</v>
      </c>
      <c r="KC3" s="135">
        <f t="shared" si="373"/>
        <v>46306</v>
      </c>
      <c r="KD3" s="135">
        <f t="shared" si="373"/>
        <v>46307</v>
      </c>
      <c r="KE3" s="135">
        <f t="shared" si="373"/>
        <v>46308</v>
      </c>
      <c r="KF3" s="135">
        <f t="shared" si="373"/>
        <v>46309</v>
      </c>
      <c r="KG3" s="135">
        <f t="shared" si="373"/>
        <v>46310</v>
      </c>
      <c r="KH3" s="135">
        <f t="shared" si="373"/>
        <v>46311</v>
      </c>
      <c r="KI3" s="135">
        <f t="shared" si="373"/>
        <v>46312</v>
      </c>
      <c r="KJ3" s="135">
        <f t="shared" si="373"/>
        <v>46313</v>
      </c>
      <c r="KK3" s="135">
        <f t="shared" si="373"/>
        <v>46314</v>
      </c>
      <c r="KL3" s="135">
        <f t="shared" si="373"/>
        <v>46315</v>
      </c>
      <c r="KM3" s="135">
        <f t="shared" si="373"/>
        <v>46316</v>
      </c>
      <c r="KN3" s="135">
        <f t="shared" si="373"/>
        <v>46317</v>
      </c>
      <c r="KO3" s="135">
        <f t="shared" si="373"/>
        <v>46318</v>
      </c>
      <c r="KP3" s="135">
        <f t="shared" si="373"/>
        <v>46319</v>
      </c>
      <c r="KQ3" s="135">
        <f t="shared" si="373"/>
        <v>46320</v>
      </c>
      <c r="KR3" s="135">
        <f t="shared" si="373"/>
        <v>46321</v>
      </c>
      <c r="KS3" s="135">
        <f t="shared" si="373"/>
        <v>46322</v>
      </c>
      <c r="KT3" s="135">
        <f t="shared" si="373"/>
        <v>46323</v>
      </c>
      <c r="KU3" s="135">
        <f t="shared" si="373"/>
        <v>46324</v>
      </c>
      <c r="KV3" s="135">
        <f t="shared" si="373"/>
        <v>46325</v>
      </c>
      <c r="KW3" s="135">
        <f t="shared" si="373"/>
        <v>46326</v>
      </c>
      <c r="KX3" s="135">
        <f t="shared" si="373"/>
        <v>46327</v>
      </c>
      <c r="KY3" s="135">
        <f t="shared" si="373"/>
        <v>46328</v>
      </c>
      <c r="KZ3" s="135">
        <f t="shared" si="373"/>
        <v>46329</v>
      </c>
      <c r="LA3" s="135">
        <f t="shared" si="373"/>
        <v>46330</v>
      </c>
      <c r="LB3" s="135">
        <f t="shared" si="373"/>
        <v>46331</v>
      </c>
      <c r="LC3" s="135">
        <f t="shared" si="373"/>
        <v>46332</v>
      </c>
      <c r="LD3" s="135">
        <f t="shared" si="373"/>
        <v>46333</v>
      </c>
      <c r="LE3" s="135">
        <f t="shared" si="373"/>
        <v>46334</v>
      </c>
      <c r="LF3" s="135">
        <f t="shared" si="373"/>
        <v>46335</v>
      </c>
      <c r="LG3" s="135">
        <f t="shared" si="373"/>
        <v>46336</v>
      </c>
      <c r="LH3" s="135">
        <f t="shared" si="373"/>
        <v>46337</v>
      </c>
      <c r="LI3" s="135">
        <f t="shared" si="373"/>
        <v>46338</v>
      </c>
      <c r="LJ3" s="135">
        <f t="shared" si="373"/>
        <v>46339</v>
      </c>
      <c r="LK3" s="135">
        <f t="shared" si="373"/>
        <v>46340</v>
      </c>
      <c r="LL3" s="135">
        <f t="shared" si="373"/>
        <v>46341</v>
      </c>
      <c r="LM3" s="135">
        <f t="shared" si="373"/>
        <v>46342</v>
      </c>
      <c r="LN3" s="135">
        <f t="shared" si="373"/>
        <v>46343</v>
      </c>
      <c r="LO3" s="135">
        <f t="shared" si="373"/>
        <v>46344</v>
      </c>
      <c r="LP3" s="135">
        <f t="shared" ref="LP3:OA3" si="374">LO3+1</f>
        <v>46345</v>
      </c>
      <c r="LQ3" s="135">
        <f t="shared" si="374"/>
        <v>46346</v>
      </c>
      <c r="LR3" s="135">
        <f t="shared" si="374"/>
        <v>46347</v>
      </c>
      <c r="LS3" s="135">
        <f t="shared" si="374"/>
        <v>46348</v>
      </c>
      <c r="LT3" s="135">
        <f t="shared" si="374"/>
        <v>46349</v>
      </c>
      <c r="LU3" s="135">
        <f t="shared" si="374"/>
        <v>46350</v>
      </c>
      <c r="LV3" s="135">
        <f t="shared" si="374"/>
        <v>46351</v>
      </c>
      <c r="LW3" s="135">
        <f t="shared" si="374"/>
        <v>46352</v>
      </c>
      <c r="LX3" s="135">
        <f t="shared" si="374"/>
        <v>46353</v>
      </c>
      <c r="LY3" s="135">
        <f t="shared" si="374"/>
        <v>46354</v>
      </c>
      <c r="LZ3" s="135">
        <f t="shared" si="374"/>
        <v>46355</v>
      </c>
      <c r="MA3" s="135">
        <f t="shared" si="374"/>
        <v>46356</v>
      </c>
      <c r="MB3" s="135">
        <f t="shared" si="374"/>
        <v>46357</v>
      </c>
      <c r="MC3" s="135">
        <f t="shared" si="374"/>
        <v>46358</v>
      </c>
      <c r="MD3" s="135">
        <f t="shared" si="374"/>
        <v>46359</v>
      </c>
      <c r="ME3" s="135">
        <f t="shared" si="374"/>
        <v>46360</v>
      </c>
      <c r="MF3" s="135">
        <f t="shared" si="374"/>
        <v>46361</v>
      </c>
      <c r="MG3" s="135">
        <f t="shared" si="374"/>
        <v>46362</v>
      </c>
      <c r="MH3" s="135">
        <f t="shared" si="374"/>
        <v>46363</v>
      </c>
      <c r="MI3" s="135">
        <f t="shared" si="374"/>
        <v>46364</v>
      </c>
      <c r="MJ3" s="135">
        <f t="shared" si="374"/>
        <v>46365</v>
      </c>
      <c r="MK3" s="135">
        <f t="shared" si="374"/>
        <v>46366</v>
      </c>
      <c r="ML3" s="135">
        <f t="shared" si="374"/>
        <v>46367</v>
      </c>
      <c r="MM3" s="135">
        <f t="shared" si="374"/>
        <v>46368</v>
      </c>
      <c r="MN3" s="135">
        <f t="shared" si="374"/>
        <v>46369</v>
      </c>
      <c r="MO3" s="135">
        <f t="shared" si="374"/>
        <v>46370</v>
      </c>
      <c r="MP3" s="135">
        <f t="shared" si="374"/>
        <v>46371</v>
      </c>
      <c r="MQ3" s="135">
        <f t="shared" si="374"/>
        <v>46372</v>
      </c>
      <c r="MR3" s="135">
        <f t="shared" si="374"/>
        <v>46373</v>
      </c>
      <c r="MS3" s="135">
        <f t="shared" si="374"/>
        <v>46374</v>
      </c>
      <c r="MT3" s="135">
        <f t="shared" si="374"/>
        <v>46375</v>
      </c>
      <c r="MU3" s="135">
        <f t="shared" si="374"/>
        <v>46376</v>
      </c>
      <c r="MV3" s="135">
        <f t="shared" si="374"/>
        <v>46377</v>
      </c>
      <c r="MW3" s="135">
        <f t="shared" si="374"/>
        <v>46378</v>
      </c>
      <c r="MX3" s="135">
        <f t="shared" si="374"/>
        <v>46379</v>
      </c>
      <c r="MY3" s="135">
        <f t="shared" si="374"/>
        <v>46380</v>
      </c>
      <c r="MZ3" s="135">
        <f t="shared" si="374"/>
        <v>46381</v>
      </c>
      <c r="NA3" s="135">
        <f t="shared" si="374"/>
        <v>46382</v>
      </c>
      <c r="NB3" s="135">
        <f t="shared" si="374"/>
        <v>46383</v>
      </c>
      <c r="NC3" s="135">
        <f t="shared" si="374"/>
        <v>46384</v>
      </c>
      <c r="ND3" s="135">
        <f t="shared" si="374"/>
        <v>46385</v>
      </c>
      <c r="NE3" s="135">
        <f t="shared" si="374"/>
        <v>46386</v>
      </c>
      <c r="NF3" s="135">
        <f t="shared" si="374"/>
        <v>46387</v>
      </c>
      <c r="NG3" s="135">
        <f t="shared" si="374"/>
        <v>46388</v>
      </c>
      <c r="NH3" s="135">
        <f t="shared" si="374"/>
        <v>46389</v>
      </c>
      <c r="NI3" s="135">
        <f t="shared" si="374"/>
        <v>46390</v>
      </c>
      <c r="NJ3" s="135">
        <f t="shared" si="374"/>
        <v>46391</v>
      </c>
      <c r="NK3" s="135">
        <f t="shared" si="374"/>
        <v>46392</v>
      </c>
      <c r="NL3" s="135">
        <f t="shared" si="374"/>
        <v>46393</v>
      </c>
      <c r="NM3" s="135">
        <f t="shared" si="374"/>
        <v>46394</v>
      </c>
      <c r="NN3" s="135">
        <f t="shared" si="374"/>
        <v>46395</v>
      </c>
      <c r="NO3" s="135">
        <f t="shared" si="374"/>
        <v>46396</v>
      </c>
      <c r="NP3" s="135">
        <f t="shared" si="374"/>
        <v>46397</v>
      </c>
      <c r="NQ3" s="135">
        <f t="shared" si="374"/>
        <v>46398</v>
      </c>
      <c r="NR3" s="135">
        <f t="shared" si="374"/>
        <v>46399</v>
      </c>
      <c r="NS3" s="135">
        <f t="shared" si="374"/>
        <v>46400</v>
      </c>
      <c r="NT3" s="135">
        <f t="shared" si="374"/>
        <v>46401</v>
      </c>
      <c r="NU3" s="135">
        <f t="shared" si="374"/>
        <v>46402</v>
      </c>
      <c r="NV3" s="135">
        <f t="shared" si="374"/>
        <v>46403</v>
      </c>
      <c r="NW3" s="135">
        <f t="shared" si="374"/>
        <v>46404</v>
      </c>
      <c r="NX3" s="135">
        <f t="shared" si="374"/>
        <v>46405</v>
      </c>
      <c r="NY3" s="135">
        <f t="shared" si="374"/>
        <v>46406</v>
      </c>
      <c r="NZ3" s="135">
        <f t="shared" si="374"/>
        <v>46407</v>
      </c>
      <c r="OA3" s="135">
        <f t="shared" si="374"/>
        <v>46408</v>
      </c>
      <c r="OB3" s="135">
        <f t="shared" ref="OB3:OZ3" si="375">OA3+1</f>
        <v>46409</v>
      </c>
      <c r="OC3" s="135">
        <f t="shared" si="375"/>
        <v>46410</v>
      </c>
      <c r="OD3" s="135">
        <f t="shared" si="375"/>
        <v>46411</v>
      </c>
      <c r="OE3" s="135">
        <f t="shared" si="375"/>
        <v>46412</v>
      </c>
      <c r="OF3" s="135">
        <f t="shared" si="375"/>
        <v>46413</v>
      </c>
      <c r="OG3" s="135">
        <f t="shared" si="375"/>
        <v>46414</v>
      </c>
      <c r="OH3" s="135">
        <f t="shared" si="375"/>
        <v>46415</v>
      </c>
      <c r="OI3" s="135">
        <f t="shared" si="375"/>
        <v>46416</v>
      </c>
      <c r="OJ3" s="135">
        <f t="shared" si="375"/>
        <v>46417</v>
      </c>
      <c r="OK3" s="135">
        <f t="shared" si="375"/>
        <v>46418</v>
      </c>
      <c r="OL3" s="135">
        <f t="shared" si="375"/>
        <v>46419</v>
      </c>
      <c r="OM3" s="135">
        <f t="shared" si="375"/>
        <v>46420</v>
      </c>
      <c r="ON3" s="135">
        <f t="shared" si="375"/>
        <v>46421</v>
      </c>
      <c r="OO3" s="135">
        <f t="shared" si="375"/>
        <v>46422</v>
      </c>
      <c r="OP3" s="135">
        <f t="shared" si="375"/>
        <v>46423</v>
      </c>
      <c r="OQ3" s="135">
        <f t="shared" si="375"/>
        <v>46424</v>
      </c>
      <c r="OR3" s="135">
        <f t="shared" si="375"/>
        <v>46425</v>
      </c>
      <c r="OS3" s="135">
        <f t="shared" si="375"/>
        <v>46426</v>
      </c>
      <c r="OT3" s="135">
        <f t="shared" si="375"/>
        <v>46427</v>
      </c>
      <c r="OU3" s="135">
        <f t="shared" si="375"/>
        <v>46428</v>
      </c>
      <c r="OV3" s="135">
        <f t="shared" si="375"/>
        <v>46429</v>
      </c>
      <c r="OW3" s="135">
        <f t="shared" si="375"/>
        <v>46430</v>
      </c>
      <c r="OX3" s="135">
        <f t="shared" si="375"/>
        <v>46431</v>
      </c>
      <c r="OY3" s="135">
        <f t="shared" si="375"/>
        <v>46432</v>
      </c>
      <c r="OZ3" s="136">
        <f t="shared" si="375"/>
        <v>46433</v>
      </c>
    </row>
    <row r="4" spans="1:416" s="94" customFormat="1" ht="15" customHeight="1" x14ac:dyDescent="0.2">
      <c r="A4" s="138" t="b">
        <f>ISODD(B4)</f>
        <v>1</v>
      </c>
      <c r="B4" s="139">
        <v>1</v>
      </c>
      <c r="C4" s="140" t="s">
        <v>39</v>
      </c>
      <c r="D4" s="141" t="s">
        <v>92</v>
      </c>
      <c r="E4" s="188" t="s">
        <v>77</v>
      </c>
      <c r="F4" s="166">
        <f>IF('All Fleet'!C40="","",'All Fleet'!C40)</f>
        <v>1</v>
      </c>
      <c r="G4" s="166">
        <f>IF('All Fleet'!D40="","",'All Fleet'!D40)</f>
        <v>1</v>
      </c>
      <c r="H4" s="166">
        <f>IF('All Fleet'!E40="","",'All Fleet'!E40)</f>
        <v>0.96666666666666667</v>
      </c>
      <c r="I4" s="166">
        <f>IF('All Fleet'!F40="","",'All Fleet'!F40)</f>
        <v>0.97499999999999998</v>
      </c>
      <c r="J4" s="166">
        <f>IF('All Fleet'!G40="","",'All Fleet'!G40)</f>
        <v>0.98</v>
      </c>
      <c r="K4" s="166">
        <f>IF('All Fleet'!H40="","",'All Fleet'!H40)</f>
        <v>0.93319444444444444</v>
      </c>
      <c r="L4" s="166">
        <f>IF('All Fleet'!I40="","",'All Fleet'!I40)</f>
        <v>0.93398809523809523</v>
      </c>
      <c r="M4" s="166">
        <f>IF('All Fleet'!J40="","",'All Fleet'!J40)</f>
        <v>0.80421874999999998</v>
      </c>
      <c r="N4" s="166">
        <f>IF('All Fleet'!K40="","",'All Fleet'!K40)</f>
        <v>0.82597222222222222</v>
      </c>
      <c r="O4" s="166">
        <f>IF('All Fleet'!L40="","",'All Fleet'!L40)</f>
        <v>0.84337499999999999</v>
      </c>
      <c r="P4" s="166">
        <f>IF('All Fleet'!M40="","",'All Fleet'!M40)</f>
        <v>0.85761363636363641</v>
      </c>
      <c r="Q4" s="166">
        <f>IF('All Fleet'!N40="","",'All Fleet'!N40)</f>
        <v>0.83961805555555558</v>
      </c>
      <c r="R4" s="166">
        <f>IF('All Fleet'!O40="","",'All Fleet'!O40)</f>
        <v>0.8519551282051282</v>
      </c>
      <c r="S4" s="166">
        <f>IF('All Fleet'!P40="","",'All Fleet'!P40)</f>
        <v>0.86252976190476183</v>
      </c>
      <c r="T4" s="166">
        <f>IF('All Fleet'!Q40="","",'All Fleet'!Q40)</f>
        <v>0.87169444444444444</v>
      </c>
      <c r="U4" s="166">
        <f>IF('All Fleet'!R40="","",'All Fleet'!R40)</f>
        <v>0.82682291666666663</v>
      </c>
      <c r="V4" s="166">
        <f>IF('All Fleet'!S40="","",'All Fleet'!S40)</f>
        <v>0.83700980392156865</v>
      </c>
      <c r="W4" s="166">
        <f>IF('All Fleet'!T40="","",'All Fleet'!T40)</f>
        <v>0.84606481481481488</v>
      </c>
      <c r="X4" s="166">
        <f>IF('All Fleet'!U40="","",'All Fleet'!U40)</f>
        <v>0.85416666666666663</v>
      </c>
      <c r="Y4" s="166">
        <f>IF('All Fleet'!V40="","",'All Fleet'!V40)</f>
        <v>0.85083333333333333</v>
      </c>
      <c r="Z4" s="166">
        <f>IF('All Fleet'!W40="","",'All Fleet'!W40)</f>
        <v>0.85750000000000004</v>
      </c>
      <c r="AA4" s="166">
        <f>IF('All Fleet'!X40="","",'All Fleet'!X40)</f>
        <v>0.86214015151515155</v>
      </c>
      <c r="AB4" s="166">
        <f>IF('All Fleet'!Y40="","",'All Fleet'!Y40)</f>
        <v>0.85684782608695653</v>
      </c>
      <c r="AC4" s="166">
        <f>IF('All Fleet'!Z40="","",'All Fleet'!Z40)</f>
        <v>0.86281249999999998</v>
      </c>
      <c r="AD4" s="166">
        <f>IF('All Fleet'!AA40="","",'All Fleet'!AA40)</f>
        <v>0.86351666666666671</v>
      </c>
      <c r="AE4" s="166">
        <f>IF('All Fleet'!AB40="","",'All Fleet'!AB40)</f>
        <v>0.86876602564102567</v>
      </c>
      <c r="AF4" s="166">
        <f>IF('All Fleet'!AC40="","",'All Fleet'!AC40)</f>
        <v>0.87183641975308646</v>
      </c>
      <c r="AG4" s="166">
        <f>IF('All Fleet'!AD40="","",'All Fleet'!AD40)</f>
        <v>0.87138392857142855</v>
      </c>
      <c r="AH4" s="166">
        <f>IF('All Fleet'!AE40="","",'All Fleet'!AE40)</f>
        <v>0.87581896551724137</v>
      </c>
      <c r="AI4" s="166">
        <f>IF('All Fleet'!AF40="","",'All Fleet'!AF40)</f>
        <v>0.8799583333333334</v>
      </c>
      <c r="AJ4" s="166">
        <f>IF('All Fleet'!AG40="","",'All Fleet'!AG40)</f>
        <v>0.88383064516129028</v>
      </c>
      <c r="AK4" s="166">
        <f>IF('All Fleet'!AH40="","",'All Fleet'!AH40)</f>
        <v>1</v>
      </c>
      <c r="AL4" s="166">
        <f>IF('All Fleet'!AI40="","",'All Fleet'!AI40)</f>
        <v>0.77749999999999997</v>
      </c>
      <c r="AM4" s="166">
        <f>IF('All Fleet'!AJ40="","",'All Fleet'!AJ40)</f>
        <v>0.85166666666666668</v>
      </c>
      <c r="AN4" s="166">
        <f>IF('All Fleet'!AK40="","",'All Fleet'!AK40)</f>
        <v>0.88875000000000004</v>
      </c>
      <c r="AO4" s="166">
        <f>IF('All Fleet'!AL40="","",'All Fleet'!AL40)</f>
        <v>0.91100000000000003</v>
      </c>
      <c r="AP4" s="166">
        <f>IF('All Fleet'!AM40="","",'All Fleet'!AM40)</f>
        <v>0.91090277777777784</v>
      </c>
      <c r="AQ4" s="166">
        <f>IF('All Fleet'!AN40="","",'All Fleet'!AN40)</f>
        <v>0.92363095238095239</v>
      </c>
      <c r="AR4" s="166">
        <f>IF('All Fleet'!AO40="","",'All Fleet'!AO40)</f>
        <v>0.93317708333333338</v>
      </c>
      <c r="AS4" s="166">
        <f>IF('All Fleet'!AP40="","",'All Fleet'!AP40)</f>
        <v>0.94060185185185186</v>
      </c>
      <c r="AT4" s="166">
        <f>IF('All Fleet'!AQ40="","",'All Fleet'!AQ40)</f>
        <v>0.91800000000000004</v>
      </c>
      <c r="AU4" s="166">
        <f>IF('All Fleet'!AR40="","",'All Fleet'!AR40)</f>
        <v>0.92545454545454542</v>
      </c>
      <c r="AV4" s="166">
        <f>IF('All Fleet'!AS40="","",'All Fleet'!AS40)</f>
        <v>0.86517361111111113</v>
      </c>
      <c r="AW4" s="166">
        <f>IF('All Fleet'!AT40="","",'All Fleet'!AT40)</f>
        <v>0.87554487179487184</v>
      </c>
      <c r="AX4" s="166">
        <f>IF('All Fleet'!AU40="","",'All Fleet'!AU40)</f>
        <v>0.83488095238095239</v>
      </c>
      <c r="AY4" s="166">
        <f>IF('All Fleet'!AV40="","",'All Fleet'!AV40)</f>
        <v>0.84180555555555558</v>
      </c>
      <c r="AZ4" s="166">
        <f>IF('All Fleet'!AW40="","",'All Fleet'!AW40)</f>
        <v>0.82546874999999997</v>
      </c>
      <c r="BA4" s="166">
        <f>IF('All Fleet'!AX40="","",'All Fleet'!AX40)</f>
        <v>0.83573529411764702</v>
      </c>
      <c r="BB4" s="166">
        <f>IF('All Fleet'!AY40="","",'All Fleet'!AY40)</f>
        <v>0.84486111111111106</v>
      </c>
      <c r="BC4" s="166">
        <f>IF('All Fleet'!AZ40="","",'All Fleet'!AZ40)</f>
        <v>0.85302631578947374</v>
      </c>
      <c r="BD4" s="166">
        <f>IF('All Fleet'!BA40="","",'All Fleet'!BA40)</f>
        <v>0.84529166666666666</v>
      </c>
      <c r="BE4" s="166">
        <f>IF('All Fleet'!BB40="","",'All Fleet'!BB40)</f>
        <v>0.85011904761904766</v>
      </c>
      <c r="BF4" s="166">
        <f>IF('All Fleet'!BC40="","",'All Fleet'!BC40)</f>
        <v>0.8466477272727273</v>
      </c>
      <c r="BG4" s="166">
        <f>IF('All Fleet'!BD40="","",'All Fleet'!BD40)</f>
        <v>0.85331521739130434</v>
      </c>
      <c r="BH4" s="166">
        <f>IF('All Fleet'!BE40="","",'All Fleet'!BE40)</f>
        <v>0.85468750000000004</v>
      </c>
      <c r="BI4" s="166">
        <f>IF('All Fleet'!BF40="","",'All Fleet'!BF40)</f>
        <v>0.86050000000000004</v>
      </c>
      <c r="BJ4" s="166">
        <f>IF('All Fleet'!BG40="","",'All Fleet'!BG40)</f>
        <v>0.86586538461538465</v>
      </c>
      <c r="BK4" s="166">
        <f>IF('All Fleet'!BH40="","",'All Fleet'!BH40)</f>
        <v>0.86496913580246915</v>
      </c>
      <c r="BL4" s="166">
        <f>IF('All Fleet'!BI40="","",'All Fleet'!BI40)</f>
        <v>0.86949404761904758</v>
      </c>
      <c r="BM4" s="166">
        <f>IF('All Fleet'!BJ40="","",'All Fleet'!BJ40)</f>
        <v>1</v>
      </c>
      <c r="BN4" s="166">
        <f>IF('All Fleet'!BK40="","",'All Fleet'!BK40)</f>
        <v>0.97354166666666664</v>
      </c>
      <c r="BO4" s="166">
        <f>IF('All Fleet'!BL40="","",'All Fleet'!BL40)</f>
        <v>0.98236111111111113</v>
      </c>
      <c r="BP4" s="166">
        <f>IF('All Fleet'!BM40="","",'All Fleet'!BM40)</f>
        <v>0.98677083333333337</v>
      </c>
      <c r="BQ4" s="166">
        <f>IF('All Fleet'!BN40="","",'All Fleet'!BN40)</f>
        <v>0.98941666666666661</v>
      </c>
      <c r="BR4" s="166">
        <f>IF('All Fleet'!BO40="","",'All Fleet'!BO40)</f>
        <v>0.99118055555555551</v>
      </c>
      <c r="BS4" s="166">
        <f>IF('All Fleet'!BP40="","",'All Fleet'!BP40)</f>
        <v>0.99244047619047615</v>
      </c>
      <c r="BT4" s="166">
        <f>IF('All Fleet'!BQ40="","",'All Fleet'!BQ40)</f>
        <v>0.99338541666666669</v>
      </c>
      <c r="BU4" s="166">
        <f>IF('All Fleet'!BR40="","",'All Fleet'!BR40)</f>
        <v>0.98356481481481484</v>
      </c>
      <c r="BV4" s="166">
        <f>IF('All Fleet'!BS40="","",'All Fleet'!BS40)</f>
        <v>0.98520833333333335</v>
      </c>
      <c r="BW4" s="166">
        <f>IF('All Fleet'!BT40="","",'All Fleet'!BT40)</f>
        <v>0.98655303030303032</v>
      </c>
      <c r="BX4" s="166">
        <f>IF('All Fleet'!BU40="","",'All Fleet'!BU40)</f>
        <v>0.98767361111111107</v>
      </c>
      <c r="BY4" s="166">
        <f>IF('All Fleet'!BV40="","",'All Fleet'!BV40)</f>
        <v>0.98862179487179491</v>
      </c>
      <c r="BZ4" s="166">
        <f>IF('All Fleet'!BW40="","",'All Fleet'!BW40)</f>
        <v>0.98943452380952379</v>
      </c>
      <c r="CA4" s="166">
        <f>IF('All Fleet'!BX40="","",'All Fleet'!BX40)</f>
        <v>0.9901388888888889</v>
      </c>
      <c r="CB4" s="166">
        <f>IF('All Fleet'!BY40="","",'All Fleet'!BY40)</f>
        <v>0.97721354166666663</v>
      </c>
      <c r="CC4" s="166">
        <f>IF('All Fleet'!BZ40="","",'All Fleet'!BZ40)</f>
        <v>0.97855392156862742</v>
      </c>
      <c r="CD4" s="166">
        <f>IF('All Fleet'!CA40="","",'All Fleet'!CA40)</f>
        <v>0.97974537037037035</v>
      </c>
      <c r="CE4" s="166">
        <f>IF('All Fleet'!CB40="","",'All Fleet'!CB40)</f>
        <v>0.92868421052631578</v>
      </c>
      <c r="CF4" s="166">
        <f>IF('All Fleet'!CC40="","",'All Fleet'!CC40)</f>
        <v>0.91066666666666674</v>
      </c>
      <c r="CG4" s="166">
        <f>IF('All Fleet'!CD40="","",'All Fleet'!CD40)</f>
        <v>0.90341269841269844</v>
      </c>
      <c r="CH4" s="166">
        <f>IF('All Fleet'!CE40="","",'All Fleet'!CE40)</f>
        <v>0.90780303030303033</v>
      </c>
      <c r="CI4" s="166">
        <f>IF('All Fleet'!CF40="","",'All Fleet'!CF40)</f>
        <v>0.8853623188405797</v>
      </c>
      <c r="CJ4" s="166">
        <f>IF('All Fleet'!CG40="","",'All Fleet'!CG40)</f>
        <v>0.88958333333333339</v>
      </c>
      <c r="CK4" s="166">
        <f>IF('All Fleet'!CH40="","",'All Fleet'!CH40)</f>
        <v>0.88700000000000001</v>
      </c>
      <c r="CL4" s="166">
        <f>IF('All Fleet'!CI40="","",'All Fleet'!CI40)</f>
        <v>0.87804487179487178</v>
      </c>
      <c r="CM4" s="166">
        <f>IF('All Fleet'!CJ40="","",'All Fleet'!CJ40)</f>
        <v>0.88256172839506175</v>
      </c>
      <c r="CN4" s="166">
        <f>IF('All Fleet'!CK40="","",'All Fleet'!CK40)</f>
        <v>0.88675595238095239</v>
      </c>
      <c r="CO4" s="166">
        <f>IF('All Fleet'!CL40="","",'All Fleet'!CL40)</f>
        <v>0.89066091954022986</v>
      </c>
      <c r="CP4" s="166">
        <f>IF('All Fleet'!CM40="","",'All Fleet'!CM40)</f>
        <v>0.88987499999999997</v>
      </c>
      <c r="CQ4" s="166">
        <f>IF('All Fleet'!CN40="","",'All Fleet'!CN40)</f>
        <v>0.89342741935483871</v>
      </c>
      <c r="CR4" s="166">
        <f>IF('All Fleet'!CO40="","",'All Fleet'!CO40)</f>
        <v>1</v>
      </c>
      <c r="CS4" s="166">
        <f>IF('All Fleet'!CP40="","",'All Fleet'!CP40)</f>
        <v>0.87250000000000005</v>
      </c>
      <c r="CT4" s="166">
        <f>IF('All Fleet'!CQ40="","",'All Fleet'!CQ40)</f>
        <v>0.91500000000000004</v>
      </c>
      <c r="CU4" s="166">
        <f>IF('All Fleet'!CR40="","",'All Fleet'!CR40)</f>
        <v>0.93625000000000003</v>
      </c>
      <c r="CV4" s="166">
        <f>IF('All Fleet'!CS40="","",'All Fleet'!CS40)</f>
        <v>0.94899999999999995</v>
      </c>
      <c r="CW4" s="166">
        <f>IF('All Fleet'!CT40="","",'All Fleet'!CT40)</f>
        <v>0.95472222222222225</v>
      </c>
      <c r="CX4" s="166">
        <f>IF('All Fleet'!CU40="","",'All Fleet'!CU40)</f>
        <v>0.96119047619047615</v>
      </c>
      <c r="CY4" s="166">
        <f>IF('All Fleet'!CV40="","",'All Fleet'!CV40)</f>
        <v>0.96291666666666664</v>
      </c>
      <c r="CZ4" s="166">
        <f>IF('All Fleet'!CW40="","",'All Fleet'!CW40)</f>
        <v>0.96703703703703703</v>
      </c>
      <c r="DA4" s="166">
        <f>IF('All Fleet'!CX40="","",'All Fleet'!CX40)</f>
        <v>0.97033333333333338</v>
      </c>
      <c r="DB4" s="166">
        <f>IF('All Fleet'!CY40="","",'All Fleet'!CY40)</f>
        <v>0.97303030303030302</v>
      </c>
      <c r="DC4" s="166">
        <f>IF('All Fleet'!CZ40="","",'All Fleet'!CZ40)</f>
        <v>0.9752777777777778</v>
      </c>
      <c r="DD4" s="166">
        <f>IF('All Fleet'!DA40="","",'All Fleet'!DA40)</f>
        <v>0.96237179487179492</v>
      </c>
      <c r="DE4" s="166">
        <f>IF('All Fleet'!DB40="","",'All Fleet'!DB40)</f>
        <v>0.96505952380952387</v>
      </c>
      <c r="DF4" s="166">
        <f>IF('All Fleet'!DC40="","",'All Fleet'!DC40)</f>
        <v>0.96738888888888885</v>
      </c>
      <c r="DG4" s="166">
        <f>IF('All Fleet'!DD40="","",'All Fleet'!DD40)</f>
        <v>0.96661458333333328</v>
      </c>
      <c r="DH4" s="166">
        <f>IF('All Fleet'!DE40="","",'All Fleet'!DE40)</f>
        <v>0.96857843137254906</v>
      </c>
      <c r="DI4" s="166">
        <f>IF('All Fleet'!DF40="","",'All Fleet'!DF40)</f>
        <v>0.97032407407407406</v>
      </c>
      <c r="DJ4" s="166">
        <f>IF('All Fleet'!DG40="","",'All Fleet'!DG40)</f>
        <v>0.97188596491228074</v>
      </c>
      <c r="DK4" s="166">
        <f>IF('All Fleet'!DH40="","",'All Fleet'!DH40)</f>
        <v>0.97329166666666667</v>
      </c>
      <c r="DL4" s="166">
        <f>IF('All Fleet'!DI40="","",'All Fleet'!DI40)</f>
        <v>0.97456349206349202</v>
      </c>
      <c r="DM4" s="166">
        <f>IF('All Fleet'!DJ40="","",'All Fleet'!DJ40)</f>
        <v>0.97571969696969696</v>
      </c>
      <c r="DN4" s="166">
        <f>IF('All Fleet'!DK40="","",'All Fleet'!DK40)</f>
        <v>0.97266304347826082</v>
      </c>
      <c r="DO4" s="166">
        <f>IF('All Fleet'!DL40="","",'All Fleet'!DL40)</f>
        <v>0.96751736111111108</v>
      </c>
      <c r="DP4" s="166">
        <f>IF('All Fleet'!DM40="","",'All Fleet'!DM40)</f>
        <v>0.96881666666666666</v>
      </c>
      <c r="DQ4" s="166">
        <f>IF('All Fleet'!DN40="","",'All Fleet'!DN40)</f>
        <v>0.97001602564102563</v>
      </c>
      <c r="DR4" s="166">
        <f>IF('All Fleet'!DO40="","",'All Fleet'!DO40)</f>
        <v>0.97112654320987657</v>
      </c>
      <c r="DS4" s="166">
        <f>IF('All Fleet'!DP40="","",'All Fleet'!DP40)</f>
        <v>0.97215773809523809</v>
      </c>
      <c r="DT4" s="166">
        <f>IF('All Fleet'!DQ40="","",'All Fleet'!DQ40)</f>
        <v>0.97311781609195402</v>
      </c>
      <c r="DU4" s="166">
        <f>IF('All Fleet'!DR40="","",'All Fleet'!DR40)</f>
        <v>0.97401388888888885</v>
      </c>
      <c r="DV4" s="166">
        <f>IF('All Fleet'!DS40="","",'All Fleet'!DS40)</f>
        <v>1</v>
      </c>
      <c r="DW4" s="166">
        <f>IF('All Fleet'!DT40="","",'All Fleet'!DT40)</f>
        <v>0.93645833333333339</v>
      </c>
      <c r="DX4" s="166">
        <f>IF('All Fleet'!DU40="","",'All Fleet'!DU40)</f>
        <v>0.95763888888888893</v>
      </c>
      <c r="DY4" s="166">
        <f>IF('All Fleet'!DV40="","",'All Fleet'!DV40)</f>
        <v>0.9682291666666667</v>
      </c>
      <c r="DZ4" s="166">
        <f>IF('All Fleet'!DW40="","",'All Fleet'!DW40)</f>
        <v>0.97458333333333336</v>
      </c>
      <c r="EA4" s="166">
        <f>IF('All Fleet'!DX40="","",'All Fleet'!DX40)</f>
        <v>0.97881944444444446</v>
      </c>
      <c r="EB4" s="166">
        <f>IF('All Fleet'!DY40="","",'All Fleet'!DY40)</f>
        <v>0.98184523809523805</v>
      </c>
      <c r="EC4" s="166">
        <f>IF('All Fleet'!DZ40="","",'All Fleet'!DZ40)</f>
        <v>0.97005208333333337</v>
      </c>
      <c r="ED4" s="166">
        <f>IF('All Fleet'!EA40="","",'All Fleet'!EA40)</f>
        <v>0.97337962962962965</v>
      </c>
      <c r="EE4" s="166">
        <f>IF('All Fleet'!EB40="","",'All Fleet'!EB40)</f>
        <v>0.96616666666666662</v>
      </c>
      <c r="EF4" s="166">
        <f>IF('All Fleet'!EC40="","",'All Fleet'!EC40)</f>
        <v>0.9048484848484849</v>
      </c>
      <c r="EG4" s="166">
        <f>IF('All Fleet'!ED40="","",'All Fleet'!ED40)</f>
        <v>0.87666666666666671</v>
      </c>
      <c r="EH4" s="166">
        <f>IF('All Fleet'!EE40="","",'All Fleet'!EE40)</f>
        <v>0.85314102564102567</v>
      </c>
      <c r="EI4" s="166">
        <f>IF('All Fleet'!EF40="","",'All Fleet'!EF40)</f>
        <v>0.86363095238095244</v>
      </c>
      <c r="EJ4" s="166">
        <f>IF('All Fleet'!EG40="","",'All Fleet'!EG40)</f>
        <v>0.85022222222222221</v>
      </c>
      <c r="EK4" s="166">
        <f>IF('All Fleet'!EH40="","",'All Fleet'!EH40)</f>
        <v>0.85861979166666669</v>
      </c>
      <c r="EL4" s="166">
        <f>IF('All Fleet'!EI40="","",'All Fleet'!EI40)</f>
        <v>0.85399509803921569</v>
      </c>
      <c r="EM4" s="166">
        <f>IF('All Fleet'!EJ40="","",'All Fleet'!EJ40)</f>
        <v>0.8621064814814815</v>
      </c>
      <c r="EN4" s="166">
        <f>IF('All Fleet'!EK40="","",'All Fleet'!EK40)</f>
        <v>0.86936403508771931</v>
      </c>
      <c r="EO4" s="166">
        <f>IF('All Fleet'!EL40="","",'All Fleet'!EL40)</f>
        <v>0.87589583333333332</v>
      </c>
      <c r="EP4" s="166">
        <f>IF('All Fleet'!EM40="","",'All Fleet'!EM40)</f>
        <v>0.88180555555555551</v>
      </c>
      <c r="EQ4" s="166">
        <f>IF('All Fleet'!EN40="","",'All Fleet'!EN40)</f>
        <v>0.88717803030303033</v>
      </c>
      <c r="ER4" s="166">
        <f>IF('All Fleet'!EO40="","",'All Fleet'!EO40)</f>
        <v>0.89208333333333334</v>
      </c>
      <c r="ES4" s="166">
        <f>IF('All Fleet'!EP40="","",'All Fleet'!EP40)</f>
        <v>0.8965798611111111</v>
      </c>
      <c r="ET4" s="166">
        <f>IF('All Fleet'!EQ40="","",'All Fleet'!EQ40)</f>
        <v>0.90071666666666672</v>
      </c>
      <c r="EU4" s="166">
        <f>IF('All Fleet'!ER40="","",'All Fleet'!ER40)</f>
        <v>0.88947115384615383</v>
      </c>
      <c r="EV4" s="166">
        <f>IF('All Fleet'!ES40="","",'All Fleet'!ES40)</f>
        <v>0.89356481481481476</v>
      </c>
      <c r="EW4" s="166">
        <f>IF('All Fleet'!ET40="","",'All Fleet'!ET40)</f>
        <v>0.89736607142857139</v>
      </c>
      <c r="EX4" s="166">
        <f>IF('All Fleet'!EU40="","",'All Fleet'!EU40)</f>
        <v>0.90090517241379309</v>
      </c>
      <c r="EY4" s="166">
        <f>IF('All Fleet'!EV40="","",'All Fleet'!EV40)</f>
        <v>0.90420833333333328</v>
      </c>
      <c r="EZ4" s="166">
        <f>IF('All Fleet'!EW40="","",'All Fleet'!EW40)</f>
        <v>0.90729838709677424</v>
      </c>
      <c r="FA4" s="166">
        <f>IF('All Fleet'!EX40="","",'All Fleet'!EX40)</f>
        <v>1</v>
      </c>
      <c r="FB4" s="166">
        <f>IF('All Fleet'!EY40="","",'All Fleet'!EY40)</f>
        <v>1</v>
      </c>
      <c r="FC4" s="166">
        <f>IF('All Fleet'!EZ40="","",'All Fleet'!EZ40)</f>
        <v>1</v>
      </c>
      <c r="FD4" s="166">
        <f>IF('All Fleet'!FA40="","",'All Fleet'!FA40)</f>
        <v>1</v>
      </c>
      <c r="FE4" s="166">
        <f>IF('All Fleet'!FB40="","",'All Fleet'!FB40)</f>
        <v>1</v>
      </c>
      <c r="FF4" s="166">
        <f>IF('All Fleet'!FC40="","",'All Fleet'!FC40)</f>
        <v>1</v>
      </c>
      <c r="FG4" s="166">
        <f>IF('All Fleet'!FD40="","",'All Fleet'!FD40)</f>
        <v>1</v>
      </c>
      <c r="FH4" s="166">
        <f>IF('All Fleet'!FE40="","",'All Fleet'!FE40)</f>
        <v>0.86682291666666667</v>
      </c>
      <c r="FI4" s="166">
        <f>IF('All Fleet'!FF40="","",'All Fleet'!FF40)</f>
        <v>0.86208333333333331</v>
      </c>
      <c r="FJ4" s="166">
        <f>IF('All Fleet'!FG40="","",'All Fleet'!FG40)</f>
        <v>0.87483333333333335</v>
      </c>
      <c r="FK4" s="166">
        <f>IF('All Fleet'!FH40="","",'All Fleet'!FH40)</f>
        <v>0.84738636363636366</v>
      </c>
      <c r="FL4" s="166">
        <f>IF('All Fleet'!FI40="","",'All Fleet'!FI40)</f>
        <v>0.82819444444444446</v>
      </c>
      <c r="FM4" s="166">
        <f>IF('All Fleet'!FJ40="","",'All Fleet'!FJ40)</f>
        <v>0.84141025641025635</v>
      </c>
      <c r="FN4" s="166">
        <f>IF('All Fleet'!FK40="","",'All Fleet'!FK40)</f>
        <v>0.85273809523809518</v>
      </c>
      <c r="FO4" s="166">
        <f>IF('All Fleet'!FL40="","",'All Fleet'!FL40)</f>
        <v>0.86255555555555552</v>
      </c>
      <c r="FP4" s="166">
        <f>IF('All Fleet'!FM40="","",'All Fleet'!FM40)</f>
        <v>0.87114583333333329</v>
      </c>
      <c r="FQ4" s="166">
        <f>IF('All Fleet'!FN40="","",'All Fleet'!FN40)</f>
        <v>0.87872549019607848</v>
      </c>
      <c r="FR4" s="166">
        <f>IF('All Fleet'!FO40="","",'All Fleet'!FO40)</f>
        <v>0.88546296296296301</v>
      </c>
      <c r="FS4" s="166">
        <f>IF('All Fleet'!FP40="","",'All Fleet'!FP40)</f>
        <v>0.89149122807017545</v>
      </c>
      <c r="FT4" s="166">
        <f>IF('All Fleet'!FQ40="","",'All Fleet'!FQ40)</f>
        <v>0.8969166666666667</v>
      </c>
      <c r="FU4" s="166">
        <f>IF('All Fleet'!FR40="","",'All Fleet'!FR40)</f>
        <v>0.90182539682539686</v>
      </c>
      <c r="FV4" s="166">
        <f>IF('All Fleet'!FS40="","",'All Fleet'!FS40)</f>
        <v>0.90628787878787875</v>
      </c>
      <c r="FW4" s="166">
        <f>IF('All Fleet'!FT40="","",'All Fleet'!FT40)</f>
        <v>0.91036231884057972</v>
      </c>
      <c r="FX4" s="166">
        <f>IF('All Fleet'!FU40="","",'All Fleet'!FU40)</f>
        <v>0.91409722222222223</v>
      </c>
      <c r="FY4" s="166">
        <f>IF('All Fleet'!FV40="","",'All Fleet'!FV40)</f>
        <v>0.90236666666666665</v>
      </c>
      <c r="FZ4" s="166">
        <f>IF('All Fleet'!FW40="","",'All Fleet'!FW40)</f>
        <v>0.9013461538461538</v>
      </c>
      <c r="GA4" s="166">
        <f>IF('All Fleet'!FX40="","",'All Fleet'!FX40)</f>
        <v>0.90500000000000003</v>
      </c>
      <c r="GB4" s="166">
        <f>IF('All Fleet'!FY40="","",'All Fleet'!FY40)</f>
        <v>0.90839285714285711</v>
      </c>
      <c r="GC4" s="166">
        <f>IF('All Fleet'!FZ40="","",'All Fleet'!FZ40)</f>
        <v>0.89500000000000002</v>
      </c>
      <c r="GD4" s="166">
        <f>IF('All Fleet'!GA40="","",'All Fleet'!GA40)</f>
        <v>0.89849999999999997</v>
      </c>
      <c r="GE4" s="166">
        <f>IF('All Fleet'!GB40="","",'All Fleet'!GB40)</f>
        <v>1</v>
      </c>
      <c r="GF4" s="166">
        <f>IF('All Fleet'!GC40="","",'All Fleet'!GC40)</f>
        <v>0.98729166666666668</v>
      </c>
      <c r="GG4" s="166">
        <f>IF('All Fleet'!GD40="","",'All Fleet'!GD40)</f>
        <v>0.99152777777777779</v>
      </c>
      <c r="GH4" s="166">
        <f>IF('All Fleet'!GE40="","",'All Fleet'!GE40)</f>
        <v>0.99281249999999999</v>
      </c>
      <c r="GI4" s="166">
        <f>IF('All Fleet'!GF40="","",'All Fleet'!GF40)</f>
        <v>0.99424999999999997</v>
      </c>
      <c r="GJ4" s="166">
        <f>IF('All Fleet'!GG40="","",'All Fleet'!GG40)</f>
        <v>0.99520833333333336</v>
      </c>
      <c r="GK4" s="166">
        <f>IF('All Fleet'!GH40="","",'All Fleet'!GH40)</f>
        <v>0.98982142857142852</v>
      </c>
      <c r="GL4" s="166">
        <f>IF('All Fleet'!GI40="","",'All Fleet'!GI40)</f>
        <v>0.99109375</v>
      </c>
      <c r="GM4" s="166">
        <f>IF('All Fleet'!GJ40="","",'All Fleet'!GJ40)</f>
        <v>0.99208333333333332</v>
      </c>
      <c r="GN4" s="166">
        <f>IF('All Fleet'!GK40="","",'All Fleet'!GK40)</f>
        <v>0.99287499999999995</v>
      </c>
      <c r="GO4" s="166">
        <f>IF('All Fleet'!GL40="","",'All Fleet'!GL40)</f>
        <v>0.99352272727272728</v>
      </c>
      <c r="GP4" s="166">
        <f>IF('All Fleet'!GM40="","",'All Fleet'!GM40)</f>
        <v>0.99406249999999996</v>
      </c>
      <c r="GQ4" s="166">
        <f>IF('All Fleet'!GN40="","",'All Fleet'!GN40)</f>
        <v>0.99451923076923077</v>
      </c>
      <c r="GR4" s="166">
        <f>IF('All Fleet'!GO40="","",'All Fleet'!GO40)</f>
        <v>0.99491071428571431</v>
      </c>
      <c r="GS4" s="166">
        <f>IF('All Fleet'!GP40="","",'All Fleet'!GP40)</f>
        <v>0.99524999999999997</v>
      </c>
      <c r="GT4" s="166">
        <f>IF('All Fleet'!GQ40="","",'All Fleet'!GQ40)</f>
        <v>0.99554687500000005</v>
      </c>
      <c r="GU4" s="166">
        <f>IF('All Fleet'!GR40="","",'All Fleet'!GR40)</f>
        <v>0.9958088235294118</v>
      </c>
      <c r="GV4" s="166">
        <f>IF('All Fleet'!GS40="","",'All Fleet'!GS40)</f>
        <v>0.99604166666666671</v>
      </c>
      <c r="GW4" s="166">
        <f>IF('All Fleet'!GT40="","",'All Fleet'!GT40)</f>
        <v>0.99624999999999997</v>
      </c>
      <c r="GX4" s="166">
        <f>IF('All Fleet'!GU40="","",'All Fleet'!GU40)</f>
        <v>0.89681250000000001</v>
      </c>
      <c r="GY4" s="166">
        <f>IF('All Fleet'!GV40="","",'All Fleet'!GV40)</f>
        <v>0.90172619047619051</v>
      </c>
      <c r="GZ4" s="166">
        <f>IF('All Fleet'!GW40="","",'All Fleet'!GW40)</f>
        <v>0.90017045454545452</v>
      </c>
      <c r="HA4" s="166">
        <f>IF('All Fleet'!GX40="","",'All Fleet'!GX40)</f>
        <v>0.90451086956521742</v>
      </c>
      <c r="HB4" s="166">
        <f>IF('All Fleet'!GY40="","",'All Fleet'!GY40)</f>
        <v>0.90848958333333329</v>
      </c>
      <c r="HC4" s="166">
        <f>IF('All Fleet'!GZ40="","",'All Fleet'!GZ40)</f>
        <v>0.91215000000000002</v>
      </c>
      <c r="HD4" s="166">
        <f>IF('All Fleet'!HA40="","",'All Fleet'!HA40)</f>
        <v>0.91552884615384611</v>
      </c>
      <c r="HE4" s="166">
        <f>IF('All Fleet'!HB40="","",'All Fleet'!HB40)</f>
        <v>0.91865740740740742</v>
      </c>
      <c r="HF4" s="166">
        <f>IF('All Fleet'!HC40="","",'All Fleet'!HC40)</f>
        <v>0.92156249999999995</v>
      </c>
      <c r="HG4" s="166">
        <f>IF('All Fleet'!HD40="","",'All Fleet'!HD40)</f>
        <v>0.89886494252873561</v>
      </c>
      <c r="HH4" s="166">
        <f>IF('All Fleet'!HE40="","",'All Fleet'!HE40)</f>
        <v>0.90223611111111113</v>
      </c>
      <c r="HI4" s="166">
        <f>IF('All Fleet'!HF40="","",'All Fleet'!HF40)</f>
        <v>0.90538978494623656</v>
      </c>
      <c r="HJ4" s="166">
        <f>IF('All Fleet'!HG40="","",'All Fleet'!HG40)</f>
        <v>1</v>
      </c>
      <c r="HK4" s="166">
        <f>IF('All Fleet'!HH40="","",'All Fleet'!HH40)</f>
        <v>1</v>
      </c>
      <c r="HL4" s="166">
        <f>IF('All Fleet'!HI40="","",'All Fleet'!HI40)</f>
        <v>1</v>
      </c>
      <c r="HM4" s="166">
        <f>IF('All Fleet'!HJ40="","",'All Fleet'!HJ40)</f>
        <v>0.99282986111111116</v>
      </c>
      <c r="HN4" s="166">
        <f>IF('All Fleet'!HK40="","",'All Fleet'!HK40)</f>
        <v>0.82964351851851847</v>
      </c>
      <c r="HO4" s="166">
        <f>IF('All Fleet'!HL40="","",'All Fleet'!HL40)</f>
        <v>0.85358603395061727</v>
      </c>
      <c r="HP4" s="166">
        <f>IF('All Fleet'!HM40="","",'All Fleet'!HM40)</f>
        <v>0.87450231481481477</v>
      </c>
      <c r="HQ4" s="166">
        <f>IF('All Fleet'!HN40="","",'All Fleet'!HN40)</f>
        <v>0.89018952546296293</v>
      </c>
      <c r="HR4" s="166">
        <f>IF('All Fleet'!HO40="","",'All Fleet'!HO40)</f>
        <v>0.90239068930041155</v>
      </c>
      <c r="HS4" s="166">
        <f>IF('All Fleet'!HP40="","",'All Fleet'!HP40)</f>
        <v>0.91215162037037034</v>
      </c>
      <c r="HT4" s="166">
        <f>IF('All Fleet'!HQ40="","",'All Fleet'!HQ40)</f>
        <v>0.92013783670033666</v>
      </c>
      <c r="HU4" s="166">
        <f>IF('All Fleet'!HR40="","",'All Fleet'!HR40)</f>
        <v>0.92679301697530869</v>
      </c>
      <c r="HV4" s="166">
        <f>IF('All Fleet'!HS40="","",'All Fleet'!HS40)</f>
        <v>0.88001513532763531</v>
      </c>
      <c r="HW4" s="166">
        <f>IF('All Fleet'!HT40="","",'All Fleet'!HT40)</f>
        <v>0.88858548280423277</v>
      </c>
      <c r="HX4" s="166">
        <f>IF('All Fleet'!HU40="","",'All Fleet'!HU40)</f>
        <v>0.88110648148148152</v>
      </c>
      <c r="HY4" s="166">
        <f>IF('All Fleet'!HV40="","",'All Fleet'!HV40)</f>
        <v>0.88853732638888894</v>
      </c>
      <c r="HZ4" s="166">
        <f>IF('All Fleet'!HW40="","",'All Fleet'!HW40)</f>
        <v>0.89509395424836602</v>
      </c>
      <c r="IA4" s="166">
        <f>IF('All Fleet'!HX40="","",'All Fleet'!HX40)</f>
        <v>0.8701292438271605</v>
      </c>
      <c r="IB4" s="166">
        <f>IF('All Fleet'!HY40="","",'All Fleet'!HY40)</f>
        <v>0.86890411793372313</v>
      </c>
      <c r="IC4" s="166">
        <f>IF('All Fleet'!HZ40="","",'All Fleet'!HZ40)</f>
        <v>0.86203125000000003</v>
      </c>
      <c r="ID4" s="166">
        <f>IF('All Fleet'!IA40="","",'All Fleet'!IA40)</f>
        <v>0.86716655643738971</v>
      </c>
      <c r="IE4" s="166">
        <f>IF('All Fleet'!IB40="","",'All Fleet'!IB40)</f>
        <v>0.86134154040404043</v>
      </c>
      <c r="IF4" s="166">
        <f>IF('All Fleet'!IC40="","",'All Fleet'!IC40)</f>
        <v>0.82635567632850238</v>
      </c>
      <c r="IG4" s="166">
        <f>IF('All Fleet'!ID40="","",'All Fleet'!ID40)</f>
        <v>0.83103877314814811</v>
      </c>
      <c r="IH4" s="166">
        <f>IF('All Fleet'!IE40="","",'All Fleet'!IE40)</f>
        <v>0.83779722222222219</v>
      </c>
      <c r="II4" s="166">
        <f>IF('All Fleet'!IF40="","",'All Fleet'!IF40)</f>
        <v>0.83727297008547008</v>
      </c>
      <c r="IJ4" s="166">
        <f>IF('All Fleet'!IG40="","",'All Fleet'!IG40)</f>
        <v>0.83275977366255138</v>
      </c>
      <c r="IK4" s="166">
        <f>IF('All Fleet'!IH40="","",'All Fleet'!IH40)</f>
        <v>0.83873263888888894</v>
      </c>
      <c r="IL4" s="166">
        <f>IF('All Fleet'!II40="","",'All Fleet'!II40)</f>
        <v>0.84429358237547891</v>
      </c>
      <c r="IM4" s="166">
        <f>IF('All Fleet'!IJ40="","",'All Fleet'!IJ40)</f>
        <v>0.84440046296296289</v>
      </c>
      <c r="IN4" s="166">
        <f>IF('All Fleet'!IK40="","",'All Fleet'!IK40)</f>
        <v>0.8494198028673835</v>
      </c>
      <c r="IO4" s="166">
        <f>IF('All Fleet'!IL40="","",'All Fleet'!IL40)</f>
        <v>1</v>
      </c>
      <c r="IP4" s="166">
        <f>IF('All Fleet'!IM40="","",'All Fleet'!IM40)</f>
        <v>1</v>
      </c>
      <c r="IQ4" s="166">
        <f>IF('All Fleet'!IN40="","",'All Fleet'!IN40)</f>
        <v>0.85237268518518516</v>
      </c>
      <c r="IR4" s="166">
        <f>IF('All Fleet'!IO40="","",'All Fleet'!IO40)</f>
        <v>0.77625578703703701</v>
      </c>
      <c r="IS4" s="166">
        <f>IF('All Fleet'!IP40="","",'All Fleet'!IP40)</f>
        <v>0.81758333333333333</v>
      </c>
      <c r="IT4" s="166">
        <f>IF('All Fleet'!IQ40="","",'All Fleet'!IQ40)</f>
        <v>0.8160050154320988</v>
      </c>
      <c r="IU4" s="166">
        <f>IF('All Fleet'!IR40="","",'All Fleet'!IR40)</f>
        <v>0.84140542328042323</v>
      </c>
      <c r="IV4" s="166">
        <f>IF('All Fleet'!IS40="","",'All Fleet'!IS40)</f>
        <v>0.85339554398148143</v>
      </c>
      <c r="IW4" s="166">
        <f>IF('All Fleet'!IT40="","",'All Fleet'!IT40)</f>
        <v>0.86968492798353902</v>
      </c>
      <c r="IX4" s="166">
        <f>IF('All Fleet'!IU40="","",'All Fleet'!IU40)</f>
        <v>0.83803356481481472</v>
      </c>
      <c r="IY4" s="166">
        <f>IF('All Fleet'!IV40="","",'All Fleet'!IV40)</f>
        <v>0.84684448653198652</v>
      </c>
      <c r="IZ4" s="166">
        <f>IF('All Fleet'!IW40="","",'All Fleet'!IW40)</f>
        <v>0.85960744598765426</v>
      </c>
      <c r="JA4" s="166">
        <f>IF('All Fleet'!IX40="","",'All Fleet'!IX40)</f>
        <v>0.83377225783475784</v>
      </c>
      <c r="JB4" s="166">
        <f>IF('All Fleet'!IY40="","",'All Fleet'!IY40)</f>
        <v>0.84564566798941798</v>
      </c>
      <c r="JC4" s="166">
        <f>IF('All Fleet'!IZ40="","",'All Fleet'!IZ40)</f>
        <v>0.85593595679012346</v>
      </c>
      <c r="JD4" s="166">
        <f>IF('All Fleet'!JA40="","",'All Fleet'!JA40)</f>
        <v>0.85130353009259263</v>
      </c>
      <c r="JE4" s="166">
        <f>IF('All Fleet'!JB40="","",'All Fleet'!JB40)</f>
        <v>0.8599108115468409</v>
      </c>
      <c r="JF4" s="166">
        <f>IF('All Fleet'!JC40="","",'All Fleet'!JC40)</f>
        <v>0.86769354423868306</v>
      </c>
      <c r="JG4" s="166">
        <f>IF('All Fleet'!JD40="","",'All Fleet'!JD40)</f>
        <v>0.87465704191033133</v>
      </c>
      <c r="JH4" s="166">
        <f>IF('All Fleet'!JE40="","",'All Fleet'!JE40)</f>
        <v>0.8809241898148148</v>
      </c>
      <c r="JI4" s="166">
        <f>IF('All Fleet'!JF40="","",'All Fleet'!JF40)</f>
        <v>0.88659446649029983</v>
      </c>
      <c r="JJ4" s="166">
        <f>IF('All Fleet'!JG40="","",'All Fleet'!JG40)</f>
        <v>0.89174926346801342</v>
      </c>
      <c r="JK4" s="166">
        <f>IF('All Fleet'!JH40="","",'All Fleet'!JH40)</f>
        <v>0.89645581723027368</v>
      </c>
      <c r="JL4" s="166">
        <f>IF('All Fleet'!JI40="","",'All Fleet'!JI40)</f>
        <v>0.90077015817901229</v>
      </c>
      <c r="JM4" s="166">
        <f>IF('All Fleet'!JJ40="","",'All Fleet'!JJ40)</f>
        <v>0.90473935185185184</v>
      </c>
      <c r="JN4" s="166">
        <f>IF('All Fleet'!JK40="","",'All Fleet'!JK40)</f>
        <v>0.90840322293447295</v>
      </c>
      <c r="JO4" s="166">
        <f>IF('All Fleet'!JL40="","",'All Fleet'!JL40)</f>
        <v>0.91179569615912204</v>
      </c>
      <c r="JP4" s="166">
        <f>IF('All Fleet'!JM40="","",'All Fleet'!JM40)</f>
        <v>0.90390418320105814</v>
      </c>
      <c r="JQ4" s="166">
        <f>IF('All Fleet'!JN40="","",'All Fleet'!JN40)</f>
        <v>0.90721783205619411</v>
      </c>
      <c r="JR4" s="166">
        <f>IF('All Fleet'!JO40="","",'All Fleet'!JO40)</f>
        <v>0.90892168209876545</v>
      </c>
      <c r="JS4" s="166">
        <f>IF('All Fleet'!JP40="","",'All Fleet'!JP40)</f>
        <v>0.95833333333333337</v>
      </c>
      <c r="JT4" s="166">
        <f>IF('All Fleet'!JQ40="","",'All Fleet'!JQ40)</f>
        <v>0.854375</v>
      </c>
      <c r="JU4" s="166">
        <f>IF('All Fleet'!JR40="","",'All Fleet'!JR40)</f>
        <v>0.62738811728395061</v>
      </c>
      <c r="JV4" s="166">
        <f>IF('All Fleet'!JS40="","",'All Fleet'!JS40)</f>
        <v>0.71684027777777781</v>
      </c>
      <c r="JW4" s="166">
        <f>IF('All Fleet'!JT40="","",'All Fleet'!JT40)</f>
        <v>0.77347222222222223</v>
      </c>
      <c r="JX4" s="166">
        <f>IF('All Fleet'!JU40="","",'All Fleet'!JU40)</f>
        <v>0.81122685185185184</v>
      </c>
      <c r="JY4" s="166">
        <f>IF('All Fleet'!JV40="","",'All Fleet'!JV40)</f>
        <v>0.83224206349206353</v>
      </c>
      <c r="JZ4" s="166">
        <f>IF('All Fleet'!JW40="","",'All Fleet'!JW40)</f>
        <v>0.85321180555555554</v>
      </c>
      <c r="KA4" s="166">
        <f>IF('All Fleet'!JX40="","",'All Fleet'!JX40)</f>
        <v>0.85100308641975309</v>
      </c>
      <c r="KB4" s="166">
        <f>IF('All Fleet'!JY40="","",'All Fleet'!JY40)</f>
        <v>0.76590277777777782</v>
      </c>
      <c r="KC4" s="166">
        <f>IF('All Fleet'!JZ40="","",'All Fleet'!JZ40)</f>
        <v>0.69627525252525246</v>
      </c>
      <c r="KD4" s="166">
        <f>IF('All Fleet'!KA40="","",'All Fleet'!KA40)</f>
        <v>0.72158564814814818</v>
      </c>
      <c r="KE4" s="166">
        <f>IF('All Fleet'!KB40="","",'All Fleet'!KB40)</f>
        <v>0.74300213675213667</v>
      </c>
      <c r="KF4" s="166">
        <f>IF('All Fleet'!KC40="","",'All Fleet'!KC40)</f>
        <v>0.761359126984127</v>
      </c>
      <c r="KG4" s="166">
        <f>IF('All Fleet'!KD40="","",'All Fleet'!KD40)</f>
        <v>0.77726851851851853</v>
      </c>
      <c r="KH4" s="166">
        <f>IF('All Fleet'!KE40="","",'All Fleet'!KE40)</f>
        <v>0.79118923611111114</v>
      </c>
      <c r="KI4" s="166">
        <f>IF('All Fleet'!KF40="","",'All Fleet'!KF40)</f>
        <v>0.80347222222222225</v>
      </c>
      <c r="KJ4" s="166">
        <f>IF('All Fleet'!KG40="","",'All Fleet'!KG40)</f>
        <v>0.81439043209876538</v>
      </c>
      <c r="KK4" s="166">
        <f>IF('All Fleet'!KH40="","",'All Fleet'!KH40)</f>
        <v>0.79784356725146199</v>
      </c>
      <c r="KL4" s="166">
        <f>IF('All Fleet'!KI40="","",'All Fleet'!KI40)</f>
        <v>0.80795138888888884</v>
      </c>
      <c r="KM4" s="166">
        <f>IF('All Fleet'!KJ40="","",'All Fleet'!KJ40)</f>
        <v>0.80519179894179893</v>
      </c>
      <c r="KN4" s="166">
        <f>IF('All Fleet'!KK40="","",'All Fleet'!KK40)</f>
        <v>0.81404671717171717</v>
      </c>
      <c r="KO4" s="166">
        <f>IF('All Fleet'!KL40="","",'All Fleet'!KL40)</f>
        <v>0.82213164251207727</v>
      </c>
      <c r="KP4" s="166">
        <f>IF('All Fleet'!KM40="","",'All Fleet'!KM40)</f>
        <v>0.82954282407407409</v>
      </c>
      <c r="KQ4" s="166">
        <f>IF('All Fleet'!KN40="","",'All Fleet'!KN40)</f>
        <v>0.83636111111111111</v>
      </c>
      <c r="KR4" s="166">
        <f>IF('All Fleet'!KO40="","",'All Fleet'!KO40)</f>
        <v>0.84265491452991448</v>
      </c>
      <c r="KS4" s="166">
        <f>IF('All Fleet'!KP40="","",'All Fleet'!KP40)</f>
        <v>0.84848251028806587</v>
      </c>
      <c r="KT4" s="166">
        <f>IF('All Fleet'!KQ40="","",'All Fleet'!KQ40)</f>
        <v>0.85389384920634925</v>
      </c>
      <c r="KU4" s="166">
        <f>IF('All Fleet'!KR40="","",'All Fleet'!KR40)</f>
        <v>0.85893199233716477</v>
      </c>
      <c r="KV4" s="166">
        <f>IF('All Fleet'!KS40="","",'All Fleet'!KS40)</f>
        <v>0.86363425925925918</v>
      </c>
      <c r="KW4" s="166">
        <f>IF('All Fleet'!KT40="","",'All Fleet'!KT40)</f>
        <v>0.86803315412186377</v>
      </c>
      <c r="KX4" s="166" t="str">
        <f>IF('All Fleet'!KU40="","",'All Fleet'!KU40)</f>
        <v/>
      </c>
      <c r="KY4" s="166" t="str">
        <f>IF('All Fleet'!KV40="","",'All Fleet'!KV40)</f>
        <v/>
      </c>
      <c r="KZ4" s="166" t="str">
        <f>IF('All Fleet'!KW40="","",'All Fleet'!KW40)</f>
        <v/>
      </c>
      <c r="LA4" s="166" t="str">
        <f>IF('All Fleet'!KX40="","",'All Fleet'!KX40)</f>
        <v/>
      </c>
      <c r="LB4" s="166" t="str">
        <f>IF('All Fleet'!KY40="","",'All Fleet'!KY40)</f>
        <v/>
      </c>
      <c r="LC4" s="166" t="str">
        <f>IF('All Fleet'!KZ40="","",'All Fleet'!KZ40)</f>
        <v/>
      </c>
      <c r="LD4" s="166" t="str">
        <f>IF('All Fleet'!LA40="","",'All Fleet'!LA40)</f>
        <v/>
      </c>
      <c r="LE4" s="166" t="str">
        <f>IF('All Fleet'!LB40="","",'All Fleet'!LB40)</f>
        <v/>
      </c>
      <c r="LF4" s="166" t="str">
        <f>IF('All Fleet'!LC40="","",'All Fleet'!LC40)</f>
        <v/>
      </c>
      <c r="LG4" s="166" t="str">
        <f>IF('All Fleet'!LD40="","",'All Fleet'!LD40)</f>
        <v/>
      </c>
      <c r="LH4" s="166" t="str">
        <f>IF('All Fleet'!LE40="","",'All Fleet'!LE40)</f>
        <v/>
      </c>
      <c r="LI4" s="166" t="str">
        <f>IF('All Fleet'!LF40="","",'All Fleet'!LF40)</f>
        <v/>
      </c>
      <c r="LJ4" s="166" t="str">
        <f>IF('All Fleet'!LG40="","",'All Fleet'!LG40)</f>
        <v/>
      </c>
      <c r="LK4" s="166" t="str">
        <f>IF('All Fleet'!LH40="","",'All Fleet'!LH40)</f>
        <v/>
      </c>
      <c r="LL4" s="166" t="str">
        <f>IF('All Fleet'!LI40="","",'All Fleet'!LI40)</f>
        <v/>
      </c>
      <c r="LM4" s="166" t="str">
        <f>IF('All Fleet'!LJ40="","",'All Fleet'!LJ40)</f>
        <v/>
      </c>
      <c r="LN4" s="166" t="str">
        <f>IF('All Fleet'!LK40="","",'All Fleet'!LK40)</f>
        <v/>
      </c>
      <c r="LO4" s="166" t="str">
        <f>IF('All Fleet'!LL40="","",'All Fleet'!LL40)</f>
        <v/>
      </c>
      <c r="LP4" s="166" t="str">
        <f>IF('All Fleet'!LM40="","",'All Fleet'!LM40)</f>
        <v/>
      </c>
      <c r="LQ4" s="166" t="str">
        <f>IF('All Fleet'!LN40="","",'All Fleet'!LN40)</f>
        <v/>
      </c>
      <c r="LR4" s="166" t="str">
        <f>IF('All Fleet'!LO40="","",'All Fleet'!LO40)</f>
        <v/>
      </c>
      <c r="LS4" s="166" t="str">
        <f>IF('All Fleet'!LP40="","",'All Fleet'!LP40)</f>
        <v/>
      </c>
      <c r="LT4" s="166" t="str">
        <f>IF('All Fleet'!LQ40="","",'All Fleet'!LQ40)</f>
        <v/>
      </c>
      <c r="LU4" s="166" t="str">
        <f>IF('All Fleet'!LR40="","",'All Fleet'!LR40)</f>
        <v/>
      </c>
      <c r="LV4" s="166" t="str">
        <f>IF('All Fleet'!LS40="","",'All Fleet'!LS40)</f>
        <v/>
      </c>
      <c r="LW4" s="166" t="str">
        <f>IF('All Fleet'!LT40="","",'All Fleet'!LT40)</f>
        <v/>
      </c>
      <c r="LX4" s="166" t="str">
        <f>IF('All Fleet'!LU40="","",'All Fleet'!LU40)</f>
        <v/>
      </c>
      <c r="LY4" s="166" t="str">
        <f>IF('All Fleet'!LV40="","",'All Fleet'!LV40)</f>
        <v/>
      </c>
      <c r="LZ4" s="166" t="str">
        <f>IF('All Fleet'!LW40="","",'All Fleet'!LW40)</f>
        <v/>
      </c>
      <c r="MA4" s="166" t="str">
        <f>IF('All Fleet'!LX40="","",'All Fleet'!LX40)</f>
        <v/>
      </c>
      <c r="MB4" s="166" t="str">
        <f>IF('All Fleet'!LY40="","",'All Fleet'!LY40)</f>
        <v/>
      </c>
      <c r="MC4" s="166" t="str">
        <f>IF('All Fleet'!LZ40="","",'All Fleet'!LZ40)</f>
        <v/>
      </c>
      <c r="MD4" s="166" t="str">
        <f>IF('All Fleet'!MA40="","",'All Fleet'!MA40)</f>
        <v/>
      </c>
      <c r="ME4" s="166" t="str">
        <f>IF('All Fleet'!MB40="","",'All Fleet'!MB40)</f>
        <v/>
      </c>
      <c r="MF4" s="166" t="str">
        <f>IF('All Fleet'!MC40="","",'All Fleet'!MC40)</f>
        <v/>
      </c>
      <c r="MG4" s="166" t="str">
        <f>IF('All Fleet'!MD40="","",'All Fleet'!MD40)</f>
        <v/>
      </c>
      <c r="MH4" s="166" t="str">
        <f>IF('All Fleet'!ME40="","",'All Fleet'!ME40)</f>
        <v/>
      </c>
      <c r="MI4" s="166" t="str">
        <f>IF('All Fleet'!MF40="","",'All Fleet'!MF40)</f>
        <v/>
      </c>
      <c r="MJ4" s="166" t="str">
        <f>IF('All Fleet'!MG40="","",'All Fleet'!MG40)</f>
        <v/>
      </c>
      <c r="MK4" s="166" t="str">
        <f>IF('All Fleet'!MH40="","",'All Fleet'!MH40)</f>
        <v/>
      </c>
      <c r="ML4" s="166" t="str">
        <f>IF('All Fleet'!MI40="","",'All Fleet'!MI40)</f>
        <v/>
      </c>
      <c r="MM4" s="166" t="str">
        <f>IF('All Fleet'!MJ40="","",'All Fleet'!MJ40)</f>
        <v/>
      </c>
      <c r="MN4" s="166" t="str">
        <f>IF('All Fleet'!MK40="","",'All Fleet'!MK40)</f>
        <v/>
      </c>
      <c r="MO4" s="166" t="str">
        <f>IF('All Fleet'!ML40="","",'All Fleet'!ML40)</f>
        <v/>
      </c>
      <c r="MP4" s="166" t="str">
        <f>IF('All Fleet'!MM40="","",'All Fleet'!MM40)</f>
        <v/>
      </c>
      <c r="MQ4" s="166" t="str">
        <f>IF('All Fleet'!MN40="","",'All Fleet'!MN40)</f>
        <v/>
      </c>
      <c r="MR4" s="166" t="str">
        <f>IF('All Fleet'!MO40="","",'All Fleet'!MO40)</f>
        <v/>
      </c>
      <c r="MS4" s="166" t="str">
        <f>IF('All Fleet'!MP40="","",'All Fleet'!MP40)</f>
        <v/>
      </c>
      <c r="MT4" s="166" t="str">
        <f>IF('All Fleet'!MQ40="","",'All Fleet'!MQ40)</f>
        <v/>
      </c>
      <c r="MU4" s="166" t="str">
        <f>IF('All Fleet'!MR40="","",'All Fleet'!MR40)</f>
        <v/>
      </c>
      <c r="MV4" s="166" t="str">
        <f>IF('All Fleet'!MS40="","",'All Fleet'!MS40)</f>
        <v/>
      </c>
      <c r="MW4" s="166" t="str">
        <f>IF('All Fleet'!MT40="","",'All Fleet'!MT40)</f>
        <v/>
      </c>
      <c r="MX4" s="166" t="str">
        <f>IF('All Fleet'!MU40="","",'All Fleet'!MU40)</f>
        <v/>
      </c>
      <c r="MY4" s="166" t="str">
        <f>IF('All Fleet'!MV40="","",'All Fleet'!MV40)</f>
        <v/>
      </c>
      <c r="MZ4" s="166" t="str">
        <f>IF('All Fleet'!MW40="","",'All Fleet'!MW40)</f>
        <v/>
      </c>
      <c r="NA4" s="166" t="str">
        <f>IF('All Fleet'!MX40="","",'All Fleet'!MX40)</f>
        <v/>
      </c>
      <c r="NB4" s="166" t="str">
        <f>IF('All Fleet'!MY40="","",'All Fleet'!MY40)</f>
        <v/>
      </c>
      <c r="NC4" s="166" t="str">
        <f>IF('All Fleet'!MZ40="","",'All Fleet'!MZ40)</f>
        <v/>
      </c>
      <c r="ND4" s="166" t="str">
        <f>IF('All Fleet'!NA40="","",'All Fleet'!NA40)</f>
        <v/>
      </c>
      <c r="NE4" s="166" t="str">
        <f>IF('All Fleet'!NB40="","",'All Fleet'!NB40)</f>
        <v/>
      </c>
      <c r="NF4" s="166" t="str">
        <f>IF('All Fleet'!NC40="","",'All Fleet'!NC40)</f>
        <v/>
      </c>
      <c r="NG4" s="166" t="str">
        <f>IF('All Fleet'!ND40="","",'All Fleet'!ND40)</f>
        <v/>
      </c>
      <c r="NH4" s="166" t="str">
        <f>IF('All Fleet'!NE40="","",'All Fleet'!NE40)</f>
        <v/>
      </c>
      <c r="NI4" s="166" t="str">
        <f>IF('All Fleet'!NF40="","",'All Fleet'!NF40)</f>
        <v/>
      </c>
      <c r="NJ4" s="166" t="str">
        <f>IF('All Fleet'!NG40="","",'All Fleet'!NG40)</f>
        <v/>
      </c>
      <c r="NK4" s="166" t="str">
        <f>IF('All Fleet'!NH40="","",'All Fleet'!NH40)</f>
        <v/>
      </c>
      <c r="NL4" s="166" t="str">
        <f>IF('All Fleet'!NI40="","",'All Fleet'!NI40)</f>
        <v/>
      </c>
      <c r="NM4" s="166" t="str">
        <f>IF('All Fleet'!NJ40="","",'All Fleet'!NJ40)</f>
        <v/>
      </c>
      <c r="NN4" s="166" t="str">
        <f>IF('All Fleet'!NK40="","",'All Fleet'!NK40)</f>
        <v/>
      </c>
      <c r="NO4" s="166" t="str">
        <f>IF('All Fleet'!NL40="","",'All Fleet'!NL40)</f>
        <v/>
      </c>
      <c r="NP4" s="166" t="str">
        <f>IF('All Fleet'!NM40="","",'All Fleet'!NM40)</f>
        <v/>
      </c>
      <c r="NQ4" s="166" t="str">
        <f>IF('All Fleet'!NN40="","",'All Fleet'!NN40)</f>
        <v/>
      </c>
      <c r="NR4" s="166" t="str">
        <f>IF('All Fleet'!NO40="","",'All Fleet'!NO40)</f>
        <v/>
      </c>
      <c r="NS4" s="166" t="str">
        <f>IF('All Fleet'!NP40="","",'All Fleet'!NP40)</f>
        <v/>
      </c>
      <c r="NT4" s="166" t="str">
        <f>IF('All Fleet'!NQ40="","",'All Fleet'!NQ40)</f>
        <v/>
      </c>
      <c r="NU4" s="166" t="str">
        <f>IF('All Fleet'!NR40="","",'All Fleet'!NR40)</f>
        <v/>
      </c>
      <c r="NV4" s="166" t="str">
        <f>IF('All Fleet'!NS40="","",'All Fleet'!NS40)</f>
        <v/>
      </c>
      <c r="NW4" s="166" t="str">
        <f>IF('All Fleet'!NT40="","",'All Fleet'!NT40)</f>
        <v/>
      </c>
      <c r="NX4" s="166" t="str">
        <f>IF('All Fleet'!NU40="","",'All Fleet'!NU40)</f>
        <v/>
      </c>
      <c r="NY4" s="166" t="str">
        <f>IF('All Fleet'!NV40="","",'All Fleet'!NV40)</f>
        <v/>
      </c>
      <c r="NZ4" s="166" t="str">
        <f>IF('All Fleet'!NW40="","",'All Fleet'!NW40)</f>
        <v/>
      </c>
      <c r="OA4" s="166" t="str">
        <f>IF('All Fleet'!NX40="","",'All Fleet'!NX40)</f>
        <v/>
      </c>
      <c r="OB4" s="166" t="str">
        <f>IF('All Fleet'!NY40="","",'All Fleet'!NY40)</f>
        <v/>
      </c>
      <c r="OC4" s="166" t="str">
        <f>IF('All Fleet'!NZ40="","",'All Fleet'!NZ40)</f>
        <v/>
      </c>
      <c r="OD4" s="166" t="str">
        <f>IF('All Fleet'!OA40="","",'All Fleet'!OA40)</f>
        <v/>
      </c>
      <c r="OE4" s="166" t="str">
        <f>IF('All Fleet'!OB40="","",'All Fleet'!OB40)</f>
        <v/>
      </c>
      <c r="OF4" s="166" t="str">
        <f>IF('All Fleet'!OC40="","",'All Fleet'!OC40)</f>
        <v/>
      </c>
      <c r="OG4" s="166" t="str">
        <f>IF('All Fleet'!OD40="","",'All Fleet'!OD40)</f>
        <v/>
      </c>
      <c r="OH4" s="166" t="str">
        <f>IF('All Fleet'!OE40="","",'All Fleet'!OE40)</f>
        <v/>
      </c>
      <c r="OI4" s="166" t="str">
        <f>IF('All Fleet'!OF40="","",'All Fleet'!OF40)</f>
        <v/>
      </c>
      <c r="OJ4" s="166" t="str">
        <f>IF('All Fleet'!OG40="","",'All Fleet'!OG40)</f>
        <v/>
      </c>
      <c r="OK4" s="166" t="str">
        <f>IF('All Fleet'!OH40="","",'All Fleet'!OH40)</f>
        <v/>
      </c>
      <c r="OL4" s="166" t="str">
        <f>IF('All Fleet'!OI40="","",'All Fleet'!OI40)</f>
        <v/>
      </c>
      <c r="OM4" s="166" t="str">
        <f>IF('All Fleet'!OJ40="","",'All Fleet'!OJ40)</f>
        <v/>
      </c>
      <c r="ON4" s="166" t="str">
        <f>IF('All Fleet'!OK40="","",'All Fleet'!OK40)</f>
        <v/>
      </c>
      <c r="OO4" s="166" t="str">
        <f>IF('All Fleet'!OL40="","",'All Fleet'!OL40)</f>
        <v/>
      </c>
      <c r="OP4" s="166" t="str">
        <f>IF('All Fleet'!OM40="","",'All Fleet'!OM40)</f>
        <v/>
      </c>
      <c r="OQ4" s="166" t="str">
        <f>IF('All Fleet'!ON40="","",'All Fleet'!ON40)</f>
        <v/>
      </c>
      <c r="OR4" s="166" t="str">
        <f>IF('All Fleet'!OO40="","",'All Fleet'!OO40)</f>
        <v/>
      </c>
      <c r="OS4" s="166" t="str">
        <f>IF('All Fleet'!OP40="","",'All Fleet'!OP40)</f>
        <v/>
      </c>
      <c r="OT4" s="166" t="str">
        <f>IF('All Fleet'!OQ40="","",'All Fleet'!OQ40)</f>
        <v/>
      </c>
      <c r="OU4" s="166" t="str">
        <f>IF('All Fleet'!OR40="","",'All Fleet'!OR40)</f>
        <v/>
      </c>
      <c r="OV4" s="166" t="str">
        <f>IF('All Fleet'!OS40="","",'All Fleet'!OS40)</f>
        <v/>
      </c>
      <c r="OW4" s="166" t="str">
        <f>IF('All Fleet'!OT40="","",'All Fleet'!OT40)</f>
        <v/>
      </c>
      <c r="OX4" s="166" t="str">
        <f>IF('All Fleet'!OU40="","",'All Fleet'!OU40)</f>
        <v/>
      </c>
      <c r="OY4" s="166" t="str">
        <f>IF('All Fleet'!OV40="","",'All Fleet'!OV40)</f>
        <v/>
      </c>
      <c r="OZ4" s="167" t="str">
        <f>IF('All Fleet'!OW40="","",'All Fleet'!OW40)</f>
        <v/>
      </c>
    </row>
    <row r="5" spans="1:416" s="94" customFormat="1" ht="15" customHeight="1" x14ac:dyDescent="0.2">
      <c r="A5" s="138" t="b">
        <f t="shared" ref="A5:A27" si="376">ISODD(B5)</f>
        <v>0</v>
      </c>
      <c r="B5" s="139">
        <v>2</v>
      </c>
      <c r="C5" s="142" t="str">
        <f>C4</f>
        <v>Mechanical Availability</v>
      </c>
      <c r="D5" s="143" t="str">
        <f>D4</f>
        <v>777E Expro</v>
      </c>
      <c r="E5" s="189" t="s">
        <v>78</v>
      </c>
      <c r="F5" s="173">
        <f>IF('All Fleet'!C41="","",'All Fleet'!C41)</f>
        <v>1</v>
      </c>
      <c r="G5" s="173">
        <f>IF('All Fleet'!D41="","",'All Fleet'!D41)</f>
        <v>1</v>
      </c>
      <c r="H5" s="173">
        <f>IF('All Fleet'!E41="","",'All Fleet'!E41)</f>
        <v>1</v>
      </c>
      <c r="I5" s="173">
        <f>IF('All Fleet'!F41="","",'All Fleet'!F41)</f>
        <v>1</v>
      </c>
      <c r="J5" s="173">
        <f>IF('All Fleet'!G41="","",'All Fleet'!G41)</f>
        <v>1</v>
      </c>
      <c r="K5" s="173">
        <f>IF('All Fleet'!H41="","",'All Fleet'!H41)</f>
        <v>1</v>
      </c>
      <c r="L5" s="173">
        <f>IF('All Fleet'!I41="","",'All Fleet'!I41)</f>
        <v>1</v>
      </c>
      <c r="M5" s="173">
        <f>IF('All Fleet'!J41="","",'All Fleet'!J41)</f>
        <v>1</v>
      </c>
      <c r="N5" s="173">
        <f>IF('All Fleet'!K41="","",'All Fleet'!K41)</f>
        <v>1</v>
      </c>
      <c r="O5" s="173">
        <f>IF('All Fleet'!L41="","",'All Fleet'!L41)</f>
        <v>1</v>
      </c>
      <c r="P5" s="173">
        <f>IF('All Fleet'!M41="","",'All Fleet'!M41)</f>
        <v>1</v>
      </c>
      <c r="Q5" s="173">
        <f>IF('All Fleet'!N41="","",'All Fleet'!N41)</f>
        <v>1</v>
      </c>
      <c r="R5" s="173">
        <f>IF('All Fleet'!O41="","",'All Fleet'!O41)</f>
        <v>1</v>
      </c>
      <c r="S5" s="173">
        <f>IF('All Fleet'!P41="","",'All Fleet'!P41)</f>
        <v>1</v>
      </c>
      <c r="T5" s="173">
        <f>IF('All Fleet'!Q41="","",'All Fleet'!Q41)</f>
        <v>1</v>
      </c>
      <c r="U5" s="173">
        <f>IF('All Fleet'!R41="","",'All Fleet'!R41)</f>
        <v>1</v>
      </c>
      <c r="V5" s="173">
        <f>IF('All Fleet'!S41="","",'All Fleet'!S41)</f>
        <v>1</v>
      </c>
      <c r="W5" s="173">
        <f>IF('All Fleet'!T41="","",'All Fleet'!T41)</f>
        <v>1</v>
      </c>
      <c r="X5" s="173">
        <f>IF('All Fleet'!U41="","",'All Fleet'!U41)</f>
        <v>1</v>
      </c>
      <c r="Y5" s="173">
        <f>IF('All Fleet'!V41="","",'All Fleet'!V41)</f>
        <v>1</v>
      </c>
      <c r="Z5" s="173">
        <f>IF('All Fleet'!W41="","",'All Fleet'!W41)</f>
        <v>1</v>
      </c>
      <c r="AA5" s="173">
        <f>IF('All Fleet'!X41="","",'All Fleet'!X41)</f>
        <v>1</v>
      </c>
      <c r="AB5" s="173">
        <f>IF('All Fleet'!Y41="","",'All Fleet'!Y41)</f>
        <v>1</v>
      </c>
      <c r="AC5" s="173">
        <f>IF('All Fleet'!Z41="","",'All Fleet'!Z41)</f>
        <v>1</v>
      </c>
      <c r="AD5" s="173">
        <f>IF('All Fleet'!AA41="","",'All Fleet'!AA41)</f>
        <v>1</v>
      </c>
      <c r="AE5" s="173">
        <f>IF('All Fleet'!AB41="","",'All Fleet'!AB41)</f>
        <v>1</v>
      </c>
      <c r="AF5" s="173">
        <f>IF('All Fleet'!AC41="","",'All Fleet'!AC41)</f>
        <v>1</v>
      </c>
      <c r="AG5" s="173">
        <f>IF('All Fleet'!AD41="","",'All Fleet'!AD41)</f>
        <v>1</v>
      </c>
      <c r="AH5" s="173">
        <f>IF('All Fleet'!AE41="","",'All Fleet'!AE41)</f>
        <v>1</v>
      </c>
      <c r="AI5" s="173">
        <f>IF('All Fleet'!AF41="","",'All Fleet'!AF41)</f>
        <v>1</v>
      </c>
      <c r="AJ5" s="173">
        <f>IF('All Fleet'!AG41="","",'All Fleet'!AG41)</f>
        <v>1</v>
      </c>
      <c r="AK5" s="173">
        <f>IF('All Fleet'!AH41="","",'All Fleet'!AH41)</f>
        <v>1</v>
      </c>
      <c r="AL5" s="173">
        <f>IF('All Fleet'!AI41="","",'All Fleet'!AI41)</f>
        <v>0.91500000000000004</v>
      </c>
      <c r="AM5" s="173">
        <f>IF('All Fleet'!AJ41="","",'All Fleet'!AJ41)</f>
        <v>0.85972222222222217</v>
      </c>
      <c r="AN5" s="173">
        <f>IF('All Fleet'!AK41="","",'All Fleet'!AK41)</f>
        <v>0.85135416666666663</v>
      </c>
      <c r="AO5" s="173">
        <f>IF('All Fleet'!AL41="","",'All Fleet'!AL41)</f>
        <v>0.88108333333333333</v>
      </c>
      <c r="AP5" s="173">
        <f>IF('All Fleet'!AM41="","",'All Fleet'!AM41)</f>
        <v>0.8520833333333333</v>
      </c>
      <c r="AQ5" s="173">
        <f>IF('All Fleet'!AN41="","",'All Fleet'!AN41)</f>
        <v>0.87321428571428572</v>
      </c>
      <c r="AR5" s="173">
        <f>IF('All Fleet'!AO41="","",'All Fleet'!AO41)</f>
        <v>0.88906249999999998</v>
      </c>
      <c r="AS5" s="173">
        <f>IF('All Fleet'!AP41="","",'All Fleet'!AP41)</f>
        <v>0.85717592592592595</v>
      </c>
      <c r="AT5" s="173">
        <f>IF('All Fleet'!AQ41="","",'All Fleet'!AQ41)</f>
        <v>0.87145833333333333</v>
      </c>
      <c r="AU5" s="173">
        <f>IF('All Fleet'!AR41="","",'All Fleet'!AR41)</f>
        <v>0.87094696969696972</v>
      </c>
      <c r="AV5" s="173">
        <f>IF('All Fleet'!AS41="","",'All Fleet'!AS41)</f>
        <v>0.88170138888888894</v>
      </c>
      <c r="AW5" s="173">
        <f>IF('All Fleet'!AT41="","",'All Fleet'!AT41)</f>
        <v>0.89080128205128206</v>
      </c>
      <c r="AX5" s="173">
        <f>IF('All Fleet'!AU41="","",'All Fleet'!AU41)</f>
        <v>0.89860119047619047</v>
      </c>
      <c r="AY5" s="173">
        <f>IF('All Fleet'!AV41="","",'All Fleet'!AV41)</f>
        <v>0.8891944444444444</v>
      </c>
      <c r="AZ5" s="173">
        <f>IF('All Fleet'!AW41="","",'All Fleet'!AW41)</f>
        <v>0.89455729166666664</v>
      </c>
      <c r="BA5" s="173">
        <f>IF('All Fleet'!AX41="","",'All Fleet'!AX41)</f>
        <v>0.89617647058823535</v>
      </c>
      <c r="BB5" s="173">
        <f>IF('All Fleet'!AY41="","",'All Fleet'!AY41)</f>
        <v>0.89423611111111112</v>
      </c>
      <c r="BC5" s="173">
        <f>IF('All Fleet'!AZ41="","",'All Fleet'!AZ41)</f>
        <v>0.87381578947368421</v>
      </c>
      <c r="BD5" s="173">
        <f>IF('All Fleet'!BA41="","",'All Fleet'!BA41)</f>
        <v>0.84985416666666669</v>
      </c>
      <c r="BE5" s="173">
        <f>IF('All Fleet'!BB41="","",'All Fleet'!BB41)</f>
        <v>0.8570039682539683</v>
      </c>
      <c r="BF5" s="173">
        <f>IF('All Fleet'!BC41="","",'All Fleet'!BC41)</f>
        <v>0.85170454545454544</v>
      </c>
      <c r="BG5" s="173">
        <f>IF('All Fleet'!BD41="","",'All Fleet'!BD41)</f>
        <v>0.85815217391304355</v>
      </c>
      <c r="BH5" s="173">
        <f>IF('All Fleet'!BE41="","",'All Fleet'!BE41)</f>
        <v>0.86406249999999996</v>
      </c>
      <c r="BI5" s="173">
        <f>IF('All Fleet'!BF41="","",'All Fleet'!BF41)</f>
        <v>0.86949999999999994</v>
      </c>
      <c r="BJ5" s="173">
        <f>IF('All Fleet'!BG41="","",'All Fleet'!BG41)</f>
        <v>0.87451923076923077</v>
      </c>
      <c r="BK5" s="173">
        <f>IF('All Fleet'!BH41="","",'All Fleet'!BH41)</f>
        <v>0.87916666666666665</v>
      </c>
      <c r="BL5" s="173">
        <f>IF('All Fleet'!BI41="","",'All Fleet'!BI41)</f>
        <v>0.87194940476190474</v>
      </c>
      <c r="BM5" s="173">
        <f>IF('All Fleet'!BJ41="","",'All Fleet'!BJ41)</f>
        <v>1</v>
      </c>
      <c r="BN5" s="173">
        <f>IF('All Fleet'!BK41="","",'All Fleet'!BK41)</f>
        <v>1</v>
      </c>
      <c r="BO5" s="173">
        <f>IF('All Fleet'!BL41="","",'All Fleet'!BL41)</f>
        <v>0.98430555555555554</v>
      </c>
      <c r="BP5" s="173">
        <f>IF('All Fleet'!BM41="","",'All Fleet'!BM41)</f>
        <v>0.98822916666666671</v>
      </c>
      <c r="BQ5" s="173">
        <f>IF('All Fleet'!BN41="","",'All Fleet'!BN41)</f>
        <v>0.99058333333333337</v>
      </c>
      <c r="BR5" s="173">
        <f>IF('All Fleet'!BO41="","",'All Fleet'!BO41)</f>
        <v>0.9440277777777778</v>
      </c>
      <c r="BS5" s="173">
        <f>IF('All Fleet'!BP41="","",'All Fleet'!BP41)</f>
        <v>0.94178571428571434</v>
      </c>
      <c r="BT5" s="173">
        <f>IF('All Fleet'!BQ41="","",'All Fleet'!BQ41)</f>
        <v>0.94906250000000003</v>
      </c>
      <c r="BU5" s="173">
        <f>IF('All Fleet'!BR41="","",'All Fleet'!BR41)</f>
        <v>0.93782407407407409</v>
      </c>
      <c r="BV5" s="173">
        <f>IF('All Fleet'!BS41="","",'All Fleet'!BS41)</f>
        <v>0.94404166666666667</v>
      </c>
      <c r="BW5" s="173">
        <f>IF('All Fleet'!BT41="","",'All Fleet'!BT41)</f>
        <v>0.94147727272727277</v>
      </c>
      <c r="BX5" s="173">
        <f>IF('All Fleet'!BU41="","",'All Fleet'!BU41)</f>
        <v>0.94291666666666663</v>
      </c>
      <c r="BY5" s="173">
        <f>IF('All Fleet'!BV41="","",'All Fleet'!BV41)</f>
        <v>0.9473076923076923</v>
      </c>
      <c r="BZ5" s="173">
        <f>IF('All Fleet'!BW41="","",'All Fleet'!BW41)</f>
        <v>0.95107142857142857</v>
      </c>
      <c r="CA5" s="173">
        <f>IF('All Fleet'!BX41="","",'All Fleet'!BX41)</f>
        <v>0.94733333333333336</v>
      </c>
      <c r="CB5" s="173">
        <f>IF('All Fleet'!BY41="","",'All Fleet'!BY41)</f>
        <v>0.95062500000000005</v>
      </c>
      <c r="CC5" s="173">
        <f>IF('All Fleet'!BZ41="","",'All Fleet'!BZ41)</f>
        <v>0.95352941176470585</v>
      </c>
      <c r="CD5" s="173">
        <f>IF('All Fleet'!CA41="","",'All Fleet'!CA41)</f>
        <v>0.95611111111111113</v>
      </c>
      <c r="CE5" s="173">
        <f>IF('All Fleet'!CB41="","",'All Fleet'!CB41)</f>
        <v>0.95842105263157895</v>
      </c>
      <c r="CF5" s="173">
        <f>IF('All Fleet'!CC41="","",'All Fleet'!CC41)</f>
        <v>0.92862500000000003</v>
      </c>
      <c r="CG5" s="173">
        <f>IF('All Fleet'!CD41="","",'All Fleet'!CD41)</f>
        <v>0.93202380952380959</v>
      </c>
      <c r="CH5" s="173">
        <f>IF('All Fleet'!CE41="","",'All Fleet'!CE41)</f>
        <v>0.93511363636363631</v>
      </c>
      <c r="CI5" s="173">
        <f>IF('All Fleet'!CF41="","",'All Fleet'!CF41)</f>
        <v>0.93793478260869567</v>
      </c>
      <c r="CJ5" s="173">
        <f>IF('All Fleet'!CG41="","",'All Fleet'!CG41)</f>
        <v>0.94052083333333336</v>
      </c>
      <c r="CK5" s="173">
        <f>IF('All Fleet'!CH41="","",'All Fleet'!CH41)</f>
        <v>0.94289999999999996</v>
      </c>
      <c r="CL5" s="173">
        <f>IF('All Fleet'!CI41="","",'All Fleet'!CI41)</f>
        <v>0.94421474358974355</v>
      </c>
      <c r="CM5" s="173">
        <f>IF('All Fleet'!CJ41="","",'All Fleet'!CJ41)</f>
        <v>0.944429012345679</v>
      </c>
      <c r="CN5" s="173">
        <f>IF('All Fleet'!CK41="","",'All Fleet'!CK41)</f>
        <v>0.94641369047619051</v>
      </c>
      <c r="CO5" s="173">
        <f>IF('All Fleet'!CL41="","",'All Fleet'!CL41)</f>
        <v>0.94826149425287354</v>
      </c>
      <c r="CP5" s="173">
        <f>IF('All Fleet'!CM41="","",'All Fleet'!CM41)</f>
        <v>0.94998611111111109</v>
      </c>
      <c r="CQ5" s="173">
        <f>IF('All Fleet'!CN41="","",'All Fleet'!CN41)</f>
        <v>0.95159946236559145</v>
      </c>
      <c r="CR5" s="173">
        <f>IF('All Fleet'!CO41="","",'All Fleet'!CO41)</f>
        <v>0.87375000000000003</v>
      </c>
      <c r="CS5" s="173">
        <f>IF('All Fleet'!CP41="","",'All Fleet'!CP41)</f>
        <v>0.93687500000000001</v>
      </c>
      <c r="CT5" s="173">
        <f>IF('All Fleet'!CQ41="","",'All Fleet'!CQ41)</f>
        <v>0.94166666666666665</v>
      </c>
      <c r="CU5" s="173">
        <f>IF('All Fleet'!CR41="","",'All Fleet'!CR41)</f>
        <v>0.95625000000000004</v>
      </c>
      <c r="CV5" s="173">
        <f>IF('All Fleet'!CS41="","",'All Fleet'!CS41)</f>
        <v>0.96499999999999997</v>
      </c>
      <c r="CW5" s="173">
        <f>IF('All Fleet'!CT41="","",'All Fleet'!CT41)</f>
        <v>0.97083333333333333</v>
      </c>
      <c r="CX5" s="173">
        <f>IF('All Fleet'!CU41="","",'All Fleet'!CU41)</f>
        <v>0.97499999999999998</v>
      </c>
      <c r="CY5" s="173">
        <f>IF('All Fleet'!CV41="","",'All Fleet'!CV41)</f>
        <v>0.97812500000000002</v>
      </c>
      <c r="CZ5" s="173">
        <f>IF('All Fleet'!CW41="","",'All Fleet'!CW41)</f>
        <v>0.98055555555555551</v>
      </c>
      <c r="DA5" s="173">
        <f>IF('All Fleet'!CX41="","",'All Fleet'!CX41)</f>
        <v>0.98250000000000004</v>
      </c>
      <c r="DB5" s="173">
        <f>IF('All Fleet'!CY41="","",'All Fleet'!CY41)</f>
        <v>0.95159090909090904</v>
      </c>
      <c r="DC5" s="173">
        <f>IF('All Fleet'!CZ41="","",'All Fleet'!CZ41)</f>
        <v>0.95562499999999995</v>
      </c>
      <c r="DD5" s="173">
        <f>IF('All Fleet'!DA41="","",'All Fleet'!DA41)</f>
        <v>0.95903846153846151</v>
      </c>
      <c r="DE5" s="173">
        <f>IF('All Fleet'!DB41="","",'All Fleet'!DB41)</f>
        <v>0.96196428571428572</v>
      </c>
      <c r="DF5" s="173">
        <f>IF('All Fleet'!DC41="","",'All Fleet'!DC41)</f>
        <v>0.96450000000000002</v>
      </c>
      <c r="DG5" s="173">
        <f>IF('All Fleet'!DD41="","",'All Fleet'!DD41)</f>
        <v>0.96450520833333331</v>
      </c>
      <c r="DH5" s="173">
        <f>IF('All Fleet'!DE41="","",'All Fleet'!DE41)</f>
        <v>0.96186274509803926</v>
      </c>
      <c r="DI5" s="173">
        <f>IF('All Fleet'!DF41="","",'All Fleet'!DF41)</f>
        <v>0.95935185185185179</v>
      </c>
      <c r="DJ5" s="173">
        <f>IF('All Fleet'!DG41="","",'All Fleet'!DG41)</f>
        <v>0.93557017543859644</v>
      </c>
      <c r="DK5" s="173">
        <f>IF('All Fleet'!DH41="","",'All Fleet'!DH41)</f>
        <v>0.93879166666666669</v>
      </c>
      <c r="DL5" s="173">
        <f>IF('All Fleet'!DI41="","",'All Fleet'!DI41)</f>
        <v>0.94170634920634921</v>
      </c>
      <c r="DM5" s="173">
        <f>IF('All Fleet'!DJ41="","",'All Fleet'!DJ41)</f>
        <v>0.94009469696969694</v>
      </c>
      <c r="DN5" s="173">
        <f>IF('All Fleet'!DK41="","",'All Fleet'!DK41)</f>
        <v>0.94269927536231879</v>
      </c>
      <c r="DO5" s="173">
        <f>IF('All Fleet'!DL41="","",'All Fleet'!DL41)</f>
        <v>0.94508680555555558</v>
      </c>
      <c r="DP5" s="173">
        <f>IF('All Fleet'!DM41="","",'All Fleet'!DM41)</f>
        <v>0.94728333333333337</v>
      </c>
      <c r="DQ5" s="173">
        <f>IF('All Fleet'!DN41="","",'All Fleet'!DN41)</f>
        <v>0.94931089743589747</v>
      </c>
      <c r="DR5" s="173">
        <f>IF('All Fleet'!DO41="","",'All Fleet'!DO41)</f>
        <v>0.94459876543209875</v>
      </c>
      <c r="DS5" s="173">
        <f>IF('All Fleet'!DP41="","",'All Fleet'!DP41)</f>
        <v>0.94657738095238098</v>
      </c>
      <c r="DT5" s="173">
        <f>IF('All Fleet'!DQ41="","",'All Fleet'!DQ41)</f>
        <v>0.94679597701149421</v>
      </c>
      <c r="DU5" s="173">
        <f>IF('All Fleet'!DR41="","",'All Fleet'!DR41)</f>
        <v>0.89854166666666668</v>
      </c>
      <c r="DV5" s="173">
        <f>IF('All Fleet'!DS41="","",'All Fleet'!DS41)</f>
        <v>0.43541666666666667</v>
      </c>
      <c r="DW5" s="173">
        <f>IF('All Fleet'!DT41="","",'All Fleet'!DT41)</f>
        <v>0.71770833333333339</v>
      </c>
      <c r="DX5" s="173">
        <f>IF('All Fleet'!DU41="","",'All Fleet'!DU41)</f>
        <v>0.71180555555555558</v>
      </c>
      <c r="DY5" s="173">
        <f>IF('All Fleet'!DV41="","",'All Fleet'!DV41)</f>
        <v>0.78385416666666663</v>
      </c>
      <c r="DZ5" s="173">
        <f>IF('All Fleet'!DW41="","",'All Fleet'!DW41)</f>
        <v>0.82708333333333339</v>
      </c>
      <c r="EA5" s="173">
        <f>IF('All Fleet'!DX41="","",'All Fleet'!DX41)</f>
        <v>0.85590277777777779</v>
      </c>
      <c r="EB5" s="173">
        <f>IF('All Fleet'!DY41="","",'All Fleet'!DY41)</f>
        <v>0.87648809523809523</v>
      </c>
      <c r="EC5" s="173">
        <f>IF('All Fleet'!DZ41="","",'All Fleet'!DZ41)</f>
        <v>0.88416666666666666</v>
      </c>
      <c r="ED5" s="173">
        <f>IF('All Fleet'!EA41="","",'All Fleet'!EA41)</f>
        <v>0.89703703703703708</v>
      </c>
      <c r="EE5" s="173">
        <f>IF('All Fleet'!EB41="","",'All Fleet'!EB41)</f>
        <v>0.88391666666666668</v>
      </c>
      <c r="EF5" s="173">
        <f>IF('All Fleet'!EC41="","",'All Fleet'!EC41)</f>
        <v>0.79734848484848486</v>
      </c>
      <c r="EG5" s="173">
        <f>IF('All Fleet'!ED41="","",'All Fleet'!ED41)</f>
        <v>0.80138888888888893</v>
      </c>
      <c r="EH5" s="173">
        <f>IF('All Fleet'!EE41="","",'All Fleet'!EE41)</f>
        <v>0.69830128205128206</v>
      </c>
      <c r="EI5" s="173">
        <f>IF('All Fleet'!EF41="","",'All Fleet'!EF41)</f>
        <v>0.71985119047619051</v>
      </c>
      <c r="EJ5" s="173">
        <f>IF('All Fleet'!EG41="","",'All Fleet'!EG41)</f>
        <v>0.73852777777777778</v>
      </c>
      <c r="EK5" s="173">
        <f>IF('All Fleet'!EH41="","",'All Fleet'!EH41)</f>
        <v>0.75486979166666668</v>
      </c>
      <c r="EL5" s="173">
        <f>IF('All Fleet'!EI41="","",'All Fleet'!EI41)</f>
        <v>0.76928921568627451</v>
      </c>
      <c r="EM5" s="173">
        <f>IF('All Fleet'!EJ41="","",'All Fleet'!EJ41)</f>
        <v>0.78210648148148154</v>
      </c>
      <c r="EN5" s="173">
        <f>IF('All Fleet'!EK41="","",'All Fleet'!EK41)</f>
        <v>0.77625</v>
      </c>
      <c r="EO5" s="173">
        <f>IF('All Fleet'!EL41="","",'All Fleet'!EL41)</f>
        <v>0.78743750000000001</v>
      </c>
      <c r="EP5" s="173">
        <f>IF('All Fleet'!EM41="","",'All Fleet'!EM41)</f>
        <v>0.79755952380952377</v>
      </c>
      <c r="EQ5" s="173">
        <f>IF('All Fleet'!EN41="","",'All Fleet'!EN41)</f>
        <v>0.80676136363636364</v>
      </c>
      <c r="ER5" s="173">
        <f>IF('All Fleet'!EO41="","",'All Fleet'!EO41)</f>
        <v>0.81516304347826085</v>
      </c>
      <c r="ES5" s="173">
        <f>IF('All Fleet'!EP41="","",'All Fleet'!EP41)</f>
        <v>0.82286458333333334</v>
      </c>
      <c r="ET5" s="173">
        <f>IF('All Fleet'!EQ41="","",'All Fleet'!EQ41)</f>
        <v>0.82994999999999997</v>
      </c>
      <c r="EU5" s="173">
        <f>IF('All Fleet'!ER41="","",'All Fleet'!ER41)</f>
        <v>0.83649038461538461</v>
      </c>
      <c r="EV5" s="173">
        <f>IF('All Fleet'!ES41="","",'All Fleet'!ES41)</f>
        <v>0.84254629629629629</v>
      </c>
      <c r="EW5" s="173">
        <f>IF('All Fleet'!ET41="","",'All Fleet'!ET41)</f>
        <v>0.8481696428571428</v>
      </c>
      <c r="EX5" s="173">
        <f>IF('All Fleet'!EU41="","",'All Fleet'!EU41)</f>
        <v>0.8534051724137931</v>
      </c>
      <c r="EY5" s="173">
        <f>IF('All Fleet'!EV41="","",'All Fleet'!EV41)</f>
        <v>0.85829166666666667</v>
      </c>
      <c r="EZ5" s="173">
        <f>IF('All Fleet'!EW41="","",'All Fleet'!EW41)</f>
        <v>0.86286290322580639</v>
      </c>
      <c r="FA5" s="173">
        <f>IF('All Fleet'!EX41="","",'All Fleet'!EX41)</f>
        <v>1</v>
      </c>
      <c r="FB5" s="173">
        <f>IF('All Fleet'!EY41="","",'All Fleet'!EY41)</f>
        <v>1</v>
      </c>
      <c r="FC5" s="173">
        <f>IF('All Fleet'!EZ41="","",'All Fleet'!EZ41)</f>
        <v>1</v>
      </c>
      <c r="FD5" s="173">
        <f>IF('All Fleet'!FA41="","",'All Fleet'!FA41)</f>
        <v>1</v>
      </c>
      <c r="FE5" s="173">
        <f>IF('All Fleet'!FB41="","",'All Fleet'!FB41)</f>
        <v>1</v>
      </c>
      <c r="FF5" s="173">
        <f>IF('All Fleet'!FC41="","",'All Fleet'!FC41)</f>
        <v>1</v>
      </c>
      <c r="FG5" s="173">
        <f>IF('All Fleet'!FD41="","",'All Fleet'!FD41)</f>
        <v>1</v>
      </c>
      <c r="FH5" s="173">
        <f>IF('All Fleet'!FE41="","",'All Fleet'!FE41)</f>
        <v>0.99203125000000003</v>
      </c>
      <c r="FI5" s="173">
        <f>IF('All Fleet'!FF41="","",'All Fleet'!FF41)</f>
        <v>0.95925925925925926</v>
      </c>
      <c r="FJ5" s="173">
        <f>IF('All Fleet'!FG41="","",'All Fleet'!FG41)</f>
        <v>0.91625000000000001</v>
      </c>
      <c r="FK5" s="173">
        <f>IF('All Fleet'!FH41="","",'All Fleet'!FH41)</f>
        <v>0.91893939393939394</v>
      </c>
      <c r="FL5" s="173">
        <f>IF('All Fleet'!FI41="","",'All Fleet'!FI41)</f>
        <v>0.92298611111111106</v>
      </c>
      <c r="FM5" s="173">
        <f>IF('All Fleet'!FJ41="","",'All Fleet'!FJ41)</f>
        <v>0.90653846153846152</v>
      </c>
      <c r="FN5" s="173">
        <f>IF('All Fleet'!FK41="","",'All Fleet'!FK41)</f>
        <v>0.91321428571428576</v>
      </c>
      <c r="FO5" s="173">
        <f>IF('All Fleet'!FL41="","",'All Fleet'!FL41)</f>
        <v>0.91900000000000004</v>
      </c>
      <c r="FP5" s="173">
        <f>IF('All Fleet'!FM41="","",'All Fleet'!FM41)</f>
        <v>0.92406250000000001</v>
      </c>
      <c r="FQ5" s="173">
        <f>IF('All Fleet'!FN41="","",'All Fleet'!FN41)</f>
        <v>0.92852941176470583</v>
      </c>
      <c r="FR5" s="173">
        <f>IF('All Fleet'!FO41="","",'All Fleet'!FO41)</f>
        <v>0.89976851851851847</v>
      </c>
      <c r="FS5" s="173">
        <f>IF('All Fleet'!FP41="","",'All Fleet'!FP41)</f>
        <v>0.76416666666666666</v>
      </c>
      <c r="FT5" s="173">
        <f>IF('All Fleet'!FQ41="","",'All Fleet'!FQ41)</f>
        <v>0.77595833333333331</v>
      </c>
      <c r="FU5" s="173">
        <f>IF('All Fleet'!FR41="","",'All Fleet'!FR41)</f>
        <v>0.78662698412698417</v>
      </c>
      <c r="FV5" s="173">
        <f>IF('All Fleet'!FS41="","",'All Fleet'!FS41)</f>
        <v>0.77251893939393945</v>
      </c>
      <c r="FW5" s="173">
        <f>IF('All Fleet'!FT41="","",'All Fleet'!FT41)</f>
        <v>0.73389492753623187</v>
      </c>
      <c r="FX5" s="173">
        <f>IF('All Fleet'!FU41="","",'All Fleet'!FU41)</f>
        <v>0.74498263888888894</v>
      </c>
      <c r="FY5" s="173">
        <f>IF('All Fleet'!FV41="","",'All Fleet'!FV41)</f>
        <v>0.75113333333333332</v>
      </c>
      <c r="FZ5" s="173">
        <f>IF('All Fleet'!FW41="","",'All Fleet'!FW41)</f>
        <v>0.75834935897435896</v>
      </c>
      <c r="GA5" s="173">
        <f>IF('All Fleet'!FX41="","",'All Fleet'!FX41)</f>
        <v>0.7387345679012346</v>
      </c>
      <c r="GB5" s="173">
        <f>IF('All Fleet'!FY41="","",'All Fleet'!FY41)</f>
        <v>0.33946428571428577</v>
      </c>
      <c r="GC5" s="173">
        <f>IF('All Fleet'!FZ41="","",'All Fleet'!FZ41)</f>
        <v>0.36224137931034484</v>
      </c>
      <c r="GD5" s="173">
        <f>IF('All Fleet'!GA41="","",'All Fleet'!GA41)</f>
        <v>0.38349999999999995</v>
      </c>
      <c r="GE5" s="173">
        <f>IF('All Fleet'!GB41="","",'All Fleet'!GB41)</f>
        <v>-1.6729166666666662</v>
      </c>
      <c r="GF5" s="173">
        <f>IF('All Fleet'!GC41="","",'All Fleet'!GC41)</f>
        <v>-0.33645833333333308</v>
      </c>
      <c r="GG5" s="173">
        <f>IF('All Fleet'!GD41="","",'All Fleet'!GD41)</f>
        <v>-0.22777777777777763</v>
      </c>
      <c r="GH5" s="173">
        <f>IF('All Fleet'!GE41="","",'All Fleet'!GE41)</f>
        <v>-0.29083333333333328</v>
      </c>
      <c r="GI5" s="173">
        <f>IF('All Fleet'!GF41="","",'All Fleet'!GF41)</f>
        <v>-3.2666666666666622E-2</v>
      </c>
      <c r="GJ5" s="173">
        <f>IF('All Fleet'!GG41="","",'All Fleet'!GG41)</f>
        <v>-0.41263888888888878</v>
      </c>
      <c r="GK5" s="173">
        <f>IF('All Fleet'!GH41="","",'All Fleet'!GH41)</f>
        <v>-0.21083333333333321</v>
      </c>
      <c r="GL5" s="173">
        <f>IF('All Fleet'!GI41="","",'All Fleet'!GI41)</f>
        <v>-5.9479166666666528E-2</v>
      </c>
      <c r="GM5" s="173">
        <f>IF('All Fleet'!GJ41="","",'All Fleet'!GJ41)</f>
        <v>5.8240740740740815E-2</v>
      </c>
      <c r="GN5" s="173">
        <f>IF('All Fleet'!GK41="","",'All Fleet'!GK41)</f>
        <v>0.15241666666666676</v>
      </c>
      <c r="GO5" s="173">
        <f>IF('All Fleet'!GL41="","",'All Fleet'!GL41)</f>
        <v>0.22946969696969699</v>
      </c>
      <c r="GP5" s="173">
        <f>IF('All Fleet'!GM41="","",'All Fleet'!GM41)</f>
        <v>0.29368055555555561</v>
      </c>
      <c r="GQ5" s="173">
        <f>IF('All Fleet'!GN41="","",'All Fleet'!GN41)</f>
        <v>0.34801282051282056</v>
      </c>
      <c r="GR5" s="173">
        <f>IF('All Fleet'!GO41="","",'All Fleet'!GO41)</f>
        <v>0.3945833333333334</v>
      </c>
      <c r="GS5" s="173">
        <f>IF('All Fleet'!GP41="","",'All Fleet'!GP41)</f>
        <v>0.43494444444444447</v>
      </c>
      <c r="GT5" s="173">
        <f>IF('All Fleet'!GQ41="","",'All Fleet'!GQ41)</f>
        <v>0.47026041666666674</v>
      </c>
      <c r="GU5" s="173">
        <f>IF('All Fleet'!GR41="","",'All Fleet'!GR41)</f>
        <v>0.50142156862745102</v>
      </c>
      <c r="GV5" s="173">
        <f>IF('All Fleet'!GS41="","",'All Fleet'!GS41)</f>
        <v>0.52912037037037041</v>
      </c>
      <c r="GW5" s="173">
        <f>IF('All Fleet'!GT41="","",'All Fleet'!GT41)</f>
        <v>0.55390350877192984</v>
      </c>
      <c r="GX5" s="173">
        <f>IF('All Fleet'!GU41="","",'All Fleet'!GU41)</f>
        <v>0.57620833333333343</v>
      </c>
      <c r="GY5" s="173">
        <f>IF('All Fleet'!GV41="","",'All Fleet'!GV41)</f>
        <v>0.59638888888888886</v>
      </c>
      <c r="GZ5" s="173">
        <f>IF('All Fleet'!GW41="","",'All Fleet'!GW41)</f>
        <v>0.61335227272727277</v>
      </c>
      <c r="HA5" s="173">
        <f>IF('All Fleet'!GX41="","",'All Fleet'!GX41)</f>
        <v>0.63016304347826091</v>
      </c>
      <c r="HB5" s="173">
        <f>IF('All Fleet'!GY41="","",'All Fleet'!GY41)</f>
        <v>0.64557291666666672</v>
      </c>
      <c r="HC5" s="173">
        <f>IF('All Fleet'!GZ41="","",'All Fleet'!GZ41)</f>
        <v>0.65975000000000006</v>
      </c>
      <c r="HD5" s="173">
        <f>IF('All Fleet'!HA41="","",'All Fleet'!HA41)</f>
        <v>0.67283653846153846</v>
      </c>
      <c r="HE5" s="173">
        <f>IF('All Fleet'!HB41="","",'All Fleet'!HB41)</f>
        <v>0.6808333333333334</v>
      </c>
      <c r="HF5" s="173">
        <f>IF('All Fleet'!HC41="","",'All Fleet'!HC41)</f>
        <v>0.66254464285714287</v>
      </c>
      <c r="HG5" s="173">
        <f>IF('All Fleet'!HD41="","",'All Fleet'!HD41)</f>
        <v>0.67418103448275868</v>
      </c>
      <c r="HH5" s="173">
        <f>IF('All Fleet'!HE41="","",'All Fleet'!HE41)</f>
        <v>0.68504166666666677</v>
      </c>
      <c r="HI5" s="173">
        <f>IF('All Fleet'!HF41="","",'All Fleet'!HF41)</f>
        <v>0.69502688172043015</v>
      </c>
      <c r="HJ5" s="173">
        <f>IF('All Fleet'!HG41="","",'All Fleet'!HG41)</f>
        <v>0.38322916666666662</v>
      </c>
      <c r="HK5" s="173">
        <f>IF('All Fleet'!HH41="","",'All Fleet'!HH41)</f>
        <v>0.57705439814814818</v>
      </c>
      <c r="HL5" s="173">
        <f>IF('All Fleet'!HI41="","",'All Fleet'!HI41)</f>
        <v>0.49393904320987658</v>
      </c>
      <c r="HM5" s="173">
        <f>IF('All Fleet'!HJ41="","",'All Fleet'!HJ41)</f>
        <v>0.62045428240740752</v>
      </c>
      <c r="HN5" s="173">
        <f>IF('All Fleet'!HK41="","",'All Fleet'!HK41)</f>
        <v>0.68955787037037042</v>
      </c>
      <c r="HO5" s="173">
        <f>IF('All Fleet'!HL41="","",'All Fleet'!HL41)</f>
        <v>0.60094328703703703</v>
      </c>
      <c r="HP5" s="173">
        <f>IF('All Fleet'!HM41="","",'All Fleet'!HM41)</f>
        <v>0.53493386243386243</v>
      </c>
      <c r="HQ5" s="173">
        <f>IF('All Fleet'!HN41="","",'All Fleet'!HN41)</f>
        <v>0.55183015046296302</v>
      </c>
      <c r="HR5" s="173">
        <f>IF('All Fleet'!HO41="","",'All Fleet'!HO41)</f>
        <v>0.59993955761316875</v>
      </c>
      <c r="HS5" s="173">
        <f>IF('All Fleet'!HP41="","",'All Fleet'!HP41)</f>
        <v>0.59293171296296299</v>
      </c>
      <c r="HT5" s="173">
        <f>IF('All Fleet'!HQ41="","",'All Fleet'!HQ41)</f>
        <v>0.62993792087542089</v>
      </c>
      <c r="HU5" s="173">
        <f>IF('All Fleet'!HR41="","",'All Fleet'!HR41)</f>
        <v>0.66077642746913579</v>
      </c>
      <c r="HV5" s="173">
        <f>IF('All Fleet'!HS41="","",'All Fleet'!HS41)</f>
        <v>0.6868705484330484</v>
      </c>
      <c r="HW5" s="173">
        <f>IF('All Fleet'!HT41="","",'All Fleet'!HT41)</f>
        <v>0.70923693783068775</v>
      </c>
      <c r="HX5" s="173">
        <f>IF('All Fleet'!HU41="","",'All Fleet'!HU41)</f>
        <v>0.72862114197530858</v>
      </c>
      <c r="HY5" s="173">
        <f>IF('All Fleet'!HV41="","",'All Fleet'!HV41)</f>
        <v>0.74558232060185192</v>
      </c>
      <c r="HZ5" s="173">
        <f>IF('All Fleet'!HW41="","",'All Fleet'!HW41)</f>
        <v>0.7566687091503268</v>
      </c>
      <c r="IA5" s="173">
        <f>IF('All Fleet'!HX41="","",'All Fleet'!HX41)</f>
        <v>0.76310506687242796</v>
      </c>
      <c r="IB5" s="173">
        <f>IF('All Fleet'!HY41="","",'All Fleet'!HY41)</f>
        <v>0.76131457115009749</v>
      </c>
      <c r="IC5" s="173">
        <f>IF('All Fleet'!HZ41="","",'All Fleet'!HZ41)</f>
        <v>0.757208912037037</v>
      </c>
      <c r="ID5" s="173">
        <f>IF('All Fleet'!IA41="","",'All Fleet'!IA41)</f>
        <v>0.76877039241622569</v>
      </c>
      <c r="IE5" s="173">
        <f>IF('All Fleet'!IB41="","",'All Fleet'!IB41)</f>
        <v>0.77928082912457919</v>
      </c>
      <c r="IF5" s="173">
        <f>IF('All Fleet'!IC41="","",'All Fleet'!IC41)</f>
        <v>0.78887731481481482</v>
      </c>
      <c r="IG5" s="173">
        <f>IF('All Fleet'!ID41="","",'All Fleet'!ID41)</f>
        <v>0.79767409336419748</v>
      </c>
      <c r="IH5" s="173">
        <f>IF('All Fleet'!IE41="","",'All Fleet'!IE41)</f>
        <v>0.78490046296296301</v>
      </c>
      <c r="II5" s="173">
        <f>IF('All Fleet'!IF41="","",'All Fleet'!IF41)</f>
        <v>0.7931735220797721</v>
      </c>
      <c r="IJ5" s="173">
        <f>IF('All Fleet'!IG41="","",'All Fleet'!IG41)</f>
        <v>0.80083376200274348</v>
      </c>
      <c r="IK5" s="173">
        <f>IF('All Fleet'!IH41="","",'All Fleet'!IH41)</f>
        <v>0.80415219907407409</v>
      </c>
      <c r="IL5" s="173">
        <f>IF('All Fleet'!II41="","",'All Fleet'!II41)</f>
        <v>0.81090557151979559</v>
      </c>
      <c r="IM5" s="173">
        <f>IF('All Fleet'!IJ41="","",'All Fleet'!IJ41)</f>
        <v>0.8172087191358024</v>
      </c>
      <c r="IN5" s="173">
        <f>IF('All Fleet'!IK41="","",'All Fleet'!IK41)</f>
        <v>0.82310521206690557</v>
      </c>
      <c r="IO5" s="173">
        <f>IF('All Fleet'!IL41="","",'All Fleet'!IL41)</f>
        <v>1</v>
      </c>
      <c r="IP5" s="173">
        <f>IF('All Fleet'!IM41="","",'All Fleet'!IM41)</f>
        <v>0.76831018518518523</v>
      </c>
      <c r="IQ5" s="173">
        <f>IF('All Fleet'!IN41="","",'All Fleet'!IN41)</f>
        <v>0.57375771604938275</v>
      </c>
      <c r="IR5" s="173">
        <f>IF('All Fleet'!IO41="","",'All Fleet'!IO41)</f>
        <v>0.67476851851851849</v>
      </c>
      <c r="IS5" s="173">
        <f>IF('All Fleet'!IP41="","",'All Fleet'!IP41)</f>
        <v>0.72719907407407403</v>
      </c>
      <c r="IT5" s="173">
        <f>IF('All Fleet'!IQ41="","",'All Fleet'!IQ41)</f>
        <v>0.77266589506172834</v>
      </c>
      <c r="IU5" s="173">
        <f>IF('All Fleet'!IR41="","",'All Fleet'!IR41)</f>
        <v>0.80006613756613754</v>
      </c>
      <c r="IV5" s="173">
        <f>IF('All Fleet'!IS41="","",'All Fleet'!IS41)</f>
        <v>0.82505787037037037</v>
      </c>
      <c r="IW5" s="173">
        <f>IF('All Fleet'!IT41="","",'All Fleet'!IT41)</f>
        <v>0.84449588477366255</v>
      </c>
      <c r="IX5" s="173">
        <f>IF('All Fleet'!IU41="","",'All Fleet'!IU41)</f>
        <v>0.83304398148148151</v>
      </c>
      <c r="IY5" s="173">
        <f>IF('All Fleet'!IV41="","",'All Fleet'!IV41)</f>
        <v>0.84822180134680136</v>
      </c>
      <c r="IZ5" s="173">
        <f>IF('All Fleet'!IW41="","",'All Fleet'!IW41)</f>
        <v>0.8608699845679012</v>
      </c>
      <c r="JA5" s="173">
        <f>IF('All Fleet'!IX41="","",'All Fleet'!IX41)</f>
        <v>0.86692752849002852</v>
      </c>
      <c r="JB5" s="173">
        <f>IF('All Fleet'!IY41="","",'All Fleet'!IY41)</f>
        <v>0.87643270502645498</v>
      </c>
      <c r="JC5" s="173">
        <f>IF('All Fleet'!IZ41="","",'All Fleet'!IZ41)</f>
        <v>0.88467052469135798</v>
      </c>
      <c r="JD5" s="173">
        <f>IF('All Fleet'!JA41="","",'All Fleet'!JA41)</f>
        <v>0.86661675347222222</v>
      </c>
      <c r="JE5" s="173">
        <f>IF('All Fleet'!JB41="","",'All Fleet'!JB41)</f>
        <v>0.87163807189542486</v>
      </c>
      <c r="JF5" s="173">
        <f>IF('All Fleet'!JC41="","",'All Fleet'!JC41)</f>
        <v>0.87876929012345673</v>
      </c>
      <c r="JG5" s="173">
        <f>IF('All Fleet'!JD41="","",'All Fleet'!JD41)</f>
        <v>0.8765704191033139</v>
      </c>
      <c r="JH5" s="173">
        <f>IF('All Fleet'!JE41="","",'All Fleet'!JE41)</f>
        <v>0.88274189814814819</v>
      </c>
      <c r="JI5" s="173">
        <f>IF('All Fleet'!JF41="","",'All Fleet'!JF41)</f>
        <v>0.88832561728395065</v>
      </c>
      <c r="JJ5" s="173">
        <f>IF('All Fleet'!JG41="","",'All Fleet'!JG41)</f>
        <v>0.89340172558922559</v>
      </c>
      <c r="JK5" s="173">
        <f>IF('All Fleet'!JH41="","",'All Fleet'!JH41)</f>
        <v>0.88006944444444446</v>
      </c>
      <c r="JL5" s="173">
        <f>IF('All Fleet'!JI41="","",'All Fleet'!JI41)</f>
        <v>0.87555169753086415</v>
      </c>
      <c r="JM5" s="173">
        <f>IF('All Fleet'!JJ41="","",'All Fleet'!JJ41)</f>
        <v>0.87254444444444446</v>
      </c>
      <c r="JN5" s="173">
        <f>IF('All Fleet'!JK41="","",'All Fleet'!JK41)</f>
        <v>0.87287927350427352</v>
      </c>
      <c r="JO5" s="173">
        <f>IF('All Fleet'!JL41="","",'All Fleet'!JL41)</f>
        <v>0.87508701989026061</v>
      </c>
      <c r="JP5" s="173">
        <f>IF('All Fleet'!JM41="","",'All Fleet'!JM41)</f>
        <v>0.87954819775132276</v>
      </c>
      <c r="JQ5" s="173">
        <f>IF('All Fleet'!JN41="","",'All Fleet'!JN41)</f>
        <v>0.88226492656449551</v>
      </c>
      <c r="JR5" s="173">
        <f>IF('All Fleet'!JO41="","",'All Fleet'!JO41)</f>
        <v>0.88480054012345677</v>
      </c>
      <c r="JS5" s="173">
        <f>IF('All Fleet'!JP41="","",'All Fleet'!JP41)</f>
        <v>0.95833333333333337</v>
      </c>
      <c r="JT5" s="173">
        <f>IF('All Fleet'!JQ41="","",'All Fleet'!JQ41)</f>
        <v>0.89583333333333337</v>
      </c>
      <c r="JU5" s="173">
        <f>IF('All Fleet'!JR41="","",'All Fleet'!JR41)</f>
        <v>0.60986111111111119</v>
      </c>
      <c r="JV5" s="173">
        <f>IF('All Fleet'!JS41="","",'All Fleet'!JS41)</f>
        <v>0.67614583333333333</v>
      </c>
      <c r="JW5" s="173">
        <f>IF('All Fleet'!JT41="","",'All Fleet'!JT41)</f>
        <v>0.74091666666666667</v>
      </c>
      <c r="JX5" s="173">
        <f>IF('All Fleet'!JU41="","",'All Fleet'!JU41)</f>
        <v>0.78409722222222222</v>
      </c>
      <c r="JY5" s="173">
        <f>IF('All Fleet'!JV41="","",'All Fleet'!JV41)</f>
        <v>0.80898809523809523</v>
      </c>
      <c r="JZ5" s="173">
        <f>IF('All Fleet'!JW41="","",'All Fleet'!JW41)</f>
        <v>0.83286458333333335</v>
      </c>
      <c r="KA5" s="173">
        <f>IF('All Fleet'!JX41="","",'All Fleet'!JX41)</f>
        <v>0.85143518518518513</v>
      </c>
      <c r="KB5" s="173">
        <f>IF('All Fleet'!JY41="","",'All Fleet'!JY41)</f>
        <v>0.86629166666666668</v>
      </c>
      <c r="KC5" s="173">
        <f>IF('All Fleet'!JZ41="","",'All Fleet'!JZ41)</f>
        <v>0.87844696969696967</v>
      </c>
      <c r="KD5" s="173">
        <f>IF('All Fleet'!KA41="","",'All Fleet'!KA41)</f>
        <v>0.8885763888888889</v>
      </c>
      <c r="KE5" s="173">
        <f>IF('All Fleet'!KB41="","",'All Fleet'!KB41)</f>
        <v>0.89714743589743584</v>
      </c>
      <c r="KF5" s="173">
        <f>IF('All Fleet'!KC41="","",'All Fleet'!KC41)</f>
        <v>0.83306547619047622</v>
      </c>
      <c r="KG5" s="173">
        <f>IF('All Fleet'!KD41="","",'All Fleet'!KD41)</f>
        <v>0.82752777777777775</v>
      </c>
      <c r="KH5" s="173">
        <f>IF('All Fleet'!KE41="","",'All Fleet'!KE41)</f>
        <v>0.83830729166666662</v>
      </c>
      <c r="KI5" s="173">
        <f>IF('All Fleet'!KF41="","",'All Fleet'!KF41)</f>
        <v>0.84781862745098036</v>
      </c>
      <c r="KJ5" s="173">
        <f>IF('All Fleet'!KG41="","",'All Fleet'!KG41)</f>
        <v>0.85627314814814814</v>
      </c>
      <c r="KK5" s="173">
        <f>IF('All Fleet'!KH41="","",'All Fleet'!KH41)</f>
        <v>0.8638377192982456</v>
      </c>
      <c r="KL5" s="173">
        <f>IF('All Fleet'!KI41="","",'All Fleet'!KI41)</f>
        <v>0.87064583333333334</v>
      </c>
      <c r="KM5" s="173">
        <f>IF('All Fleet'!KJ41="","",'All Fleet'!KJ41)</f>
        <v>0.8768055555555555</v>
      </c>
      <c r="KN5" s="173">
        <f>IF('All Fleet'!KK41="","",'All Fleet'!KK41)</f>
        <v>0.88240530303030307</v>
      </c>
      <c r="KO5" s="173">
        <f>IF('All Fleet'!KL41="","",'All Fleet'!KL41)</f>
        <v>0.88751811594202901</v>
      </c>
      <c r="KP5" s="173">
        <f>IF('All Fleet'!KM41="","",'All Fleet'!KM41)</f>
        <v>0.89220486111111108</v>
      </c>
      <c r="KQ5" s="173">
        <f>IF('All Fleet'!KN41="","",'All Fleet'!KN41)</f>
        <v>0.89651666666666663</v>
      </c>
      <c r="KR5" s="173">
        <f>IF('All Fleet'!KO41="","",'All Fleet'!KO41)</f>
        <v>0.9004967948717949</v>
      </c>
      <c r="KS5" s="173">
        <f>IF('All Fleet'!KP41="","",'All Fleet'!KP41)</f>
        <v>0.9041820987654321</v>
      </c>
      <c r="KT5" s="173">
        <f>IF('All Fleet'!KQ41="","",'All Fleet'!KQ41)</f>
        <v>0.90760416666666666</v>
      </c>
      <c r="KU5" s="173">
        <f>IF('All Fleet'!KR41="","",'All Fleet'!KR41)</f>
        <v>0.91079022988505742</v>
      </c>
      <c r="KV5" s="173">
        <f>IF('All Fleet'!KS41="","",'All Fleet'!KS41)</f>
        <v>0.91376388888888893</v>
      </c>
      <c r="KW5" s="173">
        <f>IF('All Fleet'!KT41="","",'All Fleet'!KT41)</f>
        <v>0.91654569892473114</v>
      </c>
      <c r="KX5" s="173" t="str">
        <f>IF('All Fleet'!KU41="","",'All Fleet'!KU41)</f>
        <v/>
      </c>
      <c r="KY5" s="173" t="str">
        <f>IF('All Fleet'!KV41="","",'All Fleet'!KV41)</f>
        <v/>
      </c>
      <c r="KZ5" s="173" t="str">
        <f>IF('All Fleet'!KW41="","",'All Fleet'!KW41)</f>
        <v/>
      </c>
      <c r="LA5" s="173" t="str">
        <f>IF('All Fleet'!KX41="","",'All Fleet'!KX41)</f>
        <v/>
      </c>
      <c r="LB5" s="173" t="str">
        <f>IF('All Fleet'!KY41="","",'All Fleet'!KY41)</f>
        <v/>
      </c>
      <c r="LC5" s="173" t="str">
        <f>IF('All Fleet'!KZ41="","",'All Fleet'!KZ41)</f>
        <v/>
      </c>
      <c r="LD5" s="173" t="str">
        <f>IF('All Fleet'!LA41="","",'All Fleet'!LA41)</f>
        <v/>
      </c>
      <c r="LE5" s="173" t="str">
        <f>IF('All Fleet'!LB41="","",'All Fleet'!LB41)</f>
        <v/>
      </c>
      <c r="LF5" s="173" t="str">
        <f>IF('All Fleet'!LC41="","",'All Fleet'!LC41)</f>
        <v/>
      </c>
      <c r="LG5" s="173" t="str">
        <f>IF('All Fleet'!LD41="","",'All Fleet'!LD41)</f>
        <v/>
      </c>
      <c r="LH5" s="173" t="str">
        <f>IF('All Fleet'!LE41="","",'All Fleet'!LE41)</f>
        <v/>
      </c>
      <c r="LI5" s="173" t="str">
        <f>IF('All Fleet'!LF41="","",'All Fleet'!LF41)</f>
        <v/>
      </c>
      <c r="LJ5" s="173" t="str">
        <f>IF('All Fleet'!LG41="","",'All Fleet'!LG41)</f>
        <v/>
      </c>
      <c r="LK5" s="173" t="str">
        <f>IF('All Fleet'!LH41="","",'All Fleet'!LH41)</f>
        <v/>
      </c>
      <c r="LL5" s="173" t="str">
        <f>IF('All Fleet'!LI41="","",'All Fleet'!LI41)</f>
        <v/>
      </c>
      <c r="LM5" s="173" t="str">
        <f>IF('All Fleet'!LJ41="","",'All Fleet'!LJ41)</f>
        <v/>
      </c>
      <c r="LN5" s="173" t="str">
        <f>IF('All Fleet'!LK41="","",'All Fleet'!LK41)</f>
        <v/>
      </c>
      <c r="LO5" s="173" t="str">
        <f>IF('All Fleet'!LL41="","",'All Fleet'!LL41)</f>
        <v/>
      </c>
      <c r="LP5" s="173" t="str">
        <f>IF('All Fleet'!LM41="","",'All Fleet'!LM41)</f>
        <v/>
      </c>
      <c r="LQ5" s="173" t="str">
        <f>IF('All Fleet'!LN41="","",'All Fleet'!LN41)</f>
        <v/>
      </c>
      <c r="LR5" s="173" t="str">
        <f>IF('All Fleet'!LO41="","",'All Fleet'!LO41)</f>
        <v/>
      </c>
      <c r="LS5" s="173" t="str">
        <f>IF('All Fleet'!LP41="","",'All Fleet'!LP41)</f>
        <v/>
      </c>
      <c r="LT5" s="173" t="str">
        <f>IF('All Fleet'!LQ41="","",'All Fleet'!LQ41)</f>
        <v/>
      </c>
      <c r="LU5" s="173" t="str">
        <f>IF('All Fleet'!LR41="","",'All Fleet'!LR41)</f>
        <v/>
      </c>
      <c r="LV5" s="173" t="str">
        <f>IF('All Fleet'!LS41="","",'All Fleet'!LS41)</f>
        <v/>
      </c>
      <c r="LW5" s="173" t="str">
        <f>IF('All Fleet'!LT41="","",'All Fleet'!LT41)</f>
        <v/>
      </c>
      <c r="LX5" s="173" t="str">
        <f>IF('All Fleet'!LU41="","",'All Fleet'!LU41)</f>
        <v/>
      </c>
      <c r="LY5" s="173" t="str">
        <f>IF('All Fleet'!LV41="","",'All Fleet'!LV41)</f>
        <v/>
      </c>
      <c r="LZ5" s="173" t="str">
        <f>IF('All Fleet'!LW41="","",'All Fleet'!LW41)</f>
        <v/>
      </c>
      <c r="MA5" s="173" t="str">
        <f>IF('All Fleet'!LX41="","",'All Fleet'!LX41)</f>
        <v/>
      </c>
      <c r="MB5" s="173" t="str">
        <f>IF('All Fleet'!LY41="","",'All Fleet'!LY41)</f>
        <v/>
      </c>
      <c r="MC5" s="173" t="str">
        <f>IF('All Fleet'!LZ41="","",'All Fleet'!LZ41)</f>
        <v/>
      </c>
      <c r="MD5" s="173" t="str">
        <f>IF('All Fleet'!MA41="","",'All Fleet'!MA41)</f>
        <v/>
      </c>
      <c r="ME5" s="173" t="str">
        <f>IF('All Fleet'!MB41="","",'All Fleet'!MB41)</f>
        <v/>
      </c>
      <c r="MF5" s="173" t="str">
        <f>IF('All Fleet'!MC41="","",'All Fleet'!MC41)</f>
        <v/>
      </c>
      <c r="MG5" s="173" t="str">
        <f>IF('All Fleet'!MD41="","",'All Fleet'!MD41)</f>
        <v/>
      </c>
      <c r="MH5" s="173" t="str">
        <f>IF('All Fleet'!ME41="","",'All Fleet'!ME41)</f>
        <v/>
      </c>
      <c r="MI5" s="173" t="str">
        <f>IF('All Fleet'!MF41="","",'All Fleet'!MF41)</f>
        <v/>
      </c>
      <c r="MJ5" s="173" t="str">
        <f>IF('All Fleet'!MG41="","",'All Fleet'!MG41)</f>
        <v/>
      </c>
      <c r="MK5" s="173" t="str">
        <f>IF('All Fleet'!MH41="","",'All Fleet'!MH41)</f>
        <v/>
      </c>
      <c r="ML5" s="173" t="str">
        <f>IF('All Fleet'!MI41="","",'All Fleet'!MI41)</f>
        <v/>
      </c>
      <c r="MM5" s="173" t="str">
        <f>IF('All Fleet'!MJ41="","",'All Fleet'!MJ41)</f>
        <v/>
      </c>
      <c r="MN5" s="173" t="str">
        <f>IF('All Fleet'!MK41="","",'All Fleet'!MK41)</f>
        <v/>
      </c>
      <c r="MO5" s="173" t="str">
        <f>IF('All Fleet'!ML41="","",'All Fleet'!ML41)</f>
        <v/>
      </c>
      <c r="MP5" s="173" t="str">
        <f>IF('All Fleet'!MM41="","",'All Fleet'!MM41)</f>
        <v/>
      </c>
      <c r="MQ5" s="173" t="str">
        <f>IF('All Fleet'!MN41="","",'All Fleet'!MN41)</f>
        <v/>
      </c>
      <c r="MR5" s="173" t="str">
        <f>IF('All Fleet'!MO41="","",'All Fleet'!MO41)</f>
        <v/>
      </c>
      <c r="MS5" s="173" t="str">
        <f>IF('All Fleet'!MP41="","",'All Fleet'!MP41)</f>
        <v/>
      </c>
      <c r="MT5" s="173" t="str">
        <f>IF('All Fleet'!MQ41="","",'All Fleet'!MQ41)</f>
        <v/>
      </c>
      <c r="MU5" s="173" t="str">
        <f>IF('All Fleet'!MR41="","",'All Fleet'!MR41)</f>
        <v/>
      </c>
      <c r="MV5" s="173" t="str">
        <f>IF('All Fleet'!MS41="","",'All Fleet'!MS41)</f>
        <v/>
      </c>
      <c r="MW5" s="173" t="str">
        <f>IF('All Fleet'!MT41="","",'All Fleet'!MT41)</f>
        <v/>
      </c>
      <c r="MX5" s="173" t="str">
        <f>IF('All Fleet'!MU41="","",'All Fleet'!MU41)</f>
        <v/>
      </c>
      <c r="MY5" s="173" t="str">
        <f>IF('All Fleet'!MV41="","",'All Fleet'!MV41)</f>
        <v/>
      </c>
      <c r="MZ5" s="173" t="str">
        <f>IF('All Fleet'!MW41="","",'All Fleet'!MW41)</f>
        <v/>
      </c>
      <c r="NA5" s="173" t="str">
        <f>IF('All Fleet'!MX41="","",'All Fleet'!MX41)</f>
        <v/>
      </c>
      <c r="NB5" s="173" t="str">
        <f>IF('All Fleet'!MY41="","",'All Fleet'!MY41)</f>
        <v/>
      </c>
      <c r="NC5" s="173" t="str">
        <f>IF('All Fleet'!MZ41="","",'All Fleet'!MZ41)</f>
        <v/>
      </c>
      <c r="ND5" s="173" t="str">
        <f>IF('All Fleet'!NA41="","",'All Fleet'!NA41)</f>
        <v/>
      </c>
      <c r="NE5" s="173" t="str">
        <f>IF('All Fleet'!NB41="","",'All Fleet'!NB41)</f>
        <v/>
      </c>
      <c r="NF5" s="173" t="str">
        <f>IF('All Fleet'!NC41="","",'All Fleet'!NC41)</f>
        <v/>
      </c>
      <c r="NG5" s="173" t="str">
        <f>IF('All Fleet'!ND41="","",'All Fleet'!ND41)</f>
        <v/>
      </c>
      <c r="NH5" s="173" t="str">
        <f>IF('All Fleet'!NE41="","",'All Fleet'!NE41)</f>
        <v/>
      </c>
      <c r="NI5" s="173" t="str">
        <f>IF('All Fleet'!NF41="","",'All Fleet'!NF41)</f>
        <v/>
      </c>
      <c r="NJ5" s="173" t="str">
        <f>IF('All Fleet'!NG41="","",'All Fleet'!NG41)</f>
        <v/>
      </c>
      <c r="NK5" s="173" t="str">
        <f>IF('All Fleet'!NH41="","",'All Fleet'!NH41)</f>
        <v/>
      </c>
      <c r="NL5" s="173" t="str">
        <f>IF('All Fleet'!NI41="","",'All Fleet'!NI41)</f>
        <v/>
      </c>
      <c r="NM5" s="173" t="str">
        <f>IF('All Fleet'!NJ41="","",'All Fleet'!NJ41)</f>
        <v/>
      </c>
      <c r="NN5" s="173" t="str">
        <f>IF('All Fleet'!NK41="","",'All Fleet'!NK41)</f>
        <v/>
      </c>
      <c r="NO5" s="173" t="str">
        <f>IF('All Fleet'!NL41="","",'All Fleet'!NL41)</f>
        <v/>
      </c>
      <c r="NP5" s="173" t="str">
        <f>IF('All Fleet'!NM41="","",'All Fleet'!NM41)</f>
        <v/>
      </c>
      <c r="NQ5" s="173" t="str">
        <f>IF('All Fleet'!NN41="","",'All Fleet'!NN41)</f>
        <v/>
      </c>
      <c r="NR5" s="173" t="str">
        <f>IF('All Fleet'!NO41="","",'All Fleet'!NO41)</f>
        <v/>
      </c>
      <c r="NS5" s="173" t="str">
        <f>IF('All Fleet'!NP41="","",'All Fleet'!NP41)</f>
        <v/>
      </c>
      <c r="NT5" s="173" t="str">
        <f>IF('All Fleet'!NQ41="","",'All Fleet'!NQ41)</f>
        <v/>
      </c>
      <c r="NU5" s="173" t="str">
        <f>IF('All Fleet'!NR41="","",'All Fleet'!NR41)</f>
        <v/>
      </c>
      <c r="NV5" s="173" t="str">
        <f>IF('All Fleet'!NS41="","",'All Fleet'!NS41)</f>
        <v/>
      </c>
      <c r="NW5" s="173" t="str">
        <f>IF('All Fleet'!NT41="","",'All Fleet'!NT41)</f>
        <v/>
      </c>
      <c r="NX5" s="173" t="str">
        <f>IF('All Fleet'!NU41="","",'All Fleet'!NU41)</f>
        <v/>
      </c>
      <c r="NY5" s="173" t="str">
        <f>IF('All Fleet'!NV41="","",'All Fleet'!NV41)</f>
        <v/>
      </c>
      <c r="NZ5" s="173" t="str">
        <f>IF('All Fleet'!NW41="","",'All Fleet'!NW41)</f>
        <v/>
      </c>
      <c r="OA5" s="173" t="str">
        <f>IF('All Fleet'!NX41="","",'All Fleet'!NX41)</f>
        <v/>
      </c>
      <c r="OB5" s="173" t="str">
        <f>IF('All Fleet'!NY41="","",'All Fleet'!NY41)</f>
        <v/>
      </c>
      <c r="OC5" s="173" t="str">
        <f>IF('All Fleet'!NZ41="","",'All Fleet'!NZ41)</f>
        <v/>
      </c>
      <c r="OD5" s="173" t="str">
        <f>IF('All Fleet'!OA41="","",'All Fleet'!OA41)</f>
        <v/>
      </c>
      <c r="OE5" s="173" t="str">
        <f>IF('All Fleet'!OB41="","",'All Fleet'!OB41)</f>
        <v/>
      </c>
      <c r="OF5" s="173" t="str">
        <f>IF('All Fleet'!OC41="","",'All Fleet'!OC41)</f>
        <v/>
      </c>
      <c r="OG5" s="173" t="str">
        <f>IF('All Fleet'!OD41="","",'All Fleet'!OD41)</f>
        <v/>
      </c>
      <c r="OH5" s="173" t="str">
        <f>IF('All Fleet'!OE41="","",'All Fleet'!OE41)</f>
        <v/>
      </c>
      <c r="OI5" s="173" t="str">
        <f>IF('All Fleet'!OF41="","",'All Fleet'!OF41)</f>
        <v/>
      </c>
      <c r="OJ5" s="173" t="str">
        <f>IF('All Fleet'!OG41="","",'All Fleet'!OG41)</f>
        <v/>
      </c>
      <c r="OK5" s="173" t="str">
        <f>IF('All Fleet'!OH41="","",'All Fleet'!OH41)</f>
        <v/>
      </c>
      <c r="OL5" s="173" t="str">
        <f>IF('All Fleet'!OI41="","",'All Fleet'!OI41)</f>
        <v/>
      </c>
      <c r="OM5" s="173" t="str">
        <f>IF('All Fleet'!OJ41="","",'All Fleet'!OJ41)</f>
        <v/>
      </c>
      <c r="ON5" s="173" t="str">
        <f>IF('All Fleet'!OK41="","",'All Fleet'!OK41)</f>
        <v/>
      </c>
      <c r="OO5" s="173" t="str">
        <f>IF('All Fleet'!OL41="","",'All Fleet'!OL41)</f>
        <v/>
      </c>
      <c r="OP5" s="173" t="str">
        <f>IF('All Fleet'!OM41="","",'All Fleet'!OM41)</f>
        <v/>
      </c>
      <c r="OQ5" s="173" t="str">
        <f>IF('All Fleet'!ON41="","",'All Fleet'!ON41)</f>
        <v/>
      </c>
      <c r="OR5" s="173" t="str">
        <f>IF('All Fleet'!OO41="","",'All Fleet'!OO41)</f>
        <v/>
      </c>
      <c r="OS5" s="173" t="str">
        <f>IF('All Fleet'!OP41="","",'All Fleet'!OP41)</f>
        <v/>
      </c>
      <c r="OT5" s="173" t="str">
        <f>IF('All Fleet'!OQ41="","",'All Fleet'!OQ41)</f>
        <v/>
      </c>
      <c r="OU5" s="173" t="str">
        <f>IF('All Fleet'!OR41="","",'All Fleet'!OR41)</f>
        <v/>
      </c>
      <c r="OV5" s="173" t="str">
        <f>IF('All Fleet'!OS41="","",'All Fleet'!OS41)</f>
        <v/>
      </c>
      <c r="OW5" s="173" t="str">
        <f>IF('All Fleet'!OT41="","",'All Fleet'!OT41)</f>
        <v/>
      </c>
      <c r="OX5" s="173" t="str">
        <f>IF('All Fleet'!OU41="","",'All Fleet'!OU41)</f>
        <v/>
      </c>
      <c r="OY5" s="173" t="str">
        <f>IF('All Fleet'!OV41="","",'All Fleet'!OV41)</f>
        <v/>
      </c>
      <c r="OZ5" s="174" t="str">
        <f>IF('All Fleet'!OW41="","",'All Fleet'!OW41)</f>
        <v/>
      </c>
    </row>
    <row r="6" spans="1:416" s="94" customFormat="1" ht="15" customHeight="1" x14ac:dyDescent="0.2">
      <c r="A6" s="138" t="b">
        <f t="shared" si="376"/>
        <v>1</v>
      </c>
      <c r="B6" s="139">
        <v>3</v>
      </c>
      <c r="C6" s="142" t="str">
        <f t="shared" ref="C6:C26" si="377">C5</f>
        <v>Mechanical Availability</v>
      </c>
      <c r="D6" s="143" t="str">
        <f t="shared" ref="D6:D10" si="378">D5</f>
        <v>777E Expro</v>
      </c>
      <c r="E6" s="188" t="s">
        <v>79</v>
      </c>
      <c r="F6" s="166">
        <f>IF('All Fleet'!C42="","",'All Fleet'!C42)</f>
        <v>1</v>
      </c>
      <c r="G6" s="166">
        <f>IF('All Fleet'!D42="","",'All Fleet'!D42)</f>
        <v>1</v>
      </c>
      <c r="H6" s="166">
        <f>IF('All Fleet'!E42="","",'All Fleet'!E42)</f>
        <v>1</v>
      </c>
      <c r="I6" s="166">
        <f>IF('All Fleet'!F42="","",'All Fleet'!F42)</f>
        <v>1</v>
      </c>
      <c r="J6" s="166">
        <f>IF('All Fleet'!G42="","",'All Fleet'!G42)</f>
        <v>1</v>
      </c>
      <c r="K6" s="166">
        <f>IF('All Fleet'!H42="","",'All Fleet'!H42)</f>
        <v>1</v>
      </c>
      <c r="L6" s="166">
        <f>IF('All Fleet'!I42="","",'All Fleet'!I42)</f>
        <v>1</v>
      </c>
      <c r="M6" s="166">
        <f>IF('All Fleet'!J42="","",'All Fleet'!J42)</f>
        <v>1</v>
      </c>
      <c r="N6" s="166">
        <f>IF('All Fleet'!K42="","",'All Fleet'!K42)</f>
        <v>1</v>
      </c>
      <c r="O6" s="166">
        <f>IF('All Fleet'!L42="","",'All Fleet'!L42)</f>
        <v>1</v>
      </c>
      <c r="P6" s="166">
        <f>IF('All Fleet'!M42="","",'All Fleet'!M42)</f>
        <v>1</v>
      </c>
      <c r="Q6" s="166">
        <f>IF('All Fleet'!N42="","",'All Fleet'!N42)</f>
        <v>1</v>
      </c>
      <c r="R6" s="166">
        <f>IF('All Fleet'!O42="","",'All Fleet'!O42)</f>
        <v>1</v>
      </c>
      <c r="S6" s="166">
        <f>IF('All Fleet'!P42="","",'All Fleet'!P42)</f>
        <v>1</v>
      </c>
      <c r="T6" s="166">
        <f>IF('All Fleet'!Q42="","",'All Fleet'!Q42)</f>
        <v>1</v>
      </c>
      <c r="U6" s="166">
        <f>IF('All Fleet'!R42="","",'All Fleet'!R42)</f>
        <v>1</v>
      </c>
      <c r="V6" s="166">
        <f>IF('All Fleet'!S42="","",'All Fleet'!S42)</f>
        <v>1</v>
      </c>
      <c r="W6" s="166">
        <f>IF('All Fleet'!T42="","",'All Fleet'!T42)</f>
        <v>1</v>
      </c>
      <c r="X6" s="166">
        <f>IF('All Fleet'!U42="","",'All Fleet'!U42)</f>
        <v>1</v>
      </c>
      <c r="Y6" s="166">
        <f>IF('All Fleet'!V42="","",'All Fleet'!V42)</f>
        <v>1</v>
      </c>
      <c r="Z6" s="166">
        <f>IF('All Fleet'!W42="","",'All Fleet'!W42)</f>
        <v>1</v>
      </c>
      <c r="AA6" s="166">
        <f>IF('All Fleet'!X42="","",'All Fleet'!X42)</f>
        <v>0.95267045454545451</v>
      </c>
      <c r="AB6" s="166">
        <f>IF('All Fleet'!Y42="","",'All Fleet'!Y42)</f>
        <v>0.95472826086956519</v>
      </c>
      <c r="AC6" s="166">
        <f>IF('All Fleet'!Z42="","",'All Fleet'!Z42)</f>
        <v>0.95543402777777775</v>
      </c>
      <c r="AD6" s="166">
        <f>IF('All Fleet'!AA42="","",'All Fleet'!AA42)</f>
        <v>0.95721666666666672</v>
      </c>
      <c r="AE6" s="166">
        <f>IF('All Fleet'!AB42="","",'All Fleet'!AB42)</f>
        <v>0.95886217948717944</v>
      </c>
      <c r="AF6" s="166">
        <f>IF('All Fleet'!AC42="","",'All Fleet'!AC42)</f>
        <v>0.96038580246913585</v>
      </c>
      <c r="AG6" s="166">
        <f>IF('All Fleet'!AD42="","",'All Fleet'!AD42)</f>
        <v>0.96180059523809525</v>
      </c>
      <c r="AH6" s="166">
        <f>IF('All Fleet'!AE42="","",'All Fleet'!AE42)</f>
        <v>0.96311781609195402</v>
      </c>
      <c r="AI6" s="166">
        <f>IF('All Fleet'!AF42="","",'All Fleet'!AF42)</f>
        <v>0.96434722222222224</v>
      </c>
      <c r="AJ6" s="166">
        <f>IF('All Fleet'!AG42="","",'All Fleet'!AG42)</f>
        <v>0.96549731182795695</v>
      </c>
      <c r="AK6" s="166">
        <f>IF('All Fleet'!AH42="","",'All Fleet'!AH42)</f>
        <v>1</v>
      </c>
      <c r="AL6" s="166">
        <f>IF('All Fleet'!AI42="","",'All Fleet'!AI42)</f>
        <v>0.890625</v>
      </c>
      <c r="AM6" s="166">
        <f>IF('All Fleet'!AJ42="","",'All Fleet'!AJ42)</f>
        <v>0.92708333333333337</v>
      </c>
      <c r="AN6" s="166">
        <f>IF('All Fleet'!AK42="","",'All Fleet'!AK42)</f>
        <v>0.91666666666666663</v>
      </c>
      <c r="AO6" s="166">
        <f>IF('All Fleet'!AL42="","",'All Fleet'!AL42)</f>
        <v>0.89041666666666663</v>
      </c>
      <c r="AP6" s="166">
        <f>IF('All Fleet'!AM42="","",'All Fleet'!AM42)</f>
        <v>0.82826388888888891</v>
      </c>
      <c r="AQ6" s="166">
        <f>IF('All Fleet'!AN42="","",'All Fleet'!AN42)</f>
        <v>0.8348214285714286</v>
      </c>
      <c r="AR6" s="166">
        <f>IF('All Fleet'!AO42="","",'All Fleet'!AO42)</f>
        <v>0.85546875</v>
      </c>
      <c r="AS6" s="166">
        <f>IF('All Fleet'!AP42="","",'All Fleet'!AP42)</f>
        <v>0.8504166666666666</v>
      </c>
      <c r="AT6" s="166">
        <f>IF('All Fleet'!AQ42="","",'All Fleet'!AQ42)</f>
        <v>0.82895833333333335</v>
      </c>
      <c r="AU6" s="166">
        <f>IF('All Fleet'!AR42="","",'All Fleet'!AR42)</f>
        <v>0.79378787878787871</v>
      </c>
      <c r="AV6" s="166">
        <f>IF('All Fleet'!AS42="","",'All Fleet'!AS42)</f>
        <v>0.81097222222222221</v>
      </c>
      <c r="AW6" s="166">
        <f>IF('All Fleet'!AT42="","",'All Fleet'!AT42)</f>
        <v>0.82551282051282049</v>
      </c>
      <c r="AX6" s="166">
        <f>IF('All Fleet'!AU42="","",'All Fleet'!AU42)</f>
        <v>0.83797619047619043</v>
      </c>
      <c r="AY6" s="166">
        <f>IF('All Fleet'!AV42="","",'All Fleet'!AV42)</f>
        <v>0.84877777777777774</v>
      </c>
      <c r="AZ6" s="166">
        <f>IF('All Fleet'!AW42="","",'All Fleet'!AW42)</f>
        <v>0.85046875</v>
      </c>
      <c r="BA6" s="166">
        <f>IF('All Fleet'!AX42="","",'All Fleet'!AX42)</f>
        <v>0.85602941176470582</v>
      </c>
      <c r="BB6" s="166">
        <f>IF('All Fleet'!AY42="","",'All Fleet'!AY42)</f>
        <v>0.84361111111111109</v>
      </c>
      <c r="BC6" s="166">
        <f>IF('All Fleet'!AZ42="","",'All Fleet'!AZ42)</f>
        <v>0.85184210526315796</v>
      </c>
      <c r="BD6" s="166">
        <f>IF('All Fleet'!BA42="","",'All Fleet'!BA42)</f>
        <v>0.84906250000000005</v>
      </c>
      <c r="BE6" s="166">
        <f>IF('All Fleet'!BB42="","",'All Fleet'!BB42)</f>
        <v>0.85327380952380949</v>
      </c>
      <c r="BF6" s="166">
        <f>IF('All Fleet'!BC42="","",'All Fleet'!BC42)</f>
        <v>0.85994318181818175</v>
      </c>
      <c r="BG6" s="166">
        <f>IF('All Fleet'!BD42="","",'All Fleet'!BD42)</f>
        <v>0.86603260869565213</v>
      </c>
      <c r="BH6" s="166">
        <f>IF('All Fleet'!BE42="","",'All Fleet'!BE42)</f>
        <v>0.86817708333333332</v>
      </c>
      <c r="BI6" s="166">
        <f>IF('All Fleet'!BF42="","",'All Fleet'!BF42)</f>
        <v>0.86691666666666667</v>
      </c>
      <c r="BJ6" s="166">
        <f>IF('All Fleet'!BG42="","",'All Fleet'!BG42)</f>
        <v>0.87203525641025637</v>
      </c>
      <c r="BK6" s="166">
        <f>IF('All Fleet'!BH42="","",'All Fleet'!BH42)</f>
        <v>0.87677469135802466</v>
      </c>
      <c r="BL6" s="166">
        <f>IF('All Fleet'!BI42="","",'All Fleet'!BI42)</f>
        <v>0.8800148809523809</v>
      </c>
      <c r="BM6" s="166">
        <f>IF('All Fleet'!BJ42="","",'All Fleet'!BJ42)</f>
        <v>0.80125000000000002</v>
      </c>
      <c r="BN6" s="166">
        <f>IF('All Fleet'!BK42="","",'All Fleet'!BK42)</f>
        <v>0.64166666666666661</v>
      </c>
      <c r="BO6" s="166">
        <f>IF('All Fleet'!BL42="","",'All Fleet'!BL42)</f>
        <v>0.4323611111111112</v>
      </c>
      <c r="BP6" s="166">
        <f>IF('All Fleet'!BM42="","",'All Fleet'!BM42)</f>
        <v>0.57427083333333329</v>
      </c>
      <c r="BQ6" s="166">
        <f>IF('All Fleet'!BN42="","",'All Fleet'!BN42)</f>
        <v>0.65941666666666676</v>
      </c>
      <c r="BR6" s="166">
        <f>IF('All Fleet'!BO42="","",'All Fleet'!BO42)</f>
        <v>0.70819444444444446</v>
      </c>
      <c r="BS6" s="166">
        <f>IF('All Fleet'!BP42="","",'All Fleet'!BP42)</f>
        <v>0.7360714285714286</v>
      </c>
      <c r="BT6" s="166">
        <f>IF('All Fleet'!BQ42="","",'All Fleet'!BQ42)</f>
        <v>0.75203125000000004</v>
      </c>
      <c r="BU6" s="166">
        <f>IF('All Fleet'!BR42="","",'All Fleet'!BR42)</f>
        <v>0.72759259259259257</v>
      </c>
      <c r="BV6" s="166">
        <f>IF('All Fleet'!BS42="","",'All Fleet'!BS42)</f>
        <v>0.7310416666666667</v>
      </c>
      <c r="BW6" s="166">
        <f>IF('All Fleet'!BT42="","",'All Fleet'!BT42)</f>
        <v>0.73977272727272725</v>
      </c>
      <c r="BX6" s="166">
        <f>IF('All Fleet'!BU42="","",'All Fleet'!BU42)</f>
        <v>0.74819444444444438</v>
      </c>
      <c r="BY6" s="166">
        <f>IF('All Fleet'!BV42="","",'All Fleet'!BV42)</f>
        <v>0.74060897435897433</v>
      </c>
      <c r="BZ6" s="166">
        <f>IF('All Fleet'!BW42="","",'All Fleet'!BW42)</f>
        <v>0.72630952380952385</v>
      </c>
      <c r="CA6" s="166">
        <f>IF('All Fleet'!BX42="","",'All Fleet'!BX42)</f>
        <v>0.74455555555555553</v>
      </c>
      <c r="CB6" s="166">
        <f>IF('All Fleet'!BY42="","",'All Fleet'!BY42)</f>
        <v>0.76052083333333331</v>
      </c>
      <c r="CC6" s="166">
        <f>IF('All Fleet'!BZ42="","",'All Fleet'!BZ42)</f>
        <v>0.77460784313725495</v>
      </c>
      <c r="CD6" s="166">
        <f>IF('All Fleet'!CA42="","",'All Fleet'!CA42)</f>
        <v>0.75731481481481477</v>
      </c>
      <c r="CE6" s="166">
        <f>IF('All Fleet'!CB42="","",'All Fleet'!CB42)</f>
        <v>0.7572149122807017</v>
      </c>
      <c r="CF6" s="166">
        <f>IF('All Fleet'!CC42="","",'All Fleet'!CC42)</f>
        <v>0.71950000000000003</v>
      </c>
      <c r="CG6" s="166">
        <f>IF('All Fleet'!CD42="","",'All Fleet'!CD42)</f>
        <v>0.73285714285714287</v>
      </c>
      <c r="CH6" s="166">
        <f>IF('All Fleet'!CE42="","",'All Fleet'!CE42)</f>
        <v>0.745</v>
      </c>
      <c r="CI6" s="166">
        <f>IF('All Fleet'!CF42="","",'All Fleet'!CF42)</f>
        <v>0.75054347826086953</v>
      </c>
      <c r="CJ6" s="166">
        <f>IF('All Fleet'!CG42="","",'All Fleet'!CG42)</f>
        <v>0.76093749999999993</v>
      </c>
      <c r="CK6" s="166">
        <f>IF('All Fleet'!CH42="","",'All Fleet'!CH42)</f>
        <v>0.77049999999999996</v>
      </c>
      <c r="CL6" s="166">
        <f>IF('All Fleet'!CI42="","",'All Fleet'!CI42)</f>
        <v>0.77769230769230768</v>
      </c>
      <c r="CM6" s="166">
        <f>IF('All Fleet'!CJ42="","",'All Fleet'!CJ42)</f>
        <v>0.77194444444444443</v>
      </c>
      <c r="CN6" s="166">
        <f>IF('All Fleet'!CK42="","",'All Fleet'!CK42)</f>
        <v>0.78008928571428571</v>
      </c>
      <c r="CO6" s="166">
        <f>IF('All Fleet'!CL42="","",'All Fleet'!CL42)</f>
        <v>0.78767241379310338</v>
      </c>
      <c r="CP6" s="166">
        <f>IF('All Fleet'!CM42="","",'All Fleet'!CM42)</f>
        <v>0.78388888888888886</v>
      </c>
      <c r="CQ6" s="166">
        <f>IF('All Fleet'!CN42="","",'All Fleet'!CN42)</f>
        <v>0.79086021505376336</v>
      </c>
      <c r="CR6" s="166">
        <f>IF('All Fleet'!CO42="","",'All Fleet'!CO42)</f>
        <v>0.74875000000000003</v>
      </c>
      <c r="CS6" s="166">
        <f>IF('All Fleet'!CP42="","",'All Fleet'!CP42)</f>
        <v>0.77562500000000001</v>
      </c>
      <c r="CT6" s="166">
        <f>IF('All Fleet'!CQ42="","",'All Fleet'!CQ42)</f>
        <v>0.62055555555555553</v>
      </c>
      <c r="CU6" s="166">
        <f>IF('All Fleet'!CR42="","",'All Fleet'!CR42)</f>
        <v>0.37187499999999996</v>
      </c>
      <c r="CV6" s="166">
        <f>IF('All Fleet'!CS42="","",'All Fleet'!CS42)</f>
        <v>0.49749999999999994</v>
      </c>
      <c r="CW6" s="166">
        <f>IF('All Fleet'!CT42="","",'All Fleet'!CT42)</f>
        <v>0.58125000000000004</v>
      </c>
      <c r="CX6" s="166">
        <f>IF('All Fleet'!CU42="","",'All Fleet'!CU42)</f>
        <v>0.62827380952380951</v>
      </c>
      <c r="CY6" s="166">
        <f>IF('All Fleet'!CV42="","",'All Fleet'!CV42)</f>
        <v>0.67473958333333339</v>
      </c>
      <c r="CZ6" s="166">
        <f>IF('All Fleet'!CW42="","",'All Fleet'!CW42)</f>
        <v>0.71087962962962958</v>
      </c>
      <c r="DA6" s="166">
        <f>IF('All Fleet'!CX42="","",'All Fleet'!CX42)</f>
        <v>0.73979166666666663</v>
      </c>
      <c r="DB6" s="166">
        <f>IF('All Fleet'!CY42="","",'All Fleet'!CY42)</f>
        <v>0.76015151515151513</v>
      </c>
      <c r="DC6" s="166">
        <f>IF('All Fleet'!CZ42="","",'All Fleet'!CZ42)</f>
        <v>0.78013888888888894</v>
      </c>
      <c r="DD6" s="166">
        <f>IF('All Fleet'!DA42="","",'All Fleet'!DA42)</f>
        <v>0.78038461538461545</v>
      </c>
      <c r="DE6" s="166">
        <f>IF('All Fleet'!DB42="","",'All Fleet'!DB42)</f>
        <v>0.7895833333333333</v>
      </c>
      <c r="DF6" s="166">
        <f>IF('All Fleet'!DC42="","",'All Fleet'!DC42)</f>
        <v>0.80361111111111105</v>
      </c>
      <c r="DG6" s="166">
        <f>IF('All Fleet'!DD42="","",'All Fleet'!DD42)</f>
        <v>0.78494791666666663</v>
      </c>
      <c r="DH6" s="166">
        <f>IF('All Fleet'!DE42="","",'All Fleet'!DE42)</f>
        <v>0.79112745098039217</v>
      </c>
      <c r="DI6" s="166">
        <f>IF('All Fleet'!DF42="","",'All Fleet'!DF42)</f>
        <v>0.80273148148148143</v>
      </c>
      <c r="DJ6" s="166">
        <f>IF('All Fleet'!DG42="","",'All Fleet'!DG42)</f>
        <v>0.80559210526315783</v>
      </c>
      <c r="DK6" s="166">
        <f>IF('All Fleet'!DH42="","",'All Fleet'!DH42)</f>
        <v>0.78697916666666667</v>
      </c>
      <c r="DL6" s="166">
        <f>IF('All Fleet'!DI42="","",'All Fleet'!DI42)</f>
        <v>0.79712301587301582</v>
      </c>
      <c r="DM6" s="166">
        <f>IF('All Fleet'!DJ42="","",'All Fleet'!DJ42)</f>
        <v>0.80634469696969702</v>
      </c>
      <c r="DN6" s="166">
        <f>IF('All Fleet'!DK42="","",'All Fleet'!DK42)</f>
        <v>0.81476449275362317</v>
      </c>
      <c r="DO6" s="166">
        <f>IF('All Fleet'!DL42="","",'All Fleet'!DL42)</f>
        <v>0.82248263888888884</v>
      </c>
      <c r="DP6" s="166">
        <f>IF('All Fleet'!DM42="","",'All Fleet'!DM42)</f>
        <v>0.82958333333333334</v>
      </c>
      <c r="DQ6" s="166">
        <f>IF('All Fleet'!DN42="","",'All Fleet'!DN42)</f>
        <v>0.83613782051282048</v>
      </c>
      <c r="DR6" s="166">
        <f>IF('All Fleet'!DO42="","",'All Fleet'!DO42)</f>
        <v>0.84220679012345678</v>
      </c>
      <c r="DS6" s="166">
        <f>IF('All Fleet'!DP42="","",'All Fleet'!DP42)</f>
        <v>0.84784226190476186</v>
      </c>
      <c r="DT6" s="166">
        <f>IF('All Fleet'!DQ42="","",'All Fleet'!DQ42)</f>
        <v>0.85308908045977017</v>
      </c>
      <c r="DU6" s="166">
        <f>IF('All Fleet'!DR42="","",'All Fleet'!DR42)</f>
        <v>0.85798611111111112</v>
      </c>
      <c r="DV6" s="166">
        <f>IF('All Fleet'!DS42="","",'All Fleet'!DS42)</f>
        <v>1</v>
      </c>
      <c r="DW6" s="166">
        <f>IF('All Fleet'!DT42="","",'All Fleet'!DT42)</f>
        <v>1</v>
      </c>
      <c r="DX6" s="166">
        <f>IF('All Fleet'!DU42="","",'All Fleet'!DU42)</f>
        <v>0.87194444444444441</v>
      </c>
      <c r="DY6" s="166">
        <f>IF('All Fleet'!DV42="","",'All Fleet'!DV42)</f>
        <v>0.90395833333333331</v>
      </c>
      <c r="DZ6" s="166">
        <f>IF('All Fleet'!DW42="","",'All Fleet'!DW42)</f>
        <v>0.92316666666666669</v>
      </c>
      <c r="EA6" s="166">
        <f>IF('All Fleet'!DX42="","",'All Fleet'!DX42)</f>
        <v>0.93597222222222221</v>
      </c>
      <c r="EB6" s="166">
        <f>IF('All Fleet'!DY42="","",'All Fleet'!DY42)</f>
        <v>0.94511904761904764</v>
      </c>
      <c r="EC6" s="166">
        <f>IF('All Fleet'!DZ42="","",'All Fleet'!DZ42)</f>
        <v>0.95197916666666671</v>
      </c>
      <c r="ED6" s="166">
        <f>IF('All Fleet'!EA42="","",'All Fleet'!EA42)</f>
        <v>0.95731481481481484</v>
      </c>
      <c r="EE6" s="166">
        <f>IF('All Fleet'!EB42="","",'All Fleet'!EB42)</f>
        <v>0.96158333333333335</v>
      </c>
      <c r="EF6" s="166">
        <f>IF('All Fleet'!EC42="","",'All Fleet'!EC42)</f>
        <v>0.96507575757575759</v>
      </c>
      <c r="EG6" s="166">
        <f>IF('All Fleet'!ED42="","",'All Fleet'!ED42)</f>
        <v>0.9679861111111111</v>
      </c>
      <c r="EH6" s="166">
        <f>IF('All Fleet'!EE42="","",'All Fleet'!EE42)</f>
        <v>0.9704487179487179</v>
      </c>
      <c r="EI6" s="166">
        <f>IF('All Fleet'!EF42="","",'All Fleet'!EF42)</f>
        <v>0.97255952380952382</v>
      </c>
      <c r="EJ6" s="166">
        <f>IF('All Fleet'!EG42="","",'All Fleet'!EG42)</f>
        <v>0.88600000000000001</v>
      </c>
      <c r="EK6" s="166">
        <f>IF('All Fleet'!EH42="","",'All Fleet'!EH42)</f>
        <v>0.89312499999999995</v>
      </c>
      <c r="EL6" s="166">
        <f>IF('All Fleet'!EI42="","",'All Fleet'!EI42)</f>
        <v>0.89941176470588236</v>
      </c>
      <c r="EM6" s="166">
        <f>IF('All Fleet'!EJ42="","",'All Fleet'!EJ42)</f>
        <v>0.90500000000000003</v>
      </c>
      <c r="EN6" s="166">
        <f>IF('All Fleet'!EK42="","",'All Fleet'!EK42)</f>
        <v>0.91</v>
      </c>
      <c r="EO6" s="166">
        <f>IF('All Fleet'!EL42="","",'All Fleet'!EL42)</f>
        <v>0.90164583333333337</v>
      </c>
      <c r="EP6" s="166">
        <f>IF('All Fleet'!EM42="","",'All Fleet'!EM42)</f>
        <v>0.90632936507936512</v>
      </c>
      <c r="EQ6" s="166">
        <f>IF('All Fleet'!EN42="","",'All Fleet'!EN42)</f>
        <v>0.90660984848484849</v>
      </c>
      <c r="ER6" s="166">
        <f>IF('All Fleet'!EO42="","",'All Fleet'!EO42)</f>
        <v>0.86719202898550729</v>
      </c>
      <c r="ES6" s="166">
        <f>IF('All Fleet'!EP42="","",'All Fleet'!EP42)</f>
        <v>0.83800347222222227</v>
      </c>
      <c r="ET6" s="166">
        <f>IF('All Fleet'!EQ42="","",'All Fleet'!EQ42)</f>
        <v>0.84448333333333336</v>
      </c>
      <c r="EU6" s="166">
        <f>IF('All Fleet'!ER42="","",'All Fleet'!ER42)</f>
        <v>0.85046474358974355</v>
      </c>
      <c r="EV6" s="166">
        <f>IF('All Fleet'!ES42="","",'All Fleet'!ES42)</f>
        <v>0.84782407407407412</v>
      </c>
      <c r="EW6" s="166">
        <f>IF('All Fleet'!ET42="","",'All Fleet'!ET42)</f>
        <v>0.85102678571428569</v>
      </c>
      <c r="EX6" s="166">
        <f>IF('All Fleet'!EU42="","",'All Fleet'!EU42)</f>
        <v>0.85616379310344826</v>
      </c>
      <c r="EY6" s="166">
        <f>IF('All Fleet'!EV42="","",'All Fleet'!EV42)</f>
        <v>0.86095833333333327</v>
      </c>
      <c r="EZ6" s="166">
        <f>IF('All Fleet'!EW42="","",'All Fleet'!EW42)</f>
        <v>0.86544354838709681</v>
      </c>
      <c r="FA6" s="166">
        <f>IF('All Fleet'!EX42="","",'All Fleet'!EX42)</f>
        <v>1</v>
      </c>
      <c r="FB6" s="166">
        <f>IF('All Fleet'!EY42="","",'All Fleet'!EY42)</f>
        <v>1</v>
      </c>
      <c r="FC6" s="166">
        <f>IF('All Fleet'!EZ42="","",'All Fleet'!EZ42)</f>
        <v>1</v>
      </c>
      <c r="FD6" s="166">
        <f>IF('All Fleet'!FA42="","",'All Fleet'!FA42)</f>
        <v>1</v>
      </c>
      <c r="FE6" s="166">
        <f>IF('All Fleet'!FB42="","",'All Fleet'!FB42)</f>
        <v>1</v>
      </c>
      <c r="FF6" s="166">
        <f>IF('All Fleet'!FC42="","",'All Fleet'!FC42)</f>
        <v>1</v>
      </c>
      <c r="FG6" s="166">
        <f>IF('All Fleet'!FD42="","",'All Fleet'!FD42)</f>
        <v>1</v>
      </c>
      <c r="FH6" s="166">
        <f>IF('All Fleet'!FE42="","",'All Fleet'!FE42)</f>
        <v>0.99984375000000003</v>
      </c>
      <c r="FI6" s="166">
        <f>IF('All Fleet'!FF42="","",'All Fleet'!FF42)</f>
        <v>0.99986111111111109</v>
      </c>
      <c r="FJ6" s="166">
        <f>IF('All Fleet'!FG42="","",'All Fleet'!FG42)</f>
        <v>0.94537499999999997</v>
      </c>
      <c r="FK6" s="166">
        <f>IF('All Fleet'!FH42="","",'All Fleet'!FH42)</f>
        <v>0.95034090909090907</v>
      </c>
      <c r="FL6" s="166">
        <f>IF('All Fleet'!FI42="","",'All Fleet'!FI42)</f>
        <v>0.95354166666666662</v>
      </c>
      <c r="FM6" s="166">
        <f>IF('All Fleet'!FJ42="","",'All Fleet'!FJ42)</f>
        <v>0.95711538461538459</v>
      </c>
      <c r="FN6" s="166">
        <f>IF('All Fleet'!FK42="","",'All Fleet'!FK42)</f>
        <v>0.96017857142857144</v>
      </c>
      <c r="FO6" s="166">
        <f>IF('All Fleet'!FL42="","",'All Fleet'!FL42)</f>
        <v>0.95394444444444448</v>
      </c>
      <c r="FP6" s="166">
        <f>IF('All Fleet'!FM42="","",'All Fleet'!FM42)</f>
        <v>0.95682291666666663</v>
      </c>
      <c r="FQ6" s="166">
        <f>IF('All Fleet'!FN42="","",'All Fleet'!FN42)</f>
        <v>0.9593627450980392</v>
      </c>
      <c r="FR6" s="166">
        <f>IF('All Fleet'!FO42="","",'All Fleet'!FO42)</f>
        <v>0.9616203703703704</v>
      </c>
      <c r="FS6" s="166">
        <f>IF('All Fleet'!FP42="","",'All Fleet'!FP42)</f>
        <v>0.96364035087719302</v>
      </c>
      <c r="FT6" s="166">
        <f>IF('All Fleet'!FQ42="","",'All Fleet'!FQ42)</f>
        <v>0.96545833333333331</v>
      </c>
      <c r="FU6" s="166">
        <f>IF('All Fleet'!FR42="","",'All Fleet'!FR42)</f>
        <v>0.96289682539682542</v>
      </c>
      <c r="FV6" s="166">
        <f>IF('All Fleet'!FS42="","",'All Fleet'!FS42)</f>
        <v>0.96458333333333335</v>
      </c>
      <c r="FW6" s="166">
        <f>IF('All Fleet'!FT42="","",'All Fleet'!FT42)</f>
        <v>0.96612318840579714</v>
      </c>
      <c r="FX6" s="166">
        <f>IF('All Fleet'!FU42="","",'All Fleet'!FU42)</f>
        <v>0.95508680555555558</v>
      </c>
      <c r="FY6" s="166">
        <f>IF('All Fleet'!FV42="","",'All Fleet'!FV42)</f>
        <v>0.94091666666666662</v>
      </c>
      <c r="FZ6" s="166">
        <f>IF('All Fleet'!FW42="","",'All Fleet'!FW42)</f>
        <v>0.93376602564102562</v>
      </c>
      <c r="GA6" s="166">
        <f>IF('All Fleet'!FX42="","",'All Fleet'!FX42)</f>
        <v>0.93621913580246918</v>
      </c>
      <c r="GB6" s="166">
        <f>IF('All Fleet'!FY42="","",'All Fleet'!FY42)</f>
        <v>0.93849702380952382</v>
      </c>
      <c r="GC6" s="166">
        <f>IF('All Fleet'!FZ42="","",'All Fleet'!FZ42)</f>
        <v>0.94061781609195405</v>
      </c>
      <c r="GD6" s="166">
        <f>IF('All Fleet'!GA42="","",'All Fleet'!GA42)</f>
        <v>0.94079166666666669</v>
      </c>
      <c r="GE6" s="166">
        <f>IF('All Fleet'!GB42="","",'All Fleet'!GB42)</f>
        <v>1</v>
      </c>
      <c r="GF6" s="166">
        <f>IF('All Fleet'!GC42="","",'All Fleet'!GC42)</f>
        <v>1</v>
      </c>
      <c r="GG6" s="166">
        <f>IF('All Fleet'!GD42="","",'All Fleet'!GD42)</f>
        <v>1</v>
      </c>
      <c r="GH6" s="166">
        <f>IF('All Fleet'!GE42="","",'All Fleet'!GE42)</f>
        <v>1</v>
      </c>
      <c r="GI6" s="166">
        <f>IF('All Fleet'!GF42="","",'All Fleet'!GF42)</f>
        <v>0.97483333333333333</v>
      </c>
      <c r="GJ6" s="166">
        <f>IF('All Fleet'!GG42="","",'All Fleet'!GG42)</f>
        <v>0.97902777777777783</v>
      </c>
      <c r="GK6" s="166">
        <f>IF('All Fleet'!GH42="","",'All Fleet'!GH42)</f>
        <v>0.98202380952380952</v>
      </c>
      <c r="GL6" s="166">
        <f>IF('All Fleet'!GI42="","",'All Fleet'!GI42)</f>
        <v>0.95083333333333331</v>
      </c>
      <c r="GM6" s="166">
        <f>IF('All Fleet'!GJ42="","",'All Fleet'!GJ42)</f>
        <v>0.92842592592592599</v>
      </c>
      <c r="GN6" s="166">
        <f>IF('All Fleet'!GK42="","",'All Fleet'!GK42)</f>
        <v>0.93558333333333332</v>
      </c>
      <c r="GO6" s="166">
        <f>IF('All Fleet'!GL42="","",'All Fleet'!GL42)</f>
        <v>0.21840909090909089</v>
      </c>
      <c r="GP6" s="166">
        <f>IF('All Fleet'!GM42="","",'All Fleet'!GM42)</f>
        <v>0.28354166666666669</v>
      </c>
      <c r="GQ6" s="166">
        <f>IF('All Fleet'!GN42="","",'All Fleet'!GN42)</f>
        <v>0.33865384615384619</v>
      </c>
      <c r="GR6" s="166">
        <f>IF('All Fleet'!GO42="","",'All Fleet'!GO42)</f>
        <v>0.38589285714285715</v>
      </c>
      <c r="GS6" s="166">
        <f>IF('All Fleet'!GP42="","",'All Fleet'!GP42)</f>
        <v>0.42683333333333329</v>
      </c>
      <c r="GT6" s="166">
        <f>IF('All Fleet'!GQ42="","",'All Fleet'!GQ42)</f>
        <v>0.46265624999999999</v>
      </c>
      <c r="GU6" s="166">
        <f>IF('All Fleet'!GR42="","",'All Fleet'!GR42)</f>
        <v>0.49426470588235294</v>
      </c>
      <c r="GV6" s="166">
        <f>IF('All Fleet'!GS42="","",'All Fleet'!GS42)</f>
        <v>0.52236111111111105</v>
      </c>
      <c r="GW6" s="166">
        <f>IF('All Fleet'!GT42="","",'All Fleet'!GT42)</f>
        <v>0.54749999999999999</v>
      </c>
      <c r="GX6" s="166">
        <f>IF('All Fleet'!GU42="","",'All Fleet'!GU42)</f>
        <v>0.57012499999999999</v>
      </c>
      <c r="GY6" s="166">
        <f>IF('All Fleet'!GV42="","",'All Fleet'!GV42)</f>
        <v>0.59059523809523806</v>
      </c>
      <c r="GZ6" s="166">
        <f>IF('All Fleet'!GW42="","",'All Fleet'!GW42)</f>
        <v>0.59973484848484848</v>
      </c>
      <c r="HA6" s="166">
        <f>IF('All Fleet'!GX42="","",'All Fleet'!GX42)</f>
        <v>0.61713768115942025</v>
      </c>
      <c r="HB6" s="166">
        <f>IF('All Fleet'!GY42="","",'All Fleet'!GY42)</f>
        <v>0.63309027777777782</v>
      </c>
      <c r="HC6" s="166">
        <f>IF('All Fleet'!GZ42="","",'All Fleet'!GZ42)</f>
        <v>0.6477666666666666</v>
      </c>
      <c r="HD6" s="166">
        <f>IF('All Fleet'!HA42="","",'All Fleet'!HA42)</f>
        <v>0.6613141025641025</v>
      </c>
      <c r="HE6" s="166">
        <f>IF('All Fleet'!HB42="","",'All Fleet'!HB42)</f>
        <v>0.67385802469135803</v>
      </c>
      <c r="HF6" s="166">
        <f>IF('All Fleet'!HC42="","",'All Fleet'!HC42)</f>
        <v>0.68550595238095235</v>
      </c>
      <c r="HG6" s="166">
        <f>IF('All Fleet'!HD42="","",'All Fleet'!HD42)</f>
        <v>0.69635057471264372</v>
      </c>
      <c r="HH6" s="166">
        <f>IF('All Fleet'!HE42="","",'All Fleet'!HE42)</f>
        <v>0.70647222222222217</v>
      </c>
      <c r="HI6" s="166">
        <f>IF('All Fleet'!HF42="","",'All Fleet'!HF42)</f>
        <v>0.69555107526881721</v>
      </c>
      <c r="HJ6" s="166">
        <f>IF('All Fleet'!HG42="","",'All Fleet'!HG42)</f>
        <v>1</v>
      </c>
      <c r="HK6" s="166">
        <f>IF('All Fleet'!HH42="","",'All Fleet'!HH42)</f>
        <v>1</v>
      </c>
      <c r="HL6" s="166">
        <f>IF('All Fleet'!HI42="","",'All Fleet'!HI42)</f>
        <v>1</v>
      </c>
      <c r="HM6" s="166">
        <f>IF('All Fleet'!HJ42="","",'All Fleet'!HJ42)</f>
        <v>1</v>
      </c>
      <c r="HN6" s="166">
        <f>IF('All Fleet'!HK42="","",'All Fleet'!HK42)</f>
        <v>1</v>
      </c>
      <c r="HO6" s="166">
        <f>IF('All Fleet'!HL42="","",'All Fleet'!HL42)</f>
        <v>1</v>
      </c>
      <c r="HP6" s="166">
        <f>IF('All Fleet'!HM42="","",'All Fleet'!HM42)</f>
        <v>1</v>
      </c>
      <c r="HQ6" s="166">
        <f>IF('All Fleet'!HN42="","",'All Fleet'!HN42)</f>
        <v>1</v>
      </c>
      <c r="HR6" s="166">
        <f>IF('All Fleet'!HO42="","",'All Fleet'!HO42)</f>
        <v>1</v>
      </c>
      <c r="HS6" s="166">
        <f>IF('All Fleet'!HP42="","",'All Fleet'!HP42)</f>
        <v>1</v>
      </c>
      <c r="HT6" s="166">
        <f>IF('All Fleet'!HQ42="","",'All Fleet'!HQ42)</f>
        <v>1</v>
      </c>
      <c r="HU6" s="166">
        <f>IF('All Fleet'!HR42="","",'All Fleet'!HR42)</f>
        <v>1</v>
      </c>
      <c r="HV6" s="166">
        <f>IF('All Fleet'!HS42="","",'All Fleet'!HS42)</f>
        <v>1</v>
      </c>
      <c r="HW6" s="166">
        <f>IF('All Fleet'!HT42="","",'All Fleet'!HT42)</f>
        <v>1</v>
      </c>
      <c r="HX6" s="166">
        <f>IF('All Fleet'!HU42="","",'All Fleet'!HU42)</f>
        <v>1</v>
      </c>
      <c r="HY6" s="166">
        <f>IF('All Fleet'!HV42="","",'All Fleet'!HV42)</f>
        <v>1</v>
      </c>
      <c r="HZ6" s="166">
        <f>IF('All Fleet'!HW42="","",'All Fleet'!HW42)</f>
        <v>0.97533837145969504</v>
      </c>
      <c r="IA6" s="166">
        <f>IF('All Fleet'!HX42="","",'All Fleet'!HX42)</f>
        <v>0.97670846193415639</v>
      </c>
      <c r="IB6" s="166">
        <f>IF('All Fleet'!HY42="","",'All Fleet'!HY42)</f>
        <v>0.97768457602339176</v>
      </c>
      <c r="IC6" s="166">
        <f>IF('All Fleet'!HZ42="","",'All Fleet'!HZ42)</f>
        <v>0.95167187499999994</v>
      </c>
      <c r="ID6" s="166">
        <f>IF('All Fleet'!IA42="","",'All Fleet'!IA42)</f>
        <v>0.95397321428571424</v>
      </c>
      <c r="IE6" s="166">
        <f>IF('All Fleet'!IB42="","",'All Fleet'!IB42)</f>
        <v>0.9560653409090909</v>
      </c>
      <c r="IF6" s="166">
        <f>IF('All Fleet'!IC42="","",'All Fleet'!IC42)</f>
        <v>0.95797554347826086</v>
      </c>
      <c r="IG6" s="166">
        <f>IF('All Fleet'!ID42="","",'All Fleet'!ID42)</f>
        <v>0.95338975694444439</v>
      </c>
      <c r="IH6" s="166">
        <f>IF('All Fleet'!IE42="","",'All Fleet'!IE42)</f>
        <v>0.95525416666666663</v>
      </c>
      <c r="II6" s="166">
        <f>IF('All Fleet'!IF42="","",'All Fleet'!IF42)</f>
        <v>0.95697516025641027</v>
      </c>
      <c r="IJ6" s="166">
        <f>IF('All Fleet'!IG42="","",'All Fleet'!IG42)</f>
        <v>0.9585686728395062</v>
      </c>
      <c r="IK6" s="166">
        <f>IF('All Fleet'!IH42="","",'All Fleet'!IH42)</f>
        <v>0.96004836309523811</v>
      </c>
      <c r="IL6" s="166">
        <f>IF('All Fleet'!II42="","",'All Fleet'!II42)</f>
        <v>0.96142600574712644</v>
      </c>
      <c r="IM6" s="166">
        <f>IF('All Fleet'!IJ42="","",'All Fleet'!IJ42)</f>
        <v>0.96271180555555558</v>
      </c>
      <c r="IN6" s="166">
        <f>IF('All Fleet'!IK42="","",'All Fleet'!IK42)</f>
        <v>0.96391465053763437</v>
      </c>
      <c r="IO6" s="166">
        <f>IF('All Fleet'!IL42="","",'All Fleet'!IL42)</f>
        <v>0.83839120370370368</v>
      </c>
      <c r="IP6" s="166">
        <f>IF('All Fleet'!IM42="","",'All Fleet'!IM42)</f>
        <v>0.9191956018518519</v>
      </c>
      <c r="IQ6" s="166">
        <f>IF('All Fleet'!IN42="","",'All Fleet'!IN42)</f>
        <v>0.94613040123456793</v>
      </c>
      <c r="IR6" s="166">
        <f>IF('All Fleet'!IO42="","",'All Fleet'!IO42)</f>
        <v>0.95959780092592595</v>
      </c>
      <c r="IS6" s="166">
        <f>IF('All Fleet'!IP42="","",'All Fleet'!IP42)</f>
        <v>0.96767824074074071</v>
      </c>
      <c r="IT6" s="166">
        <f>IF('All Fleet'!IQ42="","",'All Fleet'!IQ42)</f>
        <v>0.97306520061728397</v>
      </c>
      <c r="IU6" s="166">
        <f>IF('All Fleet'!IR42="","",'All Fleet'!IR42)</f>
        <v>0.96885416666666668</v>
      </c>
      <c r="IV6" s="166">
        <f>IF('All Fleet'!IS42="","",'All Fleet'!IS42)</f>
        <v>0.95158709490740745</v>
      </c>
      <c r="IW6" s="166">
        <f>IF('All Fleet'!IT42="","",'All Fleet'!IT42)</f>
        <v>0.86741255144032925</v>
      </c>
      <c r="IX6" s="166">
        <f>IF('All Fleet'!IU42="","",'All Fleet'!IU42)</f>
        <v>0.78120833333333328</v>
      </c>
      <c r="IY6" s="166">
        <f>IF('All Fleet'!IV42="","",'All Fleet'!IV42)</f>
        <v>0.71018939393939395</v>
      </c>
      <c r="IZ6" s="166">
        <f>IF('All Fleet'!IW42="","",'All Fleet'!IW42)</f>
        <v>0.6510069444444444</v>
      </c>
      <c r="JA6" s="166">
        <f>IF('All Fleet'!IX42="","",'All Fleet'!IX42)</f>
        <v>0.60092948717948724</v>
      </c>
      <c r="JB6" s="166">
        <f>IF('All Fleet'!IY42="","",'All Fleet'!IY42)</f>
        <v>0.58417162698412706</v>
      </c>
      <c r="JC6" s="166">
        <f>IF('All Fleet'!IZ42="","",'All Fleet'!IZ42)</f>
        <v>0.61189351851851859</v>
      </c>
      <c r="JD6" s="166">
        <f>IF('All Fleet'!JA42="","",'All Fleet'!JA42)</f>
        <v>0.63615017361111104</v>
      </c>
      <c r="JE6" s="166">
        <f>IF('All Fleet'!JB42="","",'All Fleet'!JB42)</f>
        <v>0.65755310457516347</v>
      </c>
      <c r="JF6" s="166">
        <f>IF('All Fleet'!JC42="","",'All Fleet'!JC42)</f>
        <v>0.67657793209876549</v>
      </c>
      <c r="JG6" s="166">
        <f>IF('All Fleet'!JD42="","",'All Fleet'!JD42)</f>
        <v>0.69360014619883037</v>
      </c>
      <c r="JH6" s="166">
        <f>IF('All Fleet'!JE42="","",'All Fleet'!JE42)</f>
        <v>0.70378587962962968</v>
      </c>
      <c r="JI6" s="166">
        <f>IF('All Fleet'!JF42="","",'All Fleet'!JF42)</f>
        <v>0.71789131393298056</v>
      </c>
      <c r="JJ6" s="166">
        <f>IF('All Fleet'!JG42="","",'All Fleet'!JG42)</f>
        <v>0.73071443602693598</v>
      </c>
      <c r="JK6" s="166">
        <f>IF('All Fleet'!JH42="","",'All Fleet'!JH42)</f>
        <v>0.74242250402576493</v>
      </c>
      <c r="JL6" s="166">
        <f>IF('All Fleet'!JI42="","",'All Fleet'!JI42)</f>
        <v>0.75306471836419753</v>
      </c>
      <c r="JM6" s="166">
        <f>IF('All Fleet'!JJ42="","",'All Fleet'!JJ42)</f>
        <v>0.76220601851851855</v>
      </c>
      <c r="JN6" s="166">
        <f>IF('All Fleet'!JK42="","",'All Fleet'!JK42)</f>
        <v>0.77102875712250718</v>
      </c>
      <c r="JO6" s="166">
        <f>IF('All Fleet'!JL42="","",'All Fleet'!JL42)</f>
        <v>0.7795091735253773</v>
      </c>
      <c r="JP6" s="166">
        <f>IF('All Fleet'!JM42="","",'All Fleet'!JM42)</f>
        <v>0.78738384589947097</v>
      </c>
      <c r="JQ6" s="166">
        <f>IF('All Fleet'!JN42="","",'All Fleet'!JN42)</f>
        <v>0.78163354086845471</v>
      </c>
      <c r="JR6" s="166">
        <f>IF('All Fleet'!JO42="","",'All Fleet'!JO42)</f>
        <v>0.78752353395061736</v>
      </c>
      <c r="JS6" s="166">
        <f>IF('All Fleet'!JP42="","",'All Fleet'!JP42)</f>
        <v>0.89781250000000001</v>
      </c>
      <c r="JT6" s="166">
        <f>IF('All Fleet'!JQ42="","",'All Fleet'!JQ42)</f>
        <v>0.92807291666666669</v>
      </c>
      <c r="JU6" s="166">
        <f>IF('All Fleet'!JR42="","",'All Fleet'!JR42)</f>
        <v>0.85829861111111105</v>
      </c>
      <c r="JV6" s="166">
        <f>IF('All Fleet'!JS42="","",'All Fleet'!JS42)</f>
        <v>0.86247395833333329</v>
      </c>
      <c r="JW6" s="166">
        <f>IF('All Fleet'!JT42="","",'All Fleet'!JT42)</f>
        <v>0.87597916666666664</v>
      </c>
      <c r="JX6" s="166">
        <f>IF('All Fleet'!JU42="","",'All Fleet'!JU42)</f>
        <v>0.89664930555555555</v>
      </c>
      <c r="JY6" s="166">
        <f>IF('All Fleet'!JV42="","",'All Fleet'!JV42)</f>
        <v>0.91052083333333333</v>
      </c>
      <c r="JZ6" s="166">
        <f>IF('All Fleet'!JW42="","",'All Fleet'!JW42)</f>
        <v>0.92170572916666671</v>
      </c>
      <c r="KA6" s="166">
        <f>IF('All Fleet'!JX42="","",'All Fleet'!JX42)</f>
        <v>0.93040509259259263</v>
      </c>
      <c r="KB6" s="166">
        <f>IF('All Fleet'!JY42="","",'All Fleet'!JY42)</f>
        <v>0.93736458333333328</v>
      </c>
      <c r="KC6" s="166">
        <f>IF('All Fleet'!JZ42="","",'All Fleet'!JZ42)</f>
        <v>0.94305871212121217</v>
      </c>
      <c r="KD6" s="166">
        <f>IF('All Fleet'!KA42="","",'All Fleet'!KA42)</f>
        <v>0.94780381944444447</v>
      </c>
      <c r="KE6" s="166">
        <f>IF('All Fleet'!KB42="","",'All Fleet'!KB42)</f>
        <v>0.9518189102564103</v>
      </c>
      <c r="KF6" s="166">
        <f>IF('All Fleet'!KC42="","",'All Fleet'!KC42)</f>
        <v>0.95526041666666672</v>
      </c>
      <c r="KG6" s="166">
        <f>IF('All Fleet'!KD42="","",'All Fleet'!KD42)</f>
        <v>0.95824305555555556</v>
      </c>
      <c r="KH6" s="166">
        <f>IF('All Fleet'!KE42="","",'All Fleet'!KE42)</f>
        <v>0.9608528645833333</v>
      </c>
      <c r="KI6" s="166">
        <f>IF('All Fleet'!KF42="","",'All Fleet'!KF42)</f>
        <v>0.96315563725490194</v>
      </c>
      <c r="KJ6" s="166">
        <f>IF('All Fleet'!KG42="","",'All Fleet'!KG42)</f>
        <v>0.96520254629629632</v>
      </c>
      <c r="KK6" s="166">
        <f>IF('All Fleet'!KH42="","",'All Fleet'!KH42)</f>
        <v>0.96703399122807021</v>
      </c>
      <c r="KL6" s="166">
        <f>IF('All Fleet'!KI42="","",'All Fleet'!KI42)</f>
        <v>0.96868229166666664</v>
      </c>
      <c r="KM6" s="166">
        <f>IF('All Fleet'!KJ42="","",'All Fleet'!KJ42)</f>
        <v>0.97017361111111111</v>
      </c>
      <c r="KN6" s="166">
        <f>IF('All Fleet'!KK42="","",'All Fleet'!KK42)</f>
        <v>0.97152935606060609</v>
      </c>
      <c r="KO6" s="166">
        <f>IF('All Fleet'!KL42="","",'All Fleet'!KL42)</f>
        <v>0.97276721014492751</v>
      </c>
      <c r="KP6" s="166">
        <f>IF('All Fleet'!KM42="","",'All Fleet'!KM42)</f>
        <v>0.97390190972222224</v>
      </c>
      <c r="KQ6" s="166">
        <f>IF('All Fleet'!KN42="","",'All Fleet'!KN42)</f>
        <v>0.97494583333333329</v>
      </c>
      <c r="KR6" s="166">
        <f>IF('All Fleet'!KO42="","",'All Fleet'!KO42)</f>
        <v>0.97590945512820515</v>
      </c>
      <c r="KS6" s="166">
        <f>IF('All Fleet'!KP42="","",'All Fleet'!KP42)</f>
        <v>0.97680169753086421</v>
      </c>
      <c r="KT6" s="166">
        <f>IF('All Fleet'!KQ42="","",'All Fleet'!KQ42)</f>
        <v>0.97763020833333336</v>
      </c>
      <c r="KU6" s="166">
        <f>IF('All Fleet'!KR42="","",'All Fleet'!KR42)</f>
        <v>0.9784015804597701</v>
      </c>
      <c r="KV6" s="166">
        <f>IF('All Fleet'!KS42="","",'All Fleet'!KS42)</f>
        <v>0.97912152777777783</v>
      </c>
      <c r="KW6" s="166">
        <f>IF('All Fleet'!KT42="","",'All Fleet'!KT42)</f>
        <v>0.97979502688172038</v>
      </c>
      <c r="KX6" s="166" t="str">
        <f>IF('All Fleet'!KU42="","",'All Fleet'!KU42)</f>
        <v/>
      </c>
      <c r="KY6" s="166" t="str">
        <f>IF('All Fleet'!KV42="","",'All Fleet'!KV42)</f>
        <v/>
      </c>
      <c r="KZ6" s="166" t="str">
        <f>IF('All Fleet'!KW42="","",'All Fleet'!KW42)</f>
        <v/>
      </c>
      <c r="LA6" s="166" t="str">
        <f>IF('All Fleet'!KX42="","",'All Fleet'!KX42)</f>
        <v/>
      </c>
      <c r="LB6" s="166" t="str">
        <f>IF('All Fleet'!KY42="","",'All Fleet'!KY42)</f>
        <v/>
      </c>
      <c r="LC6" s="166" t="str">
        <f>IF('All Fleet'!KZ42="","",'All Fleet'!KZ42)</f>
        <v/>
      </c>
      <c r="LD6" s="166" t="str">
        <f>IF('All Fleet'!LA42="","",'All Fleet'!LA42)</f>
        <v/>
      </c>
      <c r="LE6" s="166" t="str">
        <f>IF('All Fleet'!LB42="","",'All Fleet'!LB42)</f>
        <v/>
      </c>
      <c r="LF6" s="166" t="str">
        <f>IF('All Fleet'!LC42="","",'All Fleet'!LC42)</f>
        <v/>
      </c>
      <c r="LG6" s="166" t="str">
        <f>IF('All Fleet'!LD42="","",'All Fleet'!LD42)</f>
        <v/>
      </c>
      <c r="LH6" s="166" t="str">
        <f>IF('All Fleet'!LE42="","",'All Fleet'!LE42)</f>
        <v/>
      </c>
      <c r="LI6" s="166" t="str">
        <f>IF('All Fleet'!LF42="","",'All Fleet'!LF42)</f>
        <v/>
      </c>
      <c r="LJ6" s="166" t="str">
        <f>IF('All Fleet'!LG42="","",'All Fleet'!LG42)</f>
        <v/>
      </c>
      <c r="LK6" s="166" t="str">
        <f>IF('All Fleet'!LH42="","",'All Fleet'!LH42)</f>
        <v/>
      </c>
      <c r="LL6" s="166" t="str">
        <f>IF('All Fleet'!LI42="","",'All Fleet'!LI42)</f>
        <v/>
      </c>
      <c r="LM6" s="166" t="str">
        <f>IF('All Fleet'!LJ42="","",'All Fleet'!LJ42)</f>
        <v/>
      </c>
      <c r="LN6" s="166" t="str">
        <f>IF('All Fleet'!LK42="","",'All Fleet'!LK42)</f>
        <v/>
      </c>
      <c r="LO6" s="166" t="str">
        <f>IF('All Fleet'!LL42="","",'All Fleet'!LL42)</f>
        <v/>
      </c>
      <c r="LP6" s="166" t="str">
        <f>IF('All Fleet'!LM42="","",'All Fleet'!LM42)</f>
        <v/>
      </c>
      <c r="LQ6" s="166" t="str">
        <f>IF('All Fleet'!LN42="","",'All Fleet'!LN42)</f>
        <v/>
      </c>
      <c r="LR6" s="166" t="str">
        <f>IF('All Fleet'!LO42="","",'All Fleet'!LO42)</f>
        <v/>
      </c>
      <c r="LS6" s="166" t="str">
        <f>IF('All Fleet'!LP42="","",'All Fleet'!LP42)</f>
        <v/>
      </c>
      <c r="LT6" s="166" t="str">
        <f>IF('All Fleet'!LQ42="","",'All Fleet'!LQ42)</f>
        <v/>
      </c>
      <c r="LU6" s="166" t="str">
        <f>IF('All Fleet'!LR42="","",'All Fleet'!LR42)</f>
        <v/>
      </c>
      <c r="LV6" s="166" t="str">
        <f>IF('All Fleet'!LS42="","",'All Fleet'!LS42)</f>
        <v/>
      </c>
      <c r="LW6" s="166" t="str">
        <f>IF('All Fleet'!LT42="","",'All Fleet'!LT42)</f>
        <v/>
      </c>
      <c r="LX6" s="166" t="str">
        <f>IF('All Fleet'!LU42="","",'All Fleet'!LU42)</f>
        <v/>
      </c>
      <c r="LY6" s="166" t="str">
        <f>IF('All Fleet'!LV42="","",'All Fleet'!LV42)</f>
        <v/>
      </c>
      <c r="LZ6" s="166" t="str">
        <f>IF('All Fleet'!LW42="","",'All Fleet'!LW42)</f>
        <v/>
      </c>
      <c r="MA6" s="166" t="str">
        <f>IF('All Fleet'!LX42="","",'All Fleet'!LX42)</f>
        <v/>
      </c>
      <c r="MB6" s="166" t="str">
        <f>IF('All Fleet'!LY42="","",'All Fleet'!LY42)</f>
        <v/>
      </c>
      <c r="MC6" s="166" t="str">
        <f>IF('All Fleet'!LZ42="","",'All Fleet'!LZ42)</f>
        <v/>
      </c>
      <c r="MD6" s="166" t="str">
        <f>IF('All Fleet'!MA42="","",'All Fleet'!MA42)</f>
        <v/>
      </c>
      <c r="ME6" s="166" t="str">
        <f>IF('All Fleet'!MB42="","",'All Fleet'!MB42)</f>
        <v/>
      </c>
      <c r="MF6" s="166" t="str">
        <f>IF('All Fleet'!MC42="","",'All Fleet'!MC42)</f>
        <v/>
      </c>
      <c r="MG6" s="166" t="str">
        <f>IF('All Fleet'!MD42="","",'All Fleet'!MD42)</f>
        <v/>
      </c>
      <c r="MH6" s="166" t="str">
        <f>IF('All Fleet'!ME42="","",'All Fleet'!ME42)</f>
        <v/>
      </c>
      <c r="MI6" s="166" t="str">
        <f>IF('All Fleet'!MF42="","",'All Fleet'!MF42)</f>
        <v/>
      </c>
      <c r="MJ6" s="166" t="str">
        <f>IF('All Fleet'!MG42="","",'All Fleet'!MG42)</f>
        <v/>
      </c>
      <c r="MK6" s="166" t="str">
        <f>IF('All Fleet'!MH42="","",'All Fleet'!MH42)</f>
        <v/>
      </c>
      <c r="ML6" s="166" t="str">
        <f>IF('All Fleet'!MI42="","",'All Fleet'!MI42)</f>
        <v/>
      </c>
      <c r="MM6" s="166" t="str">
        <f>IF('All Fleet'!MJ42="","",'All Fleet'!MJ42)</f>
        <v/>
      </c>
      <c r="MN6" s="166" t="str">
        <f>IF('All Fleet'!MK42="","",'All Fleet'!MK42)</f>
        <v/>
      </c>
      <c r="MO6" s="166" t="str">
        <f>IF('All Fleet'!ML42="","",'All Fleet'!ML42)</f>
        <v/>
      </c>
      <c r="MP6" s="166" t="str">
        <f>IF('All Fleet'!MM42="","",'All Fleet'!MM42)</f>
        <v/>
      </c>
      <c r="MQ6" s="166" t="str">
        <f>IF('All Fleet'!MN42="","",'All Fleet'!MN42)</f>
        <v/>
      </c>
      <c r="MR6" s="166" t="str">
        <f>IF('All Fleet'!MO42="","",'All Fleet'!MO42)</f>
        <v/>
      </c>
      <c r="MS6" s="166" t="str">
        <f>IF('All Fleet'!MP42="","",'All Fleet'!MP42)</f>
        <v/>
      </c>
      <c r="MT6" s="166" t="str">
        <f>IF('All Fleet'!MQ42="","",'All Fleet'!MQ42)</f>
        <v/>
      </c>
      <c r="MU6" s="166" t="str">
        <f>IF('All Fleet'!MR42="","",'All Fleet'!MR42)</f>
        <v/>
      </c>
      <c r="MV6" s="166" t="str">
        <f>IF('All Fleet'!MS42="","",'All Fleet'!MS42)</f>
        <v/>
      </c>
      <c r="MW6" s="166" t="str">
        <f>IF('All Fleet'!MT42="","",'All Fleet'!MT42)</f>
        <v/>
      </c>
      <c r="MX6" s="166" t="str">
        <f>IF('All Fleet'!MU42="","",'All Fleet'!MU42)</f>
        <v/>
      </c>
      <c r="MY6" s="166" t="str">
        <f>IF('All Fleet'!MV42="","",'All Fleet'!MV42)</f>
        <v/>
      </c>
      <c r="MZ6" s="166" t="str">
        <f>IF('All Fleet'!MW42="","",'All Fleet'!MW42)</f>
        <v/>
      </c>
      <c r="NA6" s="166" t="str">
        <f>IF('All Fleet'!MX42="","",'All Fleet'!MX42)</f>
        <v/>
      </c>
      <c r="NB6" s="166" t="str">
        <f>IF('All Fleet'!MY42="","",'All Fleet'!MY42)</f>
        <v/>
      </c>
      <c r="NC6" s="166" t="str">
        <f>IF('All Fleet'!MZ42="","",'All Fleet'!MZ42)</f>
        <v/>
      </c>
      <c r="ND6" s="166" t="str">
        <f>IF('All Fleet'!NA42="","",'All Fleet'!NA42)</f>
        <v/>
      </c>
      <c r="NE6" s="166" t="str">
        <f>IF('All Fleet'!NB42="","",'All Fleet'!NB42)</f>
        <v/>
      </c>
      <c r="NF6" s="166" t="str">
        <f>IF('All Fleet'!NC42="","",'All Fleet'!NC42)</f>
        <v/>
      </c>
      <c r="NG6" s="166" t="str">
        <f>IF('All Fleet'!ND42="","",'All Fleet'!ND42)</f>
        <v/>
      </c>
      <c r="NH6" s="166" t="str">
        <f>IF('All Fleet'!NE42="","",'All Fleet'!NE42)</f>
        <v/>
      </c>
      <c r="NI6" s="166" t="str">
        <f>IF('All Fleet'!NF42="","",'All Fleet'!NF42)</f>
        <v/>
      </c>
      <c r="NJ6" s="166" t="str">
        <f>IF('All Fleet'!NG42="","",'All Fleet'!NG42)</f>
        <v/>
      </c>
      <c r="NK6" s="166" t="str">
        <f>IF('All Fleet'!NH42="","",'All Fleet'!NH42)</f>
        <v/>
      </c>
      <c r="NL6" s="166" t="str">
        <f>IF('All Fleet'!NI42="","",'All Fleet'!NI42)</f>
        <v/>
      </c>
      <c r="NM6" s="166" t="str">
        <f>IF('All Fleet'!NJ42="","",'All Fleet'!NJ42)</f>
        <v/>
      </c>
      <c r="NN6" s="166" t="str">
        <f>IF('All Fleet'!NK42="","",'All Fleet'!NK42)</f>
        <v/>
      </c>
      <c r="NO6" s="166" t="str">
        <f>IF('All Fleet'!NL42="","",'All Fleet'!NL42)</f>
        <v/>
      </c>
      <c r="NP6" s="166" t="str">
        <f>IF('All Fleet'!NM42="","",'All Fleet'!NM42)</f>
        <v/>
      </c>
      <c r="NQ6" s="166" t="str">
        <f>IF('All Fleet'!NN42="","",'All Fleet'!NN42)</f>
        <v/>
      </c>
      <c r="NR6" s="166" t="str">
        <f>IF('All Fleet'!NO42="","",'All Fleet'!NO42)</f>
        <v/>
      </c>
      <c r="NS6" s="166" t="str">
        <f>IF('All Fleet'!NP42="","",'All Fleet'!NP42)</f>
        <v/>
      </c>
      <c r="NT6" s="166" t="str">
        <f>IF('All Fleet'!NQ42="","",'All Fleet'!NQ42)</f>
        <v/>
      </c>
      <c r="NU6" s="166" t="str">
        <f>IF('All Fleet'!NR42="","",'All Fleet'!NR42)</f>
        <v/>
      </c>
      <c r="NV6" s="166" t="str">
        <f>IF('All Fleet'!NS42="","",'All Fleet'!NS42)</f>
        <v/>
      </c>
      <c r="NW6" s="166" t="str">
        <f>IF('All Fleet'!NT42="","",'All Fleet'!NT42)</f>
        <v/>
      </c>
      <c r="NX6" s="166" t="str">
        <f>IF('All Fleet'!NU42="","",'All Fleet'!NU42)</f>
        <v/>
      </c>
      <c r="NY6" s="166" t="str">
        <f>IF('All Fleet'!NV42="","",'All Fleet'!NV42)</f>
        <v/>
      </c>
      <c r="NZ6" s="166" t="str">
        <f>IF('All Fleet'!NW42="","",'All Fleet'!NW42)</f>
        <v/>
      </c>
      <c r="OA6" s="166" t="str">
        <f>IF('All Fleet'!NX42="","",'All Fleet'!NX42)</f>
        <v/>
      </c>
      <c r="OB6" s="166" t="str">
        <f>IF('All Fleet'!NY42="","",'All Fleet'!NY42)</f>
        <v/>
      </c>
      <c r="OC6" s="166" t="str">
        <f>IF('All Fleet'!NZ42="","",'All Fleet'!NZ42)</f>
        <v/>
      </c>
      <c r="OD6" s="166" t="str">
        <f>IF('All Fleet'!OA42="","",'All Fleet'!OA42)</f>
        <v/>
      </c>
      <c r="OE6" s="166" t="str">
        <f>IF('All Fleet'!OB42="","",'All Fleet'!OB42)</f>
        <v/>
      </c>
      <c r="OF6" s="166" t="str">
        <f>IF('All Fleet'!OC42="","",'All Fleet'!OC42)</f>
        <v/>
      </c>
      <c r="OG6" s="166" t="str">
        <f>IF('All Fleet'!OD42="","",'All Fleet'!OD42)</f>
        <v/>
      </c>
      <c r="OH6" s="166" t="str">
        <f>IF('All Fleet'!OE42="","",'All Fleet'!OE42)</f>
        <v/>
      </c>
      <c r="OI6" s="166" t="str">
        <f>IF('All Fleet'!OF42="","",'All Fleet'!OF42)</f>
        <v/>
      </c>
      <c r="OJ6" s="166" t="str">
        <f>IF('All Fleet'!OG42="","",'All Fleet'!OG42)</f>
        <v/>
      </c>
      <c r="OK6" s="166" t="str">
        <f>IF('All Fleet'!OH42="","",'All Fleet'!OH42)</f>
        <v/>
      </c>
      <c r="OL6" s="166" t="str">
        <f>IF('All Fleet'!OI42="","",'All Fleet'!OI42)</f>
        <v/>
      </c>
      <c r="OM6" s="166" t="str">
        <f>IF('All Fleet'!OJ42="","",'All Fleet'!OJ42)</f>
        <v/>
      </c>
      <c r="ON6" s="166" t="str">
        <f>IF('All Fleet'!OK42="","",'All Fleet'!OK42)</f>
        <v/>
      </c>
      <c r="OO6" s="166" t="str">
        <f>IF('All Fleet'!OL42="","",'All Fleet'!OL42)</f>
        <v/>
      </c>
      <c r="OP6" s="166" t="str">
        <f>IF('All Fleet'!OM42="","",'All Fleet'!OM42)</f>
        <v/>
      </c>
      <c r="OQ6" s="166" t="str">
        <f>IF('All Fleet'!ON42="","",'All Fleet'!ON42)</f>
        <v/>
      </c>
      <c r="OR6" s="166" t="str">
        <f>IF('All Fleet'!OO42="","",'All Fleet'!OO42)</f>
        <v/>
      </c>
      <c r="OS6" s="166" t="str">
        <f>IF('All Fleet'!OP42="","",'All Fleet'!OP42)</f>
        <v/>
      </c>
      <c r="OT6" s="166" t="str">
        <f>IF('All Fleet'!OQ42="","",'All Fleet'!OQ42)</f>
        <v/>
      </c>
      <c r="OU6" s="166" t="str">
        <f>IF('All Fleet'!OR42="","",'All Fleet'!OR42)</f>
        <v/>
      </c>
      <c r="OV6" s="166" t="str">
        <f>IF('All Fleet'!OS42="","",'All Fleet'!OS42)</f>
        <v/>
      </c>
      <c r="OW6" s="166" t="str">
        <f>IF('All Fleet'!OT42="","",'All Fleet'!OT42)</f>
        <v/>
      </c>
      <c r="OX6" s="166" t="str">
        <f>IF('All Fleet'!OU42="","",'All Fleet'!OU42)</f>
        <v/>
      </c>
      <c r="OY6" s="166" t="str">
        <f>IF('All Fleet'!OV42="","",'All Fleet'!OV42)</f>
        <v/>
      </c>
      <c r="OZ6" s="167" t="str">
        <f>IF('All Fleet'!OW42="","",'All Fleet'!OW42)</f>
        <v/>
      </c>
    </row>
    <row r="7" spans="1:416" s="94" customFormat="1" ht="15" customHeight="1" x14ac:dyDescent="0.2">
      <c r="A7" s="138" t="b">
        <f t="shared" si="376"/>
        <v>0</v>
      </c>
      <c r="B7" s="139">
        <v>4</v>
      </c>
      <c r="C7" s="142" t="str">
        <f t="shared" si="377"/>
        <v>Mechanical Availability</v>
      </c>
      <c r="D7" s="143" t="str">
        <f t="shared" si="378"/>
        <v>777E Expro</v>
      </c>
      <c r="E7" s="189" t="s">
        <v>80</v>
      </c>
      <c r="F7" s="173">
        <f>IF('All Fleet'!C43="","",'All Fleet'!C43)</f>
        <v>1</v>
      </c>
      <c r="G7" s="173">
        <f>IF('All Fleet'!D43="","",'All Fleet'!D43)</f>
        <v>1</v>
      </c>
      <c r="H7" s="173">
        <f>IF('All Fleet'!E43="","",'All Fleet'!E43)</f>
        <v>1</v>
      </c>
      <c r="I7" s="173">
        <f>IF('All Fleet'!F43="","",'All Fleet'!F43)</f>
        <v>1</v>
      </c>
      <c r="J7" s="173">
        <f>IF('All Fleet'!G43="","",'All Fleet'!G43)</f>
        <v>1</v>
      </c>
      <c r="K7" s="173">
        <f>IF('All Fleet'!H43="","",'All Fleet'!H43)</f>
        <v>1</v>
      </c>
      <c r="L7" s="173">
        <f>IF('All Fleet'!I43="","",'All Fleet'!I43)</f>
        <v>1</v>
      </c>
      <c r="M7" s="173">
        <f>IF('All Fleet'!J43="","",'All Fleet'!J43)</f>
        <v>1</v>
      </c>
      <c r="N7" s="173">
        <f>IF('All Fleet'!K43="","",'All Fleet'!K43)</f>
        <v>1</v>
      </c>
      <c r="O7" s="173">
        <f>IF('All Fleet'!L43="","",'All Fleet'!L43)</f>
        <v>1</v>
      </c>
      <c r="P7" s="173">
        <f>IF('All Fleet'!M43="","",'All Fleet'!M43)</f>
        <v>1</v>
      </c>
      <c r="Q7" s="173">
        <f>IF('All Fleet'!N43="","",'All Fleet'!N43)</f>
        <v>1</v>
      </c>
      <c r="R7" s="173">
        <f>IF('All Fleet'!O43="","",'All Fleet'!O43)</f>
        <v>1</v>
      </c>
      <c r="S7" s="173">
        <f>IF('All Fleet'!P43="","",'All Fleet'!P43)</f>
        <v>1</v>
      </c>
      <c r="T7" s="173">
        <f>IF('All Fleet'!Q43="","",'All Fleet'!Q43)</f>
        <v>1</v>
      </c>
      <c r="U7" s="173">
        <f>IF('All Fleet'!R43="","",'All Fleet'!R43)</f>
        <v>1</v>
      </c>
      <c r="V7" s="173">
        <f>IF('All Fleet'!S43="","",'All Fleet'!S43)</f>
        <v>1</v>
      </c>
      <c r="W7" s="173">
        <f>IF('All Fleet'!T43="","",'All Fleet'!T43)</f>
        <v>1</v>
      </c>
      <c r="X7" s="173">
        <f>IF('All Fleet'!U43="","",'All Fleet'!U43)</f>
        <v>1</v>
      </c>
      <c r="Y7" s="173">
        <f>IF('All Fleet'!V43="","",'All Fleet'!V43)</f>
        <v>1</v>
      </c>
      <c r="Z7" s="173">
        <f>IF('All Fleet'!W43="","",'All Fleet'!W43)</f>
        <v>1</v>
      </c>
      <c r="AA7" s="173">
        <f>IF('All Fleet'!X43="","",'All Fleet'!X43)</f>
        <v>1</v>
      </c>
      <c r="AB7" s="173">
        <f>IF('All Fleet'!Y43="","",'All Fleet'!Y43)</f>
        <v>0.9485507246376812</v>
      </c>
      <c r="AC7" s="173">
        <f>IF('All Fleet'!Z43="","",'All Fleet'!Z43)</f>
        <v>0.9506944444444444</v>
      </c>
      <c r="AD7" s="173">
        <f>IF('All Fleet'!AA43="","",'All Fleet'!AA43)</f>
        <v>0.95266666666666666</v>
      </c>
      <c r="AE7" s="173">
        <f>IF('All Fleet'!AB43="","",'All Fleet'!AB43)</f>
        <v>0.95448717948717943</v>
      </c>
      <c r="AF7" s="173">
        <f>IF('All Fleet'!AC43="","",'All Fleet'!AC43)</f>
        <v>0.95617283950617282</v>
      </c>
      <c r="AG7" s="173">
        <f>IF('All Fleet'!AD43="","",'All Fleet'!AD43)</f>
        <v>0.95773809523809528</v>
      </c>
      <c r="AH7" s="173">
        <f>IF('All Fleet'!AE43="","",'All Fleet'!AE43)</f>
        <v>0.95919540229885059</v>
      </c>
      <c r="AI7" s="173">
        <f>IF('All Fleet'!AF43="","",'All Fleet'!AF43)</f>
        <v>0.96055555555555561</v>
      </c>
      <c r="AJ7" s="173">
        <f>IF('All Fleet'!AG43="","",'All Fleet'!AG43)</f>
        <v>0.95993279569892476</v>
      </c>
      <c r="AK7" s="173">
        <f>IF('All Fleet'!AH43="","",'All Fleet'!AH43)</f>
        <v>1</v>
      </c>
      <c r="AL7" s="173">
        <f>IF('All Fleet'!AI43="","",'All Fleet'!AI43)</f>
        <v>0.94208333333333338</v>
      </c>
      <c r="AM7" s="173">
        <f>IF('All Fleet'!AJ43="","",'All Fleet'!AJ43)</f>
        <v>0.96138888888888885</v>
      </c>
      <c r="AN7" s="173">
        <f>IF('All Fleet'!AK43="","",'All Fleet'!AK43)</f>
        <v>0.96114583333333337</v>
      </c>
      <c r="AO7" s="173">
        <f>IF('All Fleet'!AL43="","",'All Fleet'!AL43)</f>
        <v>0.95725000000000005</v>
      </c>
      <c r="AP7" s="173">
        <f>IF('All Fleet'!AM43="","",'All Fleet'!AM43)</f>
        <v>0.96437499999999998</v>
      </c>
      <c r="AQ7" s="173">
        <f>IF('All Fleet'!AN43="","",'All Fleet'!AN43)</f>
        <v>0.95791666666666664</v>
      </c>
      <c r="AR7" s="173">
        <f>IF('All Fleet'!AO43="","",'All Fleet'!AO43)</f>
        <v>0.94770833333333337</v>
      </c>
      <c r="AS7" s="173">
        <f>IF('All Fleet'!AP43="","",'All Fleet'!AP43)</f>
        <v>0.95351851851851854</v>
      </c>
      <c r="AT7" s="173">
        <f>IF('All Fleet'!AQ43="","",'All Fleet'!AQ43)</f>
        <v>0.95816666666666661</v>
      </c>
      <c r="AU7" s="173">
        <f>IF('All Fleet'!AR43="","",'All Fleet'!AR43)</f>
        <v>0.96196969696969692</v>
      </c>
      <c r="AV7" s="173">
        <f>IF('All Fleet'!AS43="","",'All Fleet'!AS43)</f>
        <v>0.96513888888888888</v>
      </c>
      <c r="AW7" s="173">
        <f>IF('All Fleet'!AT43="","",'All Fleet'!AT43)</f>
        <v>0.9588141025641026</v>
      </c>
      <c r="AX7" s="173">
        <f>IF('All Fleet'!AU43="","",'All Fleet'!AU43)</f>
        <v>0.96175595238095235</v>
      </c>
      <c r="AY7" s="173">
        <f>IF('All Fleet'!AV43="","",'All Fleet'!AV43)</f>
        <v>0.90533333333333332</v>
      </c>
      <c r="AZ7" s="173">
        <f>IF('All Fleet'!AW43="","",'All Fleet'!AW43)</f>
        <v>0.91125</v>
      </c>
      <c r="BA7" s="173">
        <f>IF('All Fleet'!AX43="","",'All Fleet'!AX43)</f>
        <v>0.91647058823529415</v>
      </c>
      <c r="BB7" s="173">
        <f>IF('All Fleet'!AY43="","",'All Fleet'!AY43)</f>
        <v>0.9211111111111111</v>
      </c>
      <c r="BC7" s="173">
        <f>IF('All Fleet'!AZ43="","",'All Fleet'!AZ43)</f>
        <v>0.9174342105263158</v>
      </c>
      <c r="BD7" s="173">
        <f>IF('All Fleet'!BA43="","",'All Fleet'!BA43)</f>
        <v>0.92156250000000006</v>
      </c>
      <c r="BE7" s="173">
        <f>IF('All Fleet'!BB43="","",'All Fleet'!BB43)</f>
        <v>0.92529761904761909</v>
      </c>
      <c r="BF7" s="173">
        <f>IF('All Fleet'!BC43="","",'All Fleet'!BC43)</f>
        <v>0.92869318181818183</v>
      </c>
      <c r="BG7" s="173">
        <f>IF('All Fleet'!BD43="","",'All Fleet'!BD43)</f>
        <v>0.93179347826086956</v>
      </c>
      <c r="BH7" s="173">
        <f>IF('All Fleet'!BE43="","",'All Fleet'!BE43)</f>
        <v>0.93463541666666661</v>
      </c>
      <c r="BI7" s="173">
        <f>IF('All Fleet'!BF43="","",'All Fleet'!BF43)</f>
        <v>0.93725000000000003</v>
      </c>
      <c r="BJ7" s="173">
        <f>IF('All Fleet'!BG43="","",'All Fleet'!BG43)</f>
        <v>0.93192307692307697</v>
      </c>
      <c r="BK7" s="173">
        <f>IF('All Fleet'!BH43="","",'All Fleet'!BH43)</f>
        <v>0.93444444444444441</v>
      </c>
      <c r="BL7" s="173">
        <f>IF('All Fleet'!BI43="","",'All Fleet'!BI43)</f>
        <v>0.93678571428571433</v>
      </c>
      <c r="BM7" s="173">
        <f>IF('All Fleet'!BJ43="","",'All Fleet'!BJ43)</f>
        <v>1</v>
      </c>
      <c r="BN7" s="173">
        <f>IF('All Fleet'!BK43="","",'All Fleet'!BK43)</f>
        <v>0.68937500000000007</v>
      </c>
      <c r="BO7" s="173">
        <f>IF('All Fleet'!BL43="","",'All Fleet'!BL43)</f>
        <v>0.63277777777777777</v>
      </c>
      <c r="BP7" s="173">
        <f>IF('All Fleet'!BM43="","",'All Fleet'!BM43)</f>
        <v>0.72458333333333336</v>
      </c>
      <c r="BQ7" s="173">
        <f>IF('All Fleet'!BN43="","",'All Fleet'!BN43)</f>
        <v>0.58366666666666667</v>
      </c>
      <c r="BR7" s="173">
        <f>IF('All Fleet'!BO43="","",'All Fleet'!BO43)</f>
        <v>0.6530555555555555</v>
      </c>
      <c r="BS7" s="173">
        <f>IF('All Fleet'!BP43="","",'All Fleet'!BP43)</f>
        <v>0.70261904761904759</v>
      </c>
      <c r="BT7" s="173">
        <f>IF('All Fleet'!BQ43="","",'All Fleet'!BQ43)</f>
        <v>0.73979166666666663</v>
      </c>
      <c r="BU7" s="173">
        <f>IF('All Fleet'!BR43="","",'All Fleet'!BR43)</f>
        <v>0.76870370370370367</v>
      </c>
      <c r="BV7" s="173">
        <f>IF('All Fleet'!BS43="","",'All Fleet'!BS43)</f>
        <v>0.79183333333333339</v>
      </c>
      <c r="BW7" s="173">
        <f>IF('All Fleet'!BT43="","",'All Fleet'!BT43)</f>
        <v>0.81075757575757579</v>
      </c>
      <c r="BX7" s="173">
        <f>IF('All Fleet'!BU43="","",'All Fleet'!BU43)</f>
        <v>0.82315972222222222</v>
      </c>
      <c r="BY7" s="173">
        <f>IF('All Fleet'!BV43="","",'All Fleet'!BV43)</f>
        <v>0.83676282051282058</v>
      </c>
      <c r="BZ7" s="173">
        <f>IF('All Fleet'!BW43="","",'All Fleet'!BW43)</f>
        <v>0.84842261904761906</v>
      </c>
      <c r="CA7" s="173">
        <f>IF('All Fleet'!BX43="","",'All Fleet'!BX43)</f>
        <v>0.85852777777777778</v>
      </c>
      <c r="CB7" s="173">
        <f>IF('All Fleet'!BY43="","",'All Fleet'!BY43)</f>
        <v>0.86736979166666672</v>
      </c>
      <c r="CC7" s="173">
        <f>IF('All Fleet'!BZ43="","",'All Fleet'!BZ43)</f>
        <v>0.87517156862745094</v>
      </c>
      <c r="CD7" s="173">
        <f>IF('All Fleet'!CA43="","",'All Fleet'!CA43)</f>
        <v>0.88210648148148152</v>
      </c>
      <c r="CE7" s="173">
        <f>IF('All Fleet'!CB43="","",'All Fleet'!CB43)</f>
        <v>0.81631578947368422</v>
      </c>
      <c r="CF7" s="173">
        <f>IF('All Fleet'!CC43="","",'All Fleet'!CC43)</f>
        <v>0.82550000000000001</v>
      </c>
      <c r="CG7" s="173">
        <f>IF('All Fleet'!CD43="","",'All Fleet'!CD43)</f>
        <v>0.83380952380952378</v>
      </c>
      <c r="CH7" s="173">
        <f>IF('All Fleet'!CE43="","",'All Fleet'!CE43)</f>
        <v>0.84136363636363631</v>
      </c>
      <c r="CI7" s="173">
        <f>IF('All Fleet'!CF43="","",'All Fleet'!CF43)</f>
        <v>0.8482608695652174</v>
      </c>
      <c r="CJ7" s="173">
        <f>IF('All Fleet'!CG43="","",'All Fleet'!CG43)</f>
        <v>0.85458333333333336</v>
      </c>
      <c r="CK7" s="173">
        <f>IF('All Fleet'!CH43="","",'All Fleet'!CH43)</f>
        <v>0.85923333333333329</v>
      </c>
      <c r="CL7" s="173">
        <f>IF('All Fleet'!CI43="","",'All Fleet'!CI43)</f>
        <v>0.86464743589743587</v>
      </c>
      <c r="CM7" s="173">
        <f>IF('All Fleet'!CJ43="","",'All Fleet'!CJ43)</f>
        <v>0.86966049382716049</v>
      </c>
      <c r="CN7" s="173">
        <f>IF('All Fleet'!CK43="","",'All Fleet'!CK43)</f>
        <v>0.87431547619047623</v>
      </c>
      <c r="CO7" s="173">
        <f>IF('All Fleet'!CL43="","",'All Fleet'!CL43)</f>
        <v>0.87864942528735634</v>
      </c>
      <c r="CP7" s="173">
        <f>IF('All Fleet'!CM43="","",'All Fleet'!CM43)</f>
        <v>0.88269444444444445</v>
      </c>
      <c r="CQ7" s="173">
        <f>IF('All Fleet'!CN43="","",'All Fleet'!CN43)</f>
        <v>0.88647849462365591</v>
      </c>
      <c r="CR7" s="173">
        <f>IF('All Fleet'!CO43="","",'All Fleet'!CO43)</f>
        <v>5.5416666666666559E-2</v>
      </c>
      <c r="CS7" s="173">
        <f>IF('All Fleet'!CP43="","",'All Fleet'!CP43)</f>
        <v>0.52770833333333322</v>
      </c>
      <c r="CT7" s="173">
        <f>IF('All Fleet'!CQ43="","",'All Fleet'!CQ43)</f>
        <v>0.68513888888888885</v>
      </c>
      <c r="CU7" s="173">
        <f>IF('All Fleet'!CR43="","",'All Fleet'!CR43)</f>
        <v>0.76385416666666661</v>
      </c>
      <c r="CV7" s="173">
        <f>IF('All Fleet'!CS43="","",'All Fleet'!CS43)</f>
        <v>0.55125000000000002</v>
      </c>
      <c r="CW7" s="173">
        <f>IF('All Fleet'!CT43="","",'All Fleet'!CT43)</f>
        <v>0.50381944444444438</v>
      </c>
      <c r="CX7" s="173">
        <f>IF('All Fleet'!CU43="","",'All Fleet'!CU43)</f>
        <v>0.55029761904761909</v>
      </c>
      <c r="CY7" s="173">
        <f>IF('All Fleet'!CV43="","",'All Fleet'!CV43)</f>
        <v>0.6021875000000001</v>
      </c>
      <c r="CZ7" s="173">
        <f>IF('All Fleet'!CW43="","",'All Fleet'!CW43)</f>
        <v>0.6463888888888889</v>
      </c>
      <c r="DA7" s="173">
        <f>IF('All Fleet'!CX43="","",'All Fleet'!CX43)</f>
        <v>0.68175000000000008</v>
      </c>
      <c r="DB7" s="173">
        <f>IF('All Fleet'!CY43="","",'All Fleet'!CY43)</f>
        <v>0.6952272727272728</v>
      </c>
      <c r="DC7" s="173">
        <f>IF('All Fleet'!CZ43="","",'All Fleet'!CZ43)</f>
        <v>0.72062500000000007</v>
      </c>
      <c r="DD7" s="173">
        <f>IF('All Fleet'!DA43="","",'All Fleet'!DA43)</f>
        <v>0.74211538461538462</v>
      </c>
      <c r="DE7" s="173">
        <f>IF('All Fleet'!DB43="","",'All Fleet'!DB43)</f>
        <v>0.75398809523809529</v>
      </c>
      <c r="DF7" s="173">
        <f>IF('All Fleet'!DC43="","",'All Fleet'!DC43)</f>
        <v>0.7703888888888889</v>
      </c>
      <c r="DG7" s="173">
        <f>IF('All Fleet'!DD43="","",'All Fleet'!DD43)</f>
        <v>0.78473958333333338</v>
      </c>
      <c r="DH7" s="173">
        <f>IF('All Fleet'!DE43="","",'All Fleet'!DE43)</f>
        <v>0.78485294117647064</v>
      </c>
      <c r="DI7" s="173">
        <f>IF('All Fleet'!DF43="","",'All Fleet'!DF43)</f>
        <v>0.79680555555555554</v>
      </c>
      <c r="DJ7" s="173">
        <f>IF('All Fleet'!DG43="","",'All Fleet'!DG43)</f>
        <v>0.8075</v>
      </c>
      <c r="DK7" s="173">
        <f>IF('All Fleet'!DH43="","",'All Fleet'!DH43)</f>
        <v>0.81712499999999999</v>
      </c>
      <c r="DL7" s="173">
        <f>IF('All Fleet'!DI43="","",'All Fleet'!DI43)</f>
        <v>0.82218253968253974</v>
      </c>
      <c r="DM7" s="173">
        <f>IF('All Fleet'!DJ43="","",'All Fleet'!DJ43)</f>
        <v>0.83026515151515157</v>
      </c>
      <c r="DN7" s="173">
        <f>IF('All Fleet'!DK43="","",'All Fleet'!DK43)</f>
        <v>0.83507246376811595</v>
      </c>
      <c r="DO7" s="173">
        <f>IF('All Fleet'!DL43="","",'All Fleet'!DL43)</f>
        <v>0.84194444444444438</v>
      </c>
      <c r="DP7" s="173">
        <f>IF('All Fleet'!DM43="","",'All Fleet'!DM43)</f>
        <v>0.84826666666666672</v>
      </c>
      <c r="DQ7" s="173">
        <f>IF('All Fleet'!DN43="","",'All Fleet'!DN43)</f>
        <v>0.85410256410256413</v>
      </c>
      <c r="DR7" s="173">
        <f>IF('All Fleet'!DO43="","",'All Fleet'!DO43)</f>
        <v>0.85950617283950614</v>
      </c>
      <c r="DS7" s="173">
        <f>IF('All Fleet'!DP43="","",'All Fleet'!DP43)</f>
        <v>0.85924107142857142</v>
      </c>
      <c r="DT7" s="173">
        <f>IF('All Fleet'!DQ43="","",'All Fleet'!DQ43)</f>
        <v>0.86409482758620693</v>
      </c>
      <c r="DU7" s="173">
        <f>IF('All Fleet'!DR43="","",'All Fleet'!DR43)</f>
        <v>0.86862499999999998</v>
      </c>
      <c r="DV7" s="173">
        <f>IF('All Fleet'!DS43="","",'All Fleet'!DS43)</f>
        <v>0.88208333333333333</v>
      </c>
      <c r="DW7" s="173">
        <f>IF('All Fleet'!DT43="","",'All Fleet'!DT43)</f>
        <v>0.90125</v>
      </c>
      <c r="DX7" s="173">
        <f>IF('All Fleet'!DU43="","",'All Fleet'!DU43)</f>
        <v>0.86402777777777784</v>
      </c>
      <c r="DY7" s="173">
        <f>IF('All Fleet'!DV43="","",'All Fleet'!DV43)</f>
        <v>0.89802083333333338</v>
      </c>
      <c r="DZ7" s="173">
        <f>IF('All Fleet'!DW43="","",'All Fleet'!DW43)</f>
        <v>0.91841666666666666</v>
      </c>
      <c r="EA7" s="173">
        <f>IF('All Fleet'!DX43="","",'All Fleet'!DX43)</f>
        <v>0.91013888888888883</v>
      </c>
      <c r="EB7" s="173">
        <f>IF('All Fleet'!DY43="","",'All Fleet'!DY43)</f>
        <v>0.8956547619047619</v>
      </c>
      <c r="EC7" s="173">
        <f>IF('All Fleet'!DZ43="","",'All Fleet'!DZ43)</f>
        <v>0.85729166666666667</v>
      </c>
      <c r="ED7" s="173">
        <f>IF('All Fleet'!EA43="","",'All Fleet'!EA43)</f>
        <v>0.87314814814814812</v>
      </c>
      <c r="EE7" s="173">
        <f>IF('All Fleet'!EB43="","",'All Fleet'!EB43)</f>
        <v>0.88583333333333336</v>
      </c>
      <c r="EF7" s="173">
        <f>IF('All Fleet'!EC43="","",'All Fleet'!EC43)</f>
        <v>0.89621212121212124</v>
      </c>
      <c r="EG7" s="173">
        <f>IF('All Fleet'!ED43="","",'All Fleet'!ED43)</f>
        <v>0.90486111111111112</v>
      </c>
      <c r="EH7" s="173">
        <f>IF('All Fleet'!EE43="","",'All Fleet'!EE43)</f>
        <v>0.91217948717948716</v>
      </c>
      <c r="EI7" s="173">
        <f>IF('All Fleet'!EF43="","",'All Fleet'!EF43)</f>
        <v>0.91845238095238091</v>
      </c>
      <c r="EJ7" s="173">
        <f>IF('All Fleet'!EG43="","",'All Fleet'!EG43)</f>
        <v>0.92388888888888887</v>
      </c>
      <c r="EK7" s="173">
        <f>IF('All Fleet'!EH43="","",'All Fleet'!EH43)</f>
        <v>0.92864583333333328</v>
      </c>
      <c r="EL7" s="173">
        <f>IF('All Fleet'!EI43="","",'All Fleet'!EI43)</f>
        <v>0.875</v>
      </c>
      <c r="EM7" s="173">
        <f>IF('All Fleet'!EJ43="","",'All Fleet'!EJ43)</f>
        <v>0.88194444444444442</v>
      </c>
      <c r="EN7" s="173">
        <f>IF('All Fleet'!EK43="","",'All Fleet'!EK43)</f>
        <v>0.88815789473684215</v>
      </c>
      <c r="EO7" s="173">
        <f>IF('All Fleet'!EL43="","",'All Fleet'!EL43)</f>
        <v>0.85420833333333335</v>
      </c>
      <c r="EP7" s="173">
        <f>IF('All Fleet'!EM43="","",'All Fleet'!EM43)</f>
        <v>0.85992063492063486</v>
      </c>
      <c r="EQ7" s="173">
        <f>IF('All Fleet'!EN43="","",'All Fleet'!EN43)</f>
        <v>0.86628787878787872</v>
      </c>
      <c r="ER7" s="173">
        <f>IF('All Fleet'!EO43="","",'All Fleet'!EO43)</f>
        <v>0.86498188405797105</v>
      </c>
      <c r="ES7" s="173">
        <f>IF('All Fleet'!EP43="","",'All Fleet'!EP43)</f>
        <v>0.87060763888888881</v>
      </c>
      <c r="ET7" s="173">
        <f>IF('All Fleet'!EQ43="","",'All Fleet'!EQ43)</f>
        <v>0.87014999999999998</v>
      </c>
      <c r="EU7" s="173">
        <f>IF('All Fleet'!ER43="","",'All Fleet'!ER43)</f>
        <v>0.87514423076923076</v>
      </c>
      <c r="EV7" s="173">
        <f>IF('All Fleet'!ES43="","",'All Fleet'!ES43)</f>
        <v>0.87598765432098769</v>
      </c>
      <c r="EW7" s="173">
        <f>IF('All Fleet'!ET43="","",'All Fleet'!ET43)</f>
        <v>0.88041666666666663</v>
      </c>
      <c r="EX7" s="173">
        <f>IF('All Fleet'!EU43="","",'All Fleet'!EU43)</f>
        <v>0.88454022988505743</v>
      </c>
      <c r="EY7" s="173">
        <f>IF('All Fleet'!EV43="","",'All Fleet'!EV43)</f>
        <v>0.88838888888888889</v>
      </c>
      <c r="EZ7" s="173">
        <f>IF('All Fleet'!EW43="","",'All Fleet'!EW43)</f>
        <v>0.89198924731182794</v>
      </c>
      <c r="FA7" s="173">
        <f>IF('All Fleet'!EX43="","",'All Fleet'!EX43)</f>
        <v>1</v>
      </c>
      <c r="FB7" s="173">
        <f>IF('All Fleet'!EY43="","",'All Fleet'!EY43)</f>
        <v>1</v>
      </c>
      <c r="FC7" s="173">
        <f>IF('All Fleet'!EZ43="","",'All Fleet'!EZ43)</f>
        <v>1</v>
      </c>
      <c r="FD7" s="173">
        <f>IF('All Fleet'!FA43="","",'All Fleet'!FA43)</f>
        <v>1</v>
      </c>
      <c r="FE7" s="173">
        <f>IF('All Fleet'!FB43="","",'All Fleet'!FB43)</f>
        <v>1</v>
      </c>
      <c r="FF7" s="173">
        <f>IF('All Fleet'!FC43="","",'All Fleet'!FC43)</f>
        <v>1</v>
      </c>
      <c r="FG7" s="173">
        <f>IF('All Fleet'!FD43="","",'All Fleet'!FD43)</f>
        <v>1</v>
      </c>
      <c r="FH7" s="173">
        <f>IF('All Fleet'!FE43="","",'All Fleet'!FE43)</f>
        <v>1</v>
      </c>
      <c r="FI7" s="173">
        <f>IF('All Fleet'!FF43="","",'All Fleet'!FF43)</f>
        <v>1</v>
      </c>
      <c r="FJ7" s="173">
        <f>IF('All Fleet'!FG43="","",'All Fleet'!FG43)</f>
        <v>1</v>
      </c>
      <c r="FK7" s="173">
        <f>IF('All Fleet'!FH43="","",'All Fleet'!FH43)</f>
        <v>1</v>
      </c>
      <c r="FL7" s="173">
        <f>IF('All Fleet'!FI43="","",'All Fleet'!FI43)</f>
        <v>0.95666666666666667</v>
      </c>
      <c r="FM7" s="173">
        <f>IF('All Fleet'!FJ43="","",'All Fleet'!FJ43)</f>
        <v>0.96</v>
      </c>
      <c r="FN7" s="173">
        <f>IF('All Fleet'!FK43="","",'All Fleet'!FK43)</f>
        <v>0.89491071428571423</v>
      </c>
      <c r="FO7" s="173">
        <f>IF('All Fleet'!FL43="","",'All Fleet'!FL43)</f>
        <v>0.9019166666666667</v>
      </c>
      <c r="FP7" s="173">
        <f>IF('All Fleet'!FM43="","",'All Fleet'!FM43)</f>
        <v>0.90804687500000003</v>
      </c>
      <c r="FQ7" s="173">
        <f>IF('All Fleet'!FN43="","",'All Fleet'!FN43)</f>
        <v>0.91345588235294117</v>
      </c>
      <c r="FR7" s="173">
        <f>IF('All Fleet'!FO43="","",'All Fleet'!FO43)</f>
        <v>0.91826388888888888</v>
      </c>
      <c r="FS7" s="173">
        <f>IF('All Fleet'!FP43="","",'All Fleet'!FP43)</f>
        <v>0.92212719298245616</v>
      </c>
      <c r="FT7" s="173">
        <f>IF('All Fleet'!FQ43="","",'All Fleet'!FQ43)</f>
        <v>0.90679166666666666</v>
      </c>
      <c r="FU7" s="173">
        <f>IF('All Fleet'!FR43="","",'All Fleet'!FR43)</f>
        <v>0.8954563492063492</v>
      </c>
      <c r="FV7" s="173">
        <f>IF('All Fleet'!FS43="","",'All Fleet'!FS43)</f>
        <v>0.89660984848484848</v>
      </c>
      <c r="FW7" s="173">
        <f>IF('All Fleet'!FT43="","",'All Fleet'!FT43)</f>
        <v>0.90110507246376814</v>
      </c>
      <c r="FX7" s="173">
        <f>IF('All Fleet'!FU43="","",'All Fleet'!FU43)</f>
        <v>0.87979166666666664</v>
      </c>
      <c r="FY7" s="173">
        <f>IF('All Fleet'!FV43="","",'All Fleet'!FV43)</f>
        <v>0.88459999999999994</v>
      </c>
      <c r="FZ7" s="173">
        <f>IF('All Fleet'!FW43="","",'All Fleet'!FW43)</f>
        <v>0.87320512820512819</v>
      </c>
      <c r="GA7" s="173">
        <f>IF('All Fleet'!FX43="","",'All Fleet'!FX43)</f>
        <v>0.87790123456790126</v>
      </c>
      <c r="GB7" s="173">
        <f>IF('All Fleet'!FY43="","",'All Fleet'!FY43)</f>
        <v>0.87812500000000004</v>
      </c>
      <c r="GC7" s="173">
        <f>IF('All Fleet'!FZ43="","",'All Fleet'!FZ43)</f>
        <v>0.88232758620689655</v>
      </c>
      <c r="GD7" s="173">
        <f>IF('All Fleet'!GA43="","",'All Fleet'!GA43)</f>
        <v>0.88624999999999998</v>
      </c>
      <c r="GE7" s="173">
        <f>IF('All Fleet'!GB43="","",'All Fleet'!GB43)</f>
        <v>1</v>
      </c>
      <c r="GF7" s="173">
        <f>IF('All Fleet'!GC43="","",'All Fleet'!GC43)</f>
        <v>0.70291666666666663</v>
      </c>
      <c r="GG7" s="173">
        <f>IF('All Fleet'!GD43="","",'All Fleet'!GD43)</f>
        <v>0.80194444444444446</v>
      </c>
      <c r="GH7" s="173">
        <f>IF('All Fleet'!GE43="","",'All Fleet'!GE43)</f>
        <v>0.85145833333333332</v>
      </c>
      <c r="GI7" s="173">
        <f>IF('All Fleet'!GF43="","",'All Fleet'!GF43)</f>
        <v>0.88116666666666665</v>
      </c>
      <c r="GJ7" s="173">
        <f>IF('All Fleet'!GG43="","",'All Fleet'!GG43)</f>
        <v>0.90097222222222229</v>
      </c>
      <c r="GK7" s="173">
        <f>IF('All Fleet'!GH43="","",'All Fleet'!GH43)</f>
        <v>0.91511904761904761</v>
      </c>
      <c r="GL7" s="173">
        <f>IF('All Fleet'!GI43="","",'All Fleet'!GI43)</f>
        <v>0.92572916666666671</v>
      </c>
      <c r="GM7" s="173">
        <f>IF('All Fleet'!GJ43="","",'All Fleet'!GJ43)</f>
        <v>0.93398148148148152</v>
      </c>
      <c r="GN7" s="173">
        <f>IF('All Fleet'!GK43="","",'All Fleet'!GK43)</f>
        <v>0.94058333333333333</v>
      </c>
      <c r="GO7" s="173">
        <f>IF('All Fleet'!GL43="","",'All Fleet'!GL43)</f>
        <v>0.94598484848484854</v>
      </c>
      <c r="GP7" s="173">
        <f>IF('All Fleet'!GM43="","",'All Fleet'!GM43)</f>
        <v>0.9148263888888889</v>
      </c>
      <c r="GQ7" s="173">
        <f>IF('All Fleet'!GN43="","",'All Fleet'!GN43)</f>
        <v>0.92137820512820512</v>
      </c>
      <c r="GR7" s="173">
        <f>IF('All Fleet'!GO43="","",'All Fleet'!GO43)</f>
        <v>0.92699404761904758</v>
      </c>
      <c r="GS7" s="173">
        <f>IF('All Fleet'!GP43="","",'All Fleet'!GP43)</f>
        <v>0.93186111111111114</v>
      </c>
      <c r="GT7" s="173">
        <f>IF('All Fleet'!GQ43="","",'All Fleet'!GQ43)</f>
        <v>0.9361197916666667</v>
      </c>
      <c r="GU7" s="173">
        <f>IF('All Fleet'!GR43="","",'All Fleet'!GR43)</f>
        <v>0.82242647058823526</v>
      </c>
      <c r="GV7" s="173">
        <f>IF('All Fleet'!GS43="","",'All Fleet'!GS43)</f>
        <v>0.83229166666666665</v>
      </c>
      <c r="GW7" s="173">
        <f>IF('All Fleet'!GT43="","",'All Fleet'!GT43)</f>
        <v>0.81572368421052632</v>
      </c>
      <c r="GX7" s="173">
        <f>IF('All Fleet'!GU43="","",'All Fleet'!GU43)</f>
        <v>0.82493749999999999</v>
      </c>
      <c r="GY7" s="173">
        <f>IF('All Fleet'!GV43="","",'All Fleet'!GV43)</f>
        <v>0.83327380952380947</v>
      </c>
      <c r="GZ7" s="173">
        <f>IF('All Fleet'!GW43="","",'All Fleet'!GW43)</f>
        <v>0.8408522727272727</v>
      </c>
      <c r="HA7" s="173">
        <f>IF('All Fleet'!GX43="","",'All Fleet'!GX43)</f>
        <v>0.8477717391304348</v>
      </c>
      <c r="HB7" s="173">
        <f>IF('All Fleet'!GY43="","",'All Fleet'!GY43)</f>
        <v>0.85411458333333334</v>
      </c>
      <c r="HC7" s="173">
        <f>IF('All Fleet'!GZ43="","",'All Fleet'!GZ43)</f>
        <v>0.85994999999999999</v>
      </c>
      <c r="HD7" s="173">
        <f>IF('All Fleet'!HA43="","",'All Fleet'!HA43)</f>
        <v>0.86533653846153846</v>
      </c>
      <c r="HE7" s="173">
        <f>IF('All Fleet'!HB43="","",'All Fleet'!HB43)</f>
        <v>0.87032407407407408</v>
      </c>
      <c r="HF7" s="173">
        <f>IF('All Fleet'!HC43="","",'All Fleet'!HC43)</f>
        <v>0.8749553571428571</v>
      </c>
      <c r="HG7" s="173">
        <f>IF('All Fleet'!HD43="","",'All Fleet'!HD43)</f>
        <v>0.87926724137931034</v>
      </c>
      <c r="HH7" s="173">
        <f>IF('All Fleet'!HE43="","",'All Fleet'!HE43)</f>
        <v>0.8832916666666667</v>
      </c>
      <c r="HI7" s="173">
        <f>IF('All Fleet'!HF43="","",'All Fleet'!HF43)</f>
        <v>0.88705645161290325</v>
      </c>
      <c r="HJ7" s="173">
        <f>IF('All Fleet'!HG43="","",'All Fleet'!HG43)</f>
        <v>1</v>
      </c>
      <c r="HK7" s="173">
        <f>IF('All Fleet'!HH43="","",'All Fleet'!HH43)</f>
        <v>1</v>
      </c>
      <c r="HL7" s="173">
        <f>IF('All Fleet'!HI43="","",'All Fleet'!HI43)</f>
        <v>1</v>
      </c>
      <c r="HM7" s="173">
        <f>IF('All Fleet'!HJ43="","",'All Fleet'!HJ43)</f>
        <v>1</v>
      </c>
      <c r="HN7" s="173">
        <f>IF('All Fleet'!HK43="","",'All Fleet'!HK43)</f>
        <v>1</v>
      </c>
      <c r="HO7" s="173">
        <f>IF('All Fleet'!HL43="","",'All Fleet'!HL43)</f>
        <v>1</v>
      </c>
      <c r="HP7" s="173">
        <f>IF('All Fleet'!HM43="","",'All Fleet'!HM43)</f>
        <v>1</v>
      </c>
      <c r="HQ7" s="173">
        <f>IF('All Fleet'!HN43="","",'All Fleet'!HN43)</f>
        <v>0.96456597222222218</v>
      </c>
      <c r="HR7" s="173">
        <f>IF('All Fleet'!HO43="","",'All Fleet'!HO43)</f>
        <v>0.96850308641975313</v>
      </c>
      <c r="HS7" s="173">
        <f>IF('All Fleet'!HP43="","",'All Fleet'!HP43)</f>
        <v>0.97165277777777781</v>
      </c>
      <c r="HT7" s="173">
        <f>IF('All Fleet'!HQ43="","",'All Fleet'!HQ43)</f>
        <v>0.97422979797979803</v>
      </c>
      <c r="HU7" s="173">
        <f>IF('All Fleet'!HR43="","",'All Fleet'!HR43)</f>
        <v>0.97637731481481482</v>
      </c>
      <c r="HV7" s="173">
        <f>IF('All Fleet'!HS43="","",'All Fleet'!HS43)</f>
        <v>0.97819444444444448</v>
      </c>
      <c r="HW7" s="173">
        <f>IF('All Fleet'!HT43="","",'All Fleet'!HT43)</f>
        <v>0.97975198412698417</v>
      </c>
      <c r="HX7" s="173">
        <f>IF('All Fleet'!HU43="","",'All Fleet'!HU43)</f>
        <v>0.98110185185185184</v>
      </c>
      <c r="HY7" s="173">
        <f>IF('All Fleet'!HV43="","",'All Fleet'!HV43)</f>
        <v>0.98228298611111109</v>
      </c>
      <c r="HZ7" s="173">
        <f>IF('All Fleet'!HW43="","",'All Fleet'!HW43)</f>
        <v>0.9833251633986928</v>
      </c>
      <c r="IA7" s="173">
        <f>IF('All Fleet'!HX43="","",'All Fleet'!HX43)</f>
        <v>0.98383166152263379</v>
      </c>
      <c r="IB7" s="173">
        <f>IF('All Fleet'!HY43="","",'All Fleet'!HY43)</f>
        <v>0.97513706140350875</v>
      </c>
      <c r="IC7" s="173">
        <f>IF('All Fleet'!HZ43="","",'All Fleet'!HZ43)</f>
        <v>0.93203356481481481</v>
      </c>
      <c r="ID7" s="173">
        <f>IF('All Fleet'!IA43="","",'All Fleet'!IA43)</f>
        <v>0.91896660052910051</v>
      </c>
      <c r="IE7" s="173">
        <f>IF('All Fleet'!IB43="","",'All Fleet'!IB43)</f>
        <v>0.9226499368686869</v>
      </c>
      <c r="IF7" s="173">
        <f>IF('All Fleet'!IC43="","",'All Fleet'!IC43)</f>
        <v>0.92601298309178748</v>
      </c>
      <c r="IG7" s="173">
        <f>IF('All Fleet'!ID43="","",'All Fleet'!ID43)</f>
        <v>0.92909577546296296</v>
      </c>
      <c r="IH7" s="173">
        <f>IF('All Fleet'!IE43="","",'All Fleet'!IE43)</f>
        <v>0.93193194444444449</v>
      </c>
      <c r="II7" s="173">
        <f>IF('All Fleet'!IF43="","",'All Fleet'!IF43)</f>
        <v>0.92846020299145304</v>
      </c>
      <c r="IJ7" s="173">
        <f>IF('All Fleet'!IG43="","",'All Fleet'!IG43)</f>
        <v>0.93110982510288065</v>
      </c>
      <c r="IK7" s="173">
        <f>IF('All Fleet'!IH43="","",'All Fleet'!IH43)</f>
        <v>0.93357018849206352</v>
      </c>
      <c r="IL7" s="173">
        <f>IF('All Fleet'!II43="","",'All Fleet'!II43)</f>
        <v>0.93586087164750964</v>
      </c>
      <c r="IM7" s="173">
        <f>IF('All Fleet'!IJ43="","",'All Fleet'!IJ43)</f>
        <v>0.93799884259259259</v>
      </c>
      <c r="IN7" s="173">
        <f>IF('All Fleet'!IK43="","",'All Fleet'!IK43)</f>
        <v>0.92084901433691757</v>
      </c>
      <c r="IO7" s="173">
        <f>IF('All Fleet'!IL43="","",'All Fleet'!IL43)</f>
        <v>0.78170138888888885</v>
      </c>
      <c r="IP7" s="173">
        <f>IF('All Fleet'!IM43="","",'All Fleet'!IM43)</f>
        <v>0.89085069444444442</v>
      </c>
      <c r="IQ7" s="173">
        <f>IF('All Fleet'!IN43="","",'All Fleet'!IN43)</f>
        <v>0.92723379629629632</v>
      </c>
      <c r="IR7" s="173">
        <f>IF('All Fleet'!IO43="","",'All Fleet'!IO43)</f>
        <v>0.89302662037037039</v>
      </c>
      <c r="IS7" s="173">
        <f>IF('All Fleet'!IP43="","",'All Fleet'!IP43)</f>
        <v>0.84132638888888889</v>
      </c>
      <c r="IT7" s="173">
        <f>IF('All Fleet'!IQ43="","",'All Fleet'!IQ43)</f>
        <v>0.82481674382716053</v>
      </c>
      <c r="IU7" s="173">
        <f>IF('All Fleet'!IR43="","",'All Fleet'!IR43)</f>
        <v>0.78949404761904762</v>
      </c>
      <c r="IV7" s="173">
        <f>IF('All Fleet'!IS43="","",'All Fleet'!IS43)</f>
        <v>0.81534288194444449</v>
      </c>
      <c r="IW7" s="173">
        <f>IF('All Fleet'!IT43="","",'All Fleet'!IT43)</f>
        <v>0.8333191872427983</v>
      </c>
      <c r="IX7" s="173">
        <f>IF('All Fleet'!IU43="","",'All Fleet'!IU43)</f>
        <v>0.84998726851851858</v>
      </c>
      <c r="IY7" s="173">
        <f>IF('All Fleet'!IV43="","",'All Fleet'!IV43)</f>
        <v>0.85578808922558924</v>
      </c>
      <c r="IZ7" s="173">
        <f>IF('All Fleet'!IW43="","",'All Fleet'!IW43)</f>
        <v>0.86780574845679015</v>
      </c>
      <c r="JA7" s="173">
        <f>IF('All Fleet'!IX43="","",'All Fleet'!IX43)</f>
        <v>0.82493144586894585</v>
      </c>
      <c r="JB7" s="173">
        <f>IF('All Fleet'!IY43="","",'All Fleet'!IY43)</f>
        <v>0.77537285052910054</v>
      </c>
      <c r="JC7" s="173">
        <f>IF('All Fleet'!IZ43="","",'All Fleet'!IZ43)</f>
        <v>0.76576311728395063</v>
      </c>
      <c r="JD7" s="173">
        <f>IF('All Fleet'!JA43="","",'All Fleet'!JA43)</f>
        <v>0.771021412037037</v>
      </c>
      <c r="JE7" s="173">
        <f>IF('All Fleet'!JB43="","",'All Fleet'!JB43)</f>
        <v>0.78449074074074066</v>
      </c>
      <c r="JF7" s="173">
        <f>IF('All Fleet'!JC43="","",'All Fleet'!JC43)</f>
        <v>0.79634002057613174</v>
      </c>
      <c r="JG7" s="173">
        <f>IF('All Fleet'!JD43="","",'All Fleet'!JD43)</f>
        <v>0.80705896686159839</v>
      </c>
      <c r="JH7" s="173">
        <f>IF('All Fleet'!JE43="","",'All Fleet'!JE43)</f>
        <v>0.81667418981481477</v>
      </c>
      <c r="JI7" s="173">
        <f>IF('All Fleet'!JF43="","",'All Fleet'!JF43)</f>
        <v>0.82540399029982359</v>
      </c>
      <c r="JJ7" s="173">
        <f>IF('All Fleet'!JG43="","",'All Fleet'!JG43)</f>
        <v>0.83334017255892257</v>
      </c>
      <c r="JK7" s="173">
        <f>IF('All Fleet'!JH43="","",'All Fleet'!JH43)</f>
        <v>0.8405862520128824</v>
      </c>
      <c r="JL7" s="173">
        <f>IF('All Fleet'!JI43="","",'All Fleet'!JI43)</f>
        <v>0.82153452932098769</v>
      </c>
      <c r="JM7" s="173">
        <f>IF('All Fleet'!JJ43="","",'All Fleet'!JJ43)</f>
        <v>0.78867314814814815</v>
      </c>
      <c r="JN7" s="173">
        <f>IF('All Fleet'!JK43="","",'All Fleet'!JK43)</f>
        <v>0.78672186609686601</v>
      </c>
      <c r="JO7" s="173">
        <f>IF('All Fleet'!JL43="","",'All Fleet'!JL43)</f>
        <v>0.79462105624142665</v>
      </c>
      <c r="JP7" s="173">
        <f>IF('All Fleet'!JM43="","",'All Fleet'!JM43)</f>
        <v>0.8019560185185185</v>
      </c>
      <c r="JQ7" s="173">
        <f>IF('All Fleet'!JN43="","",'All Fleet'!JN43)</f>
        <v>0.79785121328224773</v>
      </c>
      <c r="JR7" s="173">
        <f>IF('All Fleet'!JO43="","",'All Fleet'!JO43)</f>
        <v>0.80320061728395054</v>
      </c>
      <c r="JS7" s="173">
        <f>IF('All Fleet'!JP43="","",'All Fleet'!JP43)</f>
        <v>0.95833333333333337</v>
      </c>
      <c r="JT7" s="173">
        <f>IF('All Fleet'!JQ43="","",'All Fleet'!JQ43)</f>
        <v>0.95833333333333337</v>
      </c>
      <c r="JU7" s="173">
        <f>IF('All Fleet'!JR43="","",'All Fleet'!JR43)</f>
        <v>0.79079475308641978</v>
      </c>
      <c r="JV7" s="173">
        <f>IF('All Fleet'!JS43="","",'All Fleet'!JS43)</f>
        <v>0.83267939814814818</v>
      </c>
      <c r="JW7" s="173">
        <f>IF('All Fleet'!JT43="","",'All Fleet'!JT43)</f>
        <v>0.86114351851851856</v>
      </c>
      <c r="JX7" s="173">
        <f>IF('All Fleet'!JU43="","",'All Fleet'!JU43)</f>
        <v>0.85331404320987658</v>
      </c>
      <c r="JY7" s="173">
        <f>IF('All Fleet'!JV43="","",'All Fleet'!JV43)</f>
        <v>0.87337632275132271</v>
      </c>
      <c r="JZ7" s="173">
        <f>IF('All Fleet'!JW43="","",'All Fleet'!JW43)</f>
        <v>0.88920428240740745</v>
      </c>
      <c r="KA7" s="173">
        <f>IF('All Fleet'!JX43="","",'All Fleet'!JX43)</f>
        <v>0.90151491769547332</v>
      </c>
      <c r="KB7" s="173">
        <f>IF('All Fleet'!JY43="","",'All Fleet'!JY43)</f>
        <v>0.9113634259259259</v>
      </c>
      <c r="KC7" s="173">
        <f>IF('All Fleet'!JZ43="","",'All Fleet'!JZ43)</f>
        <v>0.91942129629629632</v>
      </c>
      <c r="KD7" s="173">
        <f>IF('All Fleet'!KA43="","",'All Fleet'!KA43)</f>
        <v>0.92613618827160493</v>
      </c>
      <c r="KE7" s="173">
        <f>IF('All Fleet'!KB43="","",'All Fleet'!KB43)</f>
        <v>0.93181801994301994</v>
      </c>
      <c r="KF7" s="173">
        <f>IF('All Fleet'!KC43="","",'All Fleet'!KC43)</f>
        <v>0.93668816137566135</v>
      </c>
      <c r="KG7" s="173">
        <f>IF('All Fleet'!KD43="","",'All Fleet'!KD43)</f>
        <v>0.94090895061728397</v>
      </c>
      <c r="KH7" s="173">
        <f>IF('All Fleet'!KE43="","",'All Fleet'!KE43)</f>
        <v>0.94460214120370367</v>
      </c>
      <c r="KI7" s="173">
        <f>IF('All Fleet'!KF43="","",'All Fleet'!KF43)</f>
        <v>0.94786083877995642</v>
      </c>
      <c r="KJ7" s="173">
        <f>IF('All Fleet'!KG43="","",'All Fleet'!KG43)</f>
        <v>0.95075745884773666</v>
      </c>
      <c r="KK7" s="173">
        <f>IF('All Fleet'!KH43="","",'All Fleet'!KH43)</f>
        <v>0.90071759259259254</v>
      </c>
      <c r="KL7" s="173">
        <f>IF('All Fleet'!KI43="","",'All Fleet'!KI43)</f>
        <v>0.90568171296296296</v>
      </c>
      <c r="KM7" s="173">
        <f>IF('All Fleet'!KJ43="","",'All Fleet'!KJ43)</f>
        <v>0.91017305996472664</v>
      </c>
      <c r="KN7" s="173">
        <f>IF('All Fleet'!KK43="","",'All Fleet'!KK43)</f>
        <v>0.91425610269360269</v>
      </c>
      <c r="KO7" s="173">
        <f>IF('All Fleet'!KL43="","",'All Fleet'!KL43)</f>
        <v>0.91798409822866345</v>
      </c>
      <c r="KP7" s="173">
        <f>IF('All Fleet'!KM43="","",'All Fleet'!KM43)</f>
        <v>0.92140142746913578</v>
      </c>
      <c r="KQ7" s="173">
        <f>IF('All Fleet'!KN43="","",'All Fleet'!KN43)</f>
        <v>0.92454537037037032</v>
      </c>
      <c r="KR7" s="173">
        <f>IF('All Fleet'!KO43="","",'All Fleet'!KO43)</f>
        <v>0.92744747150997153</v>
      </c>
      <c r="KS7" s="173">
        <f>IF('All Fleet'!KP43="","",'All Fleet'!KP43)</f>
        <v>0.93013460219478739</v>
      </c>
      <c r="KT7" s="173">
        <f>IF('All Fleet'!KQ43="","",'All Fleet'!KQ43)</f>
        <v>0.93262979497354492</v>
      </c>
      <c r="KU7" s="173">
        <f>IF('All Fleet'!KR43="","",'All Fleet'!KR43)</f>
        <v>0.93495290549169863</v>
      </c>
      <c r="KV7" s="173">
        <f>IF('All Fleet'!KS43="","",'All Fleet'!KS43)</f>
        <v>0.9371211419753086</v>
      </c>
      <c r="KW7" s="173">
        <f>IF('All Fleet'!KT43="","",'All Fleet'!KT43)</f>
        <v>0.93914949223416966</v>
      </c>
      <c r="KX7" s="173" t="str">
        <f>IF('All Fleet'!KU43="","",'All Fleet'!KU43)</f>
        <v/>
      </c>
      <c r="KY7" s="173" t="str">
        <f>IF('All Fleet'!KV43="","",'All Fleet'!KV43)</f>
        <v/>
      </c>
      <c r="KZ7" s="173" t="str">
        <f>IF('All Fleet'!KW43="","",'All Fleet'!KW43)</f>
        <v/>
      </c>
      <c r="LA7" s="173" t="str">
        <f>IF('All Fleet'!KX43="","",'All Fleet'!KX43)</f>
        <v/>
      </c>
      <c r="LB7" s="173" t="str">
        <f>IF('All Fleet'!KY43="","",'All Fleet'!KY43)</f>
        <v/>
      </c>
      <c r="LC7" s="173" t="str">
        <f>IF('All Fleet'!KZ43="","",'All Fleet'!KZ43)</f>
        <v/>
      </c>
      <c r="LD7" s="173" t="str">
        <f>IF('All Fleet'!LA43="","",'All Fleet'!LA43)</f>
        <v/>
      </c>
      <c r="LE7" s="173" t="str">
        <f>IF('All Fleet'!LB43="","",'All Fleet'!LB43)</f>
        <v/>
      </c>
      <c r="LF7" s="173" t="str">
        <f>IF('All Fleet'!LC43="","",'All Fleet'!LC43)</f>
        <v/>
      </c>
      <c r="LG7" s="173" t="str">
        <f>IF('All Fleet'!LD43="","",'All Fleet'!LD43)</f>
        <v/>
      </c>
      <c r="LH7" s="173" t="str">
        <f>IF('All Fleet'!LE43="","",'All Fleet'!LE43)</f>
        <v/>
      </c>
      <c r="LI7" s="173" t="str">
        <f>IF('All Fleet'!LF43="","",'All Fleet'!LF43)</f>
        <v/>
      </c>
      <c r="LJ7" s="173" t="str">
        <f>IF('All Fleet'!LG43="","",'All Fleet'!LG43)</f>
        <v/>
      </c>
      <c r="LK7" s="173" t="str">
        <f>IF('All Fleet'!LH43="","",'All Fleet'!LH43)</f>
        <v/>
      </c>
      <c r="LL7" s="173" t="str">
        <f>IF('All Fleet'!LI43="","",'All Fleet'!LI43)</f>
        <v/>
      </c>
      <c r="LM7" s="173" t="str">
        <f>IF('All Fleet'!LJ43="","",'All Fleet'!LJ43)</f>
        <v/>
      </c>
      <c r="LN7" s="173" t="str">
        <f>IF('All Fleet'!LK43="","",'All Fleet'!LK43)</f>
        <v/>
      </c>
      <c r="LO7" s="173" t="str">
        <f>IF('All Fleet'!LL43="","",'All Fleet'!LL43)</f>
        <v/>
      </c>
      <c r="LP7" s="173" t="str">
        <f>IF('All Fleet'!LM43="","",'All Fleet'!LM43)</f>
        <v/>
      </c>
      <c r="LQ7" s="173" t="str">
        <f>IF('All Fleet'!LN43="","",'All Fleet'!LN43)</f>
        <v/>
      </c>
      <c r="LR7" s="173" t="str">
        <f>IF('All Fleet'!LO43="","",'All Fleet'!LO43)</f>
        <v/>
      </c>
      <c r="LS7" s="173" t="str">
        <f>IF('All Fleet'!LP43="","",'All Fleet'!LP43)</f>
        <v/>
      </c>
      <c r="LT7" s="173" t="str">
        <f>IF('All Fleet'!LQ43="","",'All Fleet'!LQ43)</f>
        <v/>
      </c>
      <c r="LU7" s="173" t="str">
        <f>IF('All Fleet'!LR43="","",'All Fleet'!LR43)</f>
        <v/>
      </c>
      <c r="LV7" s="173" t="str">
        <f>IF('All Fleet'!LS43="","",'All Fleet'!LS43)</f>
        <v/>
      </c>
      <c r="LW7" s="173" t="str">
        <f>IF('All Fleet'!LT43="","",'All Fleet'!LT43)</f>
        <v/>
      </c>
      <c r="LX7" s="173" t="str">
        <f>IF('All Fleet'!LU43="","",'All Fleet'!LU43)</f>
        <v/>
      </c>
      <c r="LY7" s="173" t="str">
        <f>IF('All Fleet'!LV43="","",'All Fleet'!LV43)</f>
        <v/>
      </c>
      <c r="LZ7" s="173" t="str">
        <f>IF('All Fleet'!LW43="","",'All Fleet'!LW43)</f>
        <v/>
      </c>
      <c r="MA7" s="173" t="str">
        <f>IF('All Fleet'!LX43="","",'All Fleet'!LX43)</f>
        <v/>
      </c>
      <c r="MB7" s="173" t="str">
        <f>IF('All Fleet'!LY43="","",'All Fleet'!LY43)</f>
        <v/>
      </c>
      <c r="MC7" s="173" t="str">
        <f>IF('All Fleet'!LZ43="","",'All Fleet'!LZ43)</f>
        <v/>
      </c>
      <c r="MD7" s="173" t="str">
        <f>IF('All Fleet'!MA43="","",'All Fleet'!MA43)</f>
        <v/>
      </c>
      <c r="ME7" s="173" t="str">
        <f>IF('All Fleet'!MB43="","",'All Fleet'!MB43)</f>
        <v/>
      </c>
      <c r="MF7" s="173" t="str">
        <f>IF('All Fleet'!MC43="","",'All Fleet'!MC43)</f>
        <v/>
      </c>
      <c r="MG7" s="173" t="str">
        <f>IF('All Fleet'!MD43="","",'All Fleet'!MD43)</f>
        <v/>
      </c>
      <c r="MH7" s="173" t="str">
        <f>IF('All Fleet'!ME43="","",'All Fleet'!ME43)</f>
        <v/>
      </c>
      <c r="MI7" s="173" t="str">
        <f>IF('All Fleet'!MF43="","",'All Fleet'!MF43)</f>
        <v/>
      </c>
      <c r="MJ7" s="173" t="str">
        <f>IF('All Fleet'!MG43="","",'All Fleet'!MG43)</f>
        <v/>
      </c>
      <c r="MK7" s="173" t="str">
        <f>IF('All Fleet'!MH43="","",'All Fleet'!MH43)</f>
        <v/>
      </c>
      <c r="ML7" s="173" t="str">
        <f>IF('All Fleet'!MI43="","",'All Fleet'!MI43)</f>
        <v/>
      </c>
      <c r="MM7" s="173" t="str">
        <f>IF('All Fleet'!MJ43="","",'All Fleet'!MJ43)</f>
        <v/>
      </c>
      <c r="MN7" s="173" t="str">
        <f>IF('All Fleet'!MK43="","",'All Fleet'!MK43)</f>
        <v/>
      </c>
      <c r="MO7" s="173" t="str">
        <f>IF('All Fleet'!ML43="","",'All Fleet'!ML43)</f>
        <v/>
      </c>
      <c r="MP7" s="173" t="str">
        <f>IF('All Fleet'!MM43="","",'All Fleet'!MM43)</f>
        <v/>
      </c>
      <c r="MQ7" s="173" t="str">
        <f>IF('All Fleet'!MN43="","",'All Fleet'!MN43)</f>
        <v/>
      </c>
      <c r="MR7" s="173" t="str">
        <f>IF('All Fleet'!MO43="","",'All Fleet'!MO43)</f>
        <v/>
      </c>
      <c r="MS7" s="173" t="str">
        <f>IF('All Fleet'!MP43="","",'All Fleet'!MP43)</f>
        <v/>
      </c>
      <c r="MT7" s="173" t="str">
        <f>IF('All Fleet'!MQ43="","",'All Fleet'!MQ43)</f>
        <v/>
      </c>
      <c r="MU7" s="173" t="str">
        <f>IF('All Fleet'!MR43="","",'All Fleet'!MR43)</f>
        <v/>
      </c>
      <c r="MV7" s="173" t="str">
        <f>IF('All Fleet'!MS43="","",'All Fleet'!MS43)</f>
        <v/>
      </c>
      <c r="MW7" s="173" t="str">
        <f>IF('All Fleet'!MT43="","",'All Fleet'!MT43)</f>
        <v/>
      </c>
      <c r="MX7" s="173" t="str">
        <f>IF('All Fleet'!MU43="","",'All Fleet'!MU43)</f>
        <v/>
      </c>
      <c r="MY7" s="173" t="str">
        <f>IF('All Fleet'!MV43="","",'All Fleet'!MV43)</f>
        <v/>
      </c>
      <c r="MZ7" s="173" t="str">
        <f>IF('All Fleet'!MW43="","",'All Fleet'!MW43)</f>
        <v/>
      </c>
      <c r="NA7" s="173" t="str">
        <f>IF('All Fleet'!MX43="","",'All Fleet'!MX43)</f>
        <v/>
      </c>
      <c r="NB7" s="173" t="str">
        <f>IF('All Fleet'!MY43="","",'All Fleet'!MY43)</f>
        <v/>
      </c>
      <c r="NC7" s="173" t="str">
        <f>IF('All Fleet'!MZ43="","",'All Fleet'!MZ43)</f>
        <v/>
      </c>
      <c r="ND7" s="173" t="str">
        <f>IF('All Fleet'!NA43="","",'All Fleet'!NA43)</f>
        <v/>
      </c>
      <c r="NE7" s="173" t="str">
        <f>IF('All Fleet'!NB43="","",'All Fleet'!NB43)</f>
        <v/>
      </c>
      <c r="NF7" s="173" t="str">
        <f>IF('All Fleet'!NC43="","",'All Fleet'!NC43)</f>
        <v/>
      </c>
      <c r="NG7" s="173" t="str">
        <f>IF('All Fleet'!ND43="","",'All Fleet'!ND43)</f>
        <v/>
      </c>
      <c r="NH7" s="173" t="str">
        <f>IF('All Fleet'!NE43="","",'All Fleet'!NE43)</f>
        <v/>
      </c>
      <c r="NI7" s="173" t="str">
        <f>IF('All Fleet'!NF43="","",'All Fleet'!NF43)</f>
        <v/>
      </c>
      <c r="NJ7" s="173" t="str">
        <f>IF('All Fleet'!NG43="","",'All Fleet'!NG43)</f>
        <v/>
      </c>
      <c r="NK7" s="173" t="str">
        <f>IF('All Fleet'!NH43="","",'All Fleet'!NH43)</f>
        <v/>
      </c>
      <c r="NL7" s="173" t="str">
        <f>IF('All Fleet'!NI43="","",'All Fleet'!NI43)</f>
        <v/>
      </c>
      <c r="NM7" s="173" t="str">
        <f>IF('All Fleet'!NJ43="","",'All Fleet'!NJ43)</f>
        <v/>
      </c>
      <c r="NN7" s="173" t="str">
        <f>IF('All Fleet'!NK43="","",'All Fleet'!NK43)</f>
        <v/>
      </c>
      <c r="NO7" s="173" t="str">
        <f>IF('All Fleet'!NL43="","",'All Fleet'!NL43)</f>
        <v/>
      </c>
      <c r="NP7" s="173" t="str">
        <f>IF('All Fleet'!NM43="","",'All Fleet'!NM43)</f>
        <v/>
      </c>
      <c r="NQ7" s="173" t="str">
        <f>IF('All Fleet'!NN43="","",'All Fleet'!NN43)</f>
        <v/>
      </c>
      <c r="NR7" s="173" t="str">
        <f>IF('All Fleet'!NO43="","",'All Fleet'!NO43)</f>
        <v/>
      </c>
      <c r="NS7" s="173" t="str">
        <f>IF('All Fleet'!NP43="","",'All Fleet'!NP43)</f>
        <v/>
      </c>
      <c r="NT7" s="173" t="str">
        <f>IF('All Fleet'!NQ43="","",'All Fleet'!NQ43)</f>
        <v/>
      </c>
      <c r="NU7" s="173" t="str">
        <f>IF('All Fleet'!NR43="","",'All Fleet'!NR43)</f>
        <v/>
      </c>
      <c r="NV7" s="173" t="str">
        <f>IF('All Fleet'!NS43="","",'All Fleet'!NS43)</f>
        <v/>
      </c>
      <c r="NW7" s="173" t="str">
        <f>IF('All Fleet'!NT43="","",'All Fleet'!NT43)</f>
        <v/>
      </c>
      <c r="NX7" s="173" t="str">
        <f>IF('All Fleet'!NU43="","",'All Fleet'!NU43)</f>
        <v/>
      </c>
      <c r="NY7" s="173" t="str">
        <f>IF('All Fleet'!NV43="","",'All Fleet'!NV43)</f>
        <v/>
      </c>
      <c r="NZ7" s="173" t="str">
        <f>IF('All Fleet'!NW43="","",'All Fleet'!NW43)</f>
        <v/>
      </c>
      <c r="OA7" s="173" t="str">
        <f>IF('All Fleet'!NX43="","",'All Fleet'!NX43)</f>
        <v/>
      </c>
      <c r="OB7" s="173" t="str">
        <f>IF('All Fleet'!NY43="","",'All Fleet'!NY43)</f>
        <v/>
      </c>
      <c r="OC7" s="173" t="str">
        <f>IF('All Fleet'!NZ43="","",'All Fleet'!NZ43)</f>
        <v/>
      </c>
      <c r="OD7" s="173" t="str">
        <f>IF('All Fleet'!OA43="","",'All Fleet'!OA43)</f>
        <v/>
      </c>
      <c r="OE7" s="173" t="str">
        <f>IF('All Fleet'!OB43="","",'All Fleet'!OB43)</f>
        <v/>
      </c>
      <c r="OF7" s="173" t="str">
        <f>IF('All Fleet'!OC43="","",'All Fleet'!OC43)</f>
        <v/>
      </c>
      <c r="OG7" s="173" t="str">
        <f>IF('All Fleet'!OD43="","",'All Fleet'!OD43)</f>
        <v/>
      </c>
      <c r="OH7" s="173" t="str">
        <f>IF('All Fleet'!OE43="","",'All Fleet'!OE43)</f>
        <v/>
      </c>
      <c r="OI7" s="173" t="str">
        <f>IF('All Fleet'!OF43="","",'All Fleet'!OF43)</f>
        <v/>
      </c>
      <c r="OJ7" s="173" t="str">
        <f>IF('All Fleet'!OG43="","",'All Fleet'!OG43)</f>
        <v/>
      </c>
      <c r="OK7" s="173" t="str">
        <f>IF('All Fleet'!OH43="","",'All Fleet'!OH43)</f>
        <v/>
      </c>
      <c r="OL7" s="173" t="str">
        <f>IF('All Fleet'!OI43="","",'All Fleet'!OI43)</f>
        <v/>
      </c>
      <c r="OM7" s="173" t="str">
        <f>IF('All Fleet'!OJ43="","",'All Fleet'!OJ43)</f>
        <v/>
      </c>
      <c r="ON7" s="173" t="str">
        <f>IF('All Fleet'!OK43="","",'All Fleet'!OK43)</f>
        <v/>
      </c>
      <c r="OO7" s="173" t="str">
        <f>IF('All Fleet'!OL43="","",'All Fleet'!OL43)</f>
        <v/>
      </c>
      <c r="OP7" s="173" t="str">
        <f>IF('All Fleet'!OM43="","",'All Fleet'!OM43)</f>
        <v/>
      </c>
      <c r="OQ7" s="173" t="str">
        <f>IF('All Fleet'!ON43="","",'All Fleet'!ON43)</f>
        <v/>
      </c>
      <c r="OR7" s="173" t="str">
        <f>IF('All Fleet'!OO43="","",'All Fleet'!OO43)</f>
        <v/>
      </c>
      <c r="OS7" s="173" t="str">
        <f>IF('All Fleet'!OP43="","",'All Fleet'!OP43)</f>
        <v/>
      </c>
      <c r="OT7" s="173" t="str">
        <f>IF('All Fleet'!OQ43="","",'All Fleet'!OQ43)</f>
        <v/>
      </c>
      <c r="OU7" s="173" t="str">
        <f>IF('All Fleet'!OR43="","",'All Fleet'!OR43)</f>
        <v/>
      </c>
      <c r="OV7" s="173" t="str">
        <f>IF('All Fleet'!OS43="","",'All Fleet'!OS43)</f>
        <v/>
      </c>
      <c r="OW7" s="173" t="str">
        <f>IF('All Fleet'!OT43="","",'All Fleet'!OT43)</f>
        <v/>
      </c>
      <c r="OX7" s="173" t="str">
        <f>IF('All Fleet'!OU43="","",'All Fleet'!OU43)</f>
        <v/>
      </c>
      <c r="OY7" s="173" t="str">
        <f>IF('All Fleet'!OV43="","",'All Fleet'!OV43)</f>
        <v/>
      </c>
      <c r="OZ7" s="174" t="str">
        <f>IF('All Fleet'!OW43="","",'All Fleet'!OW43)</f>
        <v/>
      </c>
    </row>
    <row r="8" spans="1:416" s="94" customFormat="1" ht="15" customHeight="1" x14ac:dyDescent="0.2">
      <c r="A8" s="138" t="b">
        <f t="shared" si="376"/>
        <v>1</v>
      </c>
      <c r="B8" s="139">
        <v>5</v>
      </c>
      <c r="C8" s="142" t="str">
        <f t="shared" si="377"/>
        <v>Mechanical Availability</v>
      </c>
      <c r="D8" s="143" t="str">
        <f t="shared" si="378"/>
        <v>777E Expro</v>
      </c>
      <c r="E8" s="188" t="s">
        <v>81</v>
      </c>
      <c r="F8" s="166">
        <f>IF('All Fleet'!C44="","",'All Fleet'!C44)</f>
        <v>1</v>
      </c>
      <c r="G8" s="166">
        <f>IF('All Fleet'!D44="","",'All Fleet'!D44)</f>
        <v>1</v>
      </c>
      <c r="H8" s="166">
        <f>IF('All Fleet'!E44="","",'All Fleet'!E44)</f>
        <v>1</v>
      </c>
      <c r="I8" s="166">
        <f>IF('All Fleet'!F44="","",'All Fleet'!F44)</f>
        <v>1</v>
      </c>
      <c r="J8" s="166">
        <f>IF('All Fleet'!G44="","",'All Fleet'!G44)</f>
        <v>1</v>
      </c>
      <c r="K8" s="166">
        <f>IF('All Fleet'!H44="","",'All Fleet'!H44)</f>
        <v>1</v>
      </c>
      <c r="L8" s="166">
        <f>IF('All Fleet'!I44="","",'All Fleet'!I44)</f>
        <v>1</v>
      </c>
      <c r="M8" s="166">
        <f>IF('All Fleet'!J44="","",'All Fleet'!J44)</f>
        <v>1</v>
      </c>
      <c r="N8" s="166">
        <f>IF('All Fleet'!K44="","",'All Fleet'!K44)</f>
        <v>0.99421296296296291</v>
      </c>
      <c r="O8" s="166">
        <f>IF('All Fleet'!L44="","",'All Fleet'!L44)</f>
        <v>0.96050000000000002</v>
      </c>
      <c r="P8" s="166">
        <f>IF('All Fleet'!M44="","",'All Fleet'!M44)</f>
        <v>0.82632575757575755</v>
      </c>
      <c r="Q8" s="166">
        <f>IF('All Fleet'!N44="","",'All Fleet'!N44)</f>
        <v>0.84079861111111109</v>
      </c>
      <c r="R8" s="166">
        <f>IF('All Fleet'!O44="","",'All Fleet'!O44)</f>
        <v>0.71580128205128202</v>
      </c>
      <c r="S8" s="166">
        <f>IF('All Fleet'!P44="","",'All Fleet'!P44)</f>
        <v>0.73610119047619049</v>
      </c>
      <c r="T8" s="166">
        <f>IF('All Fleet'!Q44="","",'All Fleet'!Q44)</f>
        <v>0.73577777777777775</v>
      </c>
      <c r="U8" s="166">
        <f>IF('All Fleet'!R44="","",'All Fleet'!R44)</f>
        <v>0.72677083333333337</v>
      </c>
      <c r="V8" s="166">
        <f>IF('All Fleet'!S44="","",'All Fleet'!S44)</f>
        <v>0.74034313725490186</v>
      </c>
      <c r="W8" s="166">
        <f>IF('All Fleet'!T44="","",'All Fleet'!T44)</f>
        <v>0.74219907407407404</v>
      </c>
      <c r="X8" s="166">
        <f>IF('All Fleet'!U44="","",'All Fleet'!U44)</f>
        <v>0.74859649122807015</v>
      </c>
      <c r="Y8" s="166">
        <f>IF('All Fleet'!V44="","",'All Fleet'!V44)</f>
        <v>0.74310416666666668</v>
      </c>
      <c r="Z8" s="166">
        <f>IF('All Fleet'!W44="","",'All Fleet'!W44)</f>
        <v>0.75533730158730161</v>
      </c>
      <c r="AA8" s="166">
        <f>IF('All Fleet'!X44="","",'All Fleet'!X44)</f>
        <v>0.76645833333333335</v>
      </c>
      <c r="AB8" s="166">
        <f>IF('All Fleet'!Y44="","",'All Fleet'!Y44)</f>
        <v>0.73871376811594192</v>
      </c>
      <c r="AC8" s="166">
        <f>IF('All Fleet'!Z44="","",'All Fleet'!Z44)</f>
        <v>0.73446180555555551</v>
      </c>
      <c r="AD8" s="166">
        <f>IF('All Fleet'!AA44="","",'All Fleet'!AA44)</f>
        <v>0.74394999999999989</v>
      </c>
      <c r="AE8" s="166">
        <f>IF('All Fleet'!AB44="","",'All Fleet'!AB44)</f>
        <v>0.75379807692307688</v>
      </c>
      <c r="AF8" s="166">
        <f>IF('All Fleet'!AC44="","",'All Fleet'!AC44)</f>
        <v>0.76291666666666669</v>
      </c>
      <c r="AG8" s="166">
        <f>IF('All Fleet'!AD44="","",'All Fleet'!AD44)</f>
        <v>0.71316964285714279</v>
      </c>
      <c r="AH8" s="166">
        <f>IF('All Fleet'!AE44="","",'All Fleet'!AE44)</f>
        <v>0.72306034482758619</v>
      </c>
      <c r="AI8" s="166">
        <f>IF('All Fleet'!AF44="","",'All Fleet'!AF44)</f>
        <v>0.71113888888888888</v>
      </c>
      <c r="AJ8" s="166">
        <f>IF('All Fleet'!AG44="","",'All Fleet'!AG44)</f>
        <v>0.7143145161290323</v>
      </c>
      <c r="AK8" s="166">
        <f>IF('All Fleet'!AH44="","",'All Fleet'!AH44)</f>
        <v>0.91791666666666671</v>
      </c>
      <c r="AL8" s="166">
        <f>IF('All Fleet'!AI44="","",'All Fleet'!AI44)</f>
        <v>0.95895833333333336</v>
      </c>
      <c r="AM8" s="166">
        <f>IF('All Fleet'!AJ44="","",'All Fleet'!AJ44)</f>
        <v>0.97263888888888894</v>
      </c>
      <c r="AN8" s="166">
        <f>IF('All Fleet'!AK44="","",'All Fleet'!AK44)</f>
        <v>0.97947916666666668</v>
      </c>
      <c r="AO8" s="166">
        <f>IF('All Fleet'!AL44="","",'All Fleet'!AL44)</f>
        <v>0.98358333333333337</v>
      </c>
      <c r="AP8" s="166">
        <f>IF('All Fleet'!AM44="","",'All Fleet'!AM44)</f>
        <v>0.97798611111111111</v>
      </c>
      <c r="AQ8" s="166">
        <f>IF('All Fleet'!AN44="","",'All Fleet'!AN44)</f>
        <v>0.98113095238095238</v>
      </c>
      <c r="AR8" s="166">
        <f>IF('All Fleet'!AO44="","",'All Fleet'!AO44)</f>
        <v>0.92500000000000004</v>
      </c>
      <c r="AS8" s="166">
        <f>IF('All Fleet'!AP44="","",'All Fleet'!AP44)</f>
        <v>0.91675925925925927</v>
      </c>
      <c r="AT8" s="166">
        <f>IF('All Fleet'!AQ44="","",'All Fleet'!AQ44)</f>
        <v>0.91333333333333333</v>
      </c>
      <c r="AU8" s="166">
        <f>IF('All Fleet'!AR44="","",'All Fleet'!AR44)</f>
        <v>0.92121212121212115</v>
      </c>
      <c r="AV8" s="166">
        <f>IF('All Fleet'!AS44="","",'All Fleet'!AS44)</f>
        <v>0.92777777777777781</v>
      </c>
      <c r="AW8" s="166">
        <f>IF('All Fleet'!AT44="","",'All Fleet'!AT44)</f>
        <v>0.93333333333333335</v>
      </c>
      <c r="AX8" s="166">
        <f>IF('All Fleet'!AU44="","",'All Fleet'!AU44)</f>
        <v>0.926875</v>
      </c>
      <c r="AY8" s="166">
        <f>IF('All Fleet'!AV44="","",'All Fleet'!AV44)</f>
        <v>0.93174999999999997</v>
      </c>
      <c r="AZ8" s="166">
        <f>IF('All Fleet'!AW44="","",'All Fleet'!AW44)</f>
        <v>0.93601562500000002</v>
      </c>
      <c r="BA8" s="166">
        <f>IF('All Fleet'!AX44="","",'All Fleet'!AX44)</f>
        <v>0.93977941176470592</v>
      </c>
      <c r="BB8" s="166">
        <f>IF('All Fleet'!AY44="","",'All Fleet'!AY44)</f>
        <v>0.89104166666666662</v>
      </c>
      <c r="BC8" s="166">
        <f>IF('All Fleet'!AZ44="","",'All Fleet'!AZ44)</f>
        <v>0.87820175438596493</v>
      </c>
      <c r="BD8" s="166">
        <f>IF('All Fleet'!BA44="","",'All Fleet'!BA44)</f>
        <v>0.8842916666666667</v>
      </c>
      <c r="BE8" s="166">
        <f>IF('All Fleet'!BB44="","",'All Fleet'!BB44)</f>
        <v>0.88980158730158732</v>
      </c>
      <c r="BF8" s="166">
        <f>IF('All Fleet'!BC44="","",'All Fleet'!BC44)</f>
        <v>0.89481060606060603</v>
      </c>
      <c r="BG8" s="166">
        <f>IF('All Fleet'!BD44="","",'All Fleet'!BD44)</f>
        <v>0.89346014492753623</v>
      </c>
      <c r="BH8" s="166">
        <f>IF('All Fleet'!BE44="","",'All Fleet'!BE44)</f>
        <v>0.89789930555555553</v>
      </c>
      <c r="BI8" s="166">
        <f>IF('All Fleet'!BF44="","",'All Fleet'!BF44)</f>
        <v>0.90198333333333336</v>
      </c>
      <c r="BJ8" s="166">
        <f>IF('All Fleet'!BG44="","",'All Fleet'!BG44)</f>
        <v>0.90575320512820512</v>
      </c>
      <c r="BK8" s="166">
        <f>IF('All Fleet'!BH44="","",'All Fleet'!BH44)</f>
        <v>0.90924382716049379</v>
      </c>
      <c r="BL8" s="166">
        <f>IF('All Fleet'!BI44="","",'All Fleet'!BI44)</f>
        <v>0.91248511904761909</v>
      </c>
      <c r="BM8" s="166">
        <f>IF('All Fleet'!BJ44="","",'All Fleet'!BJ44)</f>
        <v>-9.8333333333333384E-2</v>
      </c>
      <c r="BN8" s="166">
        <f>IF('All Fleet'!BK44="","",'All Fleet'!BK44)</f>
        <v>0.45083333333333331</v>
      </c>
      <c r="BO8" s="166">
        <f>IF('All Fleet'!BL44="","",'All Fleet'!BL44)</f>
        <v>0.54055555555555546</v>
      </c>
      <c r="BP8" s="166">
        <f>IF('All Fleet'!BM44="","",'All Fleet'!BM44)</f>
        <v>0.65541666666666654</v>
      </c>
      <c r="BQ8" s="166">
        <f>IF('All Fleet'!BN44="","",'All Fleet'!BN44)</f>
        <v>0.71449999999999991</v>
      </c>
      <c r="BR8" s="166">
        <f>IF('All Fleet'!BO44="","",'All Fleet'!BO44)</f>
        <v>0.64798611111111115</v>
      </c>
      <c r="BS8" s="166">
        <f>IF('All Fleet'!BP44="","",'All Fleet'!BP44)</f>
        <v>0.69827380952380946</v>
      </c>
      <c r="BT8" s="166">
        <f>IF('All Fleet'!BQ44="","",'All Fleet'!BQ44)</f>
        <v>0.72182291666666665</v>
      </c>
      <c r="BU8" s="166">
        <f>IF('All Fleet'!BR44="","",'All Fleet'!BR44)</f>
        <v>0.745</v>
      </c>
      <c r="BV8" s="166">
        <f>IF('All Fleet'!BS44="","",'All Fleet'!BS44)</f>
        <v>0.69895833333333335</v>
      </c>
      <c r="BW8" s="166">
        <f>IF('All Fleet'!BT44="","",'All Fleet'!BT44)</f>
        <v>0.72632575757575757</v>
      </c>
      <c r="BX8" s="166">
        <f>IF('All Fleet'!BU44="","",'All Fleet'!BU44)</f>
        <v>0.74913194444444442</v>
      </c>
      <c r="BY8" s="166">
        <f>IF('All Fleet'!BV44="","",'All Fleet'!BV44)</f>
        <v>0.73766025641025645</v>
      </c>
      <c r="BZ8" s="166">
        <f>IF('All Fleet'!BW44="","",'All Fleet'!BW44)</f>
        <v>0.75291666666666668</v>
      </c>
      <c r="CA8" s="166">
        <f>IF('All Fleet'!BX44="","",'All Fleet'!BX44)</f>
        <v>0.7693888888888889</v>
      </c>
      <c r="CB8" s="166">
        <f>IF('All Fleet'!BY44="","",'All Fleet'!BY44)</f>
        <v>0.78380208333333334</v>
      </c>
      <c r="CC8" s="166">
        <f>IF('All Fleet'!BZ44="","",'All Fleet'!BZ44)</f>
        <v>0.78786764705882351</v>
      </c>
      <c r="CD8" s="166">
        <f>IF('All Fleet'!CA44="","",'All Fleet'!CA44)</f>
        <v>0.79965277777777777</v>
      </c>
      <c r="CE8" s="166">
        <f>IF('All Fleet'!CB44="","",'All Fleet'!CB44)</f>
        <v>0.81019736842105261</v>
      </c>
      <c r="CF8" s="166">
        <f>IF('All Fleet'!CC44="","",'All Fleet'!CC44)</f>
        <v>0.81968750000000001</v>
      </c>
      <c r="CG8" s="166">
        <f>IF('All Fleet'!CD44="","",'All Fleet'!CD44)</f>
        <v>0.82432539682539685</v>
      </c>
      <c r="CH8" s="166">
        <f>IF('All Fleet'!CE44="","",'All Fleet'!CE44)</f>
        <v>0.83231060606060603</v>
      </c>
      <c r="CI8" s="166">
        <f>IF('All Fleet'!CF44="","",'All Fleet'!CF44)</f>
        <v>0.83960144927536229</v>
      </c>
      <c r="CJ8" s="166">
        <f>IF('All Fleet'!CG44="","",'All Fleet'!CG44)</f>
        <v>0.84628472222222229</v>
      </c>
      <c r="CK8" s="166">
        <f>IF('All Fleet'!CH44="","",'All Fleet'!CH44)</f>
        <v>0.85243333333333338</v>
      </c>
      <c r="CL8" s="166">
        <f>IF('All Fleet'!CI44="","",'All Fleet'!CI44)</f>
        <v>0.8552564102564103</v>
      </c>
      <c r="CM8" s="166">
        <f>IF('All Fleet'!CJ44="","",'All Fleet'!CJ44)</f>
        <v>0.86061728395061732</v>
      </c>
      <c r="CN8" s="166">
        <f>IF('All Fleet'!CK44="","",'All Fleet'!CK44)</f>
        <v>0.86559523809523808</v>
      </c>
      <c r="CO8" s="166">
        <f>IF('All Fleet'!CL44="","",'All Fleet'!CL44)</f>
        <v>0.86724137931034484</v>
      </c>
      <c r="CP8" s="166">
        <f>IF('All Fleet'!CM44="","",'All Fleet'!CM44)</f>
        <v>0.84750000000000003</v>
      </c>
      <c r="CQ8" s="166">
        <f>IF('All Fleet'!CN44="","",'All Fleet'!CN44)</f>
        <v>0.83797043010752692</v>
      </c>
      <c r="CR8" s="166">
        <f>IF('All Fleet'!CO44="","",'All Fleet'!CO44)</f>
        <v>0.86541666666666672</v>
      </c>
      <c r="CS8" s="166">
        <f>IF('All Fleet'!CP44="","",'All Fleet'!CP44)</f>
        <v>0.93270833333333336</v>
      </c>
      <c r="CT8" s="166">
        <f>IF('All Fleet'!CQ44="","",'All Fleet'!CQ44)</f>
        <v>0.95513888888888887</v>
      </c>
      <c r="CU8" s="166">
        <f>IF('All Fleet'!CR44="","",'All Fleet'!CR44)</f>
        <v>0.96635416666666663</v>
      </c>
      <c r="CV8" s="166">
        <f>IF('All Fleet'!CS44="","",'All Fleet'!CS44)</f>
        <v>0.9730833333333333</v>
      </c>
      <c r="CW8" s="166">
        <f>IF('All Fleet'!CT44="","",'All Fleet'!CT44)</f>
        <v>0.97756944444444449</v>
      </c>
      <c r="CX8" s="166">
        <f>IF('All Fleet'!CU44="","",'All Fleet'!CU44)</f>
        <v>0.95565476190476195</v>
      </c>
      <c r="CY8" s="166">
        <f>IF('All Fleet'!CV44="","",'All Fleet'!CV44)</f>
        <v>0.96119791666666665</v>
      </c>
      <c r="CZ8" s="166">
        <f>IF('All Fleet'!CW44="","",'All Fleet'!CW44)</f>
        <v>0.96550925925925923</v>
      </c>
      <c r="DA8" s="166">
        <f>IF('All Fleet'!CX44="","",'All Fleet'!CX44)</f>
        <v>0.96895833333333337</v>
      </c>
      <c r="DB8" s="166">
        <f>IF('All Fleet'!CY44="","",'All Fleet'!CY44)</f>
        <v>0.95890151515151512</v>
      </c>
      <c r="DC8" s="166">
        <f>IF('All Fleet'!CZ44="","",'All Fleet'!CZ44)</f>
        <v>0.96232638888888888</v>
      </c>
      <c r="DD8" s="166">
        <f>IF('All Fleet'!DA44="","",'All Fleet'!DA44)</f>
        <v>0.9409615384615384</v>
      </c>
      <c r="DE8" s="166">
        <f>IF('All Fleet'!DB44="","",'All Fleet'!DB44)</f>
        <v>0.94517857142857142</v>
      </c>
      <c r="DF8" s="166">
        <f>IF('All Fleet'!DC44="","",'All Fleet'!DC44)</f>
        <v>0.94883333333333331</v>
      </c>
      <c r="DG8" s="166">
        <f>IF('All Fleet'!DD44="","",'All Fleet'!DD44)</f>
        <v>0.95203125</v>
      </c>
      <c r="DH8" s="166">
        <f>IF('All Fleet'!DE44="","",'All Fleet'!DE44)</f>
        <v>0.94992647058823532</v>
      </c>
      <c r="DI8" s="166">
        <f>IF('All Fleet'!DF44="","",'All Fleet'!DF44)</f>
        <v>0.95270833333333338</v>
      </c>
      <c r="DJ8" s="166">
        <f>IF('All Fleet'!DG44="","",'All Fleet'!DG44)</f>
        <v>0.95519736842105263</v>
      </c>
      <c r="DK8" s="166">
        <f>IF('All Fleet'!DH44="","",'All Fleet'!DH44)</f>
        <v>0.89256250000000004</v>
      </c>
      <c r="DL8" s="166">
        <f>IF('All Fleet'!DI44="","",'All Fleet'!DI44)</f>
        <v>0.89767857142857144</v>
      </c>
      <c r="DM8" s="166">
        <f>IF('All Fleet'!DJ44="","",'All Fleet'!DJ44)</f>
        <v>0.89473484848484852</v>
      </c>
      <c r="DN8" s="166">
        <f>IF('All Fleet'!DK44="","",'All Fleet'!DK44)</f>
        <v>0.89931159420289852</v>
      </c>
      <c r="DO8" s="166">
        <f>IF('All Fleet'!DL44="","",'All Fleet'!DL44)</f>
        <v>0.90350694444444446</v>
      </c>
      <c r="DP8" s="166">
        <f>IF('All Fleet'!DM44="","",'All Fleet'!DM44)</f>
        <v>0.90736666666666665</v>
      </c>
      <c r="DQ8" s="166">
        <f>IF('All Fleet'!DN44="","",'All Fleet'!DN44)</f>
        <v>0.91092948717948719</v>
      </c>
      <c r="DR8" s="166">
        <f>IF('All Fleet'!DO44="","",'All Fleet'!DO44)</f>
        <v>0.9073148148148148</v>
      </c>
      <c r="DS8" s="166">
        <f>IF('All Fleet'!DP44="","",'All Fleet'!DP44)</f>
        <v>0.90385416666666663</v>
      </c>
      <c r="DT8" s="166">
        <f>IF('All Fleet'!DQ44="","",'All Fleet'!DQ44)</f>
        <v>0.90716954022988505</v>
      </c>
      <c r="DU8" s="166">
        <f>IF('All Fleet'!DR44="","",'All Fleet'!DR44)</f>
        <v>0.91026388888888887</v>
      </c>
      <c r="DV8" s="166">
        <f>IF('All Fleet'!DS44="","",'All Fleet'!DS44)</f>
        <v>1</v>
      </c>
      <c r="DW8" s="166">
        <f>IF('All Fleet'!DT44="","",'All Fleet'!DT44)</f>
        <v>1</v>
      </c>
      <c r="DX8" s="166">
        <f>IF('All Fleet'!DU44="","",'All Fleet'!DU44)</f>
        <v>0.79888888888888887</v>
      </c>
      <c r="DY8" s="166">
        <f>IF('All Fleet'!DV44="","",'All Fleet'!DV44)</f>
        <v>0.78822916666666665</v>
      </c>
      <c r="DZ8" s="166">
        <f>IF('All Fleet'!DW44="","",'All Fleet'!DW44)</f>
        <v>0.82000000000000006</v>
      </c>
      <c r="EA8" s="166">
        <f>IF('All Fleet'!DX44="","",'All Fleet'!DX44)</f>
        <v>0.77430555555555558</v>
      </c>
      <c r="EB8" s="166">
        <f>IF('All Fleet'!DY44="","",'All Fleet'!DY44)</f>
        <v>0.80654761904761907</v>
      </c>
      <c r="EC8" s="166">
        <f>IF('All Fleet'!DZ44="","",'All Fleet'!DZ44)</f>
        <v>0.80067708333333332</v>
      </c>
      <c r="ED8" s="166">
        <f>IF('All Fleet'!EA44="","",'All Fleet'!EA44)</f>
        <v>0.8228240740740741</v>
      </c>
      <c r="EE8" s="166">
        <f>IF('All Fleet'!EB44="","",'All Fleet'!EB44)</f>
        <v>0.84054166666666674</v>
      </c>
      <c r="EF8" s="166">
        <f>IF('All Fleet'!EC44="","",'All Fleet'!EC44)</f>
        <v>0.85503787878787874</v>
      </c>
      <c r="EG8" s="166">
        <f>IF('All Fleet'!ED44="","",'All Fleet'!ED44)</f>
        <v>0.86711805555555554</v>
      </c>
      <c r="EH8" s="166">
        <f>IF('All Fleet'!EE44="","",'All Fleet'!EE44)</f>
        <v>0.87733974358974365</v>
      </c>
      <c r="EI8" s="166">
        <f>IF('All Fleet'!EF44="","",'All Fleet'!EF44)</f>
        <v>0.88610119047619051</v>
      </c>
      <c r="EJ8" s="166">
        <f>IF('All Fleet'!EG44="","",'All Fleet'!EG44)</f>
        <v>0.89369444444444446</v>
      </c>
      <c r="EK8" s="166">
        <f>IF('All Fleet'!EH44="","",'All Fleet'!EH44)</f>
        <v>0.90033854166666671</v>
      </c>
      <c r="EL8" s="166">
        <f>IF('All Fleet'!EI44="","",'All Fleet'!EI44)</f>
        <v>0.90620098039215691</v>
      </c>
      <c r="EM8" s="166">
        <f>IF('All Fleet'!EJ44="","",'All Fleet'!EJ44)</f>
        <v>0.88025462962962964</v>
      </c>
      <c r="EN8" s="166">
        <f>IF('All Fleet'!EK44="","",'All Fleet'!EK44)</f>
        <v>0.88655701754385963</v>
      </c>
      <c r="EO8" s="166">
        <f>IF('All Fleet'!EL44="","",'All Fleet'!EL44)</f>
        <v>0.89222916666666663</v>
      </c>
      <c r="EP8" s="166">
        <f>IF('All Fleet'!EM44="","",'All Fleet'!EM44)</f>
        <v>0.87761904761904763</v>
      </c>
      <c r="EQ8" s="166">
        <f>IF('All Fleet'!EN44="","",'All Fleet'!EN44)</f>
        <v>0.88318181818181818</v>
      </c>
      <c r="ER8" s="166">
        <f>IF('All Fleet'!EO44="","",'All Fleet'!EO44)</f>
        <v>0.88826086956521744</v>
      </c>
      <c r="ES8" s="166">
        <f>IF('All Fleet'!EP44="","",'All Fleet'!EP44)</f>
        <v>0.86710069444444449</v>
      </c>
      <c r="ET8" s="166">
        <f>IF('All Fleet'!EQ44="","",'All Fleet'!EQ44)</f>
        <v>0.87241666666666662</v>
      </c>
      <c r="EU8" s="166">
        <f>IF('All Fleet'!ER44="","",'All Fleet'!ER44)</f>
        <v>0.877323717948718</v>
      </c>
      <c r="EV8" s="166">
        <f>IF('All Fleet'!ES44="","",'All Fleet'!ES44)</f>
        <v>0.88186728395061731</v>
      </c>
      <c r="EW8" s="166">
        <f>IF('All Fleet'!ET44="","",'All Fleet'!ET44)</f>
        <v>0.87860119047619045</v>
      </c>
      <c r="EX8" s="166">
        <f>IF('All Fleet'!EU44="","",'All Fleet'!EU44)</f>
        <v>0.88278735632183913</v>
      </c>
      <c r="EY8" s="166">
        <f>IF('All Fleet'!EV44="","",'All Fleet'!EV44)</f>
        <v>0.88669444444444445</v>
      </c>
      <c r="EZ8" s="166">
        <f>IF('All Fleet'!EW44="","",'All Fleet'!EW44)</f>
        <v>0.89034946236559143</v>
      </c>
      <c r="FA8" s="166">
        <f>IF('All Fleet'!EX44="","",'All Fleet'!EX44)</f>
        <v>1</v>
      </c>
      <c r="FB8" s="166">
        <f>IF('All Fleet'!EY44="","",'All Fleet'!EY44)</f>
        <v>1</v>
      </c>
      <c r="FC8" s="166">
        <f>IF('All Fleet'!EZ44="","",'All Fleet'!EZ44)</f>
        <v>1</v>
      </c>
      <c r="FD8" s="166">
        <f>IF('All Fleet'!FA44="","",'All Fleet'!FA44)</f>
        <v>1</v>
      </c>
      <c r="FE8" s="166">
        <f>IF('All Fleet'!FB44="","",'All Fleet'!FB44)</f>
        <v>1</v>
      </c>
      <c r="FF8" s="166">
        <f>IF('All Fleet'!FC44="","",'All Fleet'!FC44)</f>
        <v>1</v>
      </c>
      <c r="FG8" s="166">
        <f>IF('All Fleet'!FD44="","",'All Fleet'!FD44)</f>
        <v>0.97291666666666665</v>
      </c>
      <c r="FH8" s="166">
        <f>IF('All Fleet'!FE44="","",'All Fleet'!FE44)</f>
        <v>0.97630208333333335</v>
      </c>
      <c r="FI8" s="166">
        <f>IF('All Fleet'!FF44="","",'All Fleet'!FF44)</f>
        <v>0.97893518518518519</v>
      </c>
      <c r="FJ8" s="166">
        <f>IF('All Fleet'!FG44="","",'All Fleet'!FG44)</f>
        <v>0.9810416666666667</v>
      </c>
      <c r="FK8" s="166">
        <f>IF('All Fleet'!FH44="","",'All Fleet'!FH44)</f>
        <v>0.98276515151515154</v>
      </c>
      <c r="FL8" s="166">
        <f>IF('All Fleet'!FI44="","",'All Fleet'!FI44)</f>
        <v>0.98420138888888886</v>
      </c>
      <c r="FM8" s="166">
        <f>IF('All Fleet'!FJ44="","",'All Fleet'!FJ44)</f>
        <v>0.98541666666666672</v>
      </c>
      <c r="FN8" s="166">
        <f>IF('All Fleet'!FK44="","",'All Fleet'!FK44)</f>
        <v>0.98645833333333333</v>
      </c>
      <c r="FO8" s="166">
        <f>IF('All Fleet'!FL44="","",'All Fleet'!FL44)</f>
        <v>0.98736111111111113</v>
      </c>
      <c r="FP8" s="166">
        <f>IF('All Fleet'!FM44="","",'All Fleet'!FM44)</f>
        <v>0.97481770833333337</v>
      </c>
      <c r="FQ8" s="166">
        <f>IF('All Fleet'!FN44="","",'All Fleet'!FN44)</f>
        <v>0.97629901960784315</v>
      </c>
      <c r="FR8" s="166">
        <f>IF('All Fleet'!FO44="","",'All Fleet'!FO44)</f>
        <v>0.93706018518518519</v>
      </c>
      <c r="FS8" s="166">
        <f>IF('All Fleet'!FP44="","",'All Fleet'!FP44)</f>
        <v>0.94037280701754389</v>
      </c>
      <c r="FT8" s="166">
        <f>IF('All Fleet'!FQ44="","",'All Fleet'!FQ44)</f>
        <v>0.94335416666666672</v>
      </c>
      <c r="FU8" s="166">
        <f>IF('All Fleet'!FR44="","",'All Fleet'!FR44)</f>
        <v>0.66043650793650799</v>
      </c>
      <c r="FV8" s="166">
        <f>IF('All Fleet'!FS44="","",'All Fleet'!FS44)</f>
        <v>0.67587121212121204</v>
      </c>
      <c r="FW8" s="166">
        <f>IF('All Fleet'!FT44="","",'All Fleet'!FT44)</f>
        <v>0.68996376811594207</v>
      </c>
      <c r="FX8" s="166">
        <f>IF('All Fleet'!FU44="","",'All Fleet'!FU44)</f>
        <v>0.70288194444444441</v>
      </c>
      <c r="FY8" s="166">
        <f>IF('All Fleet'!FV44="","",'All Fleet'!FV44)</f>
        <v>0.71476666666666666</v>
      </c>
      <c r="FZ8" s="166">
        <f>IF('All Fleet'!FW44="","",'All Fleet'!FW44)</f>
        <v>0.72573717948717942</v>
      </c>
      <c r="GA8" s="166">
        <f>IF('All Fleet'!FX44="","",'All Fleet'!FX44)</f>
        <v>0.73589506172839503</v>
      </c>
      <c r="GB8" s="166">
        <f>IF('All Fleet'!FY44="","",'All Fleet'!FY44)</f>
        <v>0.74532738095238094</v>
      </c>
      <c r="GC8" s="166">
        <f>IF('All Fleet'!FZ44="","",'All Fleet'!FZ44)</f>
        <v>0.75410919540229882</v>
      </c>
      <c r="GD8" s="166">
        <f>IF('All Fleet'!GA44="","",'All Fleet'!GA44)</f>
        <v>0.76230555555555557</v>
      </c>
      <c r="GE8" s="166">
        <f>IF('All Fleet'!GB44="","",'All Fleet'!GB44)</f>
        <v>1</v>
      </c>
      <c r="GF8" s="166">
        <f>IF('All Fleet'!GC44="","",'All Fleet'!GC44)</f>
        <v>1</v>
      </c>
      <c r="GG8" s="166">
        <f>IF('All Fleet'!GD44="","",'All Fleet'!GD44)</f>
        <v>1</v>
      </c>
      <c r="GH8" s="166">
        <f>IF('All Fleet'!GE44="","",'All Fleet'!GE44)</f>
        <v>1</v>
      </c>
      <c r="GI8" s="166">
        <f>IF('All Fleet'!GF44="","",'All Fleet'!GF44)</f>
        <v>0.94474999999999998</v>
      </c>
      <c r="GJ8" s="166">
        <f>IF('All Fleet'!GG44="","",'All Fleet'!GG44)</f>
        <v>0.87270833333333331</v>
      </c>
      <c r="GK8" s="166">
        <f>IF('All Fleet'!GH44="","",'All Fleet'!GH44)</f>
        <v>0.75708333333333333</v>
      </c>
      <c r="GL8" s="166">
        <f>IF('All Fleet'!GI44="","",'All Fleet'!GI44)</f>
        <v>0.78744791666666669</v>
      </c>
      <c r="GM8" s="166">
        <f>IF('All Fleet'!GJ44="","",'All Fleet'!GJ44)</f>
        <v>0.80935185185185188</v>
      </c>
      <c r="GN8" s="166">
        <f>IF('All Fleet'!GK44="","",'All Fleet'!GK44)</f>
        <v>0.82841666666666669</v>
      </c>
      <c r="GO8" s="166">
        <f>IF('All Fleet'!GL44="","",'All Fleet'!GL44)</f>
        <v>0.8440151515151515</v>
      </c>
      <c r="GP8" s="166">
        <f>IF('All Fleet'!GM44="","",'All Fleet'!GM44)</f>
        <v>0.8478472222222222</v>
      </c>
      <c r="GQ8" s="166">
        <f>IF('All Fleet'!GN44="","",'All Fleet'!GN44)</f>
        <v>0.85955128205128206</v>
      </c>
      <c r="GR8" s="166">
        <f>IF('All Fleet'!GO44="","",'All Fleet'!GO44)</f>
        <v>0.86958333333333337</v>
      </c>
      <c r="GS8" s="166">
        <f>IF('All Fleet'!GP44="","",'All Fleet'!GP44)</f>
        <v>0.87827777777777782</v>
      </c>
      <c r="GT8" s="166">
        <f>IF('All Fleet'!GQ44="","",'All Fleet'!GQ44)</f>
        <v>0.88588541666666665</v>
      </c>
      <c r="GU8" s="166">
        <f>IF('All Fleet'!GR44="","",'All Fleet'!GR44)</f>
        <v>0.89259803921568626</v>
      </c>
      <c r="GV8" s="166">
        <f>IF('All Fleet'!GS44="","",'All Fleet'!GS44)</f>
        <v>0.89856481481481487</v>
      </c>
      <c r="GW8" s="166">
        <f>IF('All Fleet'!GT44="","",'All Fleet'!GT44)</f>
        <v>0.90390350877192982</v>
      </c>
      <c r="GX8" s="166">
        <f>IF('All Fleet'!GU44="","",'All Fleet'!GU44)</f>
        <v>0.90870833333333334</v>
      </c>
      <c r="GY8" s="166">
        <f>IF('All Fleet'!GV44="","",'All Fleet'!GV44)</f>
        <v>0.91305555555555551</v>
      </c>
      <c r="GZ8" s="166">
        <f>IF('All Fleet'!GW44="","",'All Fleet'!GW44)</f>
        <v>0.85134469696969695</v>
      </c>
      <c r="HA8" s="166">
        <f>IF('All Fleet'!GX44="","",'All Fleet'!GX44)</f>
        <v>0.8578079710144928</v>
      </c>
      <c r="HB8" s="166">
        <f>IF('All Fleet'!GY44="","",'All Fleet'!GY44)</f>
        <v>0.86373263888888885</v>
      </c>
      <c r="HC8" s="166">
        <f>IF('All Fleet'!GZ44="","",'All Fleet'!GZ44)</f>
        <v>0.86918333333333331</v>
      </c>
      <c r="HD8" s="166">
        <f>IF('All Fleet'!HA44="","",'All Fleet'!HA44)</f>
        <v>0.8742147435897436</v>
      </c>
      <c r="HE8" s="166">
        <f>IF('All Fleet'!HB44="","",'All Fleet'!HB44)</f>
        <v>0.87887345679012341</v>
      </c>
      <c r="HF8" s="166">
        <f>IF('All Fleet'!HC44="","",'All Fleet'!HC44)</f>
        <v>0.88319940476190473</v>
      </c>
      <c r="HG8" s="166">
        <f>IF('All Fleet'!HD44="","",'All Fleet'!HD44)</f>
        <v>0.88722701149425287</v>
      </c>
      <c r="HH8" s="166">
        <f>IF('All Fleet'!HE44="","",'All Fleet'!HE44)</f>
        <v>0.89098611111111115</v>
      </c>
      <c r="HI8" s="166">
        <f>IF('All Fleet'!HF44="","",'All Fleet'!HF44)</f>
        <v>0.89450268817204304</v>
      </c>
      <c r="HJ8" s="166">
        <f>IF('All Fleet'!HG44="","",'All Fleet'!HG44)</f>
        <v>0.9019328703703704</v>
      </c>
      <c r="HK8" s="166">
        <f>IF('All Fleet'!HH44="","",'All Fleet'!HH44)</f>
        <v>0.9509664351851852</v>
      </c>
      <c r="HL8" s="166">
        <f>IF('All Fleet'!HI44="","",'All Fleet'!HI44)</f>
        <v>0.80940972222222218</v>
      </c>
      <c r="HM8" s="166">
        <f>IF('All Fleet'!HJ44="","",'All Fleet'!HJ44)</f>
        <v>0.77931423611111106</v>
      </c>
      <c r="HN8" s="166">
        <f>IF('All Fleet'!HK44="","",'All Fleet'!HK44)</f>
        <v>0.82345138888888891</v>
      </c>
      <c r="HO8" s="166">
        <f>IF('All Fleet'!HL44="","",'All Fleet'!HL44)</f>
        <v>0.85287615740740741</v>
      </c>
      <c r="HP8" s="166">
        <f>IF('All Fleet'!HM44="","",'All Fleet'!HM44)</f>
        <v>0.83517691798941796</v>
      </c>
      <c r="HQ8" s="166">
        <f>IF('All Fleet'!HN44="","",'All Fleet'!HN44)</f>
        <v>0.85364149305555559</v>
      </c>
      <c r="HR8" s="166">
        <f>IF('All Fleet'!HO44="","",'All Fleet'!HO44)</f>
        <v>0.86990354938271608</v>
      </c>
      <c r="HS8" s="166">
        <f>IF('All Fleet'!HP44="","",'All Fleet'!HP44)</f>
        <v>0.78200115740740739</v>
      </c>
      <c r="HT8" s="166">
        <f>IF('All Fleet'!HQ44="","",'All Fleet'!HQ44)</f>
        <v>0.79488320707070703</v>
      </c>
      <c r="HU8" s="166">
        <f>IF('All Fleet'!HR44="","",'All Fleet'!HR44)</f>
        <v>0.73329089506172829</v>
      </c>
      <c r="HV8" s="166">
        <f>IF('All Fleet'!HS44="","",'All Fleet'!HS44)</f>
        <v>0.75380698005697999</v>
      </c>
      <c r="HW8" s="166">
        <f>IF('All Fleet'!HT44="","",'All Fleet'!HT44)</f>
        <v>0.74736028439153435</v>
      </c>
      <c r="HX8" s="166">
        <f>IF('All Fleet'!HU44="","",'All Fleet'!HU44)</f>
        <v>0.74629783950617279</v>
      </c>
      <c r="HY8" s="166">
        <f>IF('All Fleet'!HV44="","",'All Fleet'!HV44)</f>
        <v>0.75595558449074074</v>
      </c>
      <c r="HZ8" s="166">
        <f>IF('All Fleet'!HW44="","",'All Fleet'!HW44)</f>
        <v>0.77009055010893246</v>
      </c>
      <c r="IA8" s="166">
        <f>IF('All Fleet'!HX44="","",'All Fleet'!HX44)</f>
        <v>0.77493698559670787</v>
      </c>
      <c r="IB8" s="166">
        <f>IF('All Fleet'!HY44="","",'All Fleet'!HY44)</f>
        <v>0.78630543372319683</v>
      </c>
      <c r="IC8" s="166">
        <f>IF('All Fleet'!HZ44="","",'All Fleet'!HZ44)</f>
        <v>0.78083564814814821</v>
      </c>
      <c r="ID8" s="166">
        <f>IF('All Fleet'!IA44="","",'All Fleet'!IA44)</f>
        <v>0.79127204585537925</v>
      </c>
      <c r="IE8" s="166">
        <f>IF('All Fleet'!IB44="","",'All Fleet'!IB44)</f>
        <v>0.80075968013468013</v>
      </c>
      <c r="IF8" s="166">
        <f>IF('All Fleet'!IC44="","",'All Fleet'!IC44)</f>
        <v>0.80942230273752014</v>
      </c>
      <c r="IG8" s="166">
        <f>IF('All Fleet'!ID44="","",'All Fleet'!ID44)</f>
        <v>0.81736304012345684</v>
      </c>
      <c r="IH8" s="166">
        <f>IF('All Fleet'!IE44="","",'All Fleet'!IE44)</f>
        <v>0.82466851851851852</v>
      </c>
      <c r="II8" s="166">
        <f>IF('All Fleet'!IF44="","",'All Fleet'!IF44)</f>
        <v>0.82844729344729351</v>
      </c>
      <c r="IJ8" s="166">
        <f>IF('All Fleet'!IG44="","",'All Fleet'!IG44)</f>
        <v>0.83480109739369002</v>
      </c>
      <c r="IK8" s="166">
        <f>IF('All Fleet'!IH44="","",'All Fleet'!IH44)</f>
        <v>0.71012070105820113</v>
      </c>
      <c r="IL8" s="166">
        <f>IF('All Fleet'!II44="","",'All Fleet'!II44)</f>
        <v>0.72011653895274585</v>
      </c>
      <c r="IM8" s="166">
        <f>IF('All Fleet'!IJ44="","",'All Fleet'!IJ44)</f>
        <v>0.63551543209876549</v>
      </c>
      <c r="IN8" s="166">
        <f>IF('All Fleet'!IK44="","",'All Fleet'!IK44)</f>
        <v>0.64727299880525691</v>
      </c>
      <c r="IO8" s="166">
        <f>IF('All Fleet'!IL44="","",'All Fleet'!IL44)</f>
        <v>1</v>
      </c>
      <c r="IP8" s="166">
        <f>IF('All Fleet'!IM44="","",'All Fleet'!IM44)</f>
        <v>1</v>
      </c>
      <c r="IQ8" s="166">
        <f>IF('All Fleet'!IN44="","",'All Fleet'!IN44)</f>
        <v>1</v>
      </c>
      <c r="IR8" s="166">
        <f>IF('All Fleet'!IO44="","",'All Fleet'!IO44)</f>
        <v>1</v>
      </c>
      <c r="IS8" s="166">
        <f>IF('All Fleet'!IP44="","",'All Fleet'!IP44)</f>
        <v>1</v>
      </c>
      <c r="IT8" s="166">
        <f>IF('All Fleet'!IQ44="","",'All Fleet'!IQ44)</f>
        <v>1</v>
      </c>
      <c r="IU8" s="166">
        <f>IF('All Fleet'!IR44="","",'All Fleet'!IR44)</f>
        <v>1</v>
      </c>
      <c r="IV8" s="166">
        <f>IF('All Fleet'!IS44="","",'All Fleet'!IS44)</f>
        <v>1</v>
      </c>
      <c r="IW8" s="166">
        <f>IF('All Fleet'!IT44="","",'All Fleet'!IT44)</f>
        <v>1</v>
      </c>
      <c r="IX8" s="166">
        <f>IF('All Fleet'!IU44="","",'All Fleet'!IU44)</f>
        <v>0.99604629629629626</v>
      </c>
      <c r="IY8" s="166">
        <f>IF('All Fleet'!IV44="","",'All Fleet'!IV44)</f>
        <v>0.97446233164983165</v>
      </c>
      <c r="IZ8" s="166">
        <f>IF('All Fleet'!IW44="","",'All Fleet'!IW44)</f>
        <v>0.9412056327160494</v>
      </c>
      <c r="JA8" s="166">
        <f>IF('All Fleet'!IX44="","",'All Fleet'!IX44)</f>
        <v>0.94262019230769234</v>
      </c>
      <c r="JB8" s="166">
        <f>IF('All Fleet'!IY44="","",'All Fleet'!IY44)</f>
        <v>0.9265079365079365</v>
      </c>
      <c r="JC8" s="166">
        <f>IF('All Fleet'!IZ44="","",'All Fleet'!IZ44)</f>
        <v>0.90679089506172839</v>
      </c>
      <c r="JD8" s="166">
        <f>IF('All Fleet'!JA44="","",'All Fleet'!JA44)</f>
        <v>0.91127965856481485</v>
      </c>
      <c r="JE8" s="166">
        <f>IF('All Fleet'!JB44="","",'All Fleet'!JB44)</f>
        <v>0.91649850217864925</v>
      </c>
      <c r="JF8" s="166">
        <f>IF('All Fleet'!JC44="","",'All Fleet'!JC44)</f>
        <v>0.91900655864197534</v>
      </c>
      <c r="JG8" s="166">
        <f>IF('All Fleet'!JD44="","",'All Fleet'!JD44)</f>
        <v>0.9104215399610136</v>
      </c>
      <c r="JH8" s="166">
        <f>IF('All Fleet'!JE44="","",'All Fleet'!JE44)</f>
        <v>0.9149004629629629</v>
      </c>
      <c r="JI8" s="166">
        <f>IF('All Fleet'!JF44="","",'All Fleet'!JF44)</f>
        <v>0.91895282186948857</v>
      </c>
      <c r="JJ8" s="166">
        <f>IF('All Fleet'!JG44="","",'All Fleet'!JG44)</f>
        <v>0.92263678451178455</v>
      </c>
      <c r="JK8" s="166">
        <f>IF('All Fleet'!JH44="","",'All Fleet'!JH44)</f>
        <v>0.92600040257648952</v>
      </c>
      <c r="JL8" s="166">
        <f>IF('All Fleet'!JI44="","",'All Fleet'!JI44)</f>
        <v>0.91762490354938275</v>
      </c>
      <c r="JM8" s="166">
        <f>IF('All Fleet'!JJ44="","",'All Fleet'!JJ44)</f>
        <v>0.92091990740740737</v>
      </c>
      <c r="JN8" s="166">
        <f>IF('All Fleet'!JK44="","",'All Fleet'!JK44)</f>
        <v>0.92396144943019942</v>
      </c>
      <c r="JO8" s="166">
        <f>IF('All Fleet'!JL44="","",'All Fleet'!JL44)</f>
        <v>0.91951003086419758</v>
      </c>
      <c r="JP8" s="166">
        <f>IF('All Fleet'!JM44="","",'All Fleet'!JM44)</f>
        <v>0.92238467261904766</v>
      </c>
      <c r="JQ8" s="166">
        <f>IF('All Fleet'!JN44="","",'All Fleet'!JN44)</f>
        <v>0.92362428160919541</v>
      </c>
      <c r="JR8" s="166">
        <f>IF('All Fleet'!JO44="","",'All Fleet'!JO44)</f>
        <v>0.92478125</v>
      </c>
      <c r="JS8" s="166">
        <f>IF('All Fleet'!JP44="","",'All Fleet'!JP44)</f>
        <v>0.625</v>
      </c>
      <c r="JT8" s="166">
        <f>IF('All Fleet'!JQ44="","",'All Fleet'!JQ44)</f>
        <v>0.78770833333333334</v>
      </c>
      <c r="JU8" s="166">
        <f>IF('All Fleet'!JR44="","",'All Fleet'!JR44)</f>
        <v>0.84458333333333335</v>
      </c>
      <c r="JV8" s="166">
        <f>IF('All Fleet'!JS44="","",'All Fleet'!JS44)</f>
        <v>0.87302083333333336</v>
      </c>
      <c r="JW8" s="166">
        <f>IF('All Fleet'!JT44="","",'All Fleet'!JT44)</f>
        <v>0.89841666666666664</v>
      </c>
      <c r="JX8" s="166">
        <f>IF('All Fleet'!JU44="","",'All Fleet'!JU44)</f>
        <v>0.9153472222222222</v>
      </c>
      <c r="JY8" s="166">
        <f>IF('All Fleet'!JV44="","",'All Fleet'!JV44)</f>
        <v>0.9274404761904762</v>
      </c>
      <c r="JZ8" s="166">
        <f>IF('All Fleet'!JW44="","",'All Fleet'!JW44)</f>
        <v>0.93651041666666668</v>
      </c>
      <c r="KA8" s="166">
        <f>IF('All Fleet'!JX44="","",'All Fleet'!JX44)</f>
        <v>0.9435648148148148</v>
      </c>
      <c r="KB8" s="166">
        <f>IF('All Fleet'!JY44="","",'All Fleet'!JY44)</f>
        <v>0.94920833333333332</v>
      </c>
      <c r="KC8" s="166">
        <f>IF('All Fleet'!JZ44="","",'All Fleet'!JZ44)</f>
        <v>0.9538257575757576</v>
      </c>
      <c r="KD8" s="166">
        <f>IF('All Fleet'!KA44="","",'All Fleet'!KA44)</f>
        <v>0.95767361111111116</v>
      </c>
      <c r="KE8" s="166">
        <f>IF('All Fleet'!KB44="","",'All Fleet'!KB44)</f>
        <v>0.96092948717948723</v>
      </c>
      <c r="KF8" s="166">
        <f>IF('All Fleet'!KC44="","",'All Fleet'!KC44)</f>
        <v>0.9637202380952381</v>
      </c>
      <c r="KG8" s="166">
        <f>IF('All Fleet'!KD44="","",'All Fleet'!KD44)</f>
        <v>0.96613888888888888</v>
      </c>
      <c r="KH8" s="166">
        <f>IF('All Fleet'!KE44="","",'All Fleet'!KE44)</f>
        <v>0.96825520833333334</v>
      </c>
      <c r="KI8" s="166">
        <f>IF('All Fleet'!KF44="","",'All Fleet'!KF44)</f>
        <v>0.97012254901960782</v>
      </c>
      <c r="KJ8" s="166">
        <f>IF('All Fleet'!KG44="","",'All Fleet'!KG44)</f>
        <v>0.9717824074074074</v>
      </c>
      <c r="KK8" s="166">
        <f>IF('All Fleet'!KH44="","",'All Fleet'!KH44)</f>
        <v>0.97326754385964909</v>
      </c>
      <c r="KL8" s="166">
        <f>IF('All Fleet'!KI44="","",'All Fleet'!KI44)</f>
        <v>0.97460416666666672</v>
      </c>
      <c r="KM8" s="166">
        <f>IF('All Fleet'!KJ44="","",'All Fleet'!KJ44)</f>
        <v>0.97581349206349211</v>
      </c>
      <c r="KN8" s="166">
        <f>IF('All Fleet'!KK44="","",'All Fleet'!KK44)</f>
        <v>0.9769128787878788</v>
      </c>
      <c r="KO8" s="166">
        <f>IF('All Fleet'!KL44="","",'All Fleet'!KL44)</f>
        <v>0.97791666666666666</v>
      </c>
      <c r="KP8" s="166">
        <f>IF('All Fleet'!KM44="","",'All Fleet'!KM44)</f>
        <v>0.97883680555555552</v>
      </c>
      <c r="KQ8" s="166">
        <f>IF('All Fleet'!KN44="","",'All Fleet'!KN44)</f>
        <v>0.97968333333333335</v>
      </c>
      <c r="KR8" s="166">
        <f>IF('All Fleet'!KO44="","",'All Fleet'!KO44)</f>
        <v>0.98046474358974356</v>
      </c>
      <c r="KS8" s="166">
        <f>IF('All Fleet'!KP44="","",'All Fleet'!KP44)</f>
        <v>0.98118827160493827</v>
      </c>
      <c r="KT8" s="166">
        <f>IF('All Fleet'!KQ44="","",'All Fleet'!KQ44)</f>
        <v>0.98186011904761905</v>
      </c>
      <c r="KU8" s="166">
        <f>IF('All Fleet'!KR44="","",'All Fleet'!KR44)</f>
        <v>0.98248563218390805</v>
      </c>
      <c r="KV8" s="166">
        <f>IF('All Fleet'!KS44="","",'All Fleet'!KS44)</f>
        <v>0.98306944444444444</v>
      </c>
      <c r="KW8" s="166">
        <f>IF('All Fleet'!KT44="","",'All Fleet'!KT44)</f>
        <v>0.98361559139784949</v>
      </c>
      <c r="KX8" s="166" t="str">
        <f>IF('All Fleet'!KU44="","",'All Fleet'!KU44)</f>
        <v/>
      </c>
      <c r="KY8" s="166" t="str">
        <f>IF('All Fleet'!KV44="","",'All Fleet'!KV44)</f>
        <v/>
      </c>
      <c r="KZ8" s="166" t="str">
        <f>IF('All Fleet'!KW44="","",'All Fleet'!KW44)</f>
        <v/>
      </c>
      <c r="LA8" s="166" t="str">
        <f>IF('All Fleet'!KX44="","",'All Fleet'!KX44)</f>
        <v/>
      </c>
      <c r="LB8" s="166" t="str">
        <f>IF('All Fleet'!KY44="","",'All Fleet'!KY44)</f>
        <v/>
      </c>
      <c r="LC8" s="166" t="str">
        <f>IF('All Fleet'!KZ44="","",'All Fleet'!KZ44)</f>
        <v/>
      </c>
      <c r="LD8" s="166" t="str">
        <f>IF('All Fleet'!LA44="","",'All Fleet'!LA44)</f>
        <v/>
      </c>
      <c r="LE8" s="166" t="str">
        <f>IF('All Fleet'!LB44="","",'All Fleet'!LB44)</f>
        <v/>
      </c>
      <c r="LF8" s="166" t="str">
        <f>IF('All Fleet'!LC44="","",'All Fleet'!LC44)</f>
        <v/>
      </c>
      <c r="LG8" s="166" t="str">
        <f>IF('All Fleet'!LD44="","",'All Fleet'!LD44)</f>
        <v/>
      </c>
      <c r="LH8" s="166" t="str">
        <f>IF('All Fleet'!LE44="","",'All Fleet'!LE44)</f>
        <v/>
      </c>
      <c r="LI8" s="166" t="str">
        <f>IF('All Fleet'!LF44="","",'All Fleet'!LF44)</f>
        <v/>
      </c>
      <c r="LJ8" s="166" t="str">
        <f>IF('All Fleet'!LG44="","",'All Fleet'!LG44)</f>
        <v/>
      </c>
      <c r="LK8" s="166" t="str">
        <f>IF('All Fleet'!LH44="","",'All Fleet'!LH44)</f>
        <v/>
      </c>
      <c r="LL8" s="166" t="str">
        <f>IF('All Fleet'!LI44="","",'All Fleet'!LI44)</f>
        <v/>
      </c>
      <c r="LM8" s="166" t="str">
        <f>IF('All Fleet'!LJ44="","",'All Fleet'!LJ44)</f>
        <v/>
      </c>
      <c r="LN8" s="166" t="str">
        <f>IF('All Fleet'!LK44="","",'All Fleet'!LK44)</f>
        <v/>
      </c>
      <c r="LO8" s="166" t="str">
        <f>IF('All Fleet'!LL44="","",'All Fleet'!LL44)</f>
        <v/>
      </c>
      <c r="LP8" s="166" t="str">
        <f>IF('All Fleet'!LM44="","",'All Fleet'!LM44)</f>
        <v/>
      </c>
      <c r="LQ8" s="166" t="str">
        <f>IF('All Fleet'!LN44="","",'All Fleet'!LN44)</f>
        <v/>
      </c>
      <c r="LR8" s="166" t="str">
        <f>IF('All Fleet'!LO44="","",'All Fleet'!LO44)</f>
        <v/>
      </c>
      <c r="LS8" s="166" t="str">
        <f>IF('All Fleet'!LP44="","",'All Fleet'!LP44)</f>
        <v/>
      </c>
      <c r="LT8" s="166" t="str">
        <f>IF('All Fleet'!LQ44="","",'All Fleet'!LQ44)</f>
        <v/>
      </c>
      <c r="LU8" s="166" t="str">
        <f>IF('All Fleet'!LR44="","",'All Fleet'!LR44)</f>
        <v/>
      </c>
      <c r="LV8" s="166" t="str">
        <f>IF('All Fleet'!LS44="","",'All Fleet'!LS44)</f>
        <v/>
      </c>
      <c r="LW8" s="166" t="str">
        <f>IF('All Fleet'!LT44="","",'All Fleet'!LT44)</f>
        <v/>
      </c>
      <c r="LX8" s="166" t="str">
        <f>IF('All Fleet'!LU44="","",'All Fleet'!LU44)</f>
        <v/>
      </c>
      <c r="LY8" s="166" t="str">
        <f>IF('All Fleet'!LV44="","",'All Fleet'!LV44)</f>
        <v/>
      </c>
      <c r="LZ8" s="166" t="str">
        <f>IF('All Fleet'!LW44="","",'All Fleet'!LW44)</f>
        <v/>
      </c>
      <c r="MA8" s="166" t="str">
        <f>IF('All Fleet'!LX44="","",'All Fleet'!LX44)</f>
        <v/>
      </c>
      <c r="MB8" s="166" t="str">
        <f>IF('All Fleet'!LY44="","",'All Fleet'!LY44)</f>
        <v/>
      </c>
      <c r="MC8" s="166" t="str">
        <f>IF('All Fleet'!LZ44="","",'All Fleet'!LZ44)</f>
        <v/>
      </c>
      <c r="MD8" s="166" t="str">
        <f>IF('All Fleet'!MA44="","",'All Fleet'!MA44)</f>
        <v/>
      </c>
      <c r="ME8" s="166" t="str">
        <f>IF('All Fleet'!MB44="","",'All Fleet'!MB44)</f>
        <v/>
      </c>
      <c r="MF8" s="166" t="str">
        <f>IF('All Fleet'!MC44="","",'All Fleet'!MC44)</f>
        <v/>
      </c>
      <c r="MG8" s="166" t="str">
        <f>IF('All Fleet'!MD44="","",'All Fleet'!MD44)</f>
        <v/>
      </c>
      <c r="MH8" s="166" t="str">
        <f>IF('All Fleet'!ME44="","",'All Fleet'!ME44)</f>
        <v/>
      </c>
      <c r="MI8" s="166" t="str">
        <f>IF('All Fleet'!MF44="","",'All Fleet'!MF44)</f>
        <v/>
      </c>
      <c r="MJ8" s="166" t="str">
        <f>IF('All Fleet'!MG44="","",'All Fleet'!MG44)</f>
        <v/>
      </c>
      <c r="MK8" s="166" t="str">
        <f>IF('All Fleet'!MH44="","",'All Fleet'!MH44)</f>
        <v/>
      </c>
      <c r="ML8" s="166" t="str">
        <f>IF('All Fleet'!MI44="","",'All Fleet'!MI44)</f>
        <v/>
      </c>
      <c r="MM8" s="166" t="str">
        <f>IF('All Fleet'!MJ44="","",'All Fleet'!MJ44)</f>
        <v/>
      </c>
      <c r="MN8" s="166" t="str">
        <f>IF('All Fleet'!MK44="","",'All Fleet'!MK44)</f>
        <v/>
      </c>
      <c r="MO8" s="166" t="str">
        <f>IF('All Fleet'!ML44="","",'All Fleet'!ML44)</f>
        <v/>
      </c>
      <c r="MP8" s="166" t="str">
        <f>IF('All Fleet'!MM44="","",'All Fleet'!MM44)</f>
        <v/>
      </c>
      <c r="MQ8" s="166" t="str">
        <f>IF('All Fleet'!MN44="","",'All Fleet'!MN44)</f>
        <v/>
      </c>
      <c r="MR8" s="166" t="str">
        <f>IF('All Fleet'!MO44="","",'All Fleet'!MO44)</f>
        <v/>
      </c>
      <c r="MS8" s="166" t="str">
        <f>IF('All Fleet'!MP44="","",'All Fleet'!MP44)</f>
        <v/>
      </c>
      <c r="MT8" s="166" t="str">
        <f>IF('All Fleet'!MQ44="","",'All Fleet'!MQ44)</f>
        <v/>
      </c>
      <c r="MU8" s="166" t="str">
        <f>IF('All Fleet'!MR44="","",'All Fleet'!MR44)</f>
        <v/>
      </c>
      <c r="MV8" s="166" t="str">
        <f>IF('All Fleet'!MS44="","",'All Fleet'!MS44)</f>
        <v/>
      </c>
      <c r="MW8" s="166" t="str">
        <f>IF('All Fleet'!MT44="","",'All Fleet'!MT44)</f>
        <v/>
      </c>
      <c r="MX8" s="166" t="str">
        <f>IF('All Fleet'!MU44="","",'All Fleet'!MU44)</f>
        <v/>
      </c>
      <c r="MY8" s="166" t="str">
        <f>IF('All Fleet'!MV44="","",'All Fleet'!MV44)</f>
        <v/>
      </c>
      <c r="MZ8" s="166" t="str">
        <f>IF('All Fleet'!MW44="","",'All Fleet'!MW44)</f>
        <v/>
      </c>
      <c r="NA8" s="166" t="str">
        <f>IF('All Fleet'!MX44="","",'All Fleet'!MX44)</f>
        <v/>
      </c>
      <c r="NB8" s="166" t="str">
        <f>IF('All Fleet'!MY44="","",'All Fleet'!MY44)</f>
        <v/>
      </c>
      <c r="NC8" s="166" t="str">
        <f>IF('All Fleet'!MZ44="","",'All Fleet'!MZ44)</f>
        <v/>
      </c>
      <c r="ND8" s="166" t="str">
        <f>IF('All Fleet'!NA44="","",'All Fleet'!NA44)</f>
        <v/>
      </c>
      <c r="NE8" s="166" t="str">
        <f>IF('All Fleet'!NB44="","",'All Fleet'!NB44)</f>
        <v/>
      </c>
      <c r="NF8" s="166" t="str">
        <f>IF('All Fleet'!NC44="","",'All Fleet'!NC44)</f>
        <v/>
      </c>
      <c r="NG8" s="166" t="str">
        <f>IF('All Fleet'!ND44="","",'All Fleet'!ND44)</f>
        <v/>
      </c>
      <c r="NH8" s="166" t="str">
        <f>IF('All Fleet'!NE44="","",'All Fleet'!NE44)</f>
        <v/>
      </c>
      <c r="NI8" s="166" t="str">
        <f>IF('All Fleet'!NF44="","",'All Fleet'!NF44)</f>
        <v/>
      </c>
      <c r="NJ8" s="166" t="str">
        <f>IF('All Fleet'!NG44="","",'All Fleet'!NG44)</f>
        <v/>
      </c>
      <c r="NK8" s="166" t="str">
        <f>IF('All Fleet'!NH44="","",'All Fleet'!NH44)</f>
        <v/>
      </c>
      <c r="NL8" s="166" t="str">
        <f>IF('All Fleet'!NI44="","",'All Fleet'!NI44)</f>
        <v/>
      </c>
      <c r="NM8" s="166" t="str">
        <f>IF('All Fleet'!NJ44="","",'All Fleet'!NJ44)</f>
        <v/>
      </c>
      <c r="NN8" s="166" t="str">
        <f>IF('All Fleet'!NK44="","",'All Fleet'!NK44)</f>
        <v/>
      </c>
      <c r="NO8" s="166" t="str">
        <f>IF('All Fleet'!NL44="","",'All Fleet'!NL44)</f>
        <v/>
      </c>
      <c r="NP8" s="166" t="str">
        <f>IF('All Fleet'!NM44="","",'All Fleet'!NM44)</f>
        <v/>
      </c>
      <c r="NQ8" s="166" t="str">
        <f>IF('All Fleet'!NN44="","",'All Fleet'!NN44)</f>
        <v/>
      </c>
      <c r="NR8" s="166" t="str">
        <f>IF('All Fleet'!NO44="","",'All Fleet'!NO44)</f>
        <v/>
      </c>
      <c r="NS8" s="166" t="str">
        <f>IF('All Fleet'!NP44="","",'All Fleet'!NP44)</f>
        <v/>
      </c>
      <c r="NT8" s="166" t="str">
        <f>IF('All Fleet'!NQ44="","",'All Fleet'!NQ44)</f>
        <v/>
      </c>
      <c r="NU8" s="166" t="str">
        <f>IF('All Fleet'!NR44="","",'All Fleet'!NR44)</f>
        <v/>
      </c>
      <c r="NV8" s="166" t="str">
        <f>IF('All Fleet'!NS44="","",'All Fleet'!NS44)</f>
        <v/>
      </c>
      <c r="NW8" s="166" t="str">
        <f>IF('All Fleet'!NT44="","",'All Fleet'!NT44)</f>
        <v/>
      </c>
      <c r="NX8" s="166" t="str">
        <f>IF('All Fleet'!NU44="","",'All Fleet'!NU44)</f>
        <v/>
      </c>
      <c r="NY8" s="166" t="str">
        <f>IF('All Fleet'!NV44="","",'All Fleet'!NV44)</f>
        <v/>
      </c>
      <c r="NZ8" s="166" t="str">
        <f>IF('All Fleet'!NW44="","",'All Fleet'!NW44)</f>
        <v/>
      </c>
      <c r="OA8" s="166" t="str">
        <f>IF('All Fleet'!NX44="","",'All Fleet'!NX44)</f>
        <v/>
      </c>
      <c r="OB8" s="166" t="str">
        <f>IF('All Fleet'!NY44="","",'All Fleet'!NY44)</f>
        <v/>
      </c>
      <c r="OC8" s="166" t="str">
        <f>IF('All Fleet'!NZ44="","",'All Fleet'!NZ44)</f>
        <v/>
      </c>
      <c r="OD8" s="166" t="str">
        <f>IF('All Fleet'!OA44="","",'All Fleet'!OA44)</f>
        <v/>
      </c>
      <c r="OE8" s="166" t="str">
        <f>IF('All Fleet'!OB44="","",'All Fleet'!OB44)</f>
        <v/>
      </c>
      <c r="OF8" s="166" t="str">
        <f>IF('All Fleet'!OC44="","",'All Fleet'!OC44)</f>
        <v/>
      </c>
      <c r="OG8" s="166" t="str">
        <f>IF('All Fleet'!OD44="","",'All Fleet'!OD44)</f>
        <v/>
      </c>
      <c r="OH8" s="166" t="str">
        <f>IF('All Fleet'!OE44="","",'All Fleet'!OE44)</f>
        <v/>
      </c>
      <c r="OI8" s="166" t="str">
        <f>IF('All Fleet'!OF44="","",'All Fleet'!OF44)</f>
        <v/>
      </c>
      <c r="OJ8" s="166" t="str">
        <f>IF('All Fleet'!OG44="","",'All Fleet'!OG44)</f>
        <v/>
      </c>
      <c r="OK8" s="166" t="str">
        <f>IF('All Fleet'!OH44="","",'All Fleet'!OH44)</f>
        <v/>
      </c>
      <c r="OL8" s="166" t="str">
        <f>IF('All Fleet'!OI44="","",'All Fleet'!OI44)</f>
        <v/>
      </c>
      <c r="OM8" s="166" t="str">
        <f>IF('All Fleet'!OJ44="","",'All Fleet'!OJ44)</f>
        <v/>
      </c>
      <c r="ON8" s="166" t="str">
        <f>IF('All Fleet'!OK44="","",'All Fleet'!OK44)</f>
        <v/>
      </c>
      <c r="OO8" s="166" t="str">
        <f>IF('All Fleet'!OL44="","",'All Fleet'!OL44)</f>
        <v/>
      </c>
      <c r="OP8" s="166" t="str">
        <f>IF('All Fleet'!OM44="","",'All Fleet'!OM44)</f>
        <v/>
      </c>
      <c r="OQ8" s="166" t="str">
        <f>IF('All Fleet'!ON44="","",'All Fleet'!ON44)</f>
        <v/>
      </c>
      <c r="OR8" s="166" t="str">
        <f>IF('All Fleet'!OO44="","",'All Fleet'!OO44)</f>
        <v/>
      </c>
      <c r="OS8" s="166" t="str">
        <f>IF('All Fleet'!OP44="","",'All Fleet'!OP44)</f>
        <v/>
      </c>
      <c r="OT8" s="166" t="str">
        <f>IF('All Fleet'!OQ44="","",'All Fleet'!OQ44)</f>
        <v/>
      </c>
      <c r="OU8" s="166" t="str">
        <f>IF('All Fleet'!OR44="","",'All Fleet'!OR44)</f>
        <v/>
      </c>
      <c r="OV8" s="166" t="str">
        <f>IF('All Fleet'!OS44="","",'All Fleet'!OS44)</f>
        <v/>
      </c>
      <c r="OW8" s="166" t="str">
        <f>IF('All Fleet'!OT44="","",'All Fleet'!OT44)</f>
        <v/>
      </c>
      <c r="OX8" s="166" t="str">
        <f>IF('All Fleet'!OU44="","",'All Fleet'!OU44)</f>
        <v/>
      </c>
      <c r="OY8" s="166" t="str">
        <f>IF('All Fleet'!OV44="","",'All Fleet'!OV44)</f>
        <v/>
      </c>
      <c r="OZ8" s="167" t="str">
        <f>IF('All Fleet'!OW44="","",'All Fleet'!OW44)</f>
        <v/>
      </c>
    </row>
    <row r="9" spans="1:416" s="85" customFormat="1" x14ac:dyDescent="0.2">
      <c r="A9" s="138" t="b">
        <f t="shared" si="376"/>
        <v>0</v>
      </c>
      <c r="B9" s="139">
        <v>6</v>
      </c>
      <c r="C9" s="139" t="str">
        <f t="shared" si="377"/>
        <v>Mechanical Availability</v>
      </c>
      <c r="D9" s="164" t="str">
        <f t="shared" si="378"/>
        <v>777E Expro</v>
      </c>
      <c r="E9" s="201" t="s">
        <v>93</v>
      </c>
      <c r="F9" s="202">
        <f>IF(F8="","",AVERAGE($F$4:$H$8))</f>
        <v>0.99777777777777776</v>
      </c>
      <c r="G9" s="202">
        <f t="shared" ref="G9:H9" si="379">IF(G8="","",AVERAGE($F$4:$H$8))</f>
        <v>0.99777777777777776</v>
      </c>
      <c r="H9" s="202">
        <f t="shared" si="379"/>
        <v>0.99777777777777776</v>
      </c>
      <c r="I9" s="202">
        <f>IF(I8="","",AVERAGE($I4:I8))</f>
        <v>0.99499999999999988</v>
      </c>
      <c r="J9" s="202">
        <f>IF(J8="","",AVERAGE($I4:J8))</f>
        <v>0.99550000000000005</v>
      </c>
      <c r="K9" s="202">
        <f>IF(K8="","",AVERAGE($I4:K8))</f>
        <v>0.99254629629629632</v>
      </c>
      <c r="L9" s="202">
        <f>IF(L8="","",AVERAGE($I4:L8))</f>
        <v>0.99110912698412701</v>
      </c>
      <c r="M9" s="202">
        <f>IF(M8="","",AVERAGE($I4:M8))</f>
        <v>0.98505605158730158</v>
      </c>
      <c r="N9" s="202">
        <f>IF(N8="","",AVERAGE($I4:N8))</f>
        <v>0.9815528824955907</v>
      </c>
      <c r="O9" s="202">
        <f>IF(O8="","",AVERAGE($I4:O8))</f>
        <v>0.97858461356764936</v>
      </c>
      <c r="P9" s="202">
        <f>IF(P8="","",AVERAGE($P4:P8))</f>
        <v>0.93678787878787873</v>
      </c>
      <c r="Q9" s="202">
        <f>IF(Q8="","",AVERAGE($P4:Q8))</f>
        <v>0.93643560606060616</v>
      </c>
      <c r="R9" s="202">
        <f>IF(R8="","",AVERAGE($P4:R8))</f>
        <v>0.92880749805749807</v>
      </c>
      <c r="S9" s="202">
        <f>IF(S8="","",AVERAGE($P4:S8))</f>
        <v>0.92653717116217127</v>
      </c>
      <c r="T9" s="202">
        <f>IF(T8="","",AVERAGE($P4:T8))</f>
        <v>0.92552862581862583</v>
      </c>
      <c r="U9" s="202">
        <f>IF(U8="","",AVERAGE($P4:U8))</f>
        <v>0.92306031318218829</v>
      </c>
      <c r="V9" s="202">
        <f>IF(V8="","",AVERAGE($P4:V8))</f>
        <v>0.92197606676120336</v>
      </c>
      <c r="W9" s="202">
        <f>IF(W8="","",AVERAGE($W4:W8))</f>
        <v>0.91765277777777787</v>
      </c>
      <c r="X9" s="202">
        <f>IF(X8="","",AVERAGE($W4:X8))</f>
        <v>0.91910270467836264</v>
      </c>
      <c r="Y9" s="202">
        <f>IF(Y8="","",AVERAGE($W4:Y8))</f>
        <v>0.91899763645224175</v>
      </c>
      <c r="Z9" s="202">
        <f>IF(Z8="","",AVERAGE($W4:Z8))</f>
        <v>0.91989009241854625</v>
      </c>
      <c r="AA9" s="202">
        <f>IF(AA8="","",AVERAGE($W4:AA8))</f>
        <v>0.91916283151059441</v>
      </c>
      <c r="AB9" s="202">
        <f>IF(AB8="","",AVERAGE($W4:AB8))</f>
        <v>0.91593037891583351</v>
      </c>
      <c r="AC9" s="202">
        <f>IF(AC8="","",AVERAGE($W4:AC8))</f>
        <v>0.91375183272150817</v>
      </c>
      <c r="AD9" s="202">
        <f>IF(AD8="","",AVERAGE($AD4:AD8))</f>
        <v>0.90347000000000011</v>
      </c>
      <c r="AE9" s="202">
        <f>IF(AE8="","",AVERAGE($AD4:AE8))</f>
        <v>0.90532634615384622</v>
      </c>
      <c r="AF9" s="202">
        <f>IF(AF8="","",AVERAGE($AD4:AF8))</f>
        <v>0.90697167932890166</v>
      </c>
      <c r="AG9" s="202">
        <f>IF(AG8="","",AVERAGE($AD4:AG8))</f>
        <v>0.90543337259191414</v>
      </c>
      <c r="AH9" s="202">
        <f>IF(AH8="","",AVERAGE($AD4:AH8))</f>
        <v>0.90519439922295675</v>
      </c>
      <c r="AI9" s="202">
        <f>IF(AI8="","",AVERAGE($AD4:AI8))</f>
        <v>0.90486199935246392</v>
      </c>
      <c r="AJ9" s="202">
        <f>IF(AJ8="","",AVERAGE($AD4:AJ8))</f>
        <v>0.90484100712546067</v>
      </c>
      <c r="AK9" s="202">
        <f>IF(AK8="","",AVERAGE($AK4:AK8))</f>
        <v>0.98358333333333337</v>
      </c>
      <c r="AL9" s="202">
        <f>IF(AL8="","",AVERAGE($AK4:AL8))</f>
        <v>0.94020833333333331</v>
      </c>
      <c r="AM9" s="202">
        <f>IF(AM8="","",AVERAGE($AK4:AM8))</f>
        <v>0.93163888888888891</v>
      </c>
      <c r="AN9" s="202">
        <f>IF(AN8="","",AVERAGE($AK4:AN8))</f>
        <v>0.92859895833333328</v>
      </c>
      <c r="AO9" s="202">
        <f>IF(AO8="","",AVERAGE($AK4:AO8))</f>
        <v>0.92781249999999971</v>
      </c>
      <c r="AP9" s="202">
        <f>IF(AP8="","",AVERAGE($AK4:AP8))</f>
        <v>0.92429745370370342</v>
      </c>
      <c r="AQ9" s="202">
        <f>IF(AQ8="","",AVERAGE($AK4:AQ8))</f>
        <v>0.92284679705215389</v>
      </c>
      <c r="AR9" s="202">
        <f>IF(AR8="","",AVERAGE($AR4:AR8))</f>
        <v>0.91008333333333336</v>
      </c>
      <c r="AS9" s="202">
        <f>IF(AS8="","",AVERAGE($AR4:AS8))</f>
        <v>0.90688888888888886</v>
      </c>
      <c r="AT9" s="202">
        <f>IF(AT8="","",AVERAGE($AR4:AT8))</f>
        <v>0.90392037037037032</v>
      </c>
      <c r="AU9" s="202">
        <f>IF(AU8="","",AVERAGE($AR4:AU8))</f>
        <v>0.90160883838383832</v>
      </c>
      <c r="AV9" s="202">
        <f>IF(AV8="","",AVERAGE($AR4:AV8))</f>
        <v>0.89931762626262612</v>
      </c>
      <c r="AW9" s="202">
        <f>IF(AW8="","",AVERAGE($AR4:AW8))</f>
        <v>0.89889823556073545</v>
      </c>
      <c r="AX9" s="202">
        <f>IF(AX8="","",AVERAGE($AR4:AX8))</f>
        <v>0.89791532435818122</v>
      </c>
      <c r="AY9" s="202">
        <f>IF(AY8="","",AVERAGE($AY4:AY8))</f>
        <v>0.88337222222222223</v>
      </c>
      <c r="AZ9" s="202">
        <f>IF(AZ8="","",AVERAGE($AY4:AZ8))</f>
        <v>0.88346215277777773</v>
      </c>
      <c r="BA9" s="202">
        <f>IF(BA8="","",AVERAGE($AY4:BA8))</f>
        <v>0.88525418028322433</v>
      </c>
      <c r="BB9" s="202">
        <f>IF(BB8="","",AVERAGE($AY4:BB8))</f>
        <v>0.88368369076797371</v>
      </c>
      <c r="BC9" s="202">
        <f>IF(BC8="","",AVERAGE($AY4:BC8))</f>
        <v>0.88191975963192304</v>
      </c>
      <c r="BD9" s="202">
        <f>IF(BD8="","",AVERAGE($AY4:BD8))</f>
        <v>0.87993521635993577</v>
      </c>
      <c r="BE9" s="202">
        <f>IF(BE8="","",AVERAGE($AY4:BE8))</f>
        <v>0.87924435778697452</v>
      </c>
      <c r="BF9" s="202">
        <f>IF(BF8="","",AVERAGE($BF4:BF8))</f>
        <v>0.87635984848484849</v>
      </c>
      <c r="BG9" s="202">
        <f>IF(BG8="","",AVERAGE($BF4:BG8))</f>
        <v>0.87845528656126481</v>
      </c>
      <c r="BH9" s="202">
        <f>IF(BH8="","",AVERAGE($BF4:BH8))</f>
        <v>0.880267644744547</v>
      </c>
      <c r="BI9" s="202">
        <f>IF(BI8="","",AVERAGE($BF4:BI8))</f>
        <v>0.88200823355841018</v>
      </c>
      <c r="BJ9" s="202">
        <f>IF(BJ8="","",AVERAGE($BF4:BJ8))</f>
        <v>0.88361043300057429</v>
      </c>
      <c r="BK9" s="202">
        <f>IF(BK8="","",AVERAGE($BF4:BK8))</f>
        <v>0.8851619863482153</v>
      </c>
      <c r="BL9" s="202">
        <f>IF(BL8="","",AVERAGE($BF4:BL8))</f>
        <v>0.88644539306037506</v>
      </c>
      <c r="BM9" s="202">
        <f>IF(BM8="","",AVERAGE($BM4:BM8))</f>
        <v>0.74058333333333337</v>
      </c>
      <c r="BN9" s="202">
        <f>IF(BN8="","",AVERAGE($BM4:BN8))</f>
        <v>0.74583333333333335</v>
      </c>
      <c r="BO9" s="202">
        <f>IF(BO8="","",AVERAGE($BM4:BO8))</f>
        <v>0.73537962962962966</v>
      </c>
      <c r="BP9" s="202">
        <f>IF(BP8="","",AVERAGE($BM4:BP8))</f>
        <v>0.74799826388888901</v>
      </c>
      <c r="BQ9" s="202">
        <f>IF(BQ8="","",AVERAGE($BM4:BQ8))</f>
        <v>0.75590194444444447</v>
      </c>
      <c r="BR9" s="202">
        <f>IF(BR8="","",AVERAGE($BM4:BR8))</f>
        <v>0.76139976851851865</v>
      </c>
      <c r="BS9" s="202">
        <f>IF(BS8="","",AVERAGE($BM4:BS8))</f>
        <v>0.76894810090702947</v>
      </c>
      <c r="BT9" s="202">
        <f>IF(BT8="","",AVERAGE($BT4:BT8))</f>
        <v>0.83121875000000001</v>
      </c>
      <c r="BU9" s="202">
        <f>IF(BU8="","",AVERAGE($BT4:BU8))</f>
        <v>0.83187789351851849</v>
      </c>
      <c r="BV9" s="202">
        <f>IF(BV8="","",AVERAGE($BT4:BV8))</f>
        <v>0.83132415123456793</v>
      </c>
      <c r="BW9" s="202">
        <f>IF(BW8="","",AVERAGE($BT4:BW8))</f>
        <v>0.83373743160774405</v>
      </c>
      <c r="BX9" s="202">
        <f>IF(BX8="","",AVERAGE($BT4:BX8))</f>
        <v>0.83703300084175081</v>
      </c>
      <c r="BY9" s="202">
        <f>IF(BY8="","",AVERAGE($BT4:BY8))</f>
        <v>0.83922621865017699</v>
      </c>
      <c r="BZ9" s="202">
        <f>IF(BZ8="","",AVERAGE($BT4:BZ8))</f>
        <v>0.84128403775457328</v>
      </c>
      <c r="CA9" s="202">
        <f>IF(CA8="","",AVERAGE($CA4:CA8))</f>
        <v>0.86198888888888892</v>
      </c>
      <c r="CB9" s="202">
        <f>IF(CB8="","",AVERAGE($CA4:CB8))</f>
        <v>0.8649475694444444</v>
      </c>
      <c r="CC9" s="202">
        <f>IF(CC8="","",AVERAGE($CA4:CC8))</f>
        <v>0.86794707244008695</v>
      </c>
      <c r="CD9" s="202">
        <f>IF(CD8="","",AVERAGE($CA4:CD8))</f>
        <v>0.86970683210784294</v>
      </c>
      <c r="CE9" s="202">
        <f>IF(CE8="","",AVERAGE($CA4:CE8))</f>
        <v>0.86659879901960801</v>
      </c>
      <c r="CF9" s="202">
        <f>IF(CF8="","",AVERAGE($CA4:CF8))</f>
        <v>0.86229830473856239</v>
      </c>
      <c r="CG9" s="202">
        <f>IF(CG8="","",AVERAGE($CA4:CG8))</f>
        <v>0.85986793467386968</v>
      </c>
      <c r="CH9" s="202">
        <f>IF(CH8="","",AVERAGE($CH4:CH8))</f>
        <v>0.85231818181818186</v>
      </c>
      <c r="CI9" s="202">
        <f>IF(CI8="","",AVERAGE($CH4:CI8))</f>
        <v>0.85232938076416342</v>
      </c>
      <c r="CJ9" s="202">
        <f>IF(CJ8="","",AVERAGE($CH4:CJ8))</f>
        <v>0.85434690199092378</v>
      </c>
      <c r="CK9" s="202">
        <f>IF(CK8="","",AVERAGE($CH4:CK8))</f>
        <v>0.8563635098265262</v>
      </c>
      <c r="CL9" s="202">
        <f>IF(CL8="","",AVERAGE($CH4:CL8))</f>
        <v>0.85788503863045162</v>
      </c>
      <c r="CM9" s="202">
        <f>IF(CM8="","",AVERAGE($CH4:CM8))</f>
        <v>0.85921129762414183</v>
      </c>
      <c r="CN9" s="202">
        <f>IF(CN8="","",AVERAGE($CH4:CN8))</f>
        <v>0.86084310204518277</v>
      </c>
      <c r="CO9" s="202">
        <f>IF(CO8="","",AVERAGE($CO4:CO8))</f>
        <v>0.87449712643678157</v>
      </c>
      <c r="CP9" s="202">
        <f>IF(CP8="","",AVERAGE($CO4:CP8))</f>
        <v>0.8726430076628352</v>
      </c>
      <c r="CQ9" s="202">
        <f>IF(CQ8="","",AVERAGE($CO4:CQ8))</f>
        <v>0.87245107320891535</v>
      </c>
      <c r="CR9" s="202">
        <f>IF(CR8="","",AVERAGE($CO4:CR8))</f>
        <v>0.83150497157335312</v>
      </c>
      <c r="CS9" s="202">
        <f>IF(CS8="","",AVERAGE($CO4:CS8))</f>
        <v>0.82702064392534924</v>
      </c>
      <c r="CT9" s="202">
        <f>IF(CT8="","",AVERAGE($CO4:CT8))</f>
        <v>0.826433869937791</v>
      </c>
      <c r="CU9" s="202">
        <f>IF(CU8="","",AVERAGE($CO4:CU8))</f>
        <v>0.82250284089905901</v>
      </c>
      <c r="CV9" s="202">
        <f>IF(CV8="","",AVERAGE($CV4:CV8))</f>
        <v>0.78716666666666657</v>
      </c>
      <c r="CW9" s="202">
        <f>IF(CW8="","",AVERAGE($CV4:CW8))</f>
        <v>0.79240277777777768</v>
      </c>
      <c r="CX9" s="202">
        <f>IF(CX8="","",AVERAGE($CV4:CX8))</f>
        <v>0.79962962962962958</v>
      </c>
      <c r="CY9" s="202">
        <f>IF(CY8="","",AVERAGE($CV4:CY8))</f>
        <v>0.80868055555555574</v>
      </c>
      <c r="CZ9" s="202">
        <f>IF(CZ8="","",AVERAGE($CV4:CZ8))</f>
        <v>0.8177592592592593</v>
      </c>
      <c r="DA9" s="202">
        <f>IF(DA8="","",AVERAGE($CV4:DA8))</f>
        <v>0.82624382716049416</v>
      </c>
      <c r="DB9" s="202">
        <f>IF(DB8="","",AVERAGE($CV4:DB8))</f>
        <v>0.83217760942760954</v>
      </c>
      <c r="DC9" s="202">
        <f>IF(DC8="","",AVERAGE($DC4:DC8))</f>
        <v>0.87879861111111113</v>
      </c>
      <c r="DD9" s="202">
        <f>IF(DD8="","",AVERAGE($DC4:DD8))</f>
        <v>0.87788648504273525</v>
      </c>
      <c r="DE9" s="202">
        <f>IF(DE8="","",AVERAGE($DC4:DE8))</f>
        <v>0.87964257733007734</v>
      </c>
      <c r="DF9" s="202">
        <f>IF(DF8="","",AVERAGE($DC4:DF8))</f>
        <v>0.88246804410866897</v>
      </c>
      <c r="DG9" s="202">
        <f>IF(DG8="","",AVERAGE($DC4:DG8))</f>
        <v>0.88408797695360208</v>
      </c>
      <c r="DH9" s="202">
        <f>IF(DH8="","",AVERAGE($DC4:DH8))</f>
        <v>0.88528491543519128</v>
      </c>
      <c r="DI9" s="202">
        <f>IF(DI8="","",AVERAGE($DC4:DI8))</f>
        <v>0.88687053598148669</v>
      </c>
      <c r="DJ9" s="202">
        <f>IF(DJ8="","",AVERAGE($DJ4:DJ8))</f>
        <v>0.89514912280701753</v>
      </c>
      <c r="DK9" s="202">
        <f>IF(DK8="","",AVERAGE($DJ4:DK8))</f>
        <v>0.88844956140350884</v>
      </c>
      <c r="DL9" s="202">
        <f>IF(DL8="","",AVERAGE($DJ4:DL8))</f>
        <v>0.88784997215260375</v>
      </c>
      <c r="DM9" s="202">
        <f>IF(DM8="","",AVERAGE($DJ4:DM8))</f>
        <v>0.88824543365990727</v>
      </c>
      <c r="DN9" s="202">
        <f>IF(DN8="","",AVERAGE($DJ4:DN8))</f>
        <v>0.88917678171053471</v>
      </c>
      <c r="DO9" s="202">
        <f>IF(DO8="","",AVERAGE($DJ4:DO8))</f>
        <v>0.89033192457359389</v>
      </c>
      <c r="DP9" s="202">
        <f>IF(DP8="","",AVERAGE($DJ4:DP8))</f>
        <v>0.89175069725355671</v>
      </c>
      <c r="DQ9" s="202">
        <f>IF(DQ8="","",AVERAGE($DQ4:DQ8))</f>
        <v>0.90409935897435889</v>
      </c>
      <c r="DR9" s="202">
        <f>IF(DR8="","",AVERAGE($DQ4:DR8))</f>
        <v>0.90452498812915461</v>
      </c>
      <c r="DS9" s="202">
        <f>IF(DS8="","",AVERAGE($DQ4:DS8))</f>
        <v>0.90499483335594455</v>
      </c>
      <c r="DT9" s="202">
        <f>IF(DT8="","",AVERAGE($DQ4:DT8))</f>
        <v>0.90595948708592378</v>
      </c>
      <c r="DU9" s="202">
        <f>IF(DU8="","",AVERAGE($DQ4:DU8))</f>
        <v>0.90514481189096141</v>
      </c>
      <c r="DV9" s="202">
        <f>IF(DV8="","",AVERAGE($DQ4:DV8))</f>
        <v>0.89820400990913452</v>
      </c>
      <c r="DW9" s="202">
        <f>IF(DW8="","",AVERAGE($DQ4:DW8))</f>
        <v>0.90004391325544852</v>
      </c>
      <c r="DX9" s="202">
        <f>IF(DX8="","",AVERAGE($DX4:DX8))</f>
        <v>0.84086111111111117</v>
      </c>
      <c r="DY9" s="202">
        <f>IF(DY8="","",AVERAGE($DX4:DY8))</f>
        <v>0.85465972222222231</v>
      </c>
      <c r="DZ9" s="202">
        <f>IF(DZ8="","",AVERAGE($DX4:DZ8))</f>
        <v>0.86732314814814848</v>
      </c>
      <c r="EA9" s="202">
        <f>IF(EA8="","",AVERAGE($DX4:EA8))</f>
        <v>0.8732493055555558</v>
      </c>
      <c r="EB9" s="202">
        <f>IF(EB8="","",AVERAGE($DX4:EB8))</f>
        <v>0.87882563492063515</v>
      </c>
      <c r="EC9" s="202">
        <f>IF(EC8="","",AVERAGE($DX4:EC8))</f>
        <v>0.88116025132275155</v>
      </c>
      <c r="ED9" s="202">
        <f>IF(ED8="","",AVERAGE($DX4:ED8))</f>
        <v>0.88452889266817847</v>
      </c>
      <c r="EE9" s="202">
        <f>IF(EE8="","",AVERAGE($EE4:EE8))</f>
        <v>0.90760833333333335</v>
      </c>
      <c r="EF9" s="202">
        <f>IF(EF8="","",AVERAGE($EE4:EF8))</f>
        <v>0.89565643939393946</v>
      </c>
      <c r="EG9" s="202">
        <f>IF(EG8="","",AVERAGE($EE4:EG8))</f>
        <v>0.89163901515151534</v>
      </c>
      <c r="EH9" s="202">
        <f>IF(EH8="","",AVERAGE($EE4:EH8))</f>
        <v>0.8842997741841494</v>
      </c>
      <c r="EI9" s="202">
        <f>IF(EI8="","",AVERAGE($EE4:EI8))</f>
        <v>0.8818636288711289</v>
      </c>
      <c r="EJ9" s="202">
        <f>IF(EJ8="","",AVERAGE($EE4:EJ8))</f>
        <v>0.87796413517038507</v>
      </c>
      <c r="EK9" s="202">
        <f>IF(EK8="","",AVERAGE($EE4:EK8))</f>
        <v>0.87641494324128244</v>
      </c>
      <c r="EL9" s="202">
        <f>IF(EL8="","",AVERAGE($EL4:EL8))</f>
        <v>0.86077941176470585</v>
      </c>
      <c r="EM9" s="202">
        <f>IF(EM8="","",AVERAGE($EL4:EM8))</f>
        <v>0.86153090958605671</v>
      </c>
      <c r="EN9" s="202">
        <f>IF(EN8="","",AVERAGE($EL4:EN8))</f>
        <v>0.86304253621526594</v>
      </c>
      <c r="EO9" s="202">
        <f>IF(EO8="","",AVERAGE($EL4:EO8))</f>
        <v>0.86285273549478281</v>
      </c>
      <c r="EP9" s="202">
        <f>IF(EP8="","",AVERAGE($EL4:EP8))</f>
        <v>0.86321155347519141</v>
      </c>
      <c r="EQ9" s="202">
        <f>IF(EQ8="","",AVERAGE($EL4:EQ8))</f>
        <v>0.86434359254245741</v>
      </c>
      <c r="ER9" s="202">
        <f>IF(ER8="","",AVERAGE($EL4:ER8))</f>
        <v>0.86451396959125737</v>
      </c>
      <c r="ES9" s="202">
        <f>IF(ES8="","",AVERAGE($ES4:ES8))</f>
        <v>0.85903125000000014</v>
      </c>
      <c r="ET9" s="202">
        <f>IF(ET8="","",AVERAGE($ES4:ET8))</f>
        <v>0.86128729166666673</v>
      </c>
      <c r="EU9" s="202">
        <f>IF(EU8="","",AVERAGE($ES4:EU8))</f>
        <v>0.86278447649572643</v>
      </c>
      <c r="EV9" s="202">
        <f>IF(EV8="","",AVERAGE($ES4:EV8))</f>
        <v>0.86417786354463411</v>
      </c>
      <c r="EW9" s="202">
        <f>IF(EW8="","",AVERAGE($ES4:EW8))</f>
        <v>0.86556550512142172</v>
      </c>
      <c r="EX9" s="202">
        <f>IF(EX8="","",AVERAGE($ES4:EX8))</f>
        <v>0.86723131173911561</v>
      </c>
      <c r="EY9" s="202">
        <f>IF(EY8="","",AVERAGE($ES4:EY8))</f>
        <v>0.86901374339543247</v>
      </c>
      <c r="EZ9" s="202">
        <f>IF(EZ8="","",AVERAGE($EZ4:EZ8))</f>
        <v>0.88358870967741932</v>
      </c>
      <c r="FA9" s="202">
        <f>IF(FA8="","",AVERAGE($EZ4:FA8))</f>
        <v>0.94179435483870966</v>
      </c>
      <c r="FB9" s="202">
        <f>IF(FB8="","",AVERAGE($EZ4:FB8))</f>
        <v>0.96119623655913977</v>
      </c>
      <c r="FC9" s="202">
        <f>IF(FC8="","",AVERAGE($EZ4:FC8))</f>
        <v>0.97089717741935488</v>
      </c>
      <c r="FD9" s="202">
        <f>IF(FD8="","",AVERAGE($EZ4:FD8))</f>
        <v>0.97671774193548389</v>
      </c>
      <c r="FE9" s="202">
        <f>IF(FE8="","",AVERAGE($EZ4:FE8))</f>
        <v>0.98059811827956977</v>
      </c>
      <c r="FF9" s="202">
        <f>IF(FF8="","",AVERAGE($EZ4:FF8))</f>
        <v>0.9833698156682027</v>
      </c>
      <c r="FG9" s="202">
        <f>IF(FG8="","",AVERAGE($FG4:FG8))</f>
        <v>0.99458333333333326</v>
      </c>
      <c r="FH9" s="202">
        <f>IF(FH8="","",AVERAGE($FG4:FH8))</f>
        <v>0.98079166666666673</v>
      </c>
      <c r="FI9" s="202">
        <f>IF(FI8="","",AVERAGE($FG4:FI8))</f>
        <v>0.97387037037037028</v>
      </c>
      <c r="FJ9" s="202">
        <f>IF(FJ8="","",AVERAGE($FG4:FJ8))</f>
        <v>0.96627777777777779</v>
      </c>
      <c r="FK9" s="202">
        <f>IF(FK8="","",AVERAGE($FG4:FK8))</f>
        <v>0.9609994949494951</v>
      </c>
      <c r="FL9" s="202">
        <f>IF(FL8="","",AVERAGE($FG4:FL8))</f>
        <v>0.95568592171717193</v>
      </c>
      <c r="FM9" s="202">
        <f>IF(FM8="","",AVERAGE($FG4:FM8))</f>
        <v>0.95203024059274055</v>
      </c>
      <c r="FN9" s="202">
        <f>IF(FN8="","",AVERAGE($FN4:FN8))</f>
        <v>0.92149999999999999</v>
      </c>
      <c r="FO9" s="202">
        <f>IF(FO8="","",AVERAGE(FN4:FO8))</f>
        <v>0.92322777777777776</v>
      </c>
      <c r="FP9" s="202">
        <f>IF(FP8="","",AVERAGE(FN4:FP8))</f>
        <v>0.9244782407407407</v>
      </c>
      <c r="FQ9" s="202">
        <f>IF(FQ8="","",AVERAGE(FN4:FQ8))</f>
        <v>0.92617730800653608</v>
      </c>
      <c r="FR9" s="202">
        <f>IF(FR8="","",AVERAGE(FN4:FR8))</f>
        <v>0.92502888344226575</v>
      </c>
      <c r="FS9" s="202">
        <f>IF(FS8="","",AVERAGE(FN4:FS8))</f>
        <v>0.92025067772235591</v>
      </c>
      <c r="FT9" s="202">
        <f>IF(FT8="","",AVERAGE(FN4:FT8))</f>
        <v>0.91702855709535258</v>
      </c>
      <c r="FU9" s="202">
        <f>IF(FU8="","",AVERAGE($FN4:FU8))</f>
        <v>0.90758103904573506</v>
      </c>
      <c r="FV9" s="202">
        <f>IF(FV8="","",AVERAGE(FU4:FV8))</f>
        <v>0.84231132756132754</v>
      </c>
      <c r="FW9" s="202">
        <f>IF(FW8="","",AVERAGE(FU4:FW8))</f>
        <v>0.84163750339837284</v>
      </c>
      <c r="FX9" s="202">
        <f>IF(FX8="","",AVERAGE(FU4:FX8))</f>
        <v>0.84107014143766856</v>
      </c>
      <c r="FY9" s="202">
        <f>IF(FY8="","",AVERAGE(FU4:FY8))</f>
        <v>0.8406074464834683</v>
      </c>
      <c r="FZ9" s="202">
        <f>IF(FZ8="","",AVERAGE(FU4:FZ8))</f>
        <v>0.84025300027468519</v>
      </c>
      <c r="GA9" s="202">
        <f>IF(GA8="","",AVERAGE(FU4:GA8))</f>
        <v>0.84003828594973007</v>
      </c>
      <c r="GB9" s="202">
        <f>IF(GB8="","",AVERAGE($FN4:GB8))</f>
        <v>0.87076194738929269</v>
      </c>
      <c r="GC9" s="202">
        <f>IF(GC8="","",AVERAGE(GB4:GC8))</f>
        <v>0.76441025246305416</v>
      </c>
      <c r="GD9" s="202">
        <f>IF(GD8="","",AVERAGE(GB4:GD8))</f>
        <v>0.76769664979018415</v>
      </c>
      <c r="GE9" s="202">
        <f>IF(GE8="","",AVERAGE(GB4:GE8))</f>
        <v>0.69212665400930473</v>
      </c>
      <c r="GF9" s="202">
        <f>IF(GF8="","",AVERAGE(GB4:GF8))</f>
        <v>0.68785132320744391</v>
      </c>
      <c r="GG9" s="202">
        <f>IF(GG8="","",AVERAGE(GB4:GG8))</f>
        <v>0.69206591748768487</v>
      </c>
      <c r="GH9" s="202">
        <f>IF(GH8="","",AVERAGE(GB4:GH8))</f>
        <v>0.6947261435608727</v>
      </c>
      <c r="GI9" s="202">
        <f>IF(GI8="","",AVERAGE($FN4:GI8))</f>
        <v>0.81431898058674324</v>
      </c>
      <c r="GJ9" s="202">
        <f>IF(GJ8="","",AVERAGE(GI4:GJ8))</f>
        <v>0.70976111111111106</v>
      </c>
      <c r="GK9" s="202">
        <f>IF(GK8="","",AVERAGE(GI4:GK8))</f>
        <v>0.70205502645502649</v>
      </c>
      <c r="GL9" s="202">
        <f>IF(GL8="","",AVERAGE(GI4:GL8))</f>
        <v>0.70632251984126992</v>
      </c>
      <c r="GM9" s="202">
        <f>IF(GM8="","",AVERAGE(GI4:GM8))</f>
        <v>0.71394134920634922</v>
      </c>
      <c r="GN9" s="202">
        <f>IF(GN8="","",AVERAGE(GI4:GN8))</f>
        <v>0.72328029100529101</v>
      </c>
      <c r="GO9" s="202">
        <f>IF(GO8="","",AVERAGE(GI4:GO8))</f>
        <v>0.71228029272314985</v>
      </c>
      <c r="GP9" s="202">
        <f>IF(GP8="","",AVERAGE($FN4:GP8))</f>
        <v>0.78673464213691047</v>
      </c>
      <c r="GQ9" s="202">
        <f>IF(GQ8="","",AVERAGE(GP4:GQ8))</f>
        <v>0.67960737179487174</v>
      </c>
      <c r="GR9" s="202">
        <f>IF(GR8="","",AVERAGE(GP4:GR8))</f>
        <v>0.69120253357753347</v>
      </c>
      <c r="GS9" s="202">
        <f>IF(GS8="","",AVERAGE(GP4:GS8))</f>
        <v>0.70176023351648342</v>
      </c>
      <c r="GT9" s="202">
        <f>IF(GT8="","",AVERAGE(GP4:GT8))</f>
        <v>0.71142693681318692</v>
      </c>
      <c r="GU9" s="202">
        <f>IF(GU8="","",AVERAGE(GP4:GU8))</f>
        <v>0.7164064342724269</v>
      </c>
      <c r="GV9" s="202">
        <f>IF(GV8="","",AVERAGE(GP4:GV8))</f>
        <v>0.72201636165149818</v>
      </c>
      <c r="GW9" s="202">
        <f>IF(GW8="","",AVERAGE($FN4:GW8))</f>
        <v>0.77683565631153062</v>
      </c>
      <c r="GX9" s="202">
        <f>IF(GX8="","",AVERAGE(GW4:GX8))</f>
        <v>0.7594072368421052</v>
      </c>
      <c r="GY9" s="202">
        <f>IF(GY8="","",AVERAGE(GW4:GY8))</f>
        <v>0.76194080339738224</v>
      </c>
      <c r="GZ9" s="202">
        <f>IF(GZ8="","",AVERAGE(GW4:GZ8))</f>
        <v>0.76172832982076399</v>
      </c>
      <c r="HA9" s="202">
        <f>IF(HA8="","",AVERAGE(GW4:HA8))</f>
        <v>0.76367831603052438</v>
      </c>
      <c r="HB9" s="202">
        <f>IF(HB8="","",AVERAGE(GW4:HB8))</f>
        <v>0.76656526335877018</v>
      </c>
      <c r="HC9" s="202">
        <f>IF(HC8="","",AVERAGE(GW4:HC8))</f>
        <v>0.76987879716466001</v>
      </c>
      <c r="HD9" s="202">
        <f>IF(HD8="","",AVERAGE($FN4:HD8))</f>
        <v>0.77650291211309308</v>
      </c>
      <c r="HE9" s="202">
        <f>IF(HE8="","",AVERAGE(HD4:HE8))</f>
        <v>0.80117770655270648</v>
      </c>
      <c r="HF9" s="202">
        <f>IF(HF8="","",AVERAGE(HD4:HF8))</f>
        <v>0.8026363281779948</v>
      </c>
      <c r="HG9" s="202">
        <f>IF(HG8="","",AVERAGE(HD4:HG8))</f>
        <v>0.80377178636338109</v>
      </c>
      <c r="HH9" s="202">
        <f>IF(HH8="","",AVERAGE(HD4:HH8))</f>
        <v>0.80573854020181601</v>
      </c>
      <c r="HI9" s="202">
        <f>IF(HI8="","",AVERAGE(HD4:HI8))</f>
        <v>0.80736634622552772</v>
      </c>
      <c r="HJ9" s="202">
        <f>IF(HJ8="","",AVERAGE(HD4:HJ8))</f>
        <v>0.81446149782293908</v>
      </c>
      <c r="HK9" s="202">
        <f>IF(HK8="","",AVERAGE($FN4:HK8))</f>
        <v>0.78397227436888151</v>
      </c>
      <c r="HL9" s="202">
        <f>IF(HL8="","",AVERAGE(HK4:HL8))</f>
        <v>0.88313695987654328</v>
      </c>
      <c r="HM9" s="202">
        <f>IF(HM8="","",AVERAGE(HK4:HM8))</f>
        <v>0.88159786522633743</v>
      </c>
      <c r="HN9" s="202">
        <f>IF(HN8="","",AVERAGE(HK4:HN8))</f>
        <v>0.87833103780864197</v>
      </c>
      <c r="HO9" s="202">
        <f>IF(HO8="","",AVERAGE(HK4:HO8))</f>
        <v>0.87496104938271624</v>
      </c>
      <c r="HP9" s="202">
        <f>IF(HP8="","",AVERAGE(HK4:HP8))</f>
        <v>0.87062131099353324</v>
      </c>
      <c r="HQ9" s="202">
        <f>IF(HQ8="","",AVERAGE(HK4:HQ8))</f>
        <v>0.86796761345742002</v>
      </c>
      <c r="HR9" s="202">
        <f>IF(HR8="","",AVERAGE($FN4:HR8))</f>
        <v>0.79363035478109734</v>
      </c>
      <c r="HS9" s="202">
        <f>IF(HS8="","",AVERAGE(HR4:HS8))</f>
        <v>0.85994741512345685</v>
      </c>
      <c r="HT9" s="202">
        <f>IF(HT8="","",AVERAGE(HR4:HT8))</f>
        <v>0.86124419425738852</v>
      </c>
      <c r="HU9" s="202">
        <f>IF(HU8="","",AVERAGE(HR4:HU8))</f>
        <v>0.86079502840909095</v>
      </c>
      <c r="HV9" s="202">
        <f>IF(HV8="","",AVERAGE(HR4:HV8))</f>
        <v>0.86059150705775711</v>
      </c>
      <c r="HW9" s="202">
        <f>IF(HW8="","",AVERAGE(HR4:HW8))</f>
        <v>0.86132407885324547</v>
      </c>
      <c r="HX9" s="202">
        <f>IF(HX8="","",AVERAGE(HR4:HX8))</f>
        <v>0.86219570515463373</v>
      </c>
      <c r="HY9" s="202">
        <f>IF(HY8="","",AVERAGE($FN4:HY8))</f>
        <v>0.80122850664969225</v>
      </c>
      <c r="HZ9" s="202">
        <f>IF(HZ8="","",AVERAGE(HY4:HZ8))</f>
        <v>0.87528749659586058</v>
      </c>
      <c r="IA9" s="202">
        <f>IF(IA8="","",AVERAGE(HY4:IA8))</f>
        <v>0.87477242571411284</v>
      </c>
      <c r="IB9" s="202">
        <f>IF(IB8="","",AVERAGE(HY4:IB8))</f>
        <v>0.87454660729728051</v>
      </c>
      <c r="IC9" s="202">
        <f>IF(IC8="","",AVERAGE(HY4:IC8))</f>
        <v>0.87098853583782454</v>
      </c>
      <c r="ID9" s="202">
        <f>IF(ID8="","",AVERAGE(HY4:ID8))</f>
        <v>0.86916207351564745</v>
      </c>
      <c r="IE9" s="202">
        <f>IF(IE8="","",AVERAGE(HY4:IE8))</f>
        <v>0.86842741522601419</v>
      </c>
      <c r="IF9" s="202">
        <f>IF(IF8="","",AVERAGE($FN4:IF8))</f>
        <v>0.80767427398216951</v>
      </c>
      <c r="IG9" s="202">
        <f>IF(IG8="","",AVERAGE(IF4:IG8))</f>
        <v>0.86372052594940951</v>
      </c>
      <c r="IH9" s="202">
        <f>IF(IH8="","",AVERAGE(IF4:IH8))</f>
        <v>0.86478383828726069</v>
      </c>
      <c r="II9" s="202">
        <f>IF(II8="","",AVERAGE(IF4:II8))</f>
        <v>0.86580433615846553</v>
      </c>
      <c r="IJ9" s="202">
        <f>IF(IJ8="","",AVERAGE(IF4:IJ8))</f>
        <v>0.86696639416682719</v>
      </c>
      <c r="IK9" s="202">
        <f>IF(IK8="","",AVERAGE(IF4:IK8))</f>
        <v>0.86402613149263796</v>
      </c>
      <c r="IL9" s="202">
        <f>IF(IL8="","",AVERAGE(IF4:IL8))</f>
        <v>0.86266818614347984</v>
      </c>
      <c r="IM9" s="202">
        <f>IF(IM8="","",AVERAGE($FN4:IM8))</f>
        <v>0.81232550056560704</v>
      </c>
      <c r="IN9" s="202">
        <f>IF(IN8="","",AVERAGE(IM4:IN8))</f>
        <v>0.84023969409597776</v>
      </c>
      <c r="IO9" s="202">
        <f>IF(IO8="","",AVERAGE(IM4:IO8))</f>
        <v>0.8681659689034914</v>
      </c>
      <c r="IP9" s="202">
        <f>IF(IP8="","",AVERAGE(IM4:IP8))</f>
        <v>0.88004230075169265</v>
      </c>
      <c r="IQ9" s="202">
        <f>IF(IQ8="","",AVERAGE(IM4:IQ8))</f>
        <v>0.87601362455197118</v>
      </c>
      <c r="IR9" s="202">
        <f>IF(IR8="","",AVERAGE(IM4:IR8))</f>
        <v>0.87346631135503783</v>
      </c>
      <c r="IS9" s="202">
        <f>IF(IS8="","",AVERAGE(IM4:IS8))</f>
        <v>0.87307932507680486</v>
      </c>
      <c r="IT9" s="202">
        <f>IF(IT8="","",AVERAGE($FN4:IT8))</f>
        <v>0.81777279809615921</v>
      </c>
      <c r="IU9" s="202">
        <f>IF(IU8="","",AVERAGE(IT4:IU8))</f>
        <v>0.87863726300705469</v>
      </c>
      <c r="IV9" s="202">
        <f>IF(IV8="","",AVERAGE(IT4:IV8))</f>
        <v>0.88211706808494994</v>
      </c>
      <c r="IW9" s="202">
        <f>IF(IW8="","",AVERAGE(IT4:IW8))</f>
        <v>0.88233342863572906</v>
      </c>
      <c r="IX9" s="202">
        <f>IF(IX8="","",AVERAGE(IT4:IX8))</f>
        <v>0.87779952068636091</v>
      </c>
      <c r="IY9" s="202">
        <f>IF(IY8="","",AVERAGE(IT4:IY8))</f>
        <v>0.87268313732842095</v>
      </c>
      <c r="IZ9" s="202">
        <f>IF(IZ8="","",AVERAGE(IT4:IZ8))</f>
        <v>0.86745685360072755</v>
      </c>
      <c r="JA9" s="202">
        <f>IF(JA8="","",AVERAGE($FN4:JA8))</f>
        <v>0.82086316766007761</v>
      </c>
      <c r="JB9" s="202">
        <f>IF(JB8="","",AVERAGE(JA4:JB8))</f>
        <v>0.80773116987179494</v>
      </c>
      <c r="JC9" s="202">
        <f>IF(JC8="","",AVERAGE(JA4:JC8))</f>
        <v>0.80682438073757534</v>
      </c>
      <c r="JD9" s="202">
        <f>IF(JD8="","",AVERAGE(JA4:JD8))</f>
        <v>0.80693686194207037</v>
      </c>
      <c r="JE9" s="202">
        <f>IF(JE8="","",AVERAGE(JA4:JE8))</f>
        <v>0.80915313879112882</v>
      </c>
      <c r="JF9" s="202">
        <f>IF(JF8="","",AVERAGE(JA4:JF8))</f>
        <v>0.81224052718190787</v>
      </c>
      <c r="JG9" s="202">
        <f>IF(JG8="","",AVERAGE(JA4:JG8))</f>
        <v>0.81512925512835199</v>
      </c>
      <c r="JH9" s="202">
        <f>IF(JH8="","",AVERAGE($FN4:JH8))</f>
        <v>0.82072005406427762</v>
      </c>
      <c r="JI9" s="202">
        <f>IF(JI8="","",AVERAGE(JH4:JI8))</f>
        <v>0.84361948302469136</v>
      </c>
      <c r="JJ9" s="202">
        <f>IF(JJ8="","",AVERAGE(JH4:JJ8))</f>
        <v>0.84720248082678651</v>
      </c>
      <c r="JK9" s="202">
        <f>IF(JK8="","",AVERAGE(JH4:JK8))</f>
        <v>0.84967858163458254</v>
      </c>
      <c r="JL9" s="202">
        <f>IF(JL8="","",AVERAGE(JH4:JL8))</f>
        <v>0.85048470558544365</v>
      </c>
      <c r="JM9" s="202">
        <f>IF(JM8="","",AVERAGE(JH4:JM8))</f>
        <v>0.85037335033354877</v>
      </c>
      <c r="JN9" s="202">
        <f>IF(JN8="","",AVERAGE(JH4:JN8))</f>
        <v>0.85069128797413662</v>
      </c>
      <c r="JO9" s="202">
        <f>IF(JO8="","",AVERAGE($FN4:JO8))</f>
        <v>0.82285305320230628</v>
      </c>
      <c r="JP9" s="202">
        <f>IF(JP8="","",AVERAGE(JO4:JP8))</f>
        <v>0.85756998946698038</v>
      </c>
      <c r="JQ9" s="202">
        <f>IF(JQ8="","",AVERAGE(JO4:JQ8))</f>
        <v>0.85788611260335934</v>
      </c>
      <c r="JR9" s="202">
        <f>IF(JR8="","",AVERAGE(JO4:JR8))</f>
        <v>0.85887596562535895</v>
      </c>
      <c r="JS9" s="202">
        <f>IF(JS8="","",AVERAGE(JO4:JS8))</f>
        <v>0.86301327250028725</v>
      </c>
      <c r="JT9" s="202">
        <f>IF(JT8="","",AVERAGE(JO4:JT8))</f>
        <v>0.86665515763912826</v>
      </c>
      <c r="JU9" s="202">
        <f>IF(JU8="","",AVERAGE(JO4:JU8))</f>
        <v>0.84944516157427918</v>
      </c>
      <c r="JV9" s="202">
        <f>IF(JV8="","",AVERAGE($FN4:JV8))</f>
        <v>0.82393510827711036</v>
      </c>
      <c r="JW9" s="202">
        <f>IF(JW8="","",AVERAGE(JV4:JW8))</f>
        <v>0.81110885416666656</v>
      </c>
      <c r="JX9" s="202">
        <f>IF(JX8="","",AVERAGE(JV4:JX8))</f>
        <v>0.82478154578189278</v>
      </c>
      <c r="JY9" s="202">
        <f>IF(JY8="","",AVERAGE(JV4:JY8))</f>
        <v>0.83621454888668401</v>
      </c>
      <c r="JZ9" s="202">
        <f>IF(JZ8="","",AVERAGE(JV4:JZ8))</f>
        <v>0.84631151179453268</v>
      </c>
      <c r="KA9" s="202">
        <f>IF(KA8="","",AVERAGE(JV4:KA8))</f>
        <v>0.85452369638570458</v>
      </c>
      <c r="KB9" s="202">
        <f>IF(KB8="","",AVERAGE(JV4:KB8))</f>
        <v>0.85902404796023357</v>
      </c>
      <c r="KC9" s="202">
        <f>IF(KC8="","",AVERAGE($FN4:KC8))</f>
        <v>0.82669840923744209</v>
      </c>
      <c r="KD9" s="202">
        <f>IF(KD8="","",AVERAGE(KC4:KD8))</f>
        <v>0.88328036440796853</v>
      </c>
      <c r="KE9" s="202">
        <f>IF(KE8="","",AVERAGE(KC4:KE8))</f>
        <v>0.88783464227387832</v>
      </c>
      <c r="KF9" s="202">
        <f>IF(KF8="","",AVERAGE(KC4:KF8))</f>
        <v>0.88838065267101718</v>
      </c>
      <c r="KG9" s="202">
        <f>IF(KG8="","",AVERAGE(KC4:KG8))</f>
        <v>0.88950800979113476</v>
      </c>
      <c r="KH9" s="202">
        <f>IF(KH8="","",AVERAGE(KC4:KH8))</f>
        <v>0.89136356622255053</v>
      </c>
      <c r="KI9" s="202">
        <f>IF(KI8="","",AVERAGE(KC4:KI8))</f>
        <v>0.89352391032583378</v>
      </c>
      <c r="KJ9" s="202">
        <f>IF(KJ8="","",AVERAGE($FN4:KJ8))</f>
        <v>0.83064529198181414</v>
      </c>
      <c r="KK9" s="202">
        <f>IF(KK8="","",AVERAGE(KJ4:KK8))</f>
        <v>0.9061106407028372</v>
      </c>
      <c r="KL9" s="202">
        <f>IF(KL8="","",AVERAGE(KJ4:KL8))</f>
        <v>0.90591145336979262</v>
      </c>
      <c r="KM9" s="202">
        <f>IF(KM8="","",AVERAGE(KJ4:KM8))</f>
        <v>0.90634146590917875</v>
      </c>
      <c r="KN9" s="202">
        <f>IF(KN8="","",AVERAGE(KJ4:KN8))</f>
        <v>0.90743918703710724</v>
      </c>
      <c r="KO9" s="202">
        <f>IF(KO8="","",AVERAGE(KJ4:KO8))</f>
        <v>0.90880991364740149</v>
      </c>
      <c r="KP9" s="202">
        <f>IF(KP8="","",AVERAGE(KJ4:KP8))</f>
        <v>0.91029100678154684</v>
      </c>
      <c r="KQ9" s="202">
        <f>IF(KQ8="","",AVERAGE($FN4:KQ8))</f>
        <v>0.83488595816092992</v>
      </c>
      <c r="KR9" s="202">
        <f>IF(KR8="","",AVERAGE(KQ4:KR8))</f>
        <v>0.92390256944444449</v>
      </c>
      <c r="KS9" s="202">
        <f>IF(KS8="","",AVERAGE(KQ4:KS8))</f>
        <v>0.92532099165523551</v>
      </c>
      <c r="KT9" s="202">
        <f>IF(KT8="","",AVERAGE(KQ4:KT8))</f>
        <v>0.92667165065280233</v>
      </c>
      <c r="KU9" s="202">
        <f>IF(KU8="","",AVERAGE(KQ4:KU8))</f>
        <v>0.92795981413654571</v>
      </c>
      <c r="KV9" s="202">
        <f>IF(KV8="","",AVERAGE(KQ4:KV8))</f>
        <v>0.92919018719197743</v>
      </c>
      <c r="KW9" s="202">
        <f>IF(KW8="","",AVERAGE(KQ4:KW8))</f>
        <v>0.93036698798056172</v>
      </c>
      <c r="KX9" s="202" t="str">
        <f>IF(KX8="","",AVERAGE($FN4:KX8))</f>
        <v/>
      </c>
      <c r="KY9" s="202" t="str">
        <f>IF(KY8="","",AVERAGE(KX4:KY8))</f>
        <v/>
      </c>
      <c r="KZ9" s="202" t="str">
        <f>IF(KZ8="","",AVERAGE(KX4:KZ8))</f>
        <v/>
      </c>
      <c r="LA9" s="202" t="str">
        <f>IF(LA8="","",AVERAGE(KX4:LA8))</f>
        <v/>
      </c>
      <c r="LB9" s="202" t="str">
        <f>IF(LB8="","",AVERAGE(KX4:LB8))</f>
        <v/>
      </c>
      <c r="LC9" s="202" t="str">
        <f>IF(LC8="","",AVERAGE(KX4:LC8))</f>
        <v/>
      </c>
      <c r="LD9" s="202" t="str">
        <f>IF(LD8="","",AVERAGE(KX4:LD8))</f>
        <v/>
      </c>
      <c r="LE9" s="202" t="str">
        <f>IF(LE8="","",AVERAGE($FN4:LE8))</f>
        <v/>
      </c>
      <c r="LF9" s="202" t="str">
        <f>IF(LF8="","",AVERAGE(LE4:LF8))</f>
        <v/>
      </c>
      <c r="LG9" s="202" t="str">
        <f>IF(LG8="","",AVERAGE(LE4:LG8))</f>
        <v/>
      </c>
      <c r="LH9" s="202" t="str">
        <f>IF(LH8="","",AVERAGE(LE4:LH8))</f>
        <v/>
      </c>
      <c r="LI9" s="202" t="str">
        <f>IF(LI8="","",AVERAGE(LE4:LI8))</f>
        <v/>
      </c>
      <c r="LJ9" s="202" t="str">
        <f>IF(LJ8="","",AVERAGE(LE4:LJ8))</f>
        <v/>
      </c>
      <c r="LK9" s="202" t="str">
        <f>IF(LK8="","",AVERAGE(LE4:LK8))</f>
        <v/>
      </c>
      <c r="LL9" s="202" t="str">
        <f>IF(LL8="","",AVERAGE($FN4:LL8))</f>
        <v/>
      </c>
      <c r="LM9" s="202" t="str">
        <f>IF(LM8="","",AVERAGE(LL4:LM8))</f>
        <v/>
      </c>
      <c r="LN9" s="202" t="str">
        <f>IF(LN8="","",AVERAGE(LL4:LN8))</f>
        <v/>
      </c>
      <c r="LO9" s="202" t="str">
        <f>IF(LO8="","",AVERAGE(LL4:LO8))</f>
        <v/>
      </c>
      <c r="LP9" s="202" t="str">
        <f>IF(LP8="","",AVERAGE(LL4:LP8))</f>
        <v/>
      </c>
      <c r="LQ9" s="202" t="str">
        <f>IF(LQ8="","",AVERAGE(LL4:LQ8))</f>
        <v/>
      </c>
      <c r="LR9" s="202" t="str">
        <f>IF(LR8="","",AVERAGE(LL4:LR8))</f>
        <v/>
      </c>
      <c r="LS9" s="202" t="str">
        <f>IF(LS8="","",AVERAGE($FN4:LS8))</f>
        <v/>
      </c>
      <c r="LT9" s="202" t="str">
        <f>IF(LT8="","",AVERAGE(LS4:LT8))</f>
        <v/>
      </c>
      <c r="LU9" s="202" t="str">
        <f>IF(LU8="","",AVERAGE(LS4:LU8))</f>
        <v/>
      </c>
      <c r="LV9" s="202" t="str">
        <f>IF(LV8="","",AVERAGE(LS4:LV8))</f>
        <v/>
      </c>
      <c r="LW9" s="202" t="str">
        <f>IF(LW8="","",AVERAGE(LS4:LW8))</f>
        <v/>
      </c>
      <c r="LX9" s="202" t="str">
        <f>IF(LX8="","",AVERAGE(LS4:LX8))</f>
        <v/>
      </c>
      <c r="LY9" s="202" t="str">
        <f>IF(LY8="","",AVERAGE(LS4:LY8))</f>
        <v/>
      </c>
      <c r="LZ9" s="202" t="str">
        <f>IF(LZ8="","",AVERAGE($FN4:LZ8))</f>
        <v/>
      </c>
      <c r="MA9" s="202" t="str">
        <f>IF(MA8="","",AVERAGE(LZ4:MA8))</f>
        <v/>
      </c>
      <c r="MB9" s="202" t="str">
        <f>IF(MB8="","",AVERAGE(LZ4:MB8))</f>
        <v/>
      </c>
      <c r="MC9" s="202" t="str">
        <f>IF(MC8="","",AVERAGE(LZ4:MC8))</f>
        <v/>
      </c>
      <c r="MD9" s="202" t="str">
        <f>IF(MD8="","",AVERAGE(LZ4:MD8))</f>
        <v/>
      </c>
      <c r="ME9" s="202" t="str">
        <f>IF(ME8="","",AVERAGE(LZ4:ME8))</f>
        <v/>
      </c>
      <c r="MF9" s="202" t="str">
        <f>IF(MF8="","",AVERAGE(LZ4:MF8))</f>
        <v/>
      </c>
      <c r="MG9" s="202" t="str">
        <f>IF(MG8="","",AVERAGE($FN4:MG8))</f>
        <v/>
      </c>
      <c r="MH9" s="202" t="str">
        <f>IF(MH8="","",AVERAGE(MG4:MH8))</f>
        <v/>
      </c>
      <c r="MI9" s="202" t="str">
        <f>IF(MI8="","",AVERAGE(MG4:MI8))</f>
        <v/>
      </c>
      <c r="MJ9" s="202" t="str">
        <f>IF(MJ8="","",AVERAGE(MG4:MJ8))</f>
        <v/>
      </c>
      <c r="MK9" s="202" t="str">
        <f>IF(MK8="","",AVERAGE(MG4:MK8))</f>
        <v/>
      </c>
      <c r="ML9" s="202" t="str">
        <f>IF(ML8="","",AVERAGE(MG4:ML8))</f>
        <v/>
      </c>
      <c r="MM9" s="202" t="str">
        <f>IF(MM8="","",AVERAGE(MG4:MM8))</f>
        <v/>
      </c>
      <c r="MN9" s="202" t="str">
        <f>IF(MN8="","",AVERAGE($FN4:MN8))</f>
        <v/>
      </c>
      <c r="MO9" s="202" t="str">
        <f>IF(MO8="","",AVERAGE(MN4:MO8))</f>
        <v/>
      </c>
      <c r="MP9" s="202" t="str">
        <f>IF(MP8="","",AVERAGE(MN4:MP8))</f>
        <v/>
      </c>
      <c r="MQ9" s="202" t="str">
        <f>IF(MQ8="","",AVERAGE(MN4:MQ8))</f>
        <v/>
      </c>
      <c r="MR9" s="202" t="str">
        <f>IF(MR8="","",AVERAGE(MN4:MR8))</f>
        <v/>
      </c>
      <c r="MS9" s="202" t="str">
        <f>IF(MS8="","",AVERAGE(MN4:MS8))</f>
        <v/>
      </c>
      <c r="MT9" s="202" t="str">
        <f>IF(MT8="","",AVERAGE(MN4:MT8))</f>
        <v/>
      </c>
      <c r="MU9" s="202" t="str">
        <f>IF(MU8="","",AVERAGE($FN4:MU8))</f>
        <v/>
      </c>
      <c r="MV9" s="202" t="str">
        <f>IF(MV8="","",AVERAGE(MU4:MV8))</f>
        <v/>
      </c>
      <c r="MW9" s="202" t="str">
        <f>IF(MW8="","",AVERAGE(MU4:MW8))</f>
        <v/>
      </c>
      <c r="MX9" s="202" t="str">
        <f>IF(MX8="","",AVERAGE(MU4:MX8))</f>
        <v/>
      </c>
      <c r="MY9" s="202" t="str">
        <f>IF(MY8="","",AVERAGE(MU4:MY8))</f>
        <v/>
      </c>
      <c r="MZ9" s="202" t="str">
        <f>IF(MZ8="","",AVERAGE(MU4:MZ8))</f>
        <v/>
      </c>
      <c r="NA9" s="202" t="str">
        <f>IF(NA8="","",AVERAGE(MU4:NA8))</f>
        <v/>
      </c>
      <c r="NB9" s="202" t="str">
        <f>IF(NB8="","",AVERAGE($FN4:NB8))</f>
        <v/>
      </c>
      <c r="NC9" s="202" t="str">
        <f>IF(NC8="","",AVERAGE(NB4:NC8))</f>
        <v/>
      </c>
      <c r="ND9" s="202" t="str">
        <f>IF(ND8="","",AVERAGE(NB4:ND8))</f>
        <v/>
      </c>
      <c r="NE9" s="202" t="str">
        <f>IF(NE8="","",AVERAGE(NB4:NE8))</f>
        <v/>
      </c>
      <c r="NF9" s="202" t="str">
        <f>IF(NF8="","",AVERAGE(NB4:NF8))</f>
        <v/>
      </c>
      <c r="NG9" s="202" t="str">
        <f>IF(NG8="","",AVERAGE(NB4:NG8))</f>
        <v/>
      </c>
      <c r="NH9" s="202" t="str">
        <f>IF(NH8="","",AVERAGE(NB4:NH8))</f>
        <v/>
      </c>
      <c r="NI9" s="202" t="str">
        <f>IF(NI8="","",AVERAGE($FN4:NI8))</f>
        <v/>
      </c>
      <c r="NJ9" s="202" t="str">
        <f>IF(NJ8="","",AVERAGE(NI4:NJ8))</f>
        <v/>
      </c>
      <c r="NK9" s="202" t="str">
        <f>IF(NK8="","",AVERAGE(NI4:NK8))</f>
        <v/>
      </c>
      <c r="NL9" s="202" t="str">
        <f>IF(NL8="","",AVERAGE(NI4:NL8))</f>
        <v/>
      </c>
      <c r="NM9" s="202" t="str">
        <f>IF(NM8="","",AVERAGE(NI4:NM8))</f>
        <v/>
      </c>
      <c r="NN9" s="202" t="str">
        <f>IF(NN8="","",AVERAGE(NI4:NN8))</f>
        <v/>
      </c>
      <c r="NO9" s="202" t="str">
        <f>IF(NO8="","",AVERAGE(NI4:NO8))</f>
        <v/>
      </c>
      <c r="NP9" s="202" t="str">
        <f>IF(NP8="","",AVERAGE($FN4:NP8))</f>
        <v/>
      </c>
      <c r="NQ9" s="202" t="str">
        <f>IF(NQ8="","",AVERAGE(NP4:NQ8))</f>
        <v/>
      </c>
      <c r="NR9" s="202" t="str">
        <f>IF(NR8="","",AVERAGE(NP4:NR8))</f>
        <v/>
      </c>
      <c r="NS9" s="202" t="str">
        <f>IF(NS8="","",AVERAGE(NP4:NS8))</f>
        <v/>
      </c>
      <c r="NT9" s="202" t="str">
        <f>IF(NT8="","",AVERAGE(NP4:NT8))</f>
        <v/>
      </c>
      <c r="NU9" s="202" t="str">
        <f>IF(NU8="","",AVERAGE(NP4:NU8))</f>
        <v/>
      </c>
      <c r="NV9" s="202" t="str">
        <f>IF(NV8="","",AVERAGE(NP4:NV8))</f>
        <v/>
      </c>
      <c r="NW9" s="202" t="str">
        <f>IF(NW8="","",AVERAGE($FN4:NW8))</f>
        <v/>
      </c>
      <c r="NX9" s="202" t="str">
        <f>IF(NX8="","",AVERAGE(NW4:NX8))</f>
        <v/>
      </c>
      <c r="NY9" s="202" t="str">
        <f>IF(NY8="","",AVERAGE(NW4:NY8))</f>
        <v/>
      </c>
      <c r="NZ9" s="202" t="str">
        <f>IF(NZ8="","",AVERAGE(NW4:NZ8))</f>
        <v/>
      </c>
      <c r="OA9" s="202" t="str">
        <f>IF(OA8="","",AVERAGE(NW4:OA8))</f>
        <v/>
      </c>
      <c r="OB9" s="202" t="str">
        <f>IF(OB8="","",AVERAGE(NW4:OB8))</f>
        <v/>
      </c>
      <c r="OC9" s="202" t="str">
        <f>IF(OC8="","",AVERAGE(NW4:OC8))</f>
        <v/>
      </c>
      <c r="OD9" s="202" t="str">
        <f>IF(OD8="","",AVERAGE($FN4:OD8))</f>
        <v/>
      </c>
      <c r="OE9" s="202" t="str">
        <f>IF(OE8="","",AVERAGE(OD4:OE8))</f>
        <v/>
      </c>
      <c r="OF9" s="202" t="str">
        <f>IF(OF8="","",AVERAGE(OD4:OF8))</f>
        <v/>
      </c>
      <c r="OG9" s="202" t="str">
        <f>IF(OG8="","",AVERAGE(OD4:OG8))</f>
        <v/>
      </c>
      <c r="OH9" s="202" t="str">
        <f>IF(OH8="","",AVERAGE(OD4:OH8))</f>
        <v/>
      </c>
      <c r="OI9" s="202" t="str">
        <f>IF(OI8="","",AVERAGE(OD4:OI8))</f>
        <v/>
      </c>
      <c r="OJ9" s="202" t="str">
        <f>IF(OJ8="","",AVERAGE(OD4:OJ8))</f>
        <v/>
      </c>
      <c r="OK9" s="202" t="str">
        <f>IF(OK8="","",AVERAGE($FN4:OK8))</f>
        <v/>
      </c>
      <c r="OL9" s="202" t="str">
        <f>IF(OL8="","",AVERAGE(OK4:OL8))</f>
        <v/>
      </c>
      <c r="OM9" s="202" t="str">
        <f>IF(OM8="","",AVERAGE(OK4:OM8))</f>
        <v/>
      </c>
      <c r="ON9" s="202" t="str">
        <f>IF(ON8="","",AVERAGE(OK4:ON8))</f>
        <v/>
      </c>
      <c r="OO9" s="202" t="str">
        <f>IF(OO8="","",AVERAGE(OK4:OO8))</f>
        <v/>
      </c>
      <c r="OP9" s="202" t="str">
        <f>IF(OP8="","",AVERAGE(OK4:OP8))</f>
        <v/>
      </c>
      <c r="OQ9" s="202" t="str">
        <f>IF(OQ8="","",AVERAGE(OK4:OQ8))</f>
        <v/>
      </c>
      <c r="OR9" s="202" t="str">
        <f>IF(OR8="","",AVERAGE($FN4:OR8))</f>
        <v/>
      </c>
      <c r="OS9" s="202" t="str">
        <f>IF(OS8="","",AVERAGE(OR4:OS8))</f>
        <v/>
      </c>
      <c r="OT9" s="202" t="str">
        <f>IF(OT8="","",AVERAGE(OR4:OT8))</f>
        <v/>
      </c>
      <c r="OU9" s="202" t="str">
        <f>IF(OU8="","",AVERAGE(OR4:OU8))</f>
        <v/>
      </c>
      <c r="OV9" s="202" t="str">
        <f>IF(OV8="","",AVERAGE(OR4:OV8))</f>
        <v/>
      </c>
      <c r="OW9" s="202" t="str">
        <f>IF(OW8="","",AVERAGE(OR4:OW8))</f>
        <v/>
      </c>
      <c r="OX9" s="202" t="str">
        <f>IF(OX8="","",AVERAGE(OR4:OX8))</f>
        <v/>
      </c>
      <c r="OY9" s="202" t="str">
        <f>IF(OY8="","",AVERAGE($OY4:OY8))</f>
        <v/>
      </c>
      <c r="OZ9" s="203" t="str">
        <f>IF(OZ8="","",AVERAGE($OY4:OZ8))</f>
        <v/>
      </c>
    </row>
    <row r="10" spans="1:416" s="168" customFormat="1" ht="15" customHeight="1" x14ac:dyDescent="0.2">
      <c r="A10" s="138" t="b">
        <f t="shared" si="376"/>
        <v>1</v>
      </c>
      <c r="B10" s="139">
        <v>7</v>
      </c>
      <c r="C10" s="139" t="str">
        <f t="shared" si="377"/>
        <v>Mechanical Availability</v>
      </c>
      <c r="D10" s="159" t="str">
        <f t="shared" si="378"/>
        <v>777E Expro</v>
      </c>
      <c r="E10" s="190" t="s">
        <v>30</v>
      </c>
      <c r="F10" s="147">
        <f>IF('All Fleet'!B49="","",'All Fleet'!C49)</f>
        <v>1</v>
      </c>
      <c r="G10" s="147">
        <f>IF('All Fleet'!C49="","",'All Fleet'!D49)</f>
        <v>1</v>
      </c>
      <c r="H10" s="147">
        <f>IF('All Fleet'!D49="","",'All Fleet'!E49)</f>
        <v>0.99333333333333329</v>
      </c>
      <c r="I10" s="147">
        <f>IF('All Fleet'!E49="","",'All Fleet'!F49)</f>
        <v>0.995</v>
      </c>
      <c r="J10" s="147">
        <f>IF('All Fleet'!F49="","",'All Fleet'!G49)</f>
        <v>0.996</v>
      </c>
      <c r="K10" s="147">
        <f>IF('All Fleet'!G49="","",'All Fleet'!H49)</f>
        <v>0.98663888888888884</v>
      </c>
      <c r="L10" s="147">
        <f>IF('All Fleet'!H49="","",'All Fleet'!I49)</f>
        <v>0.98679761904761909</v>
      </c>
      <c r="M10" s="147">
        <f>IF('All Fleet'!I49="","",'All Fleet'!J49)</f>
        <v>0.96084375</v>
      </c>
      <c r="N10" s="147">
        <f>IF('All Fleet'!J49="","",'All Fleet'!K49)</f>
        <v>0.96403703703703703</v>
      </c>
      <c r="O10" s="147">
        <f>IF('All Fleet'!K49="","",'All Fleet'!L49)</f>
        <v>0.96077500000000005</v>
      </c>
      <c r="P10" s="147">
        <f>IF('All Fleet'!L49="","",'All Fleet'!M49)</f>
        <v>0.93678787878787873</v>
      </c>
      <c r="Q10" s="147">
        <f>IF('All Fleet'!M49="","",'All Fleet'!N49)</f>
        <v>0.93608333333333338</v>
      </c>
      <c r="R10" s="147">
        <f>IF('All Fleet'!N49="","",'All Fleet'!O49)</f>
        <v>0.913551282051282</v>
      </c>
      <c r="S10" s="147">
        <f>IF('All Fleet'!O49="","",'All Fleet'!P49)</f>
        <v>0.91972619047619042</v>
      </c>
      <c r="T10" s="147">
        <f>IF('All Fleet'!P49="","",'All Fleet'!Q49)</f>
        <v>0.92149444444444439</v>
      </c>
      <c r="U10" s="147">
        <f>IF('All Fleet'!Q49="","",'All Fleet'!R49)</f>
        <v>0.91071875000000002</v>
      </c>
      <c r="V10" s="147">
        <f>IF('All Fleet'!R49="","",'All Fleet'!S49)</f>
        <v>0.91547058823529415</v>
      </c>
      <c r="W10" s="147">
        <f>IF('All Fleet'!S49="","",'All Fleet'!T49)</f>
        <v>0.91765277777777776</v>
      </c>
      <c r="X10" s="147">
        <f>IF('All Fleet'!T49="","",'All Fleet'!U49)</f>
        <v>0.9205526315789474</v>
      </c>
      <c r="Y10" s="147">
        <f>IF('All Fleet'!U49="","",'All Fleet'!V49)</f>
        <v>0.91878749999999998</v>
      </c>
      <c r="Z10" s="147">
        <f>IF('All Fleet'!V49="","",'All Fleet'!W49)</f>
        <v>0.92256746031746029</v>
      </c>
      <c r="AA10" s="147">
        <f>IF('All Fleet'!W49="","",'All Fleet'!X49)</f>
        <v>0.91625378787878786</v>
      </c>
      <c r="AB10" s="147">
        <f>IF('All Fleet'!X49="","",'All Fleet'!Y49)</f>
        <v>0.89976811594202899</v>
      </c>
      <c r="AC10" s="147">
        <f>IF('All Fleet'!Y49="","",'All Fleet'!Z49)</f>
        <v>0.9006805555555556</v>
      </c>
      <c r="AD10" s="147">
        <f>IF('All Fleet'!Z49="","",'All Fleet'!AA49)</f>
        <v>0.90347</v>
      </c>
      <c r="AE10" s="147">
        <f>IF('All Fleet'!AA49="","",'All Fleet'!AB49)</f>
        <v>0.90718269230769233</v>
      </c>
      <c r="AF10" s="147">
        <f>IF('All Fleet'!AB49="","",'All Fleet'!AC49)</f>
        <v>0.91026234567901232</v>
      </c>
      <c r="AG10" s="147">
        <f>IF('All Fleet'!AC49="","",'All Fleet'!AD49)</f>
        <v>0.90081845238095237</v>
      </c>
      <c r="AH10" s="147">
        <f>IF('All Fleet'!AD49="","",'All Fleet'!AE49)</f>
        <v>0.9042385057471265</v>
      </c>
      <c r="AI10" s="147">
        <f>IF('All Fleet'!AE49="","",'All Fleet'!AF49)</f>
        <v>0.9032</v>
      </c>
      <c r="AJ10" s="147">
        <f>IF('All Fleet'!AF49="","",'All Fleet'!AG49)</f>
        <v>0.90471505376344086</v>
      </c>
      <c r="AK10" s="147">
        <f>IF('All Fleet'!AG49="","",'All Fleet'!AH49)</f>
        <v>0.98358333333333337</v>
      </c>
      <c r="AL10" s="147">
        <f>IF('All Fleet'!AH49="","",'All Fleet'!AI49)</f>
        <v>0.89683333333333337</v>
      </c>
      <c r="AM10" s="147">
        <f>IF('All Fleet'!AI49="","",'All Fleet'!AJ49)</f>
        <v>0.91449999999999998</v>
      </c>
      <c r="AN10" s="147">
        <f>IF('All Fleet'!AJ49="","",'All Fleet'!AK49)</f>
        <v>0.91947916666666663</v>
      </c>
      <c r="AO10" s="147">
        <f>IF('All Fleet'!AK49="","",'All Fleet'!AL49)</f>
        <v>0.92466666666666664</v>
      </c>
      <c r="AP10" s="147">
        <f>IF('All Fleet'!AL49="","",'All Fleet'!AM49)</f>
        <v>0.90672222222222221</v>
      </c>
      <c r="AQ10" s="147">
        <f>IF('All Fleet'!AM49="","",'All Fleet'!AN49)</f>
        <v>0.91414285714285715</v>
      </c>
      <c r="AR10" s="147">
        <f>IF('All Fleet'!AN49="","",'All Fleet'!AO49)</f>
        <v>0.91008333333333336</v>
      </c>
      <c r="AS10" s="147">
        <f>IF('All Fleet'!AO49="","",'All Fleet'!AP49)</f>
        <v>0.90369444444444447</v>
      </c>
      <c r="AT10" s="147">
        <f>IF('All Fleet'!AP49="","",'All Fleet'!AQ49)</f>
        <v>0.89798333333333336</v>
      </c>
      <c r="AU10" s="147">
        <f>IF('All Fleet'!AQ49="","",'All Fleet'!AR49)</f>
        <v>0.89467424242424243</v>
      </c>
      <c r="AV10" s="147">
        <f>IF('All Fleet'!AR49="","",'All Fleet'!AS49)</f>
        <v>0.89015277777777779</v>
      </c>
      <c r="AW10" s="147">
        <f>IF('All Fleet'!AS49="","",'All Fleet'!AT49)</f>
        <v>0.89680128205128207</v>
      </c>
      <c r="AX10" s="147">
        <f>IF('All Fleet'!AT49="","",'All Fleet'!AU49)</f>
        <v>0.8920178571428572</v>
      </c>
      <c r="AY10" s="147">
        <f>IF('All Fleet'!AU49="","",'All Fleet'!AV49)</f>
        <v>0.88337222222222223</v>
      </c>
      <c r="AZ10" s="147">
        <f>IF('All Fleet'!AV49="","",'All Fleet'!AW49)</f>
        <v>0.88355208333333335</v>
      </c>
      <c r="BA10" s="147">
        <f>IF('All Fleet'!AW49="","",'All Fleet'!AX49)</f>
        <v>0.88883823529411765</v>
      </c>
      <c r="BB10" s="147">
        <f>IF('All Fleet'!AX49="","",'All Fleet'!AY49)</f>
        <v>0.87897222222222227</v>
      </c>
      <c r="BC10" s="147">
        <f>IF('All Fleet'!AY49="","",'All Fleet'!AZ49)</f>
        <v>0.87486403508771926</v>
      </c>
      <c r="BD10" s="147">
        <f>IF('All Fleet'!AZ49="","",'All Fleet'!BA49)</f>
        <v>0.87001250000000008</v>
      </c>
      <c r="BE10" s="147">
        <f>IF('All Fleet'!BA49="","",'All Fleet'!BB49)</f>
        <v>0.87509920634920635</v>
      </c>
      <c r="BF10" s="147">
        <f>IF('All Fleet'!BB49="","",'All Fleet'!BC49)</f>
        <v>0.87635984848484849</v>
      </c>
      <c r="BG10" s="147">
        <f>IF('All Fleet'!BC49="","",'All Fleet'!BD49)</f>
        <v>0.88055072463768114</v>
      </c>
      <c r="BH10" s="147">
        <f>IF('All Fleet'!BD49="","",'All Fleet'!BE49)</f>
        <v>0.88389236111111114</v>
      </c>
      <c r="BI10" s="147">
        <f>IF('All Fleet'!BE49="","",'All Fleet'!BF49)</f>
        <v>0.88722999999999996</v>
      </c>
      <c r="BJ10" s="147">
        <f>IF('All Fleet'!BF49="","",'All Fleet'!BG49)</f>
        <v>0.89001923076923073</v>
      </c>
      <c r="BK10" s="147">
        <f>IF('All Fleet'!BG49="","",'All Fleet'!BH49)</f>
        <v>0.89291975308641969</v>
      </c>
      <c r="BL10" s="147">
        <f>IF('All Fleet'!BH49="","",'All Fleet'!BI49)</f>
        <v>0.89414583333333331</v>
      </c>
      <c r="BM10" s="147">
        <f>IF('All Fleet'!BI49="","",'All Fleet'!BJ49)</f>
        <v>0.74058333333333337</v>
      </c>
      <c r="BN10" s="147">
        <f>IF('All Fleet'!BJ49="","",'All Fleet'!BK49)</f>
        <v>0.75108333333333333</v>
      </c>
      <c r="BO10" s="147">
        <f>IF('All Fleet'!BK49="","",'All Fleet'!BL49)</f>
        <v>0.71447222222222218</v>
      </c>
      <c r="BP10" s="147">
        <f>IF('All Fleet'!BL49="","",'All Fleet'!BM49)</f>
        <v>0.78585416666666674</v>
      </c>
      <c r="BQ10" s="147">
        <f>IF('All Fleet'!BM49="","",'All Fleet'!BN49)</f>
        <v>0.78751666666666664</v>
      </c>
      <c r="BR10" s="147">
        <f>IF('All Fleet'!BN49="","",'All Fleet'!BO49)</f>
        <v>0.78888888888888886</v>
      </c>
      <c r="BS10" s="147">
        <f>IF('All Fleet'!BO49="","",'All Fleet'!BP49)</f>
        <v>0.81423809523809521</v>
      </c>
      <c r="BT10" s="147">
        <f>IF('All Fleet'!BP49="","",'All Fleet'!BQ49)</f>
        <v>0.83121875000000001</v>
      </c>
      <c r="BU10" s="147">
        <f>IF('All Fleet'!BQ49="","",'All Fleet'!BR49)</f>
        <v>0.83253703703703708</v>
      </c>
      <c r="BV10" s="147">
        <f>IF('All Fleet'!BR49="","",'All Fleet'!BS49)</f>
        <v>0.8302166666666666</v>
      </c>
      <c r="BW10" s="147">
        <f>IF('All Fleet'!BS49="","",'All Fleet'!BT49)</f>
        <v>0.84097727272727274</v>
      </c>
      <c r="BX10" s="147">
        <f>IF('All Fleet'!BT49="","",'All Fleet'!BU49)</f>
        <v>0.85021527777777783</v>
      </c>
      <c r="BY10" s="147">
        <f>IF('All Fleet'!BU49="","",'All Fleet'!BV49)</f>
        <v>0.85019230769230769</v>
      </c>
      <c r="BZ10" s="147">
        <f>IF('All Fleet'!BV49="","",'All Fleet'!BW49)</f>
        <v>0.85363095238095243</v>
      </c>
      <c r="CA10" s="147">
        <f>IF('All Fleet'!BW49="","",'All Fleet'!BX49)</f>
        <v>0.86198888888888892</v>
      </c>
      <c r="CB10" s="147">
        <f>IF('All Fleet'!BX49="","",'All Fleet'!BY49)</f>
        <v>0.86790624999999999</v>
      </c>
      <c r="CC10" s="147">
        <f>IF('All Fleet'!BY49="","",'All Fleet'!BZ49)</f>
        <v>0.87394607843137262</v>
      </c>
      <c r="CD10" s="147">
        <f>IF('All Fleet'!BZ49="","",'All Fleet'!CA49)</f>
        <v>0.87498611111111113</v>
      </c>
      <c r="CE10" s="147">
        <f>IF('All Fleet'!CA49="","",'All Fleet'!CB49)</f>
        <v>0.85416666666666663</v>
      </c>
      <c r="CF10" s="147">
        <f>IF('All Fleet'!CB49="","",'All Fleet'!CC49)</f>
        <v>0.84079583333333341</v>
      </c>
      <c r="CG10" s="147">
        <f>IF('All Fleet'!CC49="","",'All Fleet'!CD49)</f>
        <v>0.84528571428571431</v>
      </c>
      <c r="CH10" s="147">
        <f>IF('All Fleet'!CD49="","",'All Fleet'!CE49)</f>
        <v>0.85231818181818175</v>
      </c>
      <c r="CI10" s="147">
        <f>IF('All Fleet'!CE49="","",'All Fleet'!CF49)</f>
        <v>0.85234057971014487</v>
      </c>
      <c r="CJ10" s="147">
        <f>IF('All Fleet'!CF49="","",'All Fleet'!CG49)</f>
        <v>0.85838194444444449</v>
      </c>
      <c r="CK10" s="147">
        <f>IF('All Fleet'!CG49="","",'All Fleet'!CH49)</f>
        <v>0.86241333333333337</v>
      </c>
      <c r="CL10" s="147">
        <f>IF('All Fleet'!CH49="","",'All Fleet'!CI49)</f>
        <v>0.86397115384615386</v>
      </c>
      <c r="CM10" s="147">
        <f>IF('All Fleet'!CI49="","",'All Fleet'!CJ49)</f>
        <v>0.86584259259259255</v>
      </c>
      <c r="CN10" s="147">
        <f>IF('All Fleet'!CJ49="","",'All Fleet'!CK49)</f>
        <v>0.87063392857142863</v>
      </c>
      <c r="CO10" s="147">
        <f>IF('All Fleet'!CK49="","",'All Fleet'!CL49)</f>
        <v>0.87449712643678157</v>
      </c>
      <c r="CP10" s="147">
        <f>IF('All Fleet'!CL49="","",'All Fleet'!CM49)</f>
        <v>0.87078888888888883</v>
      </c>
      <c r="CQ10" s="147">
        <f>IF('All Fleet'!CM49="","",'All Fleet'!CN49)</f>
        <v>0.87206720430107532</v>
      </c>
      <c r="CR10" s="147">
        <f>IF('All Fleet'!CN49="","",'All Fleet'!CO49)</f>
        <v>0.70866666666666667</v>
      </c>
      <c r="CS10" s="147">
        <f>IF('All Fleet'!CO49="","",'All Fleet'!CP49)</f>
        <v>0.80908333333333338</v>
      </c>
      <c r="CT10" s="147">
        <f>IF('All Fleet'!CP49="","",'All Fleet'!CQ49)</f>
        <v>0.82350000000000001</v>
      </c>
      <c r="CU10" s="147">
        <f>IF('All Fleet'!CQ49="","",'All Fleet'!CR49)</f>
        <v>0.79891666666666661</v>
      </c>
      <c r="CV10" s="147">
        <f>IF('All Fleet'!CR49="","",'All Fleet'!CS49)</f>
        <v>0.78716666666666668</v>
      </c>
      <c r="CW10" s="147">
        <f>IF('All Fleet'!CS49="","",'All Fleet'!CT49)</f>
        <v>0.7976388888888889</v>
      </c>
      <c r="CX10" s="147">
        <f>IF('All Fleet'!CT49="","",'All Fleet'!CU49)</f>
        <v>0.81408333333333338</v>
      </c>
      <c r="CY10" s="147">
        <f>IF('All Fleet'!CU49="","",'All Fleet'!CV49)</f>
        <v>0.83583333333333332</v>
      </c>
      <c r="CZ10" s="147">
        <f>IF('All Fleet'!CV49="","",'All Fleet'!CW49)</f>
        <v>0.8540740740740741</v>
      </c>
      <c r="DA10" s="147">
        <f>IF('All Fleet'!CW49="","",'All Fleet'!CX49)</f>
        <v>0.8686666666666667</v>
      </c>
      <c r="DB10" s="147">
        <f>IF('All Fleet'!CX49="","",'All Fleet'!CY49)</f>
        <v>0.86778030303030307</v>
      </c>
      <c r="DC10" s="147">
        <f>IF('All Fleet'!CY49="","",'All Fleet'!CZ49)</f>
        <v>0.87879861111111113</v>
      </c>
      <c r="DD10" s="147">
        <f>IF('All Fleet'!CZ49="","",'All Fleet'!DA49)</f>
        <v>0.87697435897435894</v>
      </c>
      <c r="DE10" s="147">
        <f>IF('All Fleet'!DA49="","",'All Fleet'!DB49)</f>
        <v>0.88315476190476194</v>
      </c>
      <c r="DF10" s="147">
        <f>IF('All Fleet'!DB49="","",'All Fleet'!DC49)</f>
        <v>0.89094444444444443</v>
      </c>
      <c r="DG10" s="147">
        <f>IF('All Fleet'!DC49="","",'All Fleet'!DD49)</f>
        <v>0.89056770833333332</v>
      </c>
      <c r="DH10" s="147">
        <f>IF('All Fleet'!DD49="","",'All Fleet'!DE49)</f>
        <v>0.89126960784313725</v>
      </c>
      <c r="DI10" s="147">
        <f>IF('All Fleet'!DE49="","",'All Fleet'!DF49)</f>
        <v>0.89638425925925924</v>
      </c>
      <c r="DJ10" s="147">
        <f>IF('All Fleet'!DF49="","",'All Fleet'!DG49)</f>
        <v>0.89514912280701753</v>
      </c>
      <c r="DK10" s="147">
        <f>IF('All Fleet'!DG49="","",'All Fleet'!DH49)</f>
        <v>0.88175000000000003</v>
      </c>
      <c r="DL10" s="147">
        <f>IF('All Fleet'!DH49="","",'All Fleet'!DI49)</f>
        <v>0.88665079365079369</v>
      </c>
      <c r="DM10" s="147">
        <f>IF('All Fleet'!DI49="","",'All Fleet'!DJ49)</f>
        <v>0.88943181818181816</v>
      </c>
      <c r="DN10" s="147">
        <f>IF('All Fleet'!DJ49="","",'All Fleet'!DK49)</f>
        <v>0.8929021739130435</v>
      </c>
      <c r="DO10" s="147">
        <f>IF('All Fleet'!DK49="","",'All Fleet'!DL49)</f>
        <v>0.89610763888888889</v>
      </c>
      <c r="DP10" s="147">
        <f>IF('All Fleet'!DL49="","",'All Fleet'!DM49)</f>
        <v>0.9002633333333333</v>
      </c>
      <c r="DQ10" s="147">
        <f>IF('All Fleet'!DM49="","",'All Fleet'!DN49)</f>
        <v>0.904099358974359</v>
      </c>
      <c r="DR10" s="147">
        <f>IF('All Fleet'!DN49="","",'All Fleet'!DO49)</f>
        <v>0.90495061728395065</v>
      </c>
      <c r="DS10" s="147">
        <f>IF('All Fleet'!DO49="","",'All Fleet'!DP49)</f>
        <v>0.90593452380952377</v>
      </c>
      <c r="DT10" s="147">
        <f>IF('All Fleet'!DP49="","",'All Fleet'!DQ49)</f>
        <v>0.90885344827586212</v>
      </c>
      <c r="DU10" s="147">
        <f>IF('All Fleet'!DQ49="","",'All Fleet'!DR49)</f>
        <v>0.90188611111111106</v>
      </c>
      <c r="DV10" s="147">
        <f>IF('All Fleet'!DR49="","",'All Fleet'!DS49)</f>
        <v>0.86349999999999993</v>
      </c>
      <c r="DW10" s="147">
        <f>IF('All Fleet'!DS49="","",'All Fleet'!DT49)</f>
        <v>0.91108333333333336</v>
      </c>
      <c r="DX10" s="147">
        <f>IF('All Fleet'!DT49="","",'All Fleet'!DU49)</f>
        <v>0.84086111111111106</v>
      </c>
      <c r="DY10" s="147">
        <f>IF('All Fleet'!DU49="","",'All Fleet'!DV49)</f>
        <v>0.86845833333333333</v>
      </c>
      <c r="DZ10" s="147">
        <f>IF('All Fleet'!DV49="","",'All Fleet'!DW49)</f>
        <v>0.89264999999999994</v>
      </c>
      <c r="EA10" s="147">
        <f>IF('All Fleet'!DW49="","",'All Fleet'!DX49)</f>
        <v>0.89102777777777775</v>
      </c>
      <c r="EB10" s="147">
        <f>IF('All Fleet'!DX49="","",'All Fleet'!DY49)</f>
        <v>0.90113095238095231</v>
      </c>
      <c r="EC10" s="147">
        <f>IF('All Fleet'!DY49="","",'All Fleet'!DZ49)</f>
        <v>0.89283333333333337</v>
      </c>
      <c r="ED10" s="147">
        <f>IF('All Fleet'!DZ49="","",'All Fleet'!EA49)</f>
        <v>0.90474074074074073</v>
      </c>
      <c r="EE10" s="147">
        <f>IF('All Fleet'!EA49="","",'All Fleet'!EB49)</f>
        <v>0.90760833333333335</v>
      </c>
      <c r="EF10" s="147">
        <f>IF('All Fleet'!EB49="","",'All Fleet'!EC49)</f>
        <v>0.88370454545454546</v>
      </c>
      <c r="EG10" s="147">
        <f>IF('All Fleet'!EC49="","",'All Fleet'!ED49)</f>
        <v>0.88360416666666663</v>
      </c>
      <c r="EH10" s="147">
        <f>IF('All Fleet'!ED49="","",'All Fleet'!EE49)</f>
        <v>0.86228205128205127</v>
      </c>
      <c r="EI10" s="147">
        <f>IF('All Fleet'!EE49="","",'All Fleet'!EF49)</f>
        <v>0.87211904761904768</v>
      </c>
      <c r="EJ10" s="147">
        <f>IF('All Fleet'!EF49="","",'All Fleet'!EG49)</f>
        <v>0.85846666666666671</v>
      </c>
      <c r="EK10" s="147">
        <f>IF('All Fleet'!EG49="","",'All Fleet'!EH49)</f>
        <v>0.86711979166666664</v>
      </c>
      <c r="EL10" s="147">
        <f>IF('All Fleet'!EH49="","",'All Fleet'!EI49)</f>
        <v>0.86077941176470585</v>
      </c>
      <c r="EM10" s="147">
        <f>IF('All Fleet'!EI49="","",'All Fleet'!EJ49)</f>
        <v>0.86228240740740736</v>
      </c>
      <c r="EN10" s="147">
        <f>IF('All Fleet'!EJ49="","",'All Fleet'!EK49)</f>
        <v>0.86606578947368418</v>
      </c>
      <c r="EO10" s="147">
        <f>IF('All Fleet'!EK49="","",'All Fleet'!EL49)</f>
        <v>0.86228333333333329</v>
      </c>
      <c r="EP10" s="147">
        <f>IF('All Fleet'!EL49="","",'All Fleet'!EM49)</f>
        <v>0.86464682539682536</v>
      </c>
      <c r="EQ10" s="147">
        <f>IF('All Fleet'!EM49="","",'All Fleet'!EN49)</f>
        <v>0.87000378787878785</v>
      </c>
      <c r="ER10" s="147">
        <f>IF('All Fleet'!EN49="","",'All Fleet'!EO49)</f>
        <v>0.86553623188405804</v>
      </c>
      <c r="ES10" s="147">
        <f>IF('All Fleet'!EO49="","",'All Fleet'!EP49)</f>
        <v>0.85903125000000002</v>
      </c>
      <c r="ET10" s="147">
        <f>IF('All Fleet'!EP49="","",'All Fleet'!EQ49)</f>
        <v>0.86354333333333333</v>
      </c>
      <c r="EU10" s="147">
        <f>IF('All Fleet'!EQ49="","",'All Fleet'!ER49)</f>
        <v>0.86577884615384615</v>
      </c>
      <c r="EV10" s="147">
        <f>IF('All Fleet'!ER49="","",'All Fleet'!ES49)</f>
        <v>0.86835802469135803</v>
      </c>
      <c r="EW10" s="147">
        <f>IF('All Fleet'!ES49="","",'All Fleet'!ET49)</f>
        <v>0.87111607142857139</v>
      </c>
      <c r="EX10" s="147">
        <f>IF('All Fleet'!ET49="","",'All Fleet'!EU49)</f>
        <v>0.87556034482758616</v>
      </c>
      <c r="EY10" s="147">
        <f>IF('All Fleet'!EU49="","",'All Fleet'!EV49)</f>
        <v>0.87970833333333331</v>
      </c>
      <c r="EZ10" s="147">
        <f>IF('All Fleet'!EV49="","",'All Fleet'!EW49)</f>
        <v>0.88358870967741932</v>
      </c>
      <c r="FA10" s="147">
        <f>IF('All Fleet'!EW49="","",'All Fleet'!EX49)</f>
        <v>1</v>
      </c>
      <c r="FB10" s="147">
        <f>IF('All Fleet'!EX49="","",'All Fleet'!EY49)</f>
        <v>1</v>
      </c>
      <c r="FC10" s="147">
        <f>IF('All Fleet'!EY49="","",'All Fleet'!EZ49)</f>
        <v>1</v>
      </c>
      <c r="FD10" s="147">
        <f>IF('All Fleet'!EZ49="","",'All Fleet'!FA49)</f>
        <v>1</v>
      </c>
      <c r="FE10" s="147">
        <f>IF('All Fleet'!FA49="","",'All Fleet'!FB49)</f>
        <v>1</v>
      </c>
      <c r="FF10" s="147">
        <f>IF('All Fleet'!FB49="","",'All Fleet'!FC49)</f>
        <v>1</v>
      </c>
      <c r="FG10" s="147">
        <f>IF('All Fleet'!FC49="","",'All Fleet'!FD49)</f>
        <v>0.99458333333333337</v>
      </c>
      <c r="FH10" s="147">
        <f>IF('All Fleet'!FD49="","",'All Fleet'!FE49)</f>
        <v>0.96699999999999997</v>
      </c>
      <c r="FI10" s="147">
        <f>IF('All Fleet'!FE49="","",'All Fleet'!FF49)</f>
        <v>0.96002777777777781</v>
      </c>
      <c r="FJ10" s="147">
        <f>IF('All Fleet'!FF49="","",'All Fleet'!FG49)</f>
        <v>0.94350000000000001</v>
      </c>
      <c r="FK10" s="147">
        <f>IF('All Fleet'!FG49="","",'All Fleet'!FH49)</f>
        <v>0.93988636363636369</v>
      </c>
      <c r="FL10" s="147">
        <f>IF('All Fleet'!FH49="","",'All Fleet'!FI49)</f>
        <v>0.9291180555555556</v>
      </c>
      <c r="FM10" s="147">
        <f>IF('All Fleet'!FI49="","",'All Fleet'!FJ49)</f>
        <v>0.93009615384615385</v>
      </c>
      <c r="FN10" s="147">
        <f>IF('All Fleet'!FJ49="","",'All Fleet'!FK49)</f>
        <v>0.92149999999999999</v>
      </c>
      <c r="FO10" s="147">
        <f>IF('All Fleet'!FK49="","",'All Fleet'!FL49)</f>
        <v>0.92495555555555553</v>
      </c>
      <c r="FP10" s="147">
        <f>IF('All Fleet'!FL49="","",'All Fleet'!FM49)</f>
        <v>0.92697916666666669</v>
      </c>
      <c r="FQ10" s="147">
        <f>IF('All Fleet'!FM49="","",'All Fleet'!FN49)</f>
        <v>0.93127450980392157</v>
      </c>
      <c r="FR10" s="147">
        <f>IF('All Fleet'!FN49="","",'All Fleet'!FO49)</f>
        <v>0.92043518518518519</v>
      </c>
      <c r="FS10" s="147">
        <f>IF('All Fleet'!FO49="","",'All Fleet'!FP49)</f>
        <v>0.89635964912280708</v>
      </c>
      <c r="FT10" s="147">
        <f>IF('All Fleet'!FP49="","",'All Fleet'!FQ49)</f>
        <v>0.89769583333333336</v>
      </c>
      <c r="FU10" s="147">
        <f>IF('All Fleet'!FQ49="","",'All Fleet'!FR49)</f>
        <v>0.84144841269841275</v>
      </c>
      <c r="FV10" s="147">
        <f>IF('All Fleet'!FR49="","",'All Fleet'!FS49)</f>
        <v>0.84317424242424244</v>
      </c>
      <c r="FW10" s="147">
        <f>IF('All Fleet'!FS49="","",'All Fleet'!FT49)</f>
        <v>0.84028985507246379</v>
      </c>
      <c r="FX10" s="147">
        <f>IF('All Fleet'!FT49="","",'All Fleet'!FU49)</f>
        <v>0.8393680555555556</v>
      </c>
      <c r="FY10" s="147">
        <f>IF('All Fleet'!FU49="","",'All Fleet'!FV49)</f>
        <v>0.83875666666666659</v>
      </c>
      <c r="FZ10" s="147">
        <f>IF('All Fleet'!FV49="","",'All Fleet'!FW49)</f>
        <v>0.8384807692307692</v>
      </c>
      <c r="GA10" s="147">
        <f>IF('All Fleet'!FW49="","",'All Fleet'!FX49)</f>
        <v>0.83875</v>
      </c>
      <c r="GB10" s="147">
        <f>IF('All Fleet'!FX49="","",'All Fleet'!FY49)</f>
        <v>0.76196130952380958</v>
      </c>
      <c r="GC10" s="147">
        <f>IF('All Fleet'!FY49="","",'All Fleet'!FZ49)</f>
        <v>0.76685919540229885</v>
      </c>
      <c r="GD10" s="147">
        <f>IF('All Fleet'!FZ49="","",'All Fleet'!GA49)</f>
        <v>0.77426944444444445</v>
      </c>
      <c r="GE10" s="147">
        <f>IF('All Fleet'!GA49="","",'All Fleet'!GB49)</f>
        <v>0.4654166666666667</v>
      </c>
      <c r="GF10" s="147">
        <f>IF('All Fleet'!GB49="","",'All Fleet'!GC49)</f>
        <v>0.67074999999999996</v>
      </c>
      <c r="GG10" s="147">
        <f>IF('All Fleet'!GC49="","",'All Fleet'!GD49)</f>
        <v>0.71313888888888888</v>
      </c>
      <c r="GH10" s="147">
        <f>IF('All Fleet'!GD49="","",'All Fleet'!GE49)</f>
        <v>0.71068750000000003</v>
      </c>
      <c r="GI10" s="147">
        <f>IF('All Fleet'!GE49="","",'All Fleet'!GF49)</f>
        <v>0.75246666666666673</v>
      </c>
      <c r="GJ10" s="147">
        <f>IF('All Fleet'!GF49="","",'All Fleet'!GG49)</f>
        <v>0.66705555555555562</v>
      </c>
      <c r="GK10" s="147">
        <f>IF('All Fleet'!GG49="","",'All Fleet'!GH49)</f>
        <v>0.68664285714285711</v>
      </c>
      <c r="GL10" s="147">
        <f>IF('All Fleet'!GH49="","",'All Fleet'!GI49)</f>
        <v>0.71912500000000001</v>
      </c>
      <c r="GM10" s="147">
        <f>IF('All Fleet'!GI49="","",'All Fleet'!GJ49)</f>
        <v>0.74441666666666673</v>
      </c>
      <c r="GN10" s="147">
        <f>IF('All Fleet'!GJ49="","",'All Fleet'!GK49)</f>
        <v>0.76997500000000008</v>
      </c>
      <c r="GO10" s="147">
        <f>IF('All Fleet'!GK49="","",'All Fleet'!GL49)</f>
        <v>0.64628030303030304</v>
      </c>
      <c r="GP10" s="147">
        <f>IF('All Fleet'!GL49="","",'All Fleet'!GM49)</f>
        <v>0.66679166666666667</v>
      </c>
      <c r="GQ10" s="147">
        <f>IF('All Fleet'!GM49="","",'All Fleet'!GN49)</f>
        <v>0.69242307692307692</v>
      </c>
      <c r="GR10" s="147">
        <f>IF('All Fleet'!GN49="","",'All Fleet'!GO49)</f>
        <v>0.71439285714285716</v>
      </c>
      <c r="GS10" s="147">
        <f>IF('All Fleet'!GO49="","",'All Fleet'!GP49)</f>
        <v>0.73343333333333338</v>
      </c>
      <c r="GT10" s="147">
        <f>IF('All Fleet'!GP49="","",'All Fleet'!GQ49)</f>
        <v>0.75009375</v>
      </c>
      <c r="GU10" s="147">
        <f>IF('All Fleet'!GQ49="","",'All Fleet'!GR49)</f>
        <v>0.74130392156862746</v>
      </c>
      <c r="GV10" s="147">
        <f>IF('All Fleet'!GR49="","",'All Fleet'!GS49)</f>
        <v>0.75567592592592592</v>
      </c>
      <c r="GW10" s="147">
        <f>IF('All Fleet'!GS49="","",'All Fleet'!GT49)</f>
        <v>0.76345614035087717</v>
      </c>
      <c r="GX10" s="147">
        <f>IF('All Fleet'!GT49="","",'All Fleet'!GU49)</f>
        <v>0.75535833333333335</v>
      </c>
      <c r="GY10" s="147">
        <f>IF('All Fleet'!GU49="","",'All Fleet'!GV49)</f>
        <v>0.76700793650793653</v>
      </c>
      <c r="GZ10" s="147">
        <f>IF('All Fleet'!GV49="","",'All Fleet'!GW49)</f>
        <v>0.76109090909090915</v>
      </c>
      <c r="HA10" s="147">
        <f>IF('All Fleet'!GW49="","",'All Fleet'!GX49)</f>
        <v>0.77147826086956528</v>
      </c>
      <c r="HB10" s="147">
        <f>IF('All Fleet'!GX49="","",'All Fleet'!GY49)</f>
        <v>0.78100000000000003</v>
      </c>
      <c r="HC10" s="147">
        <f>IF('All Fleet'!GY49="","",'All Fleet'!GZ49)</f>
        <v>0.78976000000000002</v>
      </c>
      <c r="HD10" s="147">
        <f>IF('All Fleet'!GZ49="","",'All Fleet'!HA49)</f>
        <v>0.79784615384615387</v>
      </c>
      <c r="HE10" s="147">
        <f>IF('All Fleet'!HA49="","",'All Fleet'!HB49)</f>
        <v>0.80450925925925931</v>
      </c>
      <c r="HF10" s="147">
        <f>IF('All Fleet'!HB49="","",'All Fleet'!HC49)</f>
        <v>0.80555357142857142</v>
      </c>
      <c r="HG10" s="147">
        <f>IF('All Fleet'!HC49="","",'All Fleet'!HD49)</f>
        <v>0.8071781609195402</v>
      </c>
      <c r="HH10" s="147">
        <f>IF('All Fleet'!HD49="","",'All Fleet'!HE49)</f>
        <v>0.81360555555555558</v>
      </c>
      <c r="HI10" s="147">
        <f>IF('All Fleet'!HE49="","",'All Fleet'!HF49)</f>
        <v>0.81550537634408604</v>
      </c>
      <c r="HJ10" s="147">
        <f>IF('All Fleet'!HF49="","",'All Fleet'!HG49)</f>
        <v>0.85703240740740738</v>
      </c>
      <c r="HK10" s="147">
        <f>IF('All Fleet'!HG49="","",'All Fleet'!HH49)</f>
        <v>0.90560416666666665</v>
      </c>
      <c r="HL10" s="147">
        <f>IF('All Fleet'!HH49="","",'All Fleet'!HI49)</f>
        <v>0.8606697530864198</v>
      </c>
      <c r="HM10" s="147">
        <f>IF('All Fleet'!HI49="","",'All Fleet'!HJ49)</f>
        <v>0.87851967592592595</v>
      </c>
      <c r="HN10" s="147">
        <f>IF('All Fleet'!HJ49="","",'All Fleet'!HK49)</f>
        <v>0.86853055555555558</v>
      </c>
      <c r="HO10" s="147">
        <f>IF('All Fleet'!HK49="","",'All Fleet'!HL49)</f>
        <v>0.86148109567901232</v>
      </c>
      <c r="HP10" s="147">
        <f>IF('All Fleet'!HL49="","",'All Fleet'!HM49)</f>
        <v>0.84892261904761901</v>
      </c>
      <c r="HQ10" s="147">
        <f>IF('All Fleet'!HM49="","",'All Fleet'!HN49)</f>
        <v>0.8520454282407407</v>
      </c>
      <c r="HR10" s="147">
        <f>IF('All Fleet'!HN49="","",'All Fleet'!HO49)</f>
        <v>0.86814737654320984</v>
      </c>
      <c r="HS10" s="147">
        <f>IF('All Fleet'!HO49="","",'All Fleet'!HP49)</f>
        <v>0.85174745370370375</v>
      </c>
      <c r="HT10" s="147">
        <f>IF('All Fleet'!HP49="","",'All Fleet'!HQ49)</f>
        <v>0.86383775252525252</v>
      </c>
      <c r="HU10" s="147">
        <f>IF('All Fleet'!HQ49="","",'All Fleet'!HR49)</f>
        <v>0.85944753086419756</v>
      </c>
      <c r="HV10" s="147">
        <f>IF('All Fleet'!HR49="","",'All Fleet'!HS49)</f>
        <v>0.85977742165242166</v>
      </c>
      <c r="HW10" s="147">
        <f>IF('All Fleet'!HS49="","",'All Fleet'!HT49)</f>
        <v>0.86498693783068781</v>
      </c>
      <c r="HX10" s="147">
        <f>IF('All Fleet'!HT49="","",'All Fleet'!HU49)</f>
        <v>0.86742546296296297</v>
      </c>
      <c r="HY10" s="147">
        <f>IF('All Fleet'!HU49="","",'All Fleet'!HV49)</f>
        <v>0.87447164351851847</v>
      </c>
      <c r="HZ10" s="147">
        <f>IF('All Fleet'!HV49="","",'All Fleet'!HW49)</f>
        <v>0.87610334967320258</v>
      </c>
      <c r="IA10" s="147">
        <f>IF('All Fleet'!HW49="","",'All Fleet'!HX49)</f>
        <v>0.87374228395061726</v>
      </c>
      <c r="IB10" s="147">
        <f>IF('All Fleet'!HX49="","",'All Fleet'!HY49)</f>
        <v>0.87386915204678361</v>
      </c>
      <c r="IC10" s="147">
        <f>IF('All Fleet'!HY49="","",'All Fleet'!HZ49)</f>
        <v>0.85675625</v>
      </c>
      <c r="ID10" s="147">
        <f>IF('All Fleet'!HZ49="","",'All Fleet'!IA49)</f>
        <v>0.86002976190476188</v>
      </c>
      <c r="IE10" s="147">
        <f>IF('All Fleet'!IA49="","",'All Fleet'!IB49)</f>
        <v>0.86401946548821551</v>
      </c>
      <c r="IF10" s="147">
        <f>IF('All Fleet'!IB49="","",'All Fleet'!IC49)</f>
        <v>0.86172876409017718</v>
      </c>
      <c r="IG10" s="147">
        <f>IF('All Fleet'!IC49="","",'All Fleet'!ID49)</f>
        <v>0.86571228780864196</v>
      </c>
      <c r="IH10" s="147">
        <f>IF('All Fleet'!ID49="","",'All Fleet'!IE49)</f>
        <v>0.86691046296296292</v>
      </c>
      <c r="II10" s="147">
        <f>IF('All Fleet'!IE49="","",'All Fleet'!IF49)</f>
        <v>0.86886582977207971</v>
      </c>
      <c r="IJ10" s="147">
        <f>IF('All Fleet'!IF49="","",'All Fleet'!IG49)</f>
        <v>0.87161462620027441</v>
      </c>
      <c r="IK10" s="147">
        <f>IF('All Fleet'!IG49="","",'All Fleet'!IH49)</f>
        <v>0.84932481812169314</v>
      </c>
      <c r="IL10" s="147">
        <f>IF('All Fleet'!IH49="","",'All Fleet'!II49)</f>
        <v>0.85452051404853124</v>
      </c>
      <c r="IM10" s="147">
        <f>IF('All Fleet'!II49="","",'All Fleet'!IJ49)</f>
        <v>0.83956705246913588</v>
      </c>
      <c r="IN10" s="147">
        <f>IF('All Fleet'!IJ49="","",'All Fleet'!IK49)</f>
        <v>0.84091233572281965</v>
      </c>
      <c r="IO10" s="147">
        <f>IF('All Fleet'!IK49="","",'All Fleet'!IL49)</f>
        <v>0.92401851851851857</v>
      </c>
      <c r="IP10" s="147">
        <f>IF('All Fleet'!IL49="","",'All Fleet'!IM49)</f>
        <v>0.91567129629629629</v>
      </c>
      <c r="IQ10" s="147">
        <f>IF('All Fleet'!IM49="","",'All Fleet'!IN49)</f>
        <v>0.85989891975308641</v>
      </c>
      <c r="IR10" s="147">
        <f>IF('All Fleet'!IN49="","",'All Fleet'!IO49)</f>
        <v>0.86072974537037039</v>
      </c>
      <c r="IS10" s="147">
        <f>IF('All Fleet'!IO49="","",'All Fleet'!IP49)</f>
        <v>0.87075740740740737</v>
      </c>
      <c r="IT10" s="147">
        <f>IF('All Fleet'!IP49="","",'All Fleet'!IQ49)</f>
        <v>0.8773105709876543</v>
      </c>
      <c r="IU10" s="147">
        <f>IF('All Fleet'!IQ49="","",'All Fleet'!IR49)</f>
        <v>0.87996395502645508</v>
      </c>
      <c r="IV10" s="147">
        <f>IF('All Fleet'!IR49="","",'All Fleet'!IS49)</f>
        <v>0.88907667824074077</v>
      </c>
      <c r="IW10" s="147">
        <f>IF('All Fleet'!IS49="","",'All Fleet'!IT49)</f>
        <v>0.88298251028806585</v>
      </c>
      <c r="IX10" s="147">
        <f>IF('All Fleet'!IT49="","",'All Fleet'!IU49)</f>
        <v>0.85966388888888889</v>
      </c>
      <c r="IY10" s="147">
        <f>IF('All Fleet'!IU49="","",'All Fleet'!IV49)</f>
        <v>0.8471012205387205</v>
      </c>
      <c r="IZ10" s="147">
        <f>IF('All Fleet'!IV49="","",'All Fleet'!IW49)</f>
        <v>0.83609915123456791</v>
      </c>
      <c r="JA10" s="147">
        <f>IF('All Fleet'!IW49="","",'All Fleet'!IX49)</f>
        <v>0.81383618233618238</v>
      </c>
      <c r="JB10" s="147">
        <f>IF('All Fleet'!IX49="","",'All Fleet'!IY49)</f>
        <v>0.80162615740740739</v>
      </c>
      <c r="JC10" s="147">
        <f>IF('All Fleet'!IY49="","",'All Fleet'!IZ49)</f>
        <v>0.80501080246913581</v>
      </c>
      <c r="JD10" s="147">
        <f>IF('All Fleet'!IZ49="","",'All Fleet'!JA49)</f>
        <v>0.80727430555555557</v>
      </c>
      <c r="JE10" s="147">
        <f>IF('All Fleet'!JA49="","",'All Fleet'!JB49)</f>
        <v>0.81801824618736385</v>
      </c>
      <c r="JF10" s="147">
        <f>IF('All Fleet'!JB49="","",'All Fleet'!JC49)</f>
        <v>0.82767746913580242</v>
      </c>
      <c r="JG10" s="147">
        <f>IF('All Fleet'!JC49="","",'All Fleet'!JD49)</f>
        <v>0.83246162280701752</v>
      </c>
      <c r="JH10" s="147">
        <f>IF('All Fleet'!JD49="","",'All Fleet'!JE49)</f>
        <v>0.83980532407407404</v>
      </c>
      <c r="JI10" s="147">
        <f>IF('All Fleet'!JE49="","",'All Fleet'!JF49)</f>
        <v>0.84743364197530857</v>
      </c>
      <c r="JJ10" s="147">
        <f>IF('All Fleet'!JF49="","",'All Fleet'!JG49)</f>
        <v>0.85436847643097646</v>
      </c>
      <c r="JK10" s="147">
        <f>IF('All Fleet'!JG49="","",'All Fleet'!JH49)</f>
        <v>0.85710688405797097</v>
      </c>
      <c r="JL10" s="147">
        <f>IF('All Fleet'!JH49="","",'All Fleet'!JI49)</f>
        <v>0.85370920138888895</v>
      </c>
      <c r="JM10" s="147">
        <f>IF('All Fleet'!JI49="","",'All Fleet'!JJ49)</f>
        <v>0.84981657407407407</v>
      </c>
      <c r="JN10" s="147">
        <f>IF('All Fleet'!JJ49="","",'All Fleet'!JK49)</f>
        <v>0.85259891381766384</v>
      </c>
      <c r="JO10" s="147">
        <f>IF('All Fleet'!JK49="","",'All Fleet'!JL49)</f>
        <v>0.85610459533607686</v>
      </c>
      <c r="JP10" s="147">
        <f>IF('All Fleet'!JL49="","",'All Fleet'!JM49)</f>
        <v>0.85903538359788367</v>
      </c>
      <c r="JQ10" s="147">
        <f>IF('All Fleet'!JM49="","",'All Fleet'!JN49)</f>
        <v>0.85851835887611749</v>
      </c>
      <c r="JR10" s="147">
        <f>IF('All Fleet'!JN49="","",'All Fleet'!JO49)</f>
        <v>0.861845524691358</v>
      </c>
      <c r="JS10" s="147">
        <f>IF('All Fleet'!JO49="","",'All Fleet'!JP49)</f>
        <v>0.87956250000000002</v>
      </c>
      <c r="JT10" s="147">
        <f>IF('All Fleet'!JP49="","",'All Fleet'!JQ49)</f>
        <v>0.88486458333333329</v>
      </c>
      <c r="JU10" s="147">
        <f>IF('All Fleet'!JQ49="","",'All Fleet'!JR49)</f>
        <v>0.74618518518518517</v>
      </c>
      <c r="JV10" s="147">
        <f>IF('All Fleet'!JR49="","",'All Fleet'!JS49)</f>
        <v>0.79223206018518511</v>
      </c>
      <c r="JW10" s="147">
        <f>IF('All Fleet'!JS49="","",'All Fleet'!JT49)</f>
        <v>0.82998564814814813</v>
      </c>
      <c r="JX10" s="147">
        <f>IF('All Fleet'!JT49="","",'All Fleet'!JU49)</f>
        <v>0.85212692901234566</v>
      </c>
      <c r="JY10" s="147">
        <f>IF('All Fleet'!JU49="","",'All Fleet'!JV49)</f>
        <v>0.87051355820105814</v>
      </c>
      <c r="JZ10" s="147">
        <f>IF('All Fleet'!JV49="","",'All Fleet'!JW49)</f>
        <v>0.88669936342592592</v>
      </c>
      <c r="KA10" s="147">
        <f>IF('All Fleet'!JW49="","",'All Fleet'!JX49)</f>
        <v>0.89558461934156375</v>
      </c>
      <c r="KB10" s="147">
        <f>IF('All Fleet'!JX49="","",'All Fleet'!JY49)</f>
        <v>0.88602615740740742</v>
      </c>
      <c r="KC10" s="147">
        <f>IF('All Fleet'!JY49="","",'All Fleet'!JZ49)</f>
        <v>0.87820559764309758</v>
      </c>
      <c r="KD10" s="147">
        <f>IF('All Fleet'!JZ49="","",'All Fleet'!KA49)</f>
        <v>0.88835513117283949</v>
      </c>
      <c r="KE10" s="147">
        <f>IF('All Fleet'!KA49="","",'All Fleet'!KB49)</f>
        <v>0.89694319800569799</v>
      </c>
      <c r="KF10" s="147">
        <f>IF('All Fleet'!KB49="","",'All Fleet'!KC49)</f>
        <v>0.89001868386243388</v>
      </c>
      <c r="KG10" s="147">
        <f>IF('All Fleet'!KC49="","",'All Fleet'!KD49)</f>
        <v>0.89401743827160496</v>
      </c>
      <c r="KH10" s="147">
        <f>IF('All Fleet'!KD49="","",'All Fleet'!KE49)</f>
        <v>0.90064134837962961</v>
      </c>
      <c r="KI10" s="147">
        <f>IF('All Fleet'!KE49="","",'All Fleet'!KF49)</f>
        <v>0.90648597494553373</v>
      </c>
      <c r="KJ10" s="147">
        <f>IF('All Fleet'!KF49="","",'All Fleet'!KG49)</f>
        <v>0.91168119855967078</v>
      </c>
      <c r="KK10" s="147">
        <f>IF('All Fleet'!KG49="","",'All Fleet'!KH49)</f>
        <v>0.90054008284600395</v>
      </c>
      <c r="KL10" s="147">
        <f>IF('All Fleet'!KH49="","",'All Fleet'!KI49)</f>
        <v>0.90551307870370368</v>
      </c>
      <c r="KM10" s="147">
        <f>IF('All Fleet'!KI49="","",'All Fleet'!KJ49)</f>
        <v>0.9076315035273369</v>
      </c>
      <c r="KN10" s="147">
        <f>IF('All Fleet'!KJ49="","",'All Fleet'!KK49)</f>
        <v>0.91183007154882156</v>
      </c>
      <c r="KO10" s="147">
        <f>IF('All Fleet'!KK49="","",'All Fleet'!KL49)</f>
        <v>0.91566354669887273</v>
      </c>
      <c r="KP10" s="147">
        <f>IF('All Fleet'!KL49="","",'All Fleet'!KM49)</f>
        <v>0.91917756558641972</v>
      </c>
      <c r="KQ10" s="147">
        <f>IF('All Fleet'!KM49="","",'All Fleet'!KN49)</f>
        <v>0.92241046296296292</v>
      </c>
      <c r="KR10" s="147">
        <f>IF('All Fleet'!KN49="","",'All Fleet'!KO49)</f>
        <v>0.92539467592592595</v>
      </c>
      <c r="KS10" s="147">
        <f>IF('All Fleet'!KO49="","",'All Fleet'!KP49)</f>
        <v>0.92815783607681757</v>
      </c>
      <c r="KT10" s="147">
        <f>IF('All Fleet'!KP49="","",'All Fleet'!KQ49)</f>
        <v>0.93072362764550265</v>
      </c>
      <c r="KU10" s="147">
        <f>IF('All Fleet'!KQ49="","",'All Fleet'!KR49)</f>
        <v>0.93311246807151982</v>
      </c>
      <c r="KV10" s="147">
        <f>IF('All Fleet'!KR49="","",'All Fleet'!KS49)</f>
        <v>0.93534205246913582</v>
      </c>
      <c r="KW10" s="147">
        <f>IF('All Fleet'!KS49="","",'All Fleet'!KT49)</f>
        <v>0.93742779271206689</v>
      </c>
      <c r="KX10" s="147" t="str">
        <f>IF('All Fleet'!KT49="","",'All Fleet'!KU49)</f>
        <v/>
      </c>
      <c r="KY10" s="147" t="str">
        <f>IF('All Fleet'!KU49="","",'All Fleet'!KV49)</f>
        <v/>
      </c>
      <c r="KZ10" s="147" t="str">
        <f>IF('All Fleet'!KV49="","",'All Fleet'!KW49)</f>
        <v/>
      </c>
      <c r="LA10" s="147" t="str">
        <f>IF('All Fleet'!KW49="","",'All Fleet'!KX49)</f>
        <v/>
      </c>
      <c r="LB10" s="147" t="str">
        <f>IF('All Fleet'!KX49="","",'All Fleet'!KY49)</f>
        <v/>
      </c>
      <c r="LC10" s="147" t="str">
        <f>IF('All Fleet'!KY49="","",'All Fleet'!KZ49)</f>
        <v/>
      </c>
      <c r="LD10" s="147" t="str">
        <f>IF('All Fleet'!KZ49="","",'All Fleet'!LA49)</f>
        <v/>
      </c>
      <c r="LE10" s="147" t="str">
        <f>IF('All Fleet'!LA49="","",'All Fleet'!LB49)</f>
        <v/>
      </c>
      <c r="LF10" s="147" t="str">
        <f>IF('All Fleet'!LB49="","",'All Fleet'!LC49)</f>
        <v/>
      </c>
      <c r="LG10" s="147" t="str">
        <f>IF('All Fleet'!LC49="","",'All Fleet'!LD49)</f>
        <v/>
      </c>
      <c r="LH10" s="147" t="str">
        <f>IF('All Fleet'!LD49="","",'All Fleet'!LE49)</f>
        <v/>
      </c>
      <c r="LI10" s="147" t="str">
        <f>IF('All Fleet'!LE49="","",'All Fleet'!LF49)</f>
        <v/>
      </c>
      <c r="LJ10" s="147" t="str">
        <f>IF('All Fleet'!LF49="","",'All Fleet'!LG49)</f>
        <v/>
      </c>
      <c r="LK10" s="147" t="str">
        <f>IF('All Fleet'!LG49="","",'All Fleet'!LH49)</f>
        <v/>
      </c>
      <c r="LL10" s="147" t="str">
        <f>IF('All Fleet'!LH49="","",'All Fleet'!LI49)</f>
        <v/>
      </c>
      <c r="LM10" s="147" t="str">
        <f>IF('All Fleet'!LI49="","",'All Fleet'!LJ49)</f>
        <v/>
      </c>
      <c r="LN10" s="147" t="str">
        <f>IF('All Fleet'!LJ49="","",'All Fleet'!LK49)</f>
        <v/>
      </c>
      <c r="LO10" s="147" t="str">
        <f>IF('All Fleet'!LK49="","",'All Fleet'!LL49)</f>
        <v/>
      </c>
      <c r="LP10" s="147" t="str">
        <f>IF('All Fleet'!LL49="","",'All Fleet'!LM49)</f>
        <v/>
      </c>
      <c r="LQ10" s="147" t="str">
        <f>IF('All Fleet'!LM49="","",'All Fleet'!LN49)</f>
        <v/>
      </c>
      <c r="LR10" s="147" t="str">
        <f>IF('All Fleet'!LN49="","",'All Fleet'!LO49)</f>
        <v/>
      </c>
      <c r="LS10" s="147" t="str">
        <f>IF('All Fleet'!LO49="","",'All Fleet'!LP49)</f>
        <v/>
      </c>
      <c r="LT10" s="147" t="str">
        <f>IF('All Fleet'!LP49="","",'All Fleet'!LQ49)</f>
        <v/>
      </c>
      <c r="LU10" s="147" t="str">
        <f>IF('All Fleet'!LQ49="","",'All Fleet'!LR49)</f>
        <v/>
      </c>
      <c r="LV10" s="147" t="str">
        <f>IF('All Fleet'!LR49="","",'All Fleet'!LS49)</f>
        <v/>
      </c>
      <c r="LW10" s="147" t="str">
        <f>IF('All Fleet'!LS49="","",'All Fleet'!LT49)</f>
        <v/>
      </c>
      <c r="LX10" s="147" t="str">
        <f>IF('All Fleet'!LT49="","",'All Fleet'!LU49)</f>
        <v/>
      </c>
      <c r="LY10" s="147" t="str">
        <f>IF('All Fleet'!LU49="","",'All Fleet'!LV49)</f>
        <v/>
      </c>
      <c r="LZ10" s="147" t="str">
        <f>IF('All Fleet'!LV49="","",'All Fleet'!LW49)</f>
        <v/>
      </c>
      <c r="MA10" s="147" t="str">
        <f>IF('All Fleet'!LW49="","",'All Fleet'!LX49)</f>
        <v/>
      </c>
      <c r="MB10" s="147" t="str">
        <f>IF('All Fleet'!LX49="","",'All Fleet'!LY49)</f>
        <v/>
      </c>
      <c r="MC10" s="147" t="str">
        <f>IF('All Fleet'!LY49="","",'All Fleet'!LZ49)</f>
        <v/>
      </c>
      <c r="MD10" s="147" t="str">
        <f>IF('All Fleet'!LZ49="","",'All Fleet'!MA49)</f>
        <v/>
      </c>
      <c r="ME10" s="147" t="str">
        <f>IF('All Fleet'!MA49="","",'All Fleet'!MB49)</f>
        <v/>
      </c>
      <c r="MF10" s="147" t="str">
        <f>IF('All Fleet'!MB49="","",'All Fleet'!MC49)</f>
        <v/>
      </c>
      <c r="MG10" s="147" t="str">
        <f>IF('All Fleet'!MC49="","",'All Fleet'!MD49)</f>
        <v/>
      </c>
      <c r="MH10" s="147" t="str">
        <f>IF('All Fleet'!MD49="","",'All Fleet'!ME49)</f>
        <v/>
      </c>
      <c r="MI10" s="147" t="str">
        <f>IF('All Fleet'!ME49="","",'All Fleet'!MF49)</f>
        <v/>
      </c>
      <c r="MJ10" s="147" t="str">
        <f>IF('All Fleet'!MF49="","",'All Fleet'!MG49)</f>
        <v/>
      </c>
      <c r="MK10" s="147" t="str">
        <f>IF('All Fleet'!MG49="","",'All Fleet'!MH49)</f>
        <v/>
      </c>
      <c r="ML10" s="147" t="str">
        <f>IF('All Fleet'!MH49="","",'All Fleet'!MI49)</f>
        <v/>
      </c>
      <c r="MM10" s="147" t="str">
        <f>IF('All Fleet'!MI49="","",'All Fleet'!MJ49)</f>
        <v/>
      </c>
      <c r="MN10" s="147" t="str">
        <f>IF('All Fleet'!MJ49="","",'All Fleet'!MK49)</f>
        <v/>
      </c>
      <c r="MO10" s="147" t="str">
        <f>IF('All Fleet'!MK49="","",'All Fleet'!ML49)</f>
        <v/>
      </c>
      <c r="MP10" s="147" t="str">
        <f>IF('All Fleet'!ML49="","",'All Fleet'!MM49)</f>
        <v/>
      </c>
      <c r="MQ10" s="147" t="str">
        <f>IF('All Fleet'!MM49="","",'All Fleet'!MN49)</f>
        <v/>
      </c>
      <c r="MR10" s="147" t="str">
        <f>IF('All Fleet'!MN49="","",'All Fleet'!MO49)</f>
        <v/>
      </c>
      <c r="MS10" s="147" t="str">
        <f>IF('All Fleet'!MO49="","",'All Fleet'!MP49)</f>
        <v/>
      </c>
      <c r="MT10" s="147" t="str">
        <f>IF('All Fleet'!MP49="","",'All Fleet'!MQ49)</f>
        <v/>
      </c>
      <c r="MU10" s="147" t="str">
        <f>IF('All Fleet'!MQ49="","",'All Fleet'!MR49)</f>
        <v/>
      </c>
      <c r="MV10" s="147" t="str">
        <f>IF('All Fleet'!MR49="","",'All Fleet'!MS49)</f>
        <v/>
      </c>
      <c r="MW10" s="147" t="str">
        <f>IF('All Fleet'!MS49="","",'All Fleet'!MT49)</f>
        <v/>
      </c>
      <c r="MX10" s="147" t="str">
        <f>IF('All Fleet'!MT49="","",'All Fleet'!MU49)</f>
        <v/>
      </c>
      <c r="MY10" s="147" t="str">
        <f>IF('All Fleet'!MU49="","",'All Fleet'!MV49)</f>
        <v/>
      </c>
      <c r="MZ10" s="147" t="str">
        <f>IF('All Fleet'!MV49="","",'All Fleet'!MW49)</f>
        <v/>
      </c>
      <c r="NA10" s="147" t="str">
        <f>IF('All Fleet'!MW49="","",'All Fleet'!MX49)</f>
        <v/>
      </c>
      <c r="NB10" s="147" t="str">
        <f>IF('All Fleet'!MX49="","",'All Fleet'!MY49)</f>
        <v/>
      </c>
      <c r="NC10" s="147" t="str">
        <f>IF('All Fleet'!MY49="","",'All Fleet'!MZ49)</f>
        <v/>
      </c>
      <c r="ND10" s="147" t="str">
        <f>IF('All Fleet'!MZ49="","",'All Fleet'!NA49)</f>
        <v/>
      </c>
      <c r="NE10" s="147" t="str">
        <f>IF('All Fleet'!NA49="","",'All Fleet'!NB49)</f>
        <v/>
      </c>
      <c r="NF10" s="147" t="str">
        <f>IF('All Fleet'!NB49="","",'All Fleet'!NC49)</f>
        <v/>
      </c>
      <c r="NG10" s="147" t="str">
        <f>IF('All Fleet'!NC49="","",'All Fleet'!ND49)</f>
        <v/>
      </c>
      <c r="NH10" s="147" t="str">
        <f>IF('All Fleet'!ND49="","",'All Fleet'!NE49)</f>
        <v/>
      </c>
      <c r="NI10" s="147" t="str">
        <f>IF('All Fleet'!NE49="","",'All Fleet'!NF49)</f>
        <v/>
      </c>
      <c r="NJ10" s="147" t="str">
        <f>IF('All Fleet'!NF49="","",'All Fleet'!NG49)</f>
        <v/>
      </c>
      <c r="NK10" s="147" t="str">
        <f>IF('All Fleet'!NG49="","",'All Fleet'!NH49)</f>
        <v/>
      </c>
      <c r="NL10" s="147" t="str">
        <f>IF('All Fleet'!NH49="","",'All Fleet'!NI49)</f>
        <v/>
      </c>
      <c r="NM10" s="147" t="str">
        <f>IF('All Fleet'!NI49="","",'All Fleet'!NJ49)</f>
        <v/>
      </c>
      <c r="NN10" s="147" t="str">
        <f>IF('All Fleet'!NJ49="","",'All Fleet'!NK49)</f>
        <v/>
      </c>
      <c r="NO10" s="147" t="str">
        <f>IF('All Fleet'!NK49="","",'All Fleet'!NL49)</f>
        <v/>
      </c>
      <c r="NP10" s="147" t="str">
        <f>IF('All Fleet'!NL49="","",'All Fleet'!NM49)</f>
        <v/>
      </c>
      <c r="NQ10" s="147" t="str">
        <f>IF('All Fleet'!NM49="","",'All Fleet'!NN49)</f>
        <v/>
      </c>
      <c r="NR10" s="147" t="str">
        <f>IF('All Fleet'!NN49="","",'All Fleet'!NO49)</f>
        <v/>
      </c>
      <c r="NS10" s="147" t="str">
        <f>IF('All Fleet'!NO49="","",'All Fleet'!NP49)</f>
        <v/>
      </c>
      <c r="NT10" s="147" t="str">
        <f>IF('All Fleet'!NP49="","",'All Fleet'!NQ49)</f>
        <v/>
      </c>
      <c r="NU10" s="147" t="str">
        <f>IF('All Fleet'!NQ49="","",'All Fleet'!NR49)</f>
        <v/>
      </c>
      <c r="NV10" s="147" t="str">
        <f>IF('All Fleet'!NR49="","",'All Fleet'!NS49)</f>
        <v/>
      </c>
      <c r="NW10" s="147" t="str">
        <f>IF('All Fleet'!NS49="","",'All Fleet'!NT49)</f>
        <v/>
      </c>
      <c r="NX10" s="147" t="str">
        <f>IF('All Fleet'!NT49="","",'All Fleet'!NU49)</f>
        <v/>
      </c>
      <c r="NY10" s="147" t="str">
        <f>IF('All Fleet'!NU49="","",'All Fleet'!NV49)</f>
        <v/>
      </c>
      <c r="NZ10" s="147" t="str">
        <f>IF('All Fleet'!NV49="","",'All Fleet'!NW49)</f>
        <v/>
      </c>
      <c r="OA10" s="147" t="str">
        <f>IF('All Fleet'!NW49="","",'All Fleet'!NX49)</f>
        <v/>
      </c>
      <c r="OB10" s="147" t="str">
        <f>IF('All Fleet'!NX49="","",'All Fleet'!NY49)</f>
        <v/>
      </c>
      <c r="OC10" s="147" t="str">
        <f>IF('All Fleet'!NY49="","",'All Fleet'!NZ49)</f>
        <v/>
      </c>
      <c r="OD10" s="147" t="str">
        <f>IF('All Fleet'!NZ49="","",'All Fleet'!OA49)</f>
        <v/>
      </c>
      <c r="OE10" s="147" t="str">
        <f>IF('All Fleet'!OA49="","",'All Fleet'!OB49)</f>
        <v/>
      </c>
      <c r="OF10" s="147" t="str">
        <f>IF('All Fleet'!OB49="","",'All Fleet'!OC49)</f>
        <v/>
      </c>
      <c r="OG10" s="147" t="str">
        <f>IF('All Fleet'!OC49="","",'All Fleet'!OD49)</f>
        <v/>
      </c>
      <c r="OH10" s="147" t="str">
        <f>IF('All Fleet'!OD49="","",'All Fleet'!OE49)</f>
        <v/>
      </c>
      <c r="OI10" s="147" t="str">
        <f>IF('All Fleet'!OE49="","",'All Fleet'!OF49)</f>
        <v/>
      </c>
      <c r="OJ10" s="147" t="str">
        <f>IF('All Fleet'!OF49="","",'All Fleet'!OG49)</f>
        <v/>
      </c>
      <c r="OK10" s="147" t="str">
        <f>IF('All Fleet'!OG49="","",'All Fleet'!OH49)</f>
        <v/>
      </c>
      <c r="OL10" s="147" t="str">
        <f>IF('All Fleet'!OH49="","",'All Fleet'!OI49)</f>
        <v/>
      </c>
      <c r="OM10" s="147" t="str">
        <f>IF('All Fleet'!OI49="","",'All Fleet'!OJ49)</f>
        <v/>
      </c>
      <c r="ON10" s="147" t="str">
        <f>IF('All Fleet'!OJ49="","",'All Fleet'!OK49)</f>
        <v/>
      </c>
      <c r="OO10" s="147" t="str">
        <f>IF('All Fleet'!OK49="","",'All Fleet'!OL49)</f>
        <v/>
      </c>
      <c r="OP10" s="147" t="str">
        <f>IF('All Fleet'!OL49="","",'All Fleet'!OM49)</f>
        <v/>
      </c>
      <c r="OQ10" s="147" t="str">
        <f>IF('All Fleet'!OM49="","",'All Fleet'!ON49)</f>
        <v/>
      </c>
      <c r="OR10" s="147" t="str">
        <f>IF('All Fleet'!ON49="","",'All Fleet'!OO49)</f>
        <v/>
      </c>
      <c r="OS10" s="147" t="str">
        <f>IF('All Fleet'!OO49="","",'All Fleet'!OP49)</f>
        <v/>
      </c>
      <c r="OT10" s="147" t="str">
        <f>IF('All Fleet'!OP49="","",'All Fleet'!OQ49)</f>
        <v/>
      </c>
      <c r="OU10" s="147" t="str">
        <f>IF('All Fleet'!OQ49="","",'All Fleet'!OR49)</f>
        <v/>
      </c>
      <c r="OV10" s="147" t="str">
        <f>IF('All Fleet'!OR49="","",'All Fleet'!OS49)</f>
        <v/>
      </c>
      <c r="OW10" s="147" t="str">
        <f>IF('All Fleet'!OS49="","",'All Fleet'!OT49)</f>
        <v/>
      </c>
      <c r="OX10" s="147" t="str">
        <f>IF('All Fleet'!OT49="","",'All Fleet'!OU49)</f>
        <v/>
      </c>
      <c r="OY10" s="147" t="str">
        <f>IF('All Fleet'!OU49="","",'All Fleet'!OV49)</f>
        <v/>
      </c>
      <c r="OZ10" s="148" t="str">
        <f>IF('All Fleet'!OV49="","",'All Fleet'!OW49)</f>
        <v/>
      </c>
    </row>
    <row r="11" spans="1:416" s="168" customFormat="1" ht="15" customHeight="1" x14ac:dyDescent="0.2">
      <c r="A11" s="138" t="b">
        <f t="shared" si="376"/>
        <v>0</v>
      </c>
      <c r="B11" s="139">
        <v>8</v>
      </c>
      <c r="C11" s="144" t="str">
        <f t="shared" ref="C11:D13" si="380">C10</f>
        <v>Mechanical Availability</v>
      </c>
      <c r="D11" s="146" t="str">
        <f t="shared" si="380"/>
        <v>777E Expro</v>
      </c>
      <c r="E11" s="191" t="s">
        <v>31</v>
      </c>
      <c r="F11" s="157">
        <f>IF('All Fleet'!C62="","",'All Fleet'!C62)</f>
        <v>1</v>
      </c>
      <c r="G11" s="157">
        <f>IF('All Fleet'!D62="","",'All Fleet'!D62)</f>
        <v>1</v>
      </c>
      <c r="H11" s="157">
        <f>IF('All Fleet'!E62="","",'All Fleet'!E62)</f>
        <v>0.99333333333333329</v>
      </c>
      <c r="I11" s="157">
        <f>IF('All Fleet'!F62="","",'All Fleet'!F62)</f>
        <v>0.995</v>
      </c>
      <c r="J11" s="157">
        <f>IF('All Fleet'!G62="","",'All Fleet'!G62)</f>
        <v>0.996</v>
      </c>
      <c r="K11" s="157">
        <f>IF('All Fleet'!H62="","",'All Fleet'!H62)</f>
        <v>0.98663888888888884</v>
      </c>
      <c r="L11" s="157">
        <f>IF('All Fleet'!I62="","",'All Fleet'!I62)</f>
        <v>0.98679761904761909</v>
      </c>
      <c r="M11" s="157">
        <f>IF('All Fleet'!J62="","",'All Fleet'!J62)</f>
        <v>0.96084375</v>
      </c>
      <c r="N11" s="157">
        <f>IF('All Fleet'!K62="","",'All Fleet'!K62)</f>
        <v>0.96403703703703703</v>
      </c>
      <c r="O11" s="157">
        <f>IF('All Fleet'!L62="","",'All Fleet'!L62)</f>
        <v>0.96077500000000005</v>
      </c>
      <c r="P11" s="157">
        <f>IF('All Fleet'!M62="","",'All Fleet'!M62)</f>
        <v>0.93678787878787873</v>
      </c>
      <c r="Q11" s="157">
        <f>IF('All Fleet'!N62="","",'All Fleet'!N62)</f>
        <v>0.93608333333333338</v>
      </c>
      <c r="R11" s="157">
        <f>IF('All Fleet'!O62="","",'All Fleet'!O62)</f>
        <v>0.913551282051282</v>
      </c>
      <c r="S11" s="157">
        <f>IF('All Fleet'!P62="","",'All Fleet'!P62)</f>
        <v>0.91972619047619042</v>
      </c>
      <c r="T11" s="157">
        <f>IF('All Fleet'!Q62="","",'All Fleet'!Q62)</f>
        <v>0.92149444444444439</v>
      </c>
      <c r="U11" s="157">
        <f>IF('All Fleet'!R62="","",'All Fleet'!R62)</f>
        <v>0.91071875000000002</v>
      </c>
      <c r="V11" s="157">
        <f>IF('All Fleet'!S62="","",'All Fleet'!S62)</f>
        <v>0.91547058823529415</v>
      </c>
      <c r="W11" s="157">
        <f>IF('All Fleet'!T62="","",'All Fleet'!T62)</f>
        <v>0.91765277777777776</v>
      </c>
      <c r="X11" s="157">
        <f>IF('All Fleet'!U62="","",'All Fleet'!U62)</f>
        <v>0.9205526315789474</v>
      </c>
      <c r="Y11" s="157">
        <f>IF('All Fleet'!V62="","",'All Fleet'!V62)</f>
        <v>0.91878749999999998</v>
      </c>
      <c r="Z11" s="157">
        <f>IF('All Fleet'!W62="","",'All Fleet'!W62)</f>
        <v>0.92256746031746029</v>
      </c>
      <c r="AA11" s="157">
        <f>IF('All Fleet'!X62="","",'All Fleet'!X62)</f>
        <v>0.91625378787878786</v>
      </c>
      <c r="AB11" s="157">
        <f>IF('All Fleet'!Y62="","",'All Fleet'!Y62)</f>
        <v>0.89976811594202899</v>
      </c>
      <c r="AC11" s="157">
        <f>IF('All Fleet'!Z62="","",'All Fleet'!Z62)</f>
        <v>0.9006805555555556</v>
      </c>
      <c r="AD11" s="157">
        <f>IF('All Fleet'!AA62="","",'All Fleet'!AA62)</f>
        <v>0.90347</v>
      </c>
      <c r="AE11" s="157">
        <f>IF('All Fleet'!AB62="","",'All Fleet'!AB62)</f>
        <v>0.90718269230769233</v>
      </c>
      <c r="AF11" s="157">
        <f>IF('All Fleet'!AC62="","",'All Fleet'!AC62)</f>
        <v>0.91026234567901232</v>
      </c>
      <c r="AG11" s="157">
        <f>IF('All Fleet'!AD62="","",'All Fleet'!AD62)</f>
        <v>0.90081845238095237</v>
      </c>
      <c r="AH11" s="157">
        <f>IF('All Fleet'!AE62="","",'All Fleet'!AE62)</f>
        <v>0.9042385057471265</v>
      </c>
      <c r="AI11" s="157">
        <f>IF('All Fleet'!AF62="","",'All Fleet'!AF62)</f>
        <v>0.9032</v>
      </c>
      <c r="AJ11" s="157">
        <f>IF('All Fleet'!AG62="","",'All Fleet'!AG62)</f>
        <v>0.90471505376344086</v>
      </c>
      <c r="AK11" s="157">
        <f>IF('All Fleet'!AH62="","",'All Fleet'!AH62)</f>
        <v>0.9071796875</v>
      </c>
      <c r="AL11" s="157">
        <f>IF('All Fleet'!AI62="","",'All Fleet'!AI62)</f>
        <v>0.90423737373737367</v>
      </c>
      <c r="AM11" s="157">
        <f>IF('All Fleet'!AJ62="","",'All Fleet'!AJ62)</f>
        <v>0.90557843137254901</v>
      </c>
      <c r="AN11" s="157">
        <f>IF('All Fleet'!AK62="","",'All Fleet'!AK62)</f>
        <v>0.9064023809523809</v>
      </c>
      <c r="AO11" s="157">
        <f>IF('All Fleet'!AL62="","",'All Fleet'!AL62)</f>
        <v>0.9074861111111111</v>
      </c>
      <c r="AP11" s="157">
        <f>IF('All Fleet'!AM62="","",'All Fleet'!AM62)</f>
        <v>0.90504054054054051</v>
      </c>
      <c r="AQ11" s="157">
        <f>IF('All Fleet'!AN62="","",'All Fleet'!AN62)</f>
        <v>0.90645175438596493</v>
      </c>
      <c r="AR11" s="157">
        <f>IF('All Fleet'!AO62="","",'All Fleet'!AO62)</f>
        <v>0.90581623931623934</v>
      </c>
      <c r="AS11" s="157">
        <f>IF('All Fleet'!AP62="","",'All Fleet'!AP62)</f>
        <v>0.90448541666666671</v>
      </c>
      <c r="AT11" s="157">
        <f>IF('All Fleet'!AQ62="","",'All Fleet'!AQ62)</f>
        <v>0.90307317073170734</v>
      </c>
      <c r="AU11" s="157">
        <f>IF('All Fleet'!AR62="","",'All Fleet'!AR62)</f>
        <v>0.9020853174603175</v>
      </c>
      <c r="AV11" s="157">
        <f>IF('All Fleet'!AS62="","",'All Fleet'!AS62)</f>
        <v>0.90065116279069768</v>
      </c>
      <c r="AW11" s="157">
        <f>IF('All Fleet'!AT62="","",'All Fleet'!AT62)</f>
        <v>0.90237689393939391</v>
      </c>
      <c r="AX11" s="157">
        <f>IF('All Fleet'!AU62="","",'All Fleet'!AU62)</f>
        <v>0.90076481481481485</v>
      </c>
      <c r="AY11" s="157">
        <f>IF('All Fleet'!AV62="","",'All Fleet'!AV62)</f>
        <v>0.89775543478260866</v>
      </c>
      <c r="AZ11" s="157">
        <f>IF('All Fleet'!AW62="","",'All Fleet'!AW62)</f>
        <v>0.89751063829787237</v>
      </c>
      <c r="BA11" s="157">
        <f>IF('All Fleet'!AX62="","",'All Fleet'!AX62)</f>
        <v>0.89909201388888893</v>
      </c>
      <c r="BB11" s="157">
        <f>IF('All Fleet'!AY62="","",'All Fleet'!AY62)</f>
        <v>0.89525850340136048</v>
      </c>
      <c r="BC11" s="157">
        <f>IF('All Fleet'!AZ62="","",'All Fleet'!AZ62)</f>
        <v>0.89337166666666668</v>
      </c>
      <c r="BD11" s="157">
        <f>IF('All Fleet'!BA62="","",'All Fleet'!BA62)</f>
        <v>0.89110620915032679</v>
      </c>
      <c r="BE11" s="157">
        <f>IF('All Fleet'!BB62="","",'All Fleet'!BB62)</f>
        <v>0.89275480769230764</v>
      </c>
      <c r="BF11" s="157">
        <f>IF('All Fleet'!BC62="","",'All Fleet'!BC62)</f>
        <v>0.89294496855345917</v>
      </c>
      <c r="BG11" s="157">
        <f>IF('All Fleet'!BD62="","",'All Fleet'!BD62)</f>
        <v>0.89442283950617285</v>
      </c>
      <c r="BH11" s="157">
        <f>IF('All Fleet'!BE62="","",'All Fleet'!BE62)</f>
        <v>0.89562878787878786</v>
      </c>
      <c r="BI11" s="157">
        <f>IF('All Fleet'!BF62="","",'All Fleet'!BF62)</f>
        <v>0.89690922619047619</v>
      </c>
      <c r="BJ11" s="157">
        <f>IF('All Fleet'!BG62="","",'All Fleet'!BG62)</f>
        <v>0.89801169590643271</v>
      </c>
      <c r="BK11" s="157">
        <f>IF('All Fleet'!BH62="","",'All Fleet'!BH62)</f>
        <v>0.89922413793103451</v>
      </c>
      <c r="BL11" s="157">
        <f>IF('All Fleet'!BI62="","",'All Fleet'!BI62)</f>
        <v>0.89969915254237287</v>
      </c>
      <c r="BM11" s="157">
        <f>IF('All Fleet'!BJ62="","",'All Fleet'!BJ62)</f>
        <v>0.89704722222222222</v>
      </c>
      <c r="BN11" s="157">
        <f>IF('All Fleet'!BK62="","",'All Fleet'!BK62)</f>
        <v>0.8948265027322404</v>
      </c>
      <c r="BO11" s="157">
        <f>IF('All Fleet'!BL62="","",'All Fleet'!BL62)</f>
        <v>0.89073655913978489</v>
      </c>
      <c r="BP11" s="157">
        <f>IF('All Fleet'!BM62="","",'All Fleet'!BM62)</f>
        <v>0.89247089947089941</v>
      </c>
      <c r="BQ11" s="157">
        <f>IF('All Fleet'!BN62="","",'All Fleet'!BN62)</f>
        <v>0.8909348958333333</v>
      </c>
      <c r="BR11" s="157">
        <f>IF('All Fleet'!BO62="","",'All Fleet'!BO62)</f>
        <v>0.88947051282051282</v>
      </c>
      <c r="BS11" s="157">
        <f>IF('All Fleet'!BP62="","",'All Fleet'!BP62)</f>
        <v>0.89063510101010102</v>
      </c>
      <c r="BT11" s="157">
        <f>IF('All Fleet'!BQ62="","",'All Fleet'!BQ62)</f>
        <v>0.89152238805970152</v>
      </c>
      <c r="BU11" s="157">
        <f>IF('All Fleet'!BR62="","",'All Fleet'!BR62)</f>
        <v>0.89081004901960781</v>
      </c>
      <c r="BV11" s="157">
        <f>IF('All Fleet'!BS62="","",'All Fleet'!BS62)</f>
        <v>0.88962922705314007</v>
      </c>
      <c r="BW11" s="157">
        <f>IF('All Fleet'!BT62="","",'All Fleet'!BT62)</f>
        <v>0.89047142857142858</v>
      </c>
      <c r="BX11" s="157">
        <f>IF('All Fleet'!BU62="","",'All Fleet'!BU62)</f>
        <v>0.89133568075117364</v>
      </c>
      <c r="BY11" s="157">
        <f>IF('All Fleet'!BV62="","",'All Fleet'!BV62)</f>
        <v>0.89076041666666661</v>
      </c>
      <c r="BZ11" s="157">
        <f>IF('All Fleet'!BW62="","",'All Fleet'!BW62)</f>
        <v>0.89086415525114149</v>
      </c>
      <c r="CA11" s="157">
        <f>IF('All Fleet'!BX62="","",'All Fleet'!BX62)</f>
        <v>0.89205518018018015</v>
      </c>
      <c r="CB11" s="157">
        <f>IF('All Fleet'!BY62="","",'All Fleet'!BY62)</f>
        <v>0.89291666666666658</v>
      </c>
      <c r="CC11" s="157">
        <f>IF('All Fleet'!BZ62="","",'All Fleet'!BZ62)</f>
        <v>0.89393859649122809</v>
      </c>
      <c r="CD11" s="157">
        <f>IF('All Fleet'!CA62="","",'All Fleet'!CA62)</f>
        <v>0.8939220779220779</v>
      </c>
      <c r="CE11" s="157">
        <f>IF('All Fleet'!CB62="","",'All Fleet'!CB62)</f>
        <v>0.88860790598290595</v>
      </c>
      <c r="CF11" s="157">
        <f>IF('All Fleet'!CC62="","",'All Fleet'!CC62)</f>
        <v>0.88478691983122359</v>
      </c>
      <c r="CG11" s="157">
        <f>IF('All Fleet'!CD62="","",'All Fleet'!CD62)</f>
        <v>0.88541562500000004</v>
      </c>
      <c r="CH11" s="157">
        <f>IF('All Fleet'!CE62="","",'All Fleet'!CE62)</f>
        <v>0.88683024691358026</v>
      </c>
      <c r="CI11" s="157">
        <f>IF('All Fleet'!CF62="","",'All Fleet'!CF62)</f>
        <v>0.88641565040650405</v>
      </c>
      <c r="CJ11" s="157">
        <f>IF('All Fleet'!CG62="","",'All Fleet'!CG62)</f>
        <v>0.8877520080321285</v>
      </c>
      <c r="CK11" s="157">
        <f>IF('All Fleet'!CH62="","",'All Fleet'!CH62)</f>
        <v>0.88860218253968248</v>
      </c>
      <c r="CL11" s="157">
        <f>IF('All Fleet'!CI62="","",'All Fleet'!CI62)</f>
        <v>0.88877058823529409</v>
      </c>
      <c r="CM11" s="157">
        <f>IF('All Fleet'!CJ62="","",'All Fleet'!CJ62)</f>
        <v>0.88906976744186039</v>
      </c>
      <c r="CN11" s="157">
        <f>IF('All Fleet'!CK62="","",'All Fleet'!CK62)</f>
        <v>0.89034482758620692</v>
      </c>
      <c r="CO11" s="157">
        <f>IF('All Fleet'!CL62="","",'All Fleet'!CL62)</f>
        <v>0.89139393939393941</v>
      </c>
      <c r="CP11" s="157">
        <f>IF('All Fleet'!CM62="","",'All Fleet'!CM62)</f>
        <v>0.88995411985018724</v>
      </c>
      <c r="CQ11" s="157">
        <f>IF('All Fleet'!CN62="","",'All Fleet'!CN62)</f>
        <v>0.89018148148148146</v>
      </c>
      <c r="CR11" s="157">
        <f>IF('All Fleet'!CO62="","",'All Fleet'!CO62)</f>
        <v>0.88818681318681314</v>
      </c>
      <c r="CS11" s="157">
        <f>IF('All Fleet'!CP62="","",'All Fleet'!CP62)</f>
        <v>0.8884184782608695</v>
      </c>
      <c r="CT11" s="157">
        <f>IF('All Fleet'!CQ62="","",'All Fleet'!CQ62)</f>
        <v>0.88803046594982082</v>
      </c>
      <c r="CU11" s="157">
        <f>IF('All Fleet'!CR62="","",'All Fleet'!CR62)</f>
        <v>0.88629787234042556</v>
      </c>
      <c r="CV11" s="157">
        <f>IF('All Fleet'!CS62="","",'All Fleet'!CS62)</f>
        <v>0.88475964912280702</v>
      </c>
      <c r="CW11" s="157">
        <f>IF('All Fleet'!CT62="","",'All Fleet'!CT62)</f>
        <v>0.88439756944444448</v>
      </c>
      <c r="CX11" s="157">
        <f>IF('All Fleet'!CU62="","",'All Fleet'!CU62)</f>
        <v>0.88468986254295534</v>
      </c>
      <c r="CY11" s="157">
        <f>IF('All Fleet'!CV62="","",'All Fleet'!CV62)</f>
        <v>0.88574489795918365</v>
      </c>
      <c r="CZ11" s="157">
        <f>IF('All Fleet'!CW62="","",'All Fleet'!CW62)</f>
        <v>0.88689898989898985</v>
      </c>
      <c r="DA11" s="157">
        <f>IF('All Fleet'!CX62="","",'All Fleet'!CX62)</f>
        <v>0.88802999999999999</v>
      </c>
      <c r="DB11" s="157">
        <f>IF('All Fleet'!CY62="","",'All Fleet'!CY62)</f>
        <v>0.88774174917491744</v>
      </c>
      <c r="DC11" s="157">
        <f>IF('All Fleet'!CZ62="","",'All Fleet'!CZ62)</f>
        <v>0.88884232026143795</v>
      </c>
      <c r="DD11" s="157">
        <f>IF('All Fleet'!DA62="","",'All Fleet'!DA62)</f>
        <v>0.88851456310679611</v>
      </c>
      <c r="DE11" s="157">
        <f>IF('All Fleet'!DB62="","",'All Fleet'!DB62)</f>
        <v>0.88923557692307698</v>
      </c>
      <c r="DF11" s="157">
        <f>IF('All Fleet'!DC62="","",'All Fleet'!DC62)</f>
        <v>0.89029047619047619</v>
      </c>
      <c r="DG11" s="157">
        <f>IF('All Fleet'!DD62="","",'All Fleet'!DD62)</f>
        <v>0.89023977987421388</v>
      </c>
      <c r="DH11" s="157">
        <f>IF('All Fleet'!DE62="","",'All Fleet'!DE62)</f>
        <v>0.89035436137071655</v>
      </c>
      <c r="DI11" s="157">
        <f>IF('All Fleet'!DF62="","",'All Fleet'!DF62)</f>
        <v>0.89121527777777776</v>
      </c>
      <c r="DJ11" s="157">
        <f>IF('All Fleet'!DG62="","",'All Fleet'!DG62)</f>
        <v>0.8910474006116208</v>
      </c>
      <c r="DK11" s="157">
        <f>IF('All Fleet'!DH62="","",'All Fleet'!DH62)</f>
        <v>0.8886484848484848</v>
      </c>
      <c r="DL11" s="157">
        <f>IF('All Fleet'!DI62="","",'All Fleet'!DI62)</f>
        <v>0.88951351351351349</v>
      </c>
      <c r="DM11" s="157">
        <f>IF('All Fleet'!DJ62="","",'All Fleet'!DJ62)</f>
        <v>0.89003422619047623</v>
      </c>
      <c r="DN11" s="157">
        <f>IF('All Fleet'!DK62="","",'All Fleet'!DK62)</f>
        <v>0.89073525073746318</v>
      </c>
      <c r="DO11" s="157">
        <f>IF('All Fleet'!DL62="","",'All Fleet'!DL62)</f>
        <v>0.89142909356725142</v>
      </c>
      <c r="DP11" s="157">
        <f>IF('All Fleet'!DM62="","",'All Fleet'!DM62)</f>
        <v>0.89237318840579705</v>
      </c>
      <c r="DQ11" s="157">
        <f>IF('All Fleet'!DN62="","",'All Fleet'!DN62)</f>
        <v>0.89330100574712645</v>
      </c>
      <c r="DR11" s="157">
        <f>IF('All Fleet'!DO62="","",'All Fleet'!DO62)</f>
        <v>0.89358974358974363</v>
      </c>
      <c r="DS11" s="157">
        <f>IF('All Fleet'!DP62="","",'All Fleet'!DP62)</f>
        <v>0.89391949152542372</v>
      </c>
      <c r="DT11" s="157">
        <f>IF('All Fleet'!DQ62="","",'All Fleet'!DQ62)</f>
        <v>0.8947317927170868</v>
      </c>
      <c r="DU11" s="157">
        <f>IF('All Fleet'!DR62="","",'All Fleet'!DR62)</f>
        <v>0.89310763888888889</v>
      </c>
      <c r="DV11" s="157">
        <f>IF('All Fleet'!DS62="","",'All Fleet'!DS62)</f>
        <v>0.89286294765840224</v>
      </c>
      <c r="DW11" s="157">
        <f>IF('All Fleet'!DT62="","",'All Fleet'!DT62)</f>
        <v>0.89340232240437156</v>
      </c>
      <c r="DX11" s="157">
        <f>IF('All Fleet'!DU62="","",'All Fleet'!DU62)</f>
        <v>0.89183333333333337</v>
      </c>
      <c r="DY11" s="157">
        <f>IF('All Fleet'!DV62="","",'All Fleet'!DV62)</f>
        <v>0.89231249999999995</v>
      </c>
      <c r="DZ11" s="157">
        <f>IF('All Fleet'!DW62="","",'All Fleet'!DW62)</f>
        <v>0.89308933333333329</v>
      </c>
      <c r="EA11" s="157">
        <f>IF('All Fleet'!DX62="","",'All Fleet'!DX62)</f>
        <v>0.89300859788359788</v>
      </c>
      <c r="EB11" s="157">
        <f>IF('All Fleet'!DY62="","",'All Fleet'!DY62)</f>
        <v>0.89354986876640419</v>
      </c>
      <c r="EC11" s="157">
        <f>IF('All Fleet'!DZ62="","",'All Fleet'!DZ62)</f>
        <v>0.89309049479166669</v>
      </c>
      <c r="ED11" s="157">
        <f>IF('All Fleet'!EA62="","",'All Fleet'!EA62)</f>
        <v>0.89391925064599487</v>
      </c>
      <c r="EE11" s="157">
        <f>IF('All Fleet'!EB62="","",'All Fleet'!EB62)</f>
        <v>0.8942230769230769</v>
      </c>
      <c r="EF11" s="157">
        <f>IF('All Fleet'!EC62="","",'All Fleet'!EC62)</f>
        <v>0.89231806615776077</v>
      </c>
      <c r="EG11" s="157">
        <f>IF('All Fleet'!ED62="","",'All Fleet'!ED62)</f>
        <v>0.89224368686868682</v>
      </c>
      <c r="EH11" s="157">
        <f>IF('All Fleet'!EE62="","",'All Fleet'!EE62)</f>
        <v>0.89009461152882208</v>
      </c>
      <c r="EI11" s="157">
        <f>IF('All Fleet'!EF62="","",'All Fleet'!EF62)</f>
        <v>0.89091480099502485</v>
      </c>
      <c r="EJ11" s="157">
        <f>IF('All Fleet'!EG62="","",'All Fleet'!EG62)</f>
        <v>0.88925864197530857</v>
      </c>
      <c r="EK11" s="157">
        <f>IF('All Fleet'!EH62="","",'All Fleet'!EH62)</f>
        <v>0.89005024509803921</v>
      </c>
      <c r="EL11" s="157">
        <f>IF('All Fleet'!EI62="","",'All Fleet'!EI62)</f>
        <v>0.88909610705596109</v>
      </c>
      <c r="EM11" s="157">
        <f>IF('All Fleet'!EJ62="","",'All Fleet'!EJ62)</f>
        <v>0.88908695652173919</v>
      </c>
      <c r="EN11" s="157">
        <f>IF('All Fleet'!EK62="","",'All Fleet'!EK62)</f>
        <v>0.88941127098321338</v>
      </c>
      <c r="EO11" s="157">
        <f>IF('All Fleet'!EL62="","",'All Fleet'!EL62)</f>
        <v>0.88870416666666663</v>
      </c>
      <c r="EP11" s="157">
        <f>IF('All Fleet'!EM62="","",'All Fleet'!EM62)</f>
        <v>0.88886879432624111</v>
      </c>
      <c r="EQ11" s="157">
        <f>IF('All Fleet'!EN62="","",'All Fleet'!EN62)</f>
        <v>0.88952816901408449</v>
      </c>
      <c r="ER11" s="157">
        <f>IF('All Fleet'!EO62="","",'All Fleet'!EO62)</f>
        <v>0.88867307692307695</v>
      </c>
      <c r="ES11" s="157">
        <f>IF('All Fleet'!EP62="","",'All Fleet'!EP62)</f>
        <v>0.88742824074074078</v>
      </c>
      <c r="ET11" s="157">
        <f>IF('All Fleet'!EQ62="","",'All Fleet'!EQ62)</f>
        <v>0.88801034482758623</v>
      </c>
      <c r="EU11" s="157">
        <f>IF('All Fleet'!ER62="","",'All Fleet'!ER62)</f>
        <v>0.88824086757990872</v>
      </c>
      <c r="EV11" s="157">
        <f>IF('All Fleet'!ES62="","",'All Fleet'!ES62)</f>
        <v>0.88856179138322</v>
      </c>
      <c r="EW11" s="157">
        <f>IF('All Fleet'!ET62="","",'All Fleet'!ET62)</f>
        <v>0.88894707207207202</v>
      </c>
      <c r="EX11" s="157">
        <f>IF('All Fleet'!EU62="","",'All Fleet'!EU62)</f>
        <v>0.88969239373601794</v>
      </c>
      <c r="EY11" s="157">
        <f>IF('All Fleet'!EV62="","",'All Fleet'!EV62)</f>
        <v>0.89042777777777782</v>
      </c>
      <c r="EZ11" s="157">
        <f>IF('All Fleet'!EW62="","",'All Fleet'!EW62)</f>
        <v>0.89115342163355404</v>
      </c>
      <c r="FA11" s="157">
        <f>IF('All Fleet'!EX62="","",'All Fleet'!EX62)</f>
        <v>0.89186951754385968</v>
      </c>
      <c r="FB11" s="157">
        <f>IF('All Fleet'!EY62="","",'All Fleet'!EY62)</f>
        <v>0.89257625272331154</v>
      </c>
      <c r="FC11" s="157">
        <f>IF('All Fleet'!EZ62="","",'All Fleet'!EZ62)</f>
        <v>0.89327380952380953</v>
      </c>
      <c r="FD11" s="157">
        <f>IF('All Fleet'!FA62="","",'All Fleet'!FA62)</f>
        <v>0.89396236559139786</v>
      </c>
      <c r="FE11" s="157">
        <f>IF('All Fleet'!FB62="","",'All Fleet'!FB62)</f>
        <v>0.89464209401709405</v>
      </c>
      <c r="FF11" s="157">
        <f>IF('All Fleet'!FC62="","",'All Fleet'!FC62)</f>
        <v>0.89531316348195333</v>
      </c>
      <c r="FG11" s="157">
        <f>IF('All Fleet'!FD62="","",'All Fleet'!FD62)</f>
        <v>0.8957357594936709</v>
      </c>
      <c r="FH11" s="157">
        <f>IF('All Fleet'!FE62="","",'All Fleet'!FE62)</f>
        <v>0.8949696016771489</v>
      </c>
      <c r="FI11" s="157">
        <f>IF('All Fleet'!FF62="","",'All Fleet'!FF62)</f>
        <v>0.89502760416666671</v>
      </c>
      <c r="FJ11" s="157">
        <f>IF('All Fleet'!FG62="","",'All Fleet'!FG62)</f>
        <v>0.89440476190476192</v>
      </c>
      <c r="FK11" s="157">
        <f>IF('All Fleet'!FH62="","",'All Fleet'!FH62)</f>
        <v>0.89446244855967083</v>
      </c>
      <c r="FL11" s="157">
        <f>IF('All Fleet'!FI62="","",'All Fleet'!FI62)</f>
        <v>0.89394836400818001</v>
      </c>
      <c r="FM11" s="157">
        <f>IF('All Fleet'!FJ62="","",'All Fleet'!FJ62)</f>
        <v>0.89424034552845533</v>
      </c>
      <c r="FN11" s="157">
        <f>IF('All Fleet'!FK62="","",'All Fleet'!FK62)</f>
        <v>0.89372828282828287</v>
      </c>
      <c r="FO11" s="157">
        <f>IF('All Fleet'!FL62="","",'All Fleet'!FL62)</f>
        <v>0.89420783132530124</v>
      </c>
      <c r="FP11" s="157">
        <f>IF('All Fleet'!FM62="","",'All Fleet'!FM62)</f>
        <v>0.89458582834331335</v>
      </c>
      <c r="FQ11" s="157">
        <f>IF('All Fleet'!FN62="","",'All Fleet'!FN62)</f>
        <v>0.89521329365079361</v>
      </c>
      <c r="FR11" s="157">
        <f>IF('All Fleet'!FO62="","",'All Fleet'!FO62)</f>
        <v>0.89427218934911246</v>
      </c>
      <c r="FS11" s="157">
        <f>IF('All Fleet'!FP62="","",'All Fleet'!FP62)</f>
        <v>0.89173529411764707</v>
      </c>
      <c r="FT11" s="157">
        <f>IF('All Fleet'!FQ62="","",'All Fleet'!FQ62)</f>
        <v>0.89191861598440547</v>
      </c>
      <c r="FU11" s="157">
        <f>IF('All Fleet'!FR62="","",'All Fleet'!FR62)</f>
        <v>0.88508478682170544</v>
      </c>
      <c r="FV11" s="157">
        <f>IF('All Fleet'!FS62="","",'All Fleet'!FS62)</f>
        <v>0.88505202312138731</v>
      </c>
      <c r="FW11" s="157">
        <f>IF('All Fleet'!FT62="","",'All Fleet'!FT62)</f>
        <v>0.88443007662835249</v>
      </c>
      <c r="FX11" s="157">
        <f>IF('All Fleet'!FU62="","",'All Fleet'!FU62)</f>
        <v>0.8840514285714286</v>
      </c>
      <c r="FY11" s="157">
        <f>IF('All Fleet'!FV62="","",'All Fleet'!FV62)</f>
        <v>0.88371070075757574</v>
      </c>
      <c r="FZ11" s="157">
        <f>IF('All Fleet'!FW62="","",'All Fleet'!FW62)</f>
        <v>0.88341619585687381</v>
      </c>
      <c r="GA11" s="157">
        <f>IF('All Fleet'!FX62="","",'All Fleet'!FX62)</f>
        <v>0.88320458801498125</v>
      </c>
      <c r="GB11" s="157">
        <f>IF('All Fleet'!FY62="","",'All Fleet'!FY62)</f>
        <v>0.87094459962756055</v>
      </c>
      <c r="GC11" s="157">
        <f>IF('All Fleet'!FZ62="","",'All Fleet'!FZ62)</f>
        <v>0.8711282407407408</v>
      </c>
      <c r="GD11" s="157">
        <f>IF('All Fleet'!GA62="","",'All Fleet'!GA62)</f>
        <v>0.87178038674033154</v>
      </c>
      <c r="GE11" s="157">
        <f>IF('All Fleet'!GB62="","",'All Fleet'!GB62)</f>
        <v>0.86954761904761901</v>
      </c>
      <c r="GF11" s="157">
        <f>IF('All Fleet'!GC62="","",'All Fleet'!GC62)</f>
        <v>0.86958333333333337</v>
      </c>
      <c r="GG11" s="157">
        <f>IF('All Fleet'!GD62="","",'All Fleet'!GD62)</f>
        <v>0.86919384057971016</v>
      </c>
      <c r="GH11" s="157">
        <f>IF('All Fleet'!GE62="","",'All Fleet'!GE62)</f>
        <v>0.86829729729729732</v>
      </c>
      <c r="GI11" s="157">
        <f>IF('All Fleet'!GF62="","",'All Fleet'!GF62)</f>
        <v>0.86857302867383512</v>
      </c>
      <c r="GJ11" s="157">
        <f>IF('All Fleet'!GG62="","",'All Fleet'!GG62)</f>
        <v>0.86521167557932266</v>
      </c>
      <c r="GK11" s="157">
        <f>IF('All Fleet'!GH62="","",'All Fleet'!GH62)</f>
        <v>0.86488696808510634</v>
      </c>
      <c r="GL11" s="157">
        <f>IF('All Fleet'!GI62="","",'All Fleet'!GI62)</f>
        <v>0.86531878306878307</v>
      </c>
      <c r="GM11" s="157">
        <f>IF('All Fleet'!GJ62="","",'All Fleet'!GJ62)</f>
        <v>0.8657473684210526</v>
      </c>
      <c r="GN11" s="157">
        <f>IF('All Fleet'!GK62="","",'All Fleet'!GK62)</f>
        <v>0.86645026178010465</v>
      </c>
      <c r="GO11" s="157">
        <f>IF('All Fleet'!GL62="","",'All Fleet'!GL62)</f>
        <v>0.85886111111111108</v>
      </c>
      <c r="GP11" s="157">
        <f>IF('All Fleet'!GM62="","",'All Fleet'!GM62)</f>
        <v>0.85903497409326424</v>
      </c>
      <c r="GQ11" s="157">
        <f>IF('All Fleet'!GN62="","",'All Fleet'!GN62)</f>
        <v>0.85976159793814433</v>
      </c>
      <c r="GR11" s="157">
        <f>IF('All Fleet'!GO62="","",'All Fleet'!GO62)</f>
        <v>0.86048076923076922</v>
      </c>
      <c r="GS11" s="157">
        <f>IF('All Fleet'!GP62="","",'All Fleet'!GP62)</f>
        <v>0.86119260204081638</v>
      </c>
      <c r="GT11" s="157">
        <f>IF('All Fleet'!GQ62="","",'All Fleet'!GQ62)</f>
        <v>0.86189720812182746</v>
      </c>
      <c r="GU11" s="157">
        <f>IF('All Fleet'!GR62="","",'All Fleet'!GR62)</f>
        <v>0.86057786195286201</v>
      </c>
      <c r="GV11" s="157">
        <f>IF('All Fleet'!GS62="","",'All Fleet'!GS62)</f>
        <v>0.86127847571189287</v>
      </c>
      <c r="GW11" s="157">
        <f>IF('All Fleet'!GT62="","",'All Fleet'!GT62)</f>
        <v>0.86148958333333336</v>
      </c>
      <c r="GX11" s="157">
        <f>IF('All Fleet'!GU62="","",'All Fleet'!GU62)</f>
        <v>0.8601961028192372</v>
      </c>
      <c r="GY11" s="157">
        <f>IF('All Fleet'!GV62="","",'All Fleet'!GV62)</f>
        <v>0.860888201320132</v>
      </c>
      <c r="GZ11" s="157">
        <f>IF('All Fleet'!GW62="","",'All Fleet'!GW62)</f>
        <v>0.85978448275862074</v>
      </c>
      <c r="HA11" s="157">
        <f>IF('All Fleet'!GX62="","",'All Fleet'!GX62)</f>
        <v>0.8604718137254902</v>
      </c>
      <c r="HB11" s="157">
        <f>IF('All Fleet'!GY62="","",'All Fleet'!GY62)</f>
        <v>0.8611524390243902</v>
      </c>
      <c r="HC11" s="157">
        <f>IF('All Fleet'!GZ62="","",'All Fleet'!GZ62)</f>
        <v>0.86182645631067967</v>
      </c>
      <c r="HD11" s="157">
        <f>IF('All Fleet'!HA62="","",'All Fleet'!HA62)</f>
        <v>0.86249396135265699</v>
      </c>
      <c r="HE11" s="157">
        <f>IF('All Fleet'!HB62="","",'All Fleet'!HB62)</f>
        <v>0.86304807692307695</v>
      </c>
      <c r="HF11" s="157">
        <f>IF('All Fleet'!HC62="","",'All Fleet'!HC62)</f>
        <v>0.86290789473684204</v>
      </c>
      <c r="HG11" s="157">
        <f>IF('All Fleet'!HD62="","",'All Fleet'!HD62)</f>
        <v>0.86285912698412703</v>
      </c>
      <c r="HH11" s="157">
        <f>IF('All Fleet'!HE62="","",'All Fleet'!HE62)</f>
        <v>0.86350908372827806</v>
      </c>
      <c r="HI11" s="157">
        <f>IF('All Fleet'!HF62="","",'All Fleet'!HF62)</f>
        <v>0.86355149371069184</v>
      </c>
      <c r="HJ11" s="157">
        <f>IF('All Fleet'!HG62="","",'All Fleet'!HG62)</f>
        <v>0.86352088767170931</v>
      </c>
      <c r="HK11" s="157">
        <f>IF('All Fleet'!HH62="","",'All Fleet'!HH62)</f>
        <v>0.86394450934579436</v>
      </c>
      <c r="HL11" s="157">
        <f>IF('All Fleet'!HI62="","",'All Fleet'!HI62)</f>
        <v>0.8635112833763996</v>
      </c>
      <c r="HM11" s="157">
        <f>IF('All Fleet'!HJ62="","",'All Fleet'!HJ62)</f>
        <v>0.86382868227023324</v>
      </c>
      <c r="HN11" s="157">
        <f>IF('All Fleet'!HK62="","",'All Fleet'!HK62)</f>
        <v>0.86366621863799287</v>
      </c>
      <c r="HO11" s="157">
        <f>IF('All Fleet'!HL62="","",'All Fleet'!HL62)</f>
        <v>0.86349451027862723</v>
      </c>
      <c r="HP11" s="157">
        <f>IF('All Fleet'!HM62="","",'All Fleet'!HM62)</f>
        <v>0.86308390410958902</v>
      </c>
      <c r="HQ11" s="157">
        <f>IF('All Fleet'!HN62="","",'All Fleet'!HN62)</f>
        <v>0.8631330913299663</v>
      </c>
      <c r="HR11" s="157">
        <f>IF('All Fleet'!HO62="","",'All Fleet'!HO62)</f>
        <v>0.86373865635997982</v>
      </c>
      <c r="HS11" s="157">
        <f>IF('All Fleet'!HP62="","",'All Fleet'!HP62)</f>
        <v>0.86301978019686354</v>
      </c>
      <c r="HT11" s="157">
        <f>IF('All Fleet'!HQ62="","",'All Fleet'!HQ62)</f>
        <v>0.86356561410064769</v>
      </c>
      <c r="HU11" s="157">
        <f>IF('All Fleet'!HR62="","",'All Fleet'!HR62)</f>
        <v>0.86333163855820105</v>
      </c>
      <c r="HV11" s="157">
        <f>IF('All Fleet'!HS62="","",'All Fleet'!HS62)</f>
        <v>0.86333343621399172</v>
      </c>
      <c r="HW11" s="157">
        <f>IF('All Fleet'!HT62="","",'All Fleet'!HT62)</f>
        <v>0.86364041502785971</v>
      </c>
      <c r="HX11" s="157">
        <f>IF('All Fleet'!HU62="","",'All Fleet'!HU62)</f>
        <v>0.86380748286833087</v>
      </c>
      <c r="HY11" s="157">
        <f>IF('All Fleet'!HV62="","",'All Fleet'!HV62)</f>
        <v>0.86431782001299551</v>
      </c>
      <c r="HZ11" s="157">
        <f>IF('All Fleet'!HW62="","",'All Fleet'!HW62)</f>
        <v>0.86448329087821452</v>
      </c>
      <c r="IA11" s="157">
        <f>IF('All Fleet'!HX62="","",'All Fleet'!HX62)</f>
        <v>0.86434903381642514</v>
      </c>
      <c r="IB11" s="157">
        <f>IF('All Fleet'!HY62="","",'All Fleet'!HY62)</f>
        <v>0.86440013227513224</v>
      </c>
      <c r="IC11" s="157">
        <f>IF('All Fleet'!HZ62="","",'All Fleet'!HZ62)</f>
        <v>0.86296569683908042</v>
      </c>
      <c r="ID11" s="157">
        <f>IF('All Fleet'!IA62="","",'All Fleet'!IA62)</f>
        <v>0.86323408440629468</v>
      </c>
      <c r="IE11" s="157">
        <f>IF('All Fleet'!IB62="","",'All Fleet'!IB62)</f>
        <v>0.8635954910572966</v>
      </c>
      <c r="IF11" s="157">
        <f>IF('All Fleet'!IC62="","",'All Fleet'!IC62)</f>
        <v>0.86337309889676916</v>
      </c>
      <c r="IG11" s="157">
        <f>IF('All Fleet'!ID62="","",'All Fleet'!ID62)</f>
        <v>0.86377123548336465</v>
      </c>
      <c r="IH11" s="157">
        <f>IF('All Fleet'!IE62="","",'All Fleet'!IE62)</f>
        <v>0.86390581536177524</v>
      </c>
      <c r="II11" s="157">
        <f>IF('All Fleet'!IF62="","",'All Fleet'!IF62)</f>
        <v>0.86413205143168381</v>
      </c>
      <c r="IJ11" s="157">
        <f>IF('All Fleet'!IG62="","",'All Fleet'!IG62)</f>
        <v>0.86446239152332249</v>
      </c>
      <c r="IK11" s="157">
        <f>IF('All Fleet'!IH62="","",'All Fleet'!IH62)</f>
        <v>0.86189171489197536</v>
      </c>
      <c r="IL11" s="157">
        <f>IF('All Fleet'!II62="","",'All Fleet'!II62)</f>
        <v>0.86246477831566004</v>
      </c>
      <c r="IM11" s="157">
        <f>IF('All Fleet'!IJ62="","",'All Fleet'!IJ62)</f>
        <v>0.8605782158708295</v>
      </c>
      <c r="IN11" s="157">
        <f>IF('All Fleet'!IK62="","",'All Fleet'!IK62)</f>
        <v>0.86066337067520193</v>
      </c>
      <c r="IO11" s="157">
        <f>IF('All Fleet'!IL62="","",'All Fleet'!IL62)</f>
        <v>0.86092302292046141</v>
      </c>
      <c r="IP11" s="157">
        <f>IF('All Fleet'!IM62="","",'All Fleet'!IM62)</f>
        <v>0.86111241496598634</v>
      </c>
      <c r="IQ11" s="157">
        <f>IF('All Fleet'!IN62="","",'All Fleet'!IN62)</f>
        <v>0.86065404810298096</v>
      </c>
      <c r="IR11" s="157">
        <f>IF('All Fleet'!IO62="","",'All Fleet'!IO62)</f>
        <v>0.86066444556905086</v>
      </c>
      <c r="IS11" s="157">
        <f>IF('All Fleet'!IP62="","",'All Fleet'!IP62)</f>
        <v>0.86086687948028673</v>
      </c>
      <c r="IT11" s="157">
        <f>IF('All Fleet'!IQ62="","",'All Fleet'!IQ62)</f>
        <v>0.86106450803212853</v>
      </c>
      <c r="IU11" s="157">
        <f>IF('All Fleet'!IR62="","",'All Fleet'!IR62)</f>
        <v>0.86120378703703704</v>
      </c>
      <c r="IV11" s="157">
        <f>IF('All Fleet'!IS62="","",'All Fleet'!IS62)</f>
        <v>0.86156897410358568</v>
      </c>
      <c r="IW11" s="157">
        <f>IF('All Fleet'!IT62="","",'All Fleet'!IT62)</f>
        <v>0.86146048280423282</v>
      </c>
      <c r="IX11" s="157">
        <f>IF('All Fleet'!IU62="","",'All Fleet'!IU62)</f>
        <v>0.8606238654662568</v>
      </c>
      <c r="IY11" s="157">
        <f>IF('All Fleet'!IV62="","",'All Fleet'!IV62)</f>
        <v>0.86007603346456696</v>
      </c>
      <c r="IZ11" s="157">
        <f>IF('All Fleet'!IW62="","",'All Fleet'!IW62)</f>
        <v>0.85950740740740739</v>
      </c>
      <c r="JA11" s="157">
        <f>IF('All Fleet'!IX62="","",'All Fleet'!IX62)</f>
        <v>0.85828542751736114</v>
      </c>
      <c r="JB11" s="157">
        <f>IF('All Fleet'!IY62="","",'All Fleet'!IY62)</f>
        <v>0.85744733571119758</v>
      </c>
      <c r="JC11" s="157">
        <f>IF('All Fleet'!IZ62="","",'All Fleet'!IZ62)</f>
        <v>0.85742775624461676</v>
      </c>
      <c r="JD11" s="157">
        <f>IF('All Fleet'!JA62="","",'All Fleet'!JA62)</f>
        <v>0.85736520449020448</v>
      </c>
      <c r="JE11" s="157">
        <f>IF('All Fleet'!JB62="","",'All Fleet'!JB62)</f>
        <v>0.85787503561253564</v>
      </c>
      <c r="JF11" s="157">
        <f>IF('All Fleet'!JC62="","",'All Fleet'!JC62)</f>
        <v>0.8583884809138641</v>
      </c>
      <c r="JG11" s="157">
        <f>IF('All Fleet'!JD62="","",'All Fleet'!JD62)</f>
        <v>0.85861820575346348</v>
      </c>
      <c r="JH11" s="157">
        <f>IF('All Fleet'!JE62="","",'All Fleet'!JE62)</f>
        <v>0.85907720743557248</v>
      </c>
      <c r="JI11" s="157">
        <f>IF('All Fleet'!JF62="","",'All Fleet'!JF62)</f>
        <v>0.85961100589225592</v>
      </c>
      <c r="JJ11" s="157">
        <f>IF('All Fleet'!JG62="","",'All Fleet'!JG62)</f>
        <v>0.86014077568134173</v>
      </c>
      <c r="JK11" s="157">
        <f>IF('All Fleet'!JH62="","",'All Fleet'!JH62)</f>
        <v>0.8603558549150655</v>
      </c>
      <c r="JL11" s="157">
        <f>IF('All Fleet'!JI62="","",'All Fleet'!JI62)</f>
        <v>0.86003827680676936</v>
      </c>
      <c r="JM11" s="157">
        <f>IF('All Fleet'!JJ62="","",'All Fleet'!JJ62)</f>
        <v>0.85965154263405197</v>
      </c>
      <c r="JN11" s="157">
        <f>IF('All Fleet'!JK62="","",'All Fleet'!JK62)</f>
        <v>0.85988390644361834</v>
      </c>
      <c r="JO11" s="157">
        <f>IF('All Fleet'!JL62="","",'All Fleet'!JL62)</f>
        <v>0.86020749314128941</v>
      </c>
      <c r="JP11" s="157">
        <f>IF('All Fleet'!JM62="","",'All Fleet'!JM62)</f>
        <v>0.86049516536832038</v>
      </c>
      <c r="JQ11" s="157">
        <f>IF('All Fleet'!JN62="","",'All Fleet'!JN62)</f>
        <v>0.86043467456427014</v>
      </c>
      <c r="JR11" s="157">
        <f>IF('All Fleet'!JO62="","",'All Fleet'!JO62)</f>
        <v>0.8607932777099444</v>
      </c>
      <c r="JS11" s="157">
        <f>IF('All Fleet'!JP62="","",'All Fleet'!JP62)</f>
        <v>0.86086177852122192</v>
      </c>
      <c r="JT11" s="157">
        <f>IF('All Fleet'!JQ62="","",'All Fleet'!JQ62)</f>
        <v>0.8609683417508418</v>
      </c>
      <c r="JU11" s="157">
        <f>IF('All Fleet'!JR62="","",'All Fleet'!JR62)</f>
        <v>0.85954753757380575</v>
      </c>
      <c r="JV11" s="157">
        <f>IF('All Fleet'!JS62="","",'All Fleet'!JS62)</f>
        <v>0.85980322402727638</v>
      </c>
      <c r="JW11" s="157">
        <f>IF('All Fleet'!JT62="","",'All Fleet'!JT62)</f>
        <v>0.86023918365307761</v>
      </c>
      <c r="JX11" s="157">
        <f>IF('All Fleet'!JU62="","",'All Fleet'!JU62)</f>
        <v>0.86060690461967349</v>
      </c>
      <c r="JY11" s="157">
        <f>IF('All Fleet'!JV62="","",'All Fleet'!JV62)</f>
        <v>0.86103628472222227</v>
      </c>
      <c r="JZ11" s="157">
        <f>IF('All Fleet'!JW62="","",'All Fleet'!JW62)</f>
        <v>0.86153081751680505</v>
      </c>
      <c r="KA11" s="157">
        <f>IF('All Fleet'!JX62="","",'All Fleet'!JX62)</f>
        <v>0.86190363967691097</v>
      </c>
      <c r="KB11" s="157">
        <f>IF('All Fleet'!JY62="","",'All Fleet'!JY62)</f>
        <v>0.86168489890066746</v>
      </c>
      <c r="KC11" s="157">
        <f>IF('All Fleet'!JZ62="","",'All Fleet'!JZ62)</f>
        <v>0.86146769855242566</v>
      </c>
      <c r="KD11" s="157">
        <f>IF('All Fleet'!KA62="","",'All Fleet'!KA62)</f>
        <v>0.86195377680311891</v>
      </c>
      <c r="KE11" s="157">
        <f>IF('All Fleet'!KB62="","",'All Fleet'!KB62)</f>
        <v>0.8624364559052059</v>
      </c>
      <c r="KF11" s="157">
        <f>IF('All Fleet'!KC62="","",'All Fleet'!KC62)</f>
        <v>0.86221890727835848</v>
      </c>
      <c r="KG11" s="157">
        <f>IF('All Fleet'!KD62="","",'All Fleet'!KD62)</f>
        <v>0.86252370273919754</v>
      </c>
      <c r="KH11" s="157">
        <f>IF('All Fleet'!KE62="","",'All Fleet'!KE62)</f>
        <v>0.86299939926951175</v>
      </c>
      <c r="KI11" s="157">
        <f>IF('All Fleet'!KF62="","",'All Fleet'!KF62)</f>
        <v>0.86347181513409965</v>
      </c>
      <c r="KJ11" s="157">
        <f>IF('All Fleet'!KG62="","",'All Fleet'!KG62)</f>
        <v>0.86394098415425735</v>
      </c>
      <c r="KK11" s="157">
        <f>IF('All Fleet'!KH62="","",'All Fleet'!KH62)</f>
        <v>0.86337954242770165</v>
      </c>
      <c r="KL11" s="157">
        <f>IF('All Fleet'!KI62="","",'All Fleet'!KI62)</f>
        <v>0.86384582385286313</v>
      </c>
      <c r="KM11" s="157">
        <f>IF('All Fleet'!KJ62="","",'All Fleet'!KJ62)</f>
        <v>0.8641388652683295</v>
      </c>
      <c r="KN11" s="157">
        <f>IF('All Fleet'!KK62="","",'All Fleet'!KK62)</f>
        <v>0.86459941148775898</v>
      </c>
      <c r="KO11" s="157">
        <f>IF('All Fleet'!KL62="","",'All Fleet'!KL62)</f>
        <v>0.86505684590840848</v>
      </c>
      <c r="KP11" s="157">
        <f>IF('All Fleet'!KM62="","",'All Fleet'!KM62)</f>
        <v>0.86551119996258885</v>
      </c>
      <c r="KQ11" s="157">
        <f>IF('All Fleet'!KN62="","",'All Fleet'!KN62)</f>
        <v>0.86596250466070102</v>
      </c>
      <c r="KR11" s="157">
        <f>IF('All Fleet'!KO62="","",'All Fleet'!KO62)</f>
        <v>0.86641079059829063</v>
      </c>
      <c r="KS11" s="157">
        <f>IF('All Fleet'!KP62="","",'All Fleet'!KP62)</f>
        <v>0.86685608796296298</v>
      </c>
      <c r="KT11" s="157">
        <f>IF('All Fleet'!KQ62="","",'All Fleet'!KQ62)</f>
        <v>0.86729842654115907</v>
      </c>
      <c r="KU11" s="157">
        <f>IF('All Fleet'!KR62="","",'All Fleet'!KR62)</f>
        <v>0.86773783572479768</v>
      </c>
      <c r="KV11" s="157">
        <f>IF('All Fleet'!KS62="","",'All Fleet'!KS62)</f>
        <v>0.86817434451778519</v>
      </c>
      <c r="KW11" s="157">
        <f>IF('All Fleet'!KT62="","",'All Fleet'!KT62)</f>
        <v>0.86860798154239771</v>
      </c>
      <c r="KX11" s="157" t="str">
        <f>IF('All Fleet'!KU62="","",'All Fleet'!KU62)</f>
        <v/>
      </c>
      <c r="KY11" s="157" t="str">
        <f>IF('All Fleet'!KV62="","",'All Fleet'!KV62)</f>
        <v/>
      </c>
      <c r="KZ11" s="157" t="str">
        <f>IF('All Fleet'!KW62="","",'All Fleet'!KW62)</f>
        <v/>
      </c>
      <c r="LA11" s="157" t="str">
        <f>IF('All Fleet'!KX62="","",'All Fleet'!KX62)</f>
        <v/>
      </c>
      <c r="LB11" s="157" t="str">
        <f>IF('All Fleet'!KY62="","",'All Fleet'!KY62)</f>
        <v/>
      </c>
      <c r="LC11" s="157" t="str">
        <f>IF('All Fleet'!KZ62="","",'All Fleet'!KZ62)</f>
        <v/>
      </c>
      <c r="LD11" s="157" t="str">
        <f>IF('All Fleet'!LA62="","",'All Fleet'!LA62)</f>
        <v/>
      </c>
      <c r="LE11" s="157" t="str">
        <f>IF('All Fleet'!LB62="","",'All Fleet'!LB62)</f>
        <v/>
      </c>
      <c r="LF11" s="157" t="str">
        <f>IF('All Fleet'!LC62="","",'All Fleet'!LC62)</f>
        <v/>
      </c>
      <c r="LG11" s="157" t="str">
        <f>IF('All Fleet'!LD62="","",'All Fleet'!LD62)</f>
        <v/>
      </c>
      <c r="LH11" s="157" t="str">
        <f>IF('All Fleet'!LE62="","",'All Fleet'!LE62)</f>
        <v/>
      </c>
      <c r="LI11" s="157" t="str">
        <f>IF('All Fleet'!LF62="","",'All Fleet'!LF62)</f>
        <v/>
      </c>
      <c r="LJ11" s="157" t="str">
        <f>IF('All Fleet'!LG62="","",'All Fleet'!LG62)</f>
        <v/>
      </c>
      <c r="LK11" s="157" t="str">
        <f>IF('All Fleet'!LH62="","",'All Fleet'!LH62)</f>
        <v/>
      </c>
      <c r="LL11" s="157" t="str">
        <f>IF('All Fleet'!LI62="","",'All Fleet'!LI62)</f>
        <v/>
      </c>
      <c r="LM11" s="157" t="str">
        <f>IF('All Fleet'!LJ62="","",'All Fleet'!LJ62)</f>
        <v/>
      </c>
      <c r="LN11" s="157" t="str">
        <f>IF('All Fleet'!LK62="","",'All Fleet'!LK62)</f>
        <v/>
      </c>
      <c r="LO11" s="157" t="str">
        <f>IF('All Fleet'!LL62="","",'All Fleet'!LL62)</f>
        <v/>
      </c>
      <c r="LP11" s="157" t="str">
        <f>IF('All Fleet'!LM62="","",'All Fleet'!LM62)</f>
        <v/>
      </c>
      <c r="LQ11" s="157" t="str">
        <f>IF('All Fleet'!LN62="","",'All Fleet'!LN62)</f>
        <v/>
      </c>
      <c r="LR11" s="157" t="str">
        <f>IF('All Fleet'!LO62="","",'All Fleet'!LO62)</f>
        <v/>
      </c>
      <c r="LS11" s="157" t="str">
        <f>IF('All Fleet'!LP62="","",'All Fleet'!LP62)</f>
        <v/>
      </c>
      <c r="LT11" s="157" t="str">
        <f>IF('All Fleet'!LQ62="","",'All Fleet'!LQ62)</f>
        <v/>
      </c>
      <c r="LU11" s="157" t="str">
        <f>IF('All Fleet'!LR62="","",'All Fleet'!LR62)</f>
        <v/>
      </c>
      <c r="LV11" s="157" t="str">
        <f>IF('All Fleet'!LS62="","",'All Fleet'!LS62)</f>
        <v/>
      </c>
      <c r="LW11" s="157" t="str">
        <f>IF('All Fleet'!LT62="","",'All Fleet'!LT62)</f>
        <v/>
      </c>
      <c r="LX11" s="157" t="str">
        <f>IF('All Fleet'!LU62="","",'All Fleet'!LU62)</f>
        <v/>
      </c>
      <c r="LY11" s="157" t="str">
        <f>IF('All Fleet'!LV62="","",'All Fleet'!LV62)</f>
        <v/>
      </c>
      <c r="LZ11" s="157" t="str">
        <f>IF('All Fleet'!LW62="","",'All Fleet'!LW62)</f>
        <v/>
      </c>
      <c r="MA11" s="157" t="str">
        <f>IF('All Fleet'!LX62="","",'All Fleet'!LX62)</f>
        <v/>
      </c>
      <c r="MB11" s="157" t="str">
        <f>IF('All Fleet'!LY62="","",'All Fleet'!LY62)</f>
        <v/>
      </c>
      <c r="MC11" s="157" t="str">
        <f>IF('All Fleet'!LZ62="","",'All Fleet'!LZ62)</f>
        <v/>
      </c>
      <c r="MD11" s="157" t="str">
        <f>IF('All Fleet'!MA62="","",'All Fleet'!MA62)</f>
        <v/>
      </c>
      <c r="ME11" s="157" t="str">
        <f>IF('All Fleet'!MB62="","",'All Fleet'!MB62)</f>
        <v/>
      </c>
      <c r="MF11" s="157" t="str">
        <f>IF('All Fleet'!MC62="","",'All Fleet'!MC62)</f>
        <v/>
      </c>
      <c r="MG11" s="157" t="str">
        <f>IF('All Fleet'!MD62="","",'All Fleet'!MD62)</f>
        <v/>
      </c>
      <c r="MH11" s="157" t="str">
        <f>IF('All Fleet'!ME62="","",'All Fleet'!ME62)</f>
        <v/>
      </c>
      <c r="MI11" s="157" t="str">
        <f>IF('All Fleet'!MF62="","",'All Fleet'!MF62)</f>
        <v/>
      </c>
      <c r="MJ11" s="157" t="str">
        <f>IF('All Fleet'!MG62="","",'All Fleet'!MG62)</f>
        <v/>
      </c>
      <c r="MK11" s="157" t="str">
        <f>IF('All Fleet'!MH62="","",'All Fleet'!MH62)</f>
        <v/>
      </c>
      <c r="ML11" s="157" t="str">
        <f>IF('All Fleet'!MI62="","",'All Fleet'!MI62)</f>
        <v/>
      </c>
      <c r="MM11" s="157" t="str">
        <f>IF('All Fleet'!MJ62="","",'All Fleet'!MJ62)</f>
        <v/>
      </c>
      <c r="MN11" s="157" t="str">
        <f>IF('All Fleet'!MK62="","",'All Fleet'!MK62)</f>
        <v/>
      </c>
      <c r="MO11" s="157" t="str">
        <f>IF('All Fleet'!ML62="","",'All Fleet'!ML62)</f>
        <v/>
      </c>
      <c r="MP11" s="157" t="str">
        <f>IF('All Fleet'!MM62="","",'All Fleet'!MM62)</f>
        <v/>
      </c>
      <c r="MQ11" s="157" t="str">
        <f>IF('All Fleet'!MN62="","",'All Fleet'!MN62)</f>
        <v/>
      </c>
      <c r="MR11" s="157" t="str">
        <f>IF('All Fleet'!MO62="","",'All Fleet'!MO62)</f>
        <v/>
      </c>
      <c r="MS11" s="157" t="str">
        <f>IF('All Fleet'!MP62="","",'All Fleet'!MP62)</f>
        <v/>
      </c>
      <c r="MT11" s="157" t="str">
        <f>IF('All Fleet'!MQ62="","",'All Fleet'!MQ62)</f>
        <v/>
      </c>
      <c r="MU11" s="157" t="str">
        <f>IF('All Fleet'!MR62="","",'All Fleet'!MR62)</f>
        <v/>
      </c>
      <c r="MV11" s="157" t="str">
        <f>IF('All Fleet'!MS62="","",'All Fleet'!MS62)</f>
        <v/>
      </c>
      <c r="MW11" s="157" t="str">
        <f>IF('All Fleet'!MT62="","",'All Fleet'!MT62)</f>
        <v/>
      </c>
      <c r="MX11" s="157" t="str">
        <f>IF('All Fleet'!MU62="","",'All Fleet'!MU62)</f>
        <v/>
      </c>
      <c r="MY11" s="157" t="str">
        <f>IF('All Fleet'!MV62="","",'All Fleet'!MV62)</f>
        <v/>
      </c>
      <c r="MZ11" s="157" t="str">
        <f>IF('All Fleet'!MW62="","",'All Fleet'!MW62)</f>
        <v/>
      </c>
      <c r="NA11" s="157" t="str">
        <f>IF('All Fleet'!MX62="","",'All Fleet'!MX62)</f>
        <v/>
      </c>
      <c r="NB11" s="157" t="str">
        <f>IF('All Fleet'!MY62="","",'All Fleet'!MY62)</f>
        <v/>
      </c>
      <c r="NC11" s="157" t="str">
        <f>IF('All Fleet'!MZ62="","",'All Fleet'!MZ62)</f>
        <v/>
      </c>
      <c r="ND11" s="157" t="str">
        <f>IF('All Fleet'!NA62="","",'All Fleet'!NA62)</f>
        <v/>
      </c>
      <c r="NE11" s="157" t="str">
        <f>IF('All Fleet'!NB62="","",'All Fleet'!NB62)</f>
        <v/>
      </c>
      <c r="NF11" s="157" t="str">
        <f>IF('All Fleet'!NC62="","",'All Fleet'!NC62)</f>
        <v/>
      </c>
      <c r="NG11" s="157" t="str">
        <f>IF('All Fleet'!ND62="","",'All Fleet'!ND62)</f>
        <v/>
      </c>
      <c r="NH11" s="157" t="str">
        <f>IF('All Fleet'!NE62="","",'All Fleet'!NE62)</f>
        <v/>
      </c>
      <c r="NI11" s="157" t="str">
        <f>IF('All Fleet'!NF62="","",'All Fleet'!NF62)</f>
        <v/>
      </c>
      <c r="NJ11" s="157" t="str">
        <f>IF('All Fleet'!NG62="","",'All Fleet'!NG62)</f>
        <v/>
      </c>
      <c r="NK11" s="157" t="str">
        <f>IF('All Fleet'!NH62="","",'All Fleet'!NH62)</f>
        <v/>
      </c>
      <c r="NL11" s="157" t="str">
        <f>IF('All Fleet'!NI62="","",'All Fleet'!NI62)</f>
        <v/>
      </c>
      <c r="NM11" s="157" t="str">
        <f>IF('All Fleet'!NJ62="","",'All Fleet'!NJ62)</f>
        <v/>
      </c>
      <c r="NN11" s="157" t="str">
        <f>IF('All Fleet'!NK62="","",'All Fleet'!NK62)</f>
        <v/>
      </c>
      <c r="NO11" s="157" t="str">
        <f>IF('All Fleet'!NL62="","",'All Fleet'!NL62)</f>
        <v/>
      </c>
      <c r="NP11" s="157" t="str">
        <f>IF('All Fleet'!NM62="","",'All Fleet'!NM62)</f>
        <v/>
      </c>
      <c r="NQ11" s="157" t="str">
        <f>IF('All Fleet'!NN62="","",'All Fleet'!NN62)</f>
        <v/>
      </c>
      <c r="NR11" s="157" t="str">
        <f>IF('All Fleet'!NO62="","",'All Fleet'!NO62)</f>
        <v/>
      </c>
      <c r="NS11" s="157" t="str">
        <f>IF('All Fleet'!NP62="","",'All Fleet'!NP62)</f>
        <v/>
      </c>
      <c r="NT11" s="157" t="str">
        <f>IF('All Fleet'!NQ62="","",'All Fleet'!NQ62)</f>
        <v/>
      </c>
      <c r="NU11" s="157" t="str">
        <f>IF('All Fleet'!NR62="","",'All Fleet'!NR62)</f>
        <v/>
      </c>
      <c r="NV11" s="157" t="str">
        <f>IF('All Fleet'!NS62="","",'All Fleet'!NS62)</f>
        <v/>
      </c>
      <c r="NW11" s="157" t="str">
        <f>IF('All Fleet'!NT62="","",'All Fleet'!NT62)</f>
        <v/>
      </c>
      <c r="NX11" s="157" t="str">
        <f>IF('All Fleet'!NU62="","",'All Fleet'!NU62)</f>
        <v/>
      </c>
      <c r="NY11" s="157" t="str">
        <f>IF('All Fleet'!NV62="","",'All Fleet'!NV62)</f>
        <v/>
      </c>
      <c r="NZ11" s="157" t="str">
        <f>IF('All Fleet'!NW62="","",'All Fleet'!NW62)</f>
        <v/>
      </c>
      <c r="OA11" s="157" t="str">
        <f>IF('All Fleet'!NX62="","",'All Fleet'!NX62)</f>
        <v/>
      </c>
      <c r="OB11" s="157" t="str">
        <f>IF('All Fleet'!NY62="","",'All Fleet'!NY62)</f>
        <v/>
      </c>
      <c r="OC11" s="157" t="str">
        <f>IF('All Fleet'!NZ62="","",'All Fleet'!NZ62)</f>
        <v/>
      </c>
      <c r="OD11" s="157" t="str">
        <f>IF('All Fleet'!OA62="","",'All Fleet'!OA62)</f>
        <v/>
      </c>
      <c r="OE11" s="157" t="str">
        <f>IF('All Fleet'!OB62="","",'All Fleet'!OB62)</f>
        <v/>
      </c>
      <c r="OF11" s="157" t="str">
        <f>IF('All Fleet'!OC62="","",'All Fleet'!OC62)</f>
        <v/>
      </c>
      <c r="OG11" s="157" t="str">
        <f>IF('All Fleet'!OD62="","",'All Fleet'!OD62)</f>
        <v/>
      </c>
      <c r="OH11" s="157" t="str">
        <f>IF('All Fleet'!OE62="","",'All Fleet'!OE62)</f>
        <v/>
      </c>
      <c r="OI11" s="157" t="str">
        <f>IF('All Fleet'!OF62="","",'All Fleet'!OF62)</f>
        <v/>
      </c>
      <c r="OJ11" s="157" t="str">
        <f>IF('All Fleet'!OG62="","",'All Fleet'!OG62)</f>
        <v/>
      </c>
      <c r="OK11" s="157" t="str">
        <f>IF('All Fleet'!OH62="","",'All Fleet'!OH62)</f>
        <v/>
      </c>
      <c r="OL11" s="157" t="str">
        <f>IF('All Fleet'!OI62="","",'All Fleet'!OI62)</f>
        <v/>
      </c>
      <c r="OM11" s="157" t="str">
        <f>IF('All Fleet'!OJ62="","",'All Fleet'!OJ62)</f>
        <v/>
      </c>
      <c r="ON11" s="157" t="str">
        <f>IF('All Fleet'!OK62="","",'All Fleet'!OK62)</f>
        <v/>
      </c>
      <c r="OO11" s="157" t="str">
        <f>IF('All Fleet'!OL62="","",'All Fleet'!OL62)</f>
        <v/>
      </c>
      <c r="OP11" s="157" t="str">
        <f>IF('All Fleet'!OM62="","",'All Fleet'!OM62)</f>
        <v/>
      </c>
      <c r="OQ11" s="157" t="str">
        <f>IF('All Fleet'!ON62="","",'All Fleet'!ON62)</f>
        <v/>
      </c>
      <c r="OR11" s="157" t="str">
        <f>IF('All Fleet'!OO62="","",'All Fleet'!OO62)</f>
        <v/>
      </c>
      <c r="OS11" s="157" t="str">
        <f>IF('All Fleet'!OP62="","",'All Fleet'!OP62)</f>
        <v/>
      </c>
      <c r="OT11" s="157" t="str">
        <f>IF('All Fleet'!OQ62="","",'All Fleet'!OQ62)</f>
        <v/>
      </c>
      <c r="OU11" s="157" t="str">
        <f>IF('All Fleet'!OR62="","",'All Fleet'!OR62)</f>
        <v/>
      </c>
      <c r="OV11" s="157" t="str">
        <f>IF('All Fleet'!OS62="","",'All Fleet'!OS62)</f>
        <v/>
      </c>
      <c r="OW11" s="157" t="str">
        <f>IF('All Fleet'!OT62="","",'All Fleet'!OT62)</f>
        <v/>
      </c>
      <c r="OX11" s="157" t="str">
        <f>IF('All Fleet'!OU62="","",'All Fleet'!OU62)</f>
        <v/>
      </c>
      <c r="OY11" s="157" t="str">
        <f>IF('All Fleet'!OV62="","",'All Fleet'!OV62)</f>
        <v/>
      </c>
      <c r="OZ11" s="158" t="str">
        <f>IF('All Fleet'!OW62="","",'All Fleet'!OW62)</f>
        <v/>
      </c>
    </row>
    <row r="12" spans="1:416" s="170" customFormat="1" ht="15" customHeight="1" x14ac:dyDescent="0.2">
      <c r="A12" s="138" t="b">
        <f t="shared" si="376"/>
        <v>1</v>
      </c>
      <c r="B12" s="139">
        <v>9</v>
      </c>
      <c r="C12" s="149" t="str">
        <f t="shared" si="380"/>
        <v>Mechanical Availability</v>
      </c>
      <c r="D12" s="150" t="str">
        <f t="shared" si="380"/>
        <v>777E Expro</v>
      </c>
      <c r="E12" s="192" t="s">
        <v>72</v>
      </c>
      <c r="F12" s="102">
        <f>IF('All Fleet'!C75="","",((COUNTIFS('All Fleet'!$A$66:$A$74,"777E")*'All Fleet'!C$5)*11.8%)-'All Fleet'!C75)</f>
        <v>14.16</v>
      </c>
      <c r="G12" s="102">
        <f>IF('All Fleet'!D75="","",((COUNTIFS('All Fleet'!$A$66:$A$74,"777E")*'All Fleet'!D$5)*11.8%)-'All Fleet'!D75)</f>
        <v>28.32</v>
      </c>
      <c r="H12" s="102">
        <f>IF('All Fleet'!E75="","",((COUNTIFS('All Fleet'!$A$66:$A$74,"777E")*'All Fleet'!E$5)*11.8%)-'All Fleet'!E75)</f>
        <v>40.080000000000005</v>
      </c>
      <c r="I12" s="102">
        <f>IF('All Fleet'!F75="","",((COUNTIFS('All Fleet'!$A$66:$A$74,"777E")*'All Fleet'!F$5)*11.8%)-'All Fleet'!F75)</f>
        <v>54.24</v>
      </c>
      <c r="J12" s="102">
        <f>IF('All Fleet'!G75="","",((COUNTIFS('All Fleet'!$A$66:$A$74,"777E")*'All Fleet'!G$5)*11.8%)-'All Fleet'!G75)</f>
        <v>68.400000000000006</v>
      </c>
      <c r="K12" s="102">
        <f>IF('All Fleet'!H75="","",((COUNTIFS('All Fleet'!$A$66:$A$74,"777E")*'All Fleet'!H$5)*11.8%)-'All Fleet'!H75)</f>
        <v>75.34</v>
      </c>
      <c r="L12" s="102">
        <f>IF('All Fleet'!I75="","",((COUNTIFS('All Fleet'!$A$66:$A$74,"777E")*'All Fleet'!I$5)*11.8%)-'All Fleet'!I75)</f>
        <v>88.03</v>
      </c>
      <c r="M12" s="102">
        <f>IF('All Fleet'!J75="","",((COUNTIFS('All Fleet'!$A$66:$A$74,"777E")*'All Fleet'!J$5)*11.8%)-'All Fleet'!J75)</f>
        <v>75.69</v>
      </c>
      <c r="N12" s="102">
        <f>IF('All Fleet'!K75="","",((COUNTIFS('All Fleet'!$A$66:$A$74,"777E")*'All Fleet'!K$5)*11.8%)-'All Fleet'!K75)</f>
        <v>88.600000000000009</v>
      </c>
      <c r="O12" s="102">
        <f>IF('All Fleet'!L75="","",((COUNTIFS('All Fleet'!$A$66:$A$74,"777E")*'All Fleet'!L$5)*11.8%)-'All Fleet'!L75)</f>
        <v>94.530000000000015</v>
      </c>
      <c r="P12" s="102">
        <f>IF('All Fleet'!M75="","",((COUNTIFS('All Fleet'!$A$66:$A$74,"777E")*'All Fleet'!M$5)*11.8%)-'All Fleet'!M75)</f>
        <v>72.320000000000007</v>
      </c>
      <c r="Q12" s="102">
        <f>IF('All Fleet'!N75="","",((COUNTIFS('All Fleet'!$A$66:$A$74,"777E")*'All Fleet'!N$5)*11.8%)-'All Fleet'!N75)</f>
        <v>77.88</v>
      </c>
      <c r="R12" s="102">
        <f>IF('All Fleet'!O75="","",((COUNTIFS('All Fleet'!$A$66:$A$74,"777E")*'All Fleet'!O$5)*11.8%)-'All Fleet'!O75)</f>
        <v>49.22</v>
      </c>
      <c r="S12" s="102">
        <f>IF('All Fleet'!P75="","",((COUNTIFS('All Fleet'!$A$66:$A$74,"777E")*'All Fleet'!P$5)*11.8%)-'All Fleet'!P75)</f>
        <v>63.379999999999995</v>
      </c>
      <c r="T12" s="102">
        <f>IF('All Fleet'!Q75="","",((COUNTIFS('All Fleet'!$A$66:$A$74,"777E")*'All Fleet'!Q$5)*11.8%)-'All Fleet'!Q75)</f>
        <v>71.089999999999975</v>
      </c>
      <c r="U12" s="102">
        <f>IF('All Fleet'!R75="","",((COUNTIFS('All Fleet'!$A$66:$A$74,"777E")*'All Fleet'!R$5)*11.8%)-'All Fleet'!R75)</f>
        <v>55.139999999999986</v>
      </c>
      <c r="V12" s="102">
        <f>IF('All Fleet'!S75="","",((COUNTIFS('All Fleet'!$A$66:$A$74,"777E")*'All Fleet'!S$5)*11.8%)-'All Fleet'!S75)</f>
        <v>68.28000000000003</v>
      </c>
      <c r="W12" s="102">
        <f>IF('All Fleet'!T75="","",((COUNTIFS('All Fleet'!$A$66:$A$74,"777E")*'All Fleet'!T$5)*11.8%)-'All Fleet'!T75)</f>
        <v>77.010000000000019</v>
      </c>
      <c r="X12" s="102">
        <f>IF('All Fleet'!U75="","",((COUNTIFS('All Fleet'!$A$66:$A$74,"777E")*'All Fleet'!U$5)*11.8%)-'All Fleet'!U75)</f>
        <v>87.900000000000034</v>
      </c>
      <c r="Y12" s="102">
        <f>IF('All Fleet'!V75="","",((COUNTIFS('All Fleet'!$A$66:$A$74,"777E")*'All Fleet'!V$5)*11.8%)-'All Fleet'!V75)</f>
        <v>88.290000000000049</v>
      </c>
      <c r="Z12" s="102">
        <f>IF('All Fleet'!W75="","",((COUNTIFS('All Fleet'!$A$66:$A$74,"777E")*'All Fleet'!W$5)*11.8%)-'All Fleet'!W75)</f>
        <v>102.23000000000002</v>
      </c>
      <c r="AA12" s="102">
        <f>IF('All Fleet'!X75="","",((COUNTIFS('All Fleet'!$A$66:$A$74,"777E")*'All Fleet'!X$5)*11.8%)-'All Fleet'!X75)</f>
        <v>90.430000000000064</v>
      </c>
      <c r="AB12" s="102">
        <f>IF('All Fleet'!Y75="","",((COUNTIFS('All Fleet'!$A$66:$A$74,"777E")*'All Fleet'!Y$5)*11.8%)-'All Fleet'!Y75)</f>
        <v>49.04000000000002</v>
      </c>
      <c r="AC12" s="102">
        <f>IF('All Fleet'!Z75="","",((COUNTIFS('All Fleet'!$A$66:$A$74,"777E")*'All Fleet'!Z$5)*11.8%)-'All Fleet'!Z75)</f>
        <v>53.800000000000011</v>
      </c>
      <c r="AD12" s="102">
        <f>IF('All Fleet'!AA75="","",((COUNTIFS('All Fleet'!$A$66:$A$74,"777E")*'All Fleet'!AA$5)*11.8%)-'All Fleet'!AA75)</f>
        <v>64.409999999999968</v>
      </c>
      <c r="AE12" s="102">
        <f>IF('All Fleet'!AB75="","",((COUNTIFS('All Fleet'!$A$66:$A$74,"777E")*'All Fleet'!AB$5)*11.8%)-'All Fleet'!AB75)</f>
        <v>78.569999999999993</v>
      </c>
      <c r="AF12" s="102">
        <f>IF('All Fleet'!AC75="","",((COUNTIFS('All Fleet'!$A$66:$A$74,"777E")*'All Fleet'!AC$5)*11.8%)-'All Fleet'!AC75)</f>
        <v>91.57000000000005</v>
      </c>
      <c r="AG12" s="102">
        <f>IF('All Fleet'!AD75="","",((COUNTIFS('All Fleet'!$A$66:$A$74,"777E")*'All Fleet'!AD$5)*11.8%)-'All Fleet'!AD75)</f>
        <v>63.230000000000018</v>
      </c>
      <c r="AH12" s="102">
        <f>IF('All Fleet'!AE75="","",((COUNTIFS('All Fleet'!$A$66:$A$74,"777E")*'All Fleet'!AE$5)*11.8%)-'All Fleet'!AE75)</f>
        <v>77.390000000000043</v>
      </c>
      <c r="AI12" s="102">
        <f>IF('All Fleet'!AF75="","",((COUNTIFS('All Fleet'!$A$66:$A$74,"777E")*'All Fleet'!AF$5)*11.8%)-'All Fleet'!AF75)</f>
        <v>76.319999999999993</v>
      </c>
      <c r="AJ12" s="102">
        <f>IF('All Fleet'!AG75="","",((COUNTIFS('All Fleet'!$A$66:$A$74,"777E")*'All Fleet'!AG$5)*11.8%)-'All Fleet'!AG75)</f>
        <v>84.5</v>
      </c>
      <c r="AK12" s="102">
        <f>IF('All Fleet'!AH75="","",((COUNTIFS('All Fleet'!$A$66:$A$74,"777E")*'All Fleet'!AH$5)*11.8%)-'All Fleet'!AH75)</f>
        <v>12.19</v>
      </c>
      <c r="AL12" s="102">
        <f>IF('All Fleet'!AI75="","",((COUNTIFS('All Fleet'!$A$66:$A$74,"777E")*'All Fleet'!AI$5)*11.8%)-'All Fleet'!AI75)</f>
        <v>3.5600000000000023</v>
      </c>
      <c r="AM12" s="102">
        <f>IF('All Fleet'!AJ75="","",((COUNTIFS('All Fleet'!$A$66:$A$74,"777E")*'All Fleet'!AJ$5)*11.8%)-'All Fleet'!AJ75)</f>
        <v>11.700000000000003</v>
      </c>
      <c r="AN12" s="102">
        <f>IF('All Fleet'!AK75="","",((COUNTIFS('All Fleet'!$A$66:$A$74,"777E")*'All Fleet'!AK$5)*11.8%)-'All Fleet'!AK75)</f>
        <v>17.989999999999995</v>
      </c>
      <c r="AO12" s="102">
        <f>IF('All Fleet'!AL75="","",((COUNTIFS('All Fleet'!$A$66:$A$74,"777E")*'All Fleet'!AL$5)*11.8%)-'All Fleet'!AL75)</f>
        <v>25.600000000000009</v>
      </c>
      <c r="AP12" s="102">
        <f>IF('All Fleet'!AM75="","",((COUNTIFS('All Fleet'!$A$66:$A$74,"777E")*'All Fleet'!AM$5)*11.8%)-'All Fleet'!AM75)</f>
        <v>17.800000000000011</v>
      </c>
      <c r="AQ12" s="102">
        <f>IF('All Fleet'!AN75="","",((COUNTIFS('All Fleet'!$A$66:$A$74,"777E")*'All Fleet'!AN$5)*11.8%)-'All Fleet'!AN75)</f>
        <v>27</v>
      </c>
      <c r="AR12" s="102">
        <f>IF('All Fleet'!AO75="","",((COUNTIFS('All Fleet'!$A$66:$A$74,"777E")*'All Fleet'!AO$5)*11.8%)-'All Fleet'!AO75)</f>
        <v>26.959999999999994</v>
      </c>
      <c r="AS12" s="102">
        <f>IF('All Fleet'!AP75="","",((COUNTIFS('All Fleet'!$A$66:$A$74,"777E")*'All Fleet'!AP$5)*11.8%)-'All Fleet'!AP75)</f>
        <v>23.429999999999993</v>
      </c>
      <c r="AT12" s="102">
        <f>IF('All Fleet'!AQ75="","",((COUNTIFS('All Fleet'!$A$66:$A$74,"777E")*'All Fleet'!AQ$5)*11.8%)-'All Fleet'!AQ75)</f>
        <v>19.180000000000007</v>
      </c>
      <c r="AU12" s="102">
        <f>IF('All Fleet'!AR75="","",((COUNTIFS('All Fleet'!$A$66:$A$74,"777E")*'All Fleet'!AR$5)*11.8%)-'All Fleet'!AR75)</f>
        <v>16.730000000000018</v>
      </c>
      <c r="AV12" s="102">
        <f>IF('All Fleet'!AS75="","",((COUNTIFS('All Fleet'!$A$66:$A$74,"777E")*'All Fleet'!AS$5)*11.8%)-'All Fleet'!AS75)</f>
        <v>11.740000000000009</v>
      </c>
      <c r="AW12" s="102">
        <f>IF('All Fleet'!AT75="","",((COUNTIFS('All Fleet'!$A$66:$A$74,"777E")*'All Fleet'!AT$5)*11.8%)-'All Fleet'!AT75)</f>
        <v>23.090000000000003</v>
      </c>
      <c r="AX12" s="102">
        <f>IF('All Fleet'!AU75="","",((COUNTIFS('All Fleet'!$A$66:$A$74,"777E")*'All Fleet'!AU$5)*11.8%)-'All Fleet'!AU75)</f>
        <v>16.830000000000013</v>
      </c>
      <c r="AY12" s="102">
        <f>IF('All Fleet'!AV75="","",((COUNTIFS('All Fleet'!$A$66:$A$74,"777E")*'All Fleet'!AV$5)*11.8%)-'All Fleet'!AV75)</f>
        <v>2.4699999999999989</v>
      </c>
      <c r="AZ12" s="102">
        <f>IF('All Fleet'!AW75="","",((COUNTIFS('All Fleet'!$A$66:$A$74,"777E")*'All Fleet'!AW$5)*11.8%)-'All Fleet'!AW75)</f>
        <v>2.9800000000000182</v>
      </c>
      <c r="BA12" s="102">
        <f>IF('All Fleet'!AX75="","",((COUNTIFS('All Fleet'!$A$66:$A$74,"777E")*'All Fleet'!AX$5)*11.8%)-'All Fleet'!AX75)</f>
        <v>13.950000000000045</v>
      </c>
      <c r="BB12" s="102">
        <f>IF('All Fleet'!AY75="","",((COUNTIFS('All Fleet'!$A$66:$A$74,"777E")*'All Fleet'!AY$5)*11.8%)-'All Fleet'!AY75)</f>
        <v>-6.5399999999999352</v>
      </c>
      <c r="BC12" s="102">
        <f>IF('All Fleet'!AZ75="","",((COUNTIFS('All Fleet'!$A$66:$A$74,"777E")*'All Fleet'!AZ$5)*11.8%)-'All Fleet'!AZ75)</f>
        <v>-16.269999999999982</v>
      </c>
      <c r="BD12" s="102">
        <f>IF('All Fleet'!BA75="","",((COUNTIFS('All Fleet'!$A$66:$A$74,"777E")*'All Fleet'!BA$5)*11.8%)-'All Fleet'!BA75)</f>
        <v>-28.769999999999925</v>
      </c>
      <c r="BE12" s="102">
        <f>IF('All Fleet'!BB75="","",((COUNTIFS('All Fleet'!$A$66:$A$74,"777E")*'All Fleet'!BB$5)*11.8%)-'All Fleet'!BB75)</f>
        <v>-17.389999999999986</v>
      </c>
      <c r="BF12" s="102">
        <f>IF('All Fleet'!BC75="","",((COUNTIFS('All Fleet'!$A$66:$A$74,"777E")*'All Fleet'!BC$5)*11.8%)-'All Fleet'!BC75)</f>
        <v>-14.88999999999993</v>
      </c>
      <c r="BG12" s="102">
        <f>IF('All Fleet'!BD75="","",((COUNTIFS('All Fleet'!$A$66:$A$74,"777E")*'All Fleet'!BD$5)*11.8%)-'All Fleet'!BD75)</f>
        <v>-3.9999999999999432</v>
      </c>
      <c r="BH12" s="102">
        <f>IF('All Fleet'!BE75="","",((COUNTIFS('All Fleet'!$A$66:$A$74,"777E")*'All Fleet'!BE$5)*11.8%)-'All Fleet'!BE75)</f>
        <v>5.4500000000000455</v>
      </c>
      <c r="BI12" s="102">
        <f>IF('All Fleet'!BF75="","",((COUNTIFS('All Fleet'!$A$66:$A$74,"777E")*'All Fleet'!BF$5)*11.8%)-'All Fleet'!BF75)</f>
        <v>15.689999999999998</v>
      </c>
      <c r="BJ12" s="102">
        <f>IF('All Fleet'!BG75="","",((COUNTIFS('All Fleet'!$A$66:$A$74,"777E")*'All Fleet'!BG$5)*11.8%)-'All Fleet'!BG75)</f>
        <v>25.019999999999982</v>
      </c>
      <c r="BK12" s="102">
        <f>IF('All Fleet'!BH75="","",((COUNTIFS('All Fleet'!$A$66:$A$74,"777E")*'All Fleet'!BH$5)*11.8%)-'All Fleet'!BH75)</f>
        <v>35.379999999999995</v>
      </c>
      <c r="BL12" s="102">
        <f>IF('All Fleet'!BI75="","",((COUNTIFS('All Fleet'!$A$66:$A$74,"777E")*'All Fleet'!BI$5)*11.8%)-'All Fleet'!BI75)</f>
        <v>40.81</v>
      </c>
      <c r="BM12" s="102">
        <f>IF('All Fleet'!BJ75="","",((COUNTIFS('All Fleet'!$A$66:$A$74,"777E")*'All Fleet'!BJ$5)*11.8%)-'All Fleet'!BJ75)</f>
        <v>-16.970000000000002</v>
      </c>
      <c r="BN12" s="102">
        <f>IF('All Fleet'!BK75="","",((COUNTIFS('All Fleet'!$A$66:$A$74,"777E")*'All Fleet'!BK$5)*11.8%)-'All Fleet'!BK75)</f>
        <v>-31.419999999999995</v>
      </c>
      <c r="BO12" s="102">
        <f>IF('All Fleet'!BL75="","",((COUNTIFS('All Fleet'!$A$66:$A$74,"777E")*'All Fleet'!BL$5)*11.8%)-'All Fleet'!BL75)</f>
        <v>-60.309999999999988</v>
      </c>
      <c r="BP12" s="102">
        <f>IF('All Fleet'!BM75="","",((COUNTIFS('All Fleet'!$A$66:$A$74,"777E")*'All Fleet'!BM$5)*11.8%)-'All Fleet'!BM75)</f>
        <v>-46.149999999999991</v>
      </c>
      <c r="BQ12" s="102">
        <f>IF('All Fleet'!BN75="","",((COUNTIFS('All Fleet'!$A$66:$A$74,"777E")*'All Fleet'!BN$5)*11.8%)-'All Fleet'!BN75)</f>
        <v>-56.689999999999984</v>
      </c>
      <c r="BR12" s="102">
        <f>IF('All Fleet'!BO75="","",((COUNTIFS('All Fleet'!$A$66:$A$74,"777E")*'All Fleet'!BO$5)*11.8%)-'All Fleet'!BO75)</f>
        <v>-67.039999999999992</v>
      </c>
      <c r="BS12" s="102">
        <f>IF('All Fleet'!BP75="","",((COUNTIFS('All Fleet'!$A$66:$A$74,"777E")*'All Fleet'!BP$5)*11.8%)-'All Fleet'!BP75)</f>
        <v>-56.919999999999987</v>
      </c>
      <c r="BT12" s="102">
        <f>IF('All Fleet'!BQ75="","",((COUNTIFS('All Fleet'!$A$66:$A$74,"777E")*'All Fleet'!BQ$5)*11.8%)-'All Fleet'!BQ75)</f>
        <v>-48.75</v>
      </c>
      <c r="BU12" s="102">
        <f>IF('All Fleet'!BR75="","",((COUNTIFS('All Fleet'!$A$66:$A$74,"777E")*'All Fleet'!BR$5)*11.8%)-'All Fleet'!BR75)</f>
        <v>-53.42</v>
      </c>
      <c r="BV12" s="102">
        <f>IF('All Fleet'!BS75="","",((COUNTIFS('All Fleet'!$A$66:$A$74,"777E")*'All Fleet'!BS$5)*11.8%)-'All Fleet'!BS75)</f>
        <v>-62.139999999999986</v>
      </c>
      <c r="BW12" s="102">
        <f>IF('All Fleet'!BT75="","",((COUNTIFS('All Fleet'!$A$66:$A$74,"777E")*'All Fleet'!BT$5)*11.8%)-'All Fleet'!BT75)</f>
        <v>-54.149999999999977</v>
      </c>
      <c r="BX12" s="102">
        <f>IF('All Fleet'!BU75="","",((COUNTIFS('All Fleet'!$A$66:$A$74,"777E")*'All Fleet'!BU$5)*11.8%)-'All Fleet'!BU75)</f>
        <v>-45.769999999999982</v>
      </c>
      <c r="BY12" s="102">
        <f>IF('All Fleet'!BV75="","",((COUNTIFS('All Fleet'!$A$66:$A$74,"777E")*'All Fleet'!BV$5)*11.8%)-'All Fleet'!BV75)</f>
        <v>-49.619999999999976</v>
      </c>
      <c r="BZ12" s="102">
        <f>IF('All Fleet'!BW75="","",((COUNTIFS('All Fleet'!$A$66:$A$74,"777E")*'All Fleet'!BW$5)*11.8%)-'All Fleet'!BW75)</f>
        <v>-47.659999999999968</v>
      </c>
      <c r="CA12" s="102">
        <f>IF('All Fleet'!BX75="","",((COUNTIFS('All Fleet'!$A$66:$A$74,"777E")*'All Fleet'!BX$5)*11.8%)-'All Fleet'!BX75)</f>
        <v>-36.02000000000001</v>
      </c>
      <c r="CB12" s="102">
        <f>IF('All Fleet'!BY75="","",((COUNTIFS('All Fleet'!$A$66:$A$74,"777E")*'All Fleet'!BY$5)*11.8%)-'All Fleet'!BY75)</f>
        <v>-27.060000000000002</v>
      </c>
      <c r="CC12" s="102">
        <f>IF('All Fleet'!BZ75="","",((COUNTIFS('All Fleet'!$A$66:$A$74,"777E")*'All Fleet'!BZ$5)*11.8%)-'All Fleet'!BZ75)</f>
        <v>-16.42999999999995</v>
      </c>
      <c r="CD12" s="102">
        <f>IF('All Fleet'!CA75="","",((COUNTIFS('All Fleet'!$A$66:$A$74,"777E")*'All Fleet'!CA$5)*11.8%)-'All Fleet'!CA75)</f>
        <v>-15.150000000000006</v>
      </c>
      <c r="CE12" s="102">
        <f>IF('All Fleet'!CB75="","",((COUNTIFS('All Fleet'!$A$66:$A$74,"777E")*'All Fleet'!CB$5)*11.8%)-'All Fleet'!CB75)</f>
        <v>-63.45999999999998</v>
      </c>
      <c r="CF12" s="102">
        <f>IF('All Fleet'!CC75="","",((COUNTIFS('All Fleet'!$A$66:$A$74,"777E")*'All Fleet'!CC$5)*11.8%)-'All Fleet'!CC75)</f>
        <v>-98.88999999999993</v>
      </c>
      <c r="CG12" s="102">
        <f>IF('All Fleet'!CD75="","",((COUNTIFS('All Fleet'!$A$66:$A$74,"777E")*'All Fleet'!CD$5)*11.8%)-'All Fleet'!CD75)</f>
        <v>-92.519999999999982</v>
      </c>
      <c r="CH12" s="102">
        <f>IF('All Fleet'!CE75="","",((COUNTIFS('All Fleet'!$A$66:$A$74,"777E")*'All Fleet'!CE$5)*11.8%)-'All Fleet'!CE75)</f>
        <v>-78.359999999999957</v>
      </c>
      <c r="CI12" s="102">
        <f>IF('All Fleet'!CF75="","",((COUNTIFS('All Fleet'!$A$66:$A$74,"777E")*'All Fleet'!CF$5)*11.8%)-'All Fleet'!CF75)</f>
        <v>-81.859999999999957</v>
      </c>
      <c r="CJ12" s="102">
        <f>IF('All Fleet'!CG75="","",((COUNTIFS('All Fleet'!$A$66:$A$74,"777E")*'All Fleet'!CG$5)*11.8%)-'All Fleet'!CG75)</f>
        <v>-68.019999999999982</v>
      </c>
      <c r="CK12" s="102">
        <f>IF('All Fleet'!CH75="","",((COUNTIFS('All Fleet'!$A$66:$A$74,"777E")*'All Fleet'!CH$5)*11.8%)-'All Fleet'!CH75)</f>
        <v>-58.759999999999991</v>
      </c>
      <c r="CL12" s="102">
        <f>IF('All Fleet'!CI75="","",((COUNTIFS('All Fleet'!$A$66:$A$74,"777E")*'All Fleet'!CI$5)*11.8%)-'All Fleet'!CI75)</f>
        <v>-56.25</v>
      </c>
      <c r="CM12" s="102">
        <f>IF('All Fleet'!CJ75="","",((COUNTIFS('All Fleet'!$A$66:$A$74,"777E")*'All Fleet'!CJ$5)*11.8%)-'All Fleet'!CJ75)</f>
        <v>-52.349999999999909</v>
      </c>
      <c r="CN12" s="102">
        <f>IF('All Fleet'!CK75="","",((COUNTIFS('All Fleet'!$A$66:$A$74,"777E")*'All Fleet'!CK$5)*11.8%)-'All Fleet'!CK75)</f>
        <v>-38.189999999999941</v>
      </c>
      <c r="CO12" s="102">
        <f>IF('All Fleet'!CL75="","",((COUNTIFS('All Fleet'!$A$66:$A$74,"777E")*'All Fleet'!CL$5)*11.8%)-'All Fleet'!CL75)</f>
        <v>-26.1099999999999</v>
      </c>
      <c r="CP12" s="102">
        <f>IF('All Fleet'!CM75="","",((COUNTIFS('All Fleet'!$A$66:$A$74,"777E")*'All Fleet'!CM$5)*11.8%)-'All Fleet'!CM75)</f>
        <v>-40.359999999999957</v>
      </c>
      <c r="CQ12" s="102">
        <f>IF('All Fleet'!CN75="","",((COUNTIFS('All Fleet'!$A$66:$A$74,"777E")*'All Fleet'!CN$5)*11.8%)-'All Fleet'!CN75)</f>
        <v>-36.949999999999932</v>
      </c>
      <c r="CR12" s="102">
        <f>IF('All Fleet'!CO75="","",((COUNTIFS('All Fleet'!$A$66:$A$74,"777E")*'All Fleet'!CO$5)*11.8%)-'All Fleet'!CO75)</f>
        <v>-20.8</v>
      </c>
      <c r="CS12" s="102">
        <f>IF('All Fleet'!CP75="","",((COUNTIFS('All Fleet'!$A$66:$A$74,"777E")*'All Fleet'!CP$5)*11.8%)-'All Fleet'!CP75)</f>
        <v>-17.5</v>
      </c>
      <c r="CT12" s="102">
        <f>IF('All Fleet'!CQ75="","",((COUNTIFS('All Fleet'!$A$66:$A$74,"777E")*'All Fleet'!CQ$5)*11.8%)-'All Fleet'!CQ75)</f>
        <v>-21.059999999999995</v>
      </c>
      <c r="CU12" s="102">
        <f>IF('All Fleet'!CR75="","",((COUNTIFS('All Fleet'!$A$66:$A$74,"777E")*'All Fleet'!CR$5)*11.8%)-'All Fleet'!CR75)</f>
        <v>-39.88000000000001</v>
      </c>
      <c r="CV12" s="102">
        <f>IF('All Fleet'!CS75="","",((COUNTIFS('All Fleet'!$A$66:$A$74,"777E")*'All Fleet'!CS$5)*11.8%)-'All Fleet'!CS75)</f>
        <v>-56.899999999999991</v>
      </c>
      <c r="CW12" s="102">
        <f>IF('All Fleet'!CT75="","",((COUNTIFS('All Fleet'!$A$66:$A$74,"777E")*'All Fleet'!CT$5)*11.8%)-'All Fleet'!CT75)</f>
        <v>-60.740000000000009</v>
      </c>
      <c r="CX12" s="102">
        <f>IF('All Fleet'!CU75="","",((COUNTIFS('All Fleet'!$A$66:$A$74,"777E")*'All Fleet'!CU$5)*11.8%)-'All Fleet'!CU75)</f>
        <v>-57.049999999999983</v>
      </c>
      <c r="CY12" s="102">
        <f>IF('All Fleet'!CV75="","",((COUNTIFS('All Fleet'!$A$66:$A$74,"777E")*'All Fleet'!CV$5)*11.8%)-'All Fleet'!CV75)</f>
        <v>-44.319999999999993</v>
      </c>
      <c r="CZ12" s="102">
        <f>IF('All Fleet'!CW75="","",((COUNTIFS('All Fleet'!$A$66:$A$74,"777E")*'All Fleet'!CW$5)*11.8%)-'All Fleet'!CW75)</f>
        <v>-30.159999999999982</v>
      </c>
      <c r="DA12" s="102">
        <f>IF('All Fleet'!CX75="","",((COUNTIFS('All Fleet'!$A$66:$A$74,"777E")*'All Fleet'!CX$5)*11.8%)-'All Fleet'!CX75)</f>
        <v>-15.999999999999972</v>
      </c>
      <c r="DB12" s="102">
        <f>IF('All Fleet'!CY75="","",((COUNTIFS('All Fleet'!$A$66:$A$74,"777E")*'All Fleet'!CY$5)*11.8%)-'All Fleet'!CY75)</f>
        <v>-18.769999999999982</v>
      </c>
      <c r="DC12" s="102">
        <f>IF('All Fleet'!CZ75="","",((COUNTIFS('All Fleet'!$A$66:$A$74,"777E")*'All Fleet'!CZ$5)*11.8%)-'All Fleet'!CZ75)</f>
        <v>-4.6099999999999852</v>
      </c>
      <c r="DD12" s="102">
        <f>IF('All Fleet'!DA75="","",((COUNTIFS('All Fleet'!$A$66:$A$74,"777E")*'All Fleet'!DA$5)*11.8%)-'All Fleet'!DA75)</f>
        <v>-7.8400000000000034</v>
      </c>
      <c r="DE12" s="102">
        <f>IF('All Fleet'!DB75="","",((COUNTIFS('All Fleet'!$A$66:$A$74,"777E")*'All Fleet'!DB$5)*11.8%)-'All Fleet'!DB75)</f>
        <v>1.9399999999999977</v>
      </c>
      <c r="DF12" s="102">
        <f>IF('All Fleet'!DC75="","",((COUNTIFS('All Fleet'!$A$66:$A$74,"777E")*'All Fleet'!DC$5)*11.8%)-'All Fleet'!DC75)</f>
        <v>16.099999999999994</v>
      </c>
      <c r="DG12" s="102">
        <f>IF('All Fleet'!DD75="","",((COUNTIFS('All Fleet'!$A$66:$A$74,"777E")*'All Fleet'!DD$5)*11.8%)-'All Fleet'!DD75)</f>
        <v>16.449999999999989</v>
      </c>
      <c r="DH12" s="102">
        <f>IF('All Fleet'!DE75="","",((COUNTIFS('All Fleet'!$A$66:$A$74,"777E")*'All Fleet'!DE$5)*11.8%)-'All Fleet'!DE75)</f>
        <v>18.910000000000025</v>
      </c>
      <c r="DI12" s="102">
        <f>IF('All Fleet'!DF75="","",((COUNTIFS('All Fleet'!$A$66:$A$74,"777E")*'All Fleet'!DF$5)*11.8%)-'All Fleet'!DF75)</f>
        <v>31.070000000000022</v>
      </c>
      <c r="DJ12" s="102">
        <f>IF('All Fleet'!DG75="","",((COUNTIFS('All Fleet'!$A$66:$A$74,"777E")*'All Fleet'!DG$5)*11.8%)-'All Fleet'!DG75)</f>
        <v>29.97999999999999</v>
      </c>
      <c r="DK12" s="102">
        <f>IF('All Fleet'!DH75="","",((COUNTIFS('All Fleet'!$A$66:$A$74,"777E")*'All Fleet'!DH$5)*11.8%)-'All Fleet'!DH75)</f>
        <v>-0.59999999999996589</v>
      </c>
      <c r="DL12" s="102">
        <f>IF('All Fleet'!DI75="","",((COUNTIFS('All Fleet'!$A$66:$A$74,"777E")*'All Fleet'!DI$5)*11.8%)-'All Fleet'!DI75)</f>
        <v>11.720000000000027</v>
      </c>
      <c r="DM12" s="102">
        <f>IF('All Fleet'!DJ75="","",((COUNTIFS('All Fleet'!$A$66:$A$74,"777E")*'All Fleet'!DJ$5)*11.8%)-'All Fleet'!DJ75)</f>
        <v>19.620000000000061</v>
      </c>
      <c r="DN12" s="102">
        <f>IF('All Fleet'!DK75="","",((COUNTIFS('All Fleet'!$A$66:$A$74,"777E")*'All Fleet'!DK$5)*11.8%)-'All Fleet'!DK75)</f>
        <v>30.090000000000032</v>
      </c>
      <c r="DO12" s="102">
        <f>IF('All Fleet'!DL75="","",((COUNTIFS('All Fleet'!$A$66:$A$74,"777E")*'All Fleet'!DL$5)*11.8%)-'All Fleet'!DL75)</f>
        <v>40.630000000000052</v>
      </c>
      <c r="DP12" s="102">
        <f>IF('All Fleet'!DM75="","",((COUNTIFS('All Fleet'!$A$66:$A$74,"777E")*'All Fleet'!DM$5)*11.8%)-'All Fleet'!DM75)</f>
        <v>54.79000000000002</v>
      </c>
      <c r="DQ12" s="102">
        <f>IF('All Fleet'!DN75="","",((COUNTIFS('All Fleet'!$A$66:$A$74,"777E")*'All Fleet'!DN$5)*11.8%)-'All Fleet'!DN75)</f>
        <v>68.950000000000045</v>
      </c>
      <c r="DR12" s="102">
        <f>IF('All Fleet'!DO75="","",((COUNTIFS('All Fleet'!$A$66:$A$74,"777E")*'All Fleet'!DO$5)*11.8%)-'All Fleet'!DO75)</f>
        <v>74.360000000000014</v>
      </c>
      <c r="DS12" s="102">
        <f>IF('All Fleet'!DP75="","",((COUNTIFS('All Fleet'!$A$66:$A$74,"777E")*'All Fleet'!DP$5)*11.8%)-'All Fleet'!DP75)</f>
        <v>80.420000000000016</v>
      </c>
      <c r="DT12" s="102">
        <f>IF('All Fleet'!DQ75="","",((COUNTIFS('All Fleet'!$A$66:$A$74,"777E")*'All Fleet'!DQ$5)*11.8%)-'All Fleet'!DQ75)</f>
        <v>93.450000000000045</v>
      </c>
      <c r="DU12" s="102">
        <f>IF('All Fleet'!DR75="","",((COUNTIFS('All Fleet'!$A$66:$A$74,"777E")*'All Fleet'!DR$5)*11.8%)-'All Fleet'!DR75)</f>
        <v>71.589999999999975</v>
      </c>
      <c r="DV12" s="102">
        <f>IF('All Fleet'!DS75="","",((COUNTIFS('All Fleet'!$A$66:$A$74,"777E")*'All Fleet'!DS$5)*11.8%)-'All Fleet'!DS75)</f>
        <v>-2.2200000000000024</v>
      </c>
      <c r="DW12" s="102">
        <f>IF('All Fleet'!DT75="","",((COUNTIFS('All Fleet'!$A$66:$A$74,"777E")*'All Fleet'!DT$5)*11.8%)-'All Fleet'!DT75)</f>
        <v>6.9799999999999969</v>
      </c>
      <c r="DX12" s="102">
        <f>IF('All Fleet'!DU75="","",((COUNTIFS('All Fleet'!$A$66:$A$74,"777E")*'All Fleet'!DU$5)*11.8%)-'All Fleet'!DU75)</f>
        <v>-14.810000000000002</v>
      </c>
      <c r="DY12" s="102">
        <f>IF('All Fleet'!DV75="","",((COUNTIFS('All Fleet'!$A$66:$A$74,"777E")*'All Fleet'!DV$5)*11.8%)-'All Fleet'!DV75)</f>
        <v>-6.5</v>
      </c>
      <c r="DZ12" s="102">
        <f>IF('All Fleet'!DW75="","",((COUNTIFS('All Fleet'!$A$66:$A$74,"777E")*'All Fleet'!DW$5)*11.8%)-'All Fleet'!DW75)</f>
        <v>6.3900000000000148</v>
      </c>
      <c r="EA12" s="102">
        <f>IF('All Fleet'!DX75="","",((COUNTIFS('All Fleet'!$A$66:$A$74,"777E")*'All Fleet'!DX$5)*11.8%)-'All Fleet'!DX75)</f>
        <v>6.5</v>
      </c>
      <c r="EB12" s="102">
        <f>IF('All Fleet'!DY75="","",((COUNTIFS('All Fleet'!$A$66:$A$74,"777E")*'All Fleet'!DY$5)*11.8%)-'All Fleet'!DY75)</f>
        <v>16.069999999999993</v>
      </c>
      <c r="EC12" s="102">
        <f>IF('All Fleet'!DZ75="","",((COUNTIFS('All Fleet'!$A$66:$A$74,"777E")*'All Fleet'!DZ$5)*11.8%)-'All Fleet'!DZ75)</f>
        <v>10.400000000000006</v>
      </c>
      <c r="ED12" s="102">
        <f>IF('All Fleet'!EA75="","",((COUNTIFS('All Fleet'!$A$66:$A$74,"777E")*'All Fleet'!EA$5)*11.8%)-'All Fleet'!EA75)</f>
        <v>24.560000000000016</v>
      </c>
      <c r="EE12" s="102">
        <f>IF('All Fleet'!EB75="","",((COUNTIFS('All Fleet'!$A$66:$A$74,"777E")*'All Fleet'!EB$5)*11.8%)-'All Fleet'!EB75)</f>
        <v>30.730000000000018</v>
      </c>
      <c r="EF12" s="102">
        <f>IF('All Fleet'!EC75="","",((COUNTIFS('All Fleet'!$A$66:$A$74,"777E")*'All Fleet'!EC$5)*11.8%)-'All Fleet'!EC75)</f>
        <v>2.2500000000000284</v>
      </c>
      <c r="EG12" s="102">
        <f>IF('All Fleet'!ED75="","",((COUNTIFS('All Fleet'!$A$66:$A$74,"777E")*'All Fleet'!ED$5)*11.8%)-'All Fleet'!ED75)</f>
        <v>2.3100000000000023</v>
      </c>
      <c r="EH12" s="102">
        <f>IF('All Fleet'!EE75="","",((COUNTIFS('All Fleet'!$A$66:$A$74,"777E")*'All Fleet'!EE$5)*11.8%)-'All Fleet'!EE75)</f>
        <v>-30.759999999999962</v>
      </c>
      <c r="EI12" s="102">
        <f>IF('All Fleet'!EF75="","",((COUNTIFS('All Fleet'!$A$66:$A$74,"777E")*'All Fleet'!EF$5)*11.8%)-'All Fleet'!EF75)</f>
        <v>-16.599999999999966</v>
      </c>
      <c r="EJ12" s="102">
        <f>IF('All Fleet'!EG75="","",((COUNTIFS('All Fleet'!$A$66:$A$74,"777E")*'All Fleet'!EG$5)*11.8%)-'All Fleet'!EG75)</f>
        <v>-42.359999999999985</v>
      </c>
      <c r="EK12" s="102">
        <f>IF('All Fleet'!EH75="","",((COUNTIFS('All Fleet'!$A$66:$A$74,"777E")*'All Fleet'!EH$5)*11.8%)-'All Fleet'!EH75)</f>
        <v>-28.569999999999993</v>
      </c>
      <c r="EL12" s="102">
        <f>IF('All Fleet'!EI75="","",((COUNTIFS('All Fleet'!$A$66:$A$74,"777E")*'All Fleet'!EI$5)*11.8%)-'All Fleet'!EI75)</f>
        <v>-43.289999999999964</v>
      </c>
      <c r="EM12" s="102">
        <f>IF('All Fleet'!EJ75="","",((COUNTIFS('All Fleet'!$A$66:$A$74,"777E")*'All Fleet'!EJ$5)*11.8%)-'All Fleet'!EJ75)</f>
        <v>-42.589999999999947</v>
      </c>
      <c r="EN12" s="102">
        <f>IF('All Fleet'!EK75="","",((COUNTIFS('All Fleet'!$A$66:$A$74,"777E")*'All Fleet'!EK$5)*11.8%)-'All Fleet'!EK75)</f>
        <v>-36.329999999999984</v>
      </c>
      <c r="EO12" s="102">
        <f>IF('All Fleet'!EL75="","",((COUNTIFS('All Fleet'!$A$66:$A$74,"777E")*'All Fleet'!EL$5)*11.8%)-'All Fleet'!EL75)</f>
        <v>-47.319999999999993</v>
      </c>
      <c r="EP12" s="102">
        <f>IF('All Fleet'!EM75="","",((COUNTIFS('All Fleet'!$A$66:$A$74,"777E")*'All Fleet'!EM$5)*11.8%)-'All Fleet'!EM75)</f>
        <v>-43.730000000000018</v>
      </c>
      <c r="EQ12" s="102">
        <f>IF('All Fleet'!EN75="","",((COUNTIFS('All Fleet'!$A$66:$A$74,"777E")*'All Fleet'!EN$5)*11.8%)-'All Fleet'!EN75)</f>
        <v>-31.669999999999959</v>
      </c>
      <c r="ER12" s="102">
        <f>IF('All Fleet'!EO75="","",((COUNTIFS('All Fleet'!$A$66:$A$74,"777E")*'All Fleet'!EO$5)*11.8%)-'All Fleet'!EO75)</f>
        <v>-45.44</v>
      </c>
      <c r="ES12" s="102">
        <f>IF('All Fleet'!EP75="","",((COUNTIFS('All Fleet'!$A$66:$A$74,"777E")*'All Fleet'!EP$5)*11.8%)-'All Fleet'!EP75)</f>
        <v>-66.149999999999977</v>
      </c>
      <c r="ET12" s="102">
        <f>IF('All Fleet'!EQ75="","",((COUNTIFS('All Fleet'!$A$66:$A$74,"777E")*'All Fleet'!EQ$5)*11.8%)-'All Fleet'!EQ75)</f>
        <v>-55.370000000000005</v>
      </c>
      <c r="EU12" s="102">
        <f>IF('All Fleet'!ER75="","",((COUNTIFS('All Fleet'!$A$66:$A$74,"777E")*'All Fleet'!ER$5)*11.8%)-'All Fleet'!ER75)</f>
        <v>-50.610000000000014</v>
      </c>
      <c r="EV12" s="102">
        <f>IF('All Fleet'!ES75="","",((COUNTIFS('All Fleet'!$A$66:$A$74,"777E")*'All Fleet'!ES$5)*11.8%)-'All Fleet'!ES75)</f>
        <v>-44.199999999999989</v>
      </c>
      <c r="EW12" s="102">
        <f>IF('All Fleet'!ET75="","",((COUNTIFS('All Fleet'!$A$66:$A$74,"777E")*'All Fleet'!ET$5)*11.8%)-'All Fleet'!ET75)</f>
        <v>-36.569999999999993</v>
      </c>
      <c r="EX12" s="102">
        <f>IF('All Fleet'!EU75="","",((COUNTIFS('All Fleet'!$A$66:$A$74,"777E")*'All Fleet'!EU$5)*11.8%)-'All Fleet'!EU75)</f>
        <v>-22.409999999999968</v>
      </c>
      <c r="EY12" s="102">
        <f>IF('All Fleet'!EV75="","",((COUNTIFS('All Fleet'!$A$66:$A$74,"777E")*'All Fleet'!EV$5)*11.8%)-'All Fleet'!EV75)</f>
        <v>-8.25</v>
      </c>
      <c r="EZ12" s="102">
        <f>IF('All Fleet'!EW75="","",((COUNTIFS('All Fleet'!$A$66:$A$74,"777E")*'All Fleet'!EW$5)*11.8%)-'All Fleet'!EW75)</f>
        <v>5.910000000000025</v>
      </c>
      <c r="FA12" s="102">
        <f>IF('All Fleet'!EX75="","",((COUNTIFS('All Fleet'!$A$66:$A$74,"777E")*'All Fleet'!EX$5)*11.8%)-'All Fleet'!EX75)</f>
        <v>14.16</v>
      </c>
      <c r="FB12" s="102">
        <f>IF('All Fleet'!EY75="","",((COUNTIFS('All Fleet'!$A$66:$A$74,"777E")*'All Fleet'!EY$5)*11.8%)-'All Fleet'!EY75)</f>
        <v>28.32</v>
      </c>
      <c r="FC12" s="102">
        <f>IF('All Fleet'!EZ75="","",((COUNTIFS('All Fleet'!$A$66:$A$74,"777E")*'All Fleet'!EZ$5)*11.8%)-'All Fleet'!EZ75)</f>
        <v>42.480000000000004</v>
      </c>
      <c r="FD12" s="102">
        <f>IF('All Fleet'!FA75="","",((COUNTIFS('All Fleet'!$A$66:$A$74,"777E")*'All Fleet'!FA$5)*11.8%)-'All Fleet'!FA75)</f>
        <v>56.64</v>
      </c>
      <c r="FE12" s="102">
        <f>IF('All Fleet'!FB75="","",((COUNTIFS('All Fleet'!$A$66:$A$74,"777E")*'All Fleet'!FB$5)*11.8%)-'All Fleet'!FB75)</f>
        <v>70.800000000000011</v>
      </c>
      <c r="FF12" s="102">
        <f>IF('All Fleet'!FC75="","",((COUNTIFS('All Fleet'!$A$66:$A$74,"777E")*'All Fleet'!FC$5)*11.8%)-'All Fleet'!FC75)</f>
        <v>84.960000000000008</v>
      </c>
      <c r="FG12" s="102">
        <f>IF('All Fleet'!FD75="","",((COUNTIFS('All Fleet'!$A$66:$A$74,"777E")*'All Fleet'!FD$5)*11.8%)-'All Fleet'!FD75)</f>
        <v>94.570000000000007</v>
      </c>
      <c r="FH12" s="102">
        <f>IF('All Fleet'!FE75="","",((COUNTIFS('All Fleet'!$A$66:$A$74,"777E")*'All Fleet'!FE$5)*11.8%)-'All Fleet'!FE75)</f>
        <v>81.599999999999994</v>
      </c>
      <c r="FI12" s="102">
        <f>IF('All Fleet'!FF75="","",((COUNTIFS('All Fleet'!$A$66:$A$74,"777E")*'All Fleet'!FF$5)*11.8%)-'All Fleet'!FF75)</f>
        <v>84.27000000000001</v>
      </c>
      <c r="FJ12" s="102">
        <f>IF('All Fleet'!FG75="","",((COUNTIFS('All Fleet'!$A$66:$A$74,"777E")*'All Fleet'!FG$5)*11.8%)-'All Fleet'!FG75)</f>
        <v>73.800000000000026</v>
      </c>
      <c r="FK12" s="102">
        <f>IF('All Fleet'!FH75="","",((COUNTIFS('All Fleet'!$A$66:$A$74,"777E")*'All Fleet'!FH$5)*11.8%)-'All Fleet'!FH75)</f>
        <v>76.410000000000025</v>
      </c>
      <c r="FL12" s="102">
        <f>IF('All Fleet'!FI75="","",((COUNTIFS('All Fleet'!$A$66:$A$74,"777E")*'All Fleet'!FI$5)*11.8%)-'All Fleet'!FI75)</f>
        <v>67.850000000000023</v>
      </c>
      <c r="FM12" s="102">
        <f>IF('All Fleet'!FJ75="","",((COUNTIFS('All Fleet'!$A$66:$A$74,"777E")*'All Fleet'!FJ$5)*11.8%)-'All Fleet'!FJ75)</f>
        <v>75.030000000000015</v>
      </c>
      <c r="FN12" s="102">
        <f>IF('All Fleet'!FK75="","",((COUNTIFS('All Fleet'!$A$66:$A$74,"777E")*'All Fleet'!FK$5)*11.8%)-'All Fleet'!FK75)</f>
        <v>66.360000000000014</v>
      </c>
      <c r="FO12" s="102">
        <f>IF('All Fleet'!FL75="","",((COUNTIFS('All Fleet'!$A$66:$A$74,"777E")*'All Fleet'!FL$5)*11.8%)-'All Fleet'!FL75)</f>
        <v>77.319999999999993</v>
      </c>
      <c r="FP12" s="102">
        <f>IF('All Fleet'!FM75="","",((COUNTIFS('All Fleet'!$A$66:$A$74,"777E")*'All Fleet'!FM$5)*11.8%)-'All Fleet'!FM75)</f>
        <v>86.360000000000014</v>
      </c>
      <c r="FQ12" s="102">
        <f>IF('All Fleet'!FN75="","",((COUNTIFS('All Fleet'!$A$66:$A$74,"777E")*'All Fleet'!FN$5)*11.8%)-'All Fleet'!FN75)</f>
        <v>100.52000000000004</v>
      </c>
      <c r="FR12" s="102">
        <f>IF('All Fleet'!FO75="","",((COUNTIFS('All Fleet'!$A$66:$A$74,"777E")*'All Fleet'!FO$5)*11.8%)-'All Fleet'!FO75)</f>
        <v>83.02000000000001</v>
      </c>
      <c r="FS12" s="102">
        <f>IF('All Fleet'!FP75="","",((COUNTIFS('All Fleet'!$A$66:$A$74,"777E")*'All Fleet'!FP$5)*11.8%)-'All Fleet'!FP75)</f>
        <v>32.740000000000066</v>
      </c>
      <c r="FT12" s="102">
        <f>IF('All Fleet'!FQ75="","",((COUNTIFS('All Fleet'!$A$66:$A$74,"777E")*'All Fleet'!FQ$5)*11.8%)-'All Fleet'!FQ75)</f>
        <v>37.670000000000073</v>
      </c>
      <c r="FU12" s="102">
        <f>IF('All Fleet'!FR75="","",((COUNTIFS('All Fleet'!$A$66:$A$74,"777E")*'All Fleet'!FR$5)*11.8%)-'All Fleet'!FR75)</f>
        <v>-102.18999999999994</v>
      </c>
      <c r="FV12" s="102">
        <f>IF('All Fleet'!FS75="","",((COUNTIFS('All Fleet'!$A$66:$A$74,"777E")*'All Fleet'!FS$5)*11.8%)-'All Fleet'!FS75)</f>
        <v>-102.49999999999994</v>
      </c>
      <c r="FW12" s="102">
        <f>IF('All Fleet'!FT75="","",((COUNTIFS('All Fleet'!$A$66:$A$74,"777E")*'All Fleet'!FT$5)*11.8%)-'All Fleet'!FT75)</f>
        <v>-115.11999999999995</v>
      </c>
      <c r="FX12" s="102">
        <f>IF('All Fleet'!FU75="","",((COUNTIFS('All Fleet'!$A$66:$A$74,"777E")*'All Fleet'!FU$5)*11.8%)-'All Fleet'!FU75)</f>
        <v>-122.77999999999997</v>
      </c>
      <c r="FY12" s="102">
        <f>IF('All Fleet'!FV75="","",((COUNTIFS('All Fleet'!$A$66:$A$74,"777E")*'All Fleet'!FV$5)*11.8%)-'All Fleet'!FV75)</f>
        <v>-129.73000000000002</v>
      </c>
      <c r="FZ12" s="102">
        <f>IF('All Fleet'!FW75="","",((COUNTIFS('All Fleet'!$A$66:$A$74,"777E")*'All Fleet'!FW$5)*11.8%)-'All Fleet'!FW75)</f>
        <v>-135.78000000000003</v>
      </c>
      <c r="GA12" s="102">
        <f>IF('All Fleet'!FX75="","",((COUNTIFS('All Fleet'!$A$66:$A$74,"777E")*'All Fleet'!FX$5)*11.8%)-'All Fleet'!FX75)</f>
        <v>-140.13</v>
      </c>
      <c r="GB12" s="102">
        <f>IF('All Fleet'!FY75="","",((COUNTIFS('All Fleet'!$A$66:$A$74,"777E")*'All Fleet'!FY$5)*11.8%)-'All Fleet'!FY75)</f>
        <v>-403.32999999999993</v>
      </c>
      <c r="GC12" s="102">
        <f>IF('All Fleet'!FZ75="","",((COUNTIFS('All Fleet'!$A$66:$A$74,"777E")*'All Fleet'!FZ$5)*11.8%)-'All Fleet'!FZ75)</f>
        <v>-400.69</v>
      </c>
      <c r="GD12" s="102">
        <f>IF('All Fleet'!GA75="","",((COUNTIFS('All Fleet'!$A$66:$A$74,"777E")*'All Fleet'!GA$5)*11.8%)-'All Fleet'!GA75)</f>
        <v>-387.83</v>
      </c>
      <c r="GE12" s="102">
        <f>IF('All Fleet'!GB75="","",((COUNTIFS('All Fleet'!$A$66:$A$74,"777E")*'All Fleet'!GB$5)*11.8%)-'All Fleet'!GB75)</f>
        <v>-49.989999999999995</v>
      </c>
      <c r="GF12" s="102">
        <f>IF('All Fleet'!GC75="","",((COUNTIFS('All Fleet'!$A$66:$A$74,"777E")*'All Fleet'!GC$5)*11.8%)-'All Fleet'!GC75)</f>
        <v>-50.699999999999996</v>
      </c>
      <c r="GG12" s="102">
        <f>IF('All Fleet'!GD75="","",((COUNTIFS('All Fleet'!$A$66:$A$74,"777E")*'All Fleet'!GD$5)*11.8%)-'All Fleet'!GD75)</f>
        <v>-60.789999999999992</v>
      </c>
      <c r="GH12" s="102">
        <f>IF('All Fleet'!GE75="","",((COUNTIFS('All Fleet'!$A$66:$A$74,"777E")*'All Fleet'!GE$5)*11.8%)-'All Fleet'!GE75)</f>
        <v>-82.229999999999976</v>
      </c>
      <c r="GI12" s="102">
        <f>IF('All Fleet'!GF75="","",((COUNTIFS('All Fleet'!$A$66:$A$74,"777E")*'All Fleet'!GF$5)*11.8%)-'All Fleet'!GF75)</f>
        <v>-77.71999999999997</v>
      </c>
      <c r="GJ12" s="102">
        <f>IF('All Fleet'!GG75="","",((COUNTIFS('All Fleet'!$A$66:$A$74,"777E")*'All Fleet'!GG$5)*11.8%)-'All Fleet'!GG75)</f>
        <v>-154.75999999999996</v>
      </c>
      <c r="GK12" s="102">
        <f>IF('All Fleet'!GH75="","",((COUNTIFS('All Fleet'!$A$66:$A$74,"777E")*'All Fleet'!GH$5)*11.8%)-'All Fleet'!GH75)</f>
        <v>-164.10000000000002</v>
      </c>
      <c r="GL12" s="102">
        <f>IF('All Fleet'!GI75="","",((COUNTIFS('All Fleet'!$A$66:$A$74,"777E")*'All Fleet'!GI$5)*11.8%)-'All Fleet'!GI75)</f>
        <v>-156.35999999999999</v>
      </c>
      <c r="GM12" s="102">
        <f>IF('All Fleet'!GJ75="","",((COUNTIFS('All Fleet'!$A$66:$A$74,"777E")*'All Fleet'!GJ$5)*11.8%)-'All Fleet'!GJ75)</f>
        <v>-148.58999999999997</v>
      </c>
      <c r="GN12" s="102">
        <f>IF('All Fleet'!GK75="","",((COUNTIFS('All Fleet'!$A$66:$A$74,"777E")*'All Fleet'!GK$5)*11.8%)-'All Fleet'!GK75)</f>
        <v>-134.42999999999995</v>
      </c>
      <c r="GO12" s="102">
        <f>IF('All Fleet'!GL75="","",((COUNTIFS('All Fleet'!$A$66:$A$74,"777E")*'All Fleet'!GL$5)*11.8%)-'All Fleet'!GL75)</f>
        <v>-311.14999999999998</v>
      </c>
      <c r="GP12" s="102">
        <f>IF('All Fleet'!GM75="","",((COUNTIFS('All Fleet'!$A$66:$A$74,"777E")*'All Fleet'!GM$5)*11.8%)-'All Fleet'!GM75)</f>
        <v>-309.89999999999998</v>
      </c>
      <c r="GQ12" s="102">
        <f>IF('All Fleet'!GN75="","",((COUNTIFS('All Fleet'!$A$66:$A$74,"777E")*'All Fleet'!GN$5)*11.8%)-'All Fleet'!GN75)</f>
        <v>-295.74</v>
      </c>
      <c r="GR12" s="102">
        <f>IF('All Fleet'!GO75="","",((COUNTIFS('All Fleet'!$A$66:$A$74,"777E")*'All Fleet'!GO$5)*11.8%)-'All Fleet'!GO75)</f>
        <v>-281.58</v>
      </c>
      <c r="GS12" s="102">
        <f>IF('All Fleet'!GP75="","",((COUNTIFS('All Fleet'!$A$66:$A$74,"777E")*'All Fleet'!GP$5)*11.8%)-'All Fleet'!GP75)</f>
        <v>-267.41999999999996</v>
      </c>
      <c r="GT12" s="102">
        <f>IF('All Fleet'!GQ75="","",((COUNTIFS('All Fleet'!$A$66:$A$74,"777E")*'All Fleet'!GQ$5)*11.8%)-'All Fleet'!GQ75)</f>
        <v>-253.26</v>
      </c>
      <c r="GU12" s="102">
        <f>IF('All Fleet'!GR75="","",((COUNTIFS('All Fleet'!$A$66:$A$74,"777E")*'All Fleet'!GR$5)*11.8%)-'All Fleet'!GR75)</f>
        <v>-287.02</v>
      </c>
      <c r="GV12" s="102">
        <f>IF('All Fleet'!GS75="","",((COUNTIFS('All Fleet'!$A$66:$A$74,"777E")*'All Fleet'!GS$5)*11.8%)-'All Fleet'!GS75)</f>
        <v>-272.86</v>
      </c>
      <c r="GW12" s="102">
        <f>IF('All Fleet'!GT75="","",((COUNTIFS('All Fleet'!$A$66:$A$74,"777E")*'All Fleet'!GT$5)*11.8%)-'All Fleet'!GT75)</f>
        <v>-270.28000000000003</v>
      </c>
      <c r="GX12" s="102">
        <f>IF('All Fleet'!GU75="","",((COUNTIFS('All Fleet'!$A$66:$A$74,"777E")*'All Fleet'!GU$5)*11.8%)-'All Fleet'!GU75)</f>
        <v>-303.93999999999994</v>
      </c>
      <c r="GY12" s="102">
        <f>IF('All Fleet'!GV75="","",((COUNTIFS('All Fleet'!$A$66:$A$74,"777E")*'All Fleet'!GV$5)*11.8%)-'All Fleet'!GV75)</f>
        <v>-289.77999999999997</v>
      </c>
      <c r="GZ12" s="102">
        <f>IF('All Fleet'!GW75="","",((COUNTIFS('All Fleet'!$A$66:$A$74,"777E")*'All Fleet'!GW$5)*11.8%)-'All Fleet'!GW75)</f>
        <v>-319.19999999999987</v>
      </c>
      <c r="HA12" s="102">
        <f>IF('All Fleet'!GX75="","",((COUNTIFS('All Fleet'!$A$66:$A$74,"777E")*'All Fleet'!GX$5)*11.8%)-'All Fleet'!GX75)</f>
        <v>-305.03999999999991</v>
      </c>
      <c r="HB12" s="102">
        <f>IF('All Fleet'!GY75="","",((COUNTIFS('All Fleet'!$A$66:$A$74,"777E")*'All Fleet'!GY$5)*11.8%)-'All Fleet'!GY75)</f>
        <v>-290.87999999999988</v>
      </c>
      <c r="HC12" s="102">
        <f>IF('All Fleet'!GZ75="","",((COUNTIFS('All Fleet'!$A$66:$A$74,"777E")*'All Fleet'!GZ$5)*11.8%)-'All Fleet'!GZ75)</f>
        <v>-276.71999999999991</v>
      </c>
      <c r="HD12" s="102">
        <f>IF('All Fleet'!HA75="","",((COUNTIFS('All Fleet'!$A$66:$A$74,"777E")*'All Fleet'!HA$5)*11.8%)-'All Fleet'!HA75)</f>
        <v>-262.55999999999989</v>
      </c>
      <c r="HE12" s="102">
        <f>IF('All Fleet'!HB75="","",((COUNTIFS('All Fleet'!$A$66:$A$74,"777E")*'All Fleet'!HB$5)*11.8%)-'All Fleet'!HB75)</f>
        <v>-251.06999999999994</v>
      </c>
      <c r="HF12" s="102">
        <f>IF('All Fleet'!HC75="","",((COUNTIFS('All Fleet'!$A$66:$A$74,"777E")*'All Fleet'!HC$5)*11.8%)-'All Fleet'!HC75)</f>
        <v>-256.8599999999999</v>
      </c>
      <c r="HG12" s="102">
        <f>IF('All Fleet'!HD75="","",((COUNTIFS('All Fleet'!$A$66:$A$74,"777E")*'All Fleet'!HD$5)*11.8%)-'All Fleet'!HD75)</f>
        <v>-260.37999999999994</v>
      </c>
      <c r="HH12" s="102">
        <f>IF('All Fleet'!HE75="","",((COUNTIFS('All Fleet'!$A$66:$A$74,"777E")*'All Fleet'!HE$5)*11.8%)-'All Fleet'!HE75)</f>
        <v>-246.21999999999997</v>
      </c>
      <c r="HI12" s="102">
        <f>IF('All Fleet'!HF75="","",((COUNTIFS('All Fleet'!$A$66:$A$74,"777E")*'All Fleet'!HF$5)*11.8%)-'All Fleet'!HF75)</f>
        <v>-247.3599999999999</v>
      </c>
      <c r="HJ12" s="102">
        <f>IF('All Fleet'!HG75="","",((COUNTIFS('All Fleet'!$A$66:$A$74,"777E")*'All Fleet'!HG$5)*11.8%)-'All Fleet'!HG75)</f>
        <v>-2.9961111111111123</v>
      </c>
      <c r="HK12" s="102">
        <f>IF('All Fleet'!HH75="","",((COUNTIFS('All Fleet'!$A$66:$A$74,"777E")*'All Fleet'!HH$5)*11.8%)-'All Fleet'!HH75)</f>
        <v>5.6649999999999991</v>
      </c>
      <c r="HL12" s="102">
        <f>IF('All Fleet'!HI75="","",((COUNTIFS('All Fleet'!$A$66:$A$74,"777E")*'All Fleet'!HI$5)*11.8%)-'All Fleet'!HI75)</f>
        <v>-7.6788888888888778</v>
      </c>
      <c r="HM12" s="102">
        <f>IF('All Fleet'!HJ75="","",((COUNTIFS('All Fleet'!$A$66:$A$74,"777E")*'All Fleet'!HJ$5)*11.8%)-'All Fleet'!HJ75)</f>
        <v>-1.670555555555552</v>
      </c>
      <c r="HN12" s="102">
        <f>IF('All Fleet'!HK75="","",((COUNTIFS('All Fleet'!$A$66:$A$74,"777E")*'All Fleet'!HK$5)*11.8%)-'All Fleet'!HK75)</f>
        <v>-8.0816666666666492</v>
      </c>
      <c r="HO12" s="102">
        <f>IF('All Fleet'!HL75="","",((COUNTIFS('All Fleet'!$A$66:$A$74,"777E")*'All Fleet'!HL$5)*11.8%)-'All Fleet'!HL75)</f>
        <v>-14.773611111111109</v>
      </c>
      <c r="HP12" s="102">
        <f>IF('All Fleet'!HM75="","",((COUNTIFS('All Fleet'!$A$66:$A$74,"777E")*'All Fleet'!HM$5)*11.8%)-'All Fleet'!HM75)</f>
        <v>-27.784999999999997</v>
      </c>
      <c r="HQ12" s="102">
        <f>IF('All Fleet'!HN75="","",((COUNTIFS('All Fleet'!$A$66:$A$74,"777E")*'All Fleet'!HN$5)*11.8%)-'All Fleet'!HN75)</f>
        <v>-28.756388888888893</v>
      </c>
      <c r="HR12" s="102">
        <f>IF('All Fleet'!HO75="","",((COUNTIFS('All Fleet'!$A$66:$A$74,"777E")*'All Fleet'!HO$5)*11.8%)-'All Fleet'!HO75)</f>
        <v>-14.960833333333326</v>
      </c>
      <c r="HS12" s="102">
        <f>IF('All Fleet'!HP75="","",((COUNTIFS('All Fleet'!$A$66:$A$74,"777E")*'All Fleet'!HP$5)*11.8%)-'All Fleet'!HP75)</f>
        <v>-36.303055555555545</v>
      </c>
      <c r="HT12" s="102">
        <f>IF('All Fleet'!HQ75="","",((COUNTIFS('All Fleet'!$A$66:$A$74,"777E")*'All Fleet'!HQ$5)*11.8%)-'All Fleet'!HQ75)</f>
        <v>-23.974166666666662</v>
      </c>
      <c r="HU12" s="102">
        <f>IF('All Fleet'!HR75="","",((COUNTIFS('All Fleet'!$A$66:$A$74,"777E")*'All Fleet'!HR$5)*11.8%)-'All Fleet'!HR75)</f>
        <v>-32.475555555555559</v>
      </c>
      <c r="HV12" s="102">
        <f>IF('All Fleet'!HS75="","",((COUNTIFS('All Fleet'!$A$66:$A$74,"777E")*'All Fleet'!HS$5)*11.8%)-'All Fleet'!HS75)</f>
        <v>-34.667222222222222</v>
      </c>
      <c r="HW12" s="102">
        <f>IF('All Fleet'!HT75="","",((COUNTIFS('All Fleet'!$A$66:$A$74,"777E")*'All Fleet'!HT$5)*11.8%)-'All Fleet'!HT75)</f>
        <v>-28.581944444444446</v>
      </c>
      <c r="HX12" s="102">
        <f>IF('All Fleet'!HU75="","",((COUNTIFS('All Fleet'!$A$66:$A$74,"777E")*'All Fleet'!HU$5)*11.8%)-'All Fleet'!HU75)</f>
        <v>-26.234166666666681</v>
      </c>
      <c r="HY12" s="102">
        <f>IF('All Fleet'!HV75="","",((COUNTIFS('All Fleet'!$A$66:$A$74,"777E")*'All Fleet'!HV$5)*11.8%)-'All Fleet'!HV75)</f>
        <v>-14.454444444444448</v>
      </c>
      <c r="HZ12" s="102">
        <f>IF('All Fleet'!HW75="","",((COUNTIFS('All Fleet'!$A$66:$A$74,"777E")*'All Fleet'!HW$5)*11.8%)-'All Fleet'!HW75)</f>
        <v>-12.02916666666664</v>
      </c>
      <c r="IA12" s="102">
        <f>IF('All Fleet'!HX75="","",((COUNTIFS('All Fleet'!$A$66:$A$74,"777E")*'All Fleet'!HX$5)*11.8%)-'All Fleet'!HX75)</f>
        <v>-17.836666666666673</v>
      </c>
      <c r="IB12" s="102">
        <f>IF('All Fleet'!HY75="","",((COUNTIFS('All Fleet'!$A$66:$A$74,"777E")*'All Fleet'!HY$5)*11.8%)-'All Fleet'!HY75)</f>
        <v>-18.538333333333355</v>
      </c>
      <c r="IC12" s="102">
        <f>IF('All Fleet'!HZ75="","",((COUNTIFS('All Fleet'!$A$66:$A$74,"777E")*'All Fleet'!HZ$5)*11.8%)-'All Fleet'!HZ75)</f>
        <v>-60.58499999999998</v>
      </c>
      <c r="ID12" s="102">
        <f>IF('All Fleet'!IA75="","",((COUNTIFS('All Fleet'!$A$66:$A$74,"777E")*'All Fleet'!IA$5)*11.8%)-'All Fleet'!IA75)</f>
        <v>-55.365000000000009</v>
      </c>
      <c r="IE12" s="102">
        <f>IF('All Fleet'!IB75="","",((COUNTIFS('All Fleet'!$A$66:$A$74,"777E")*'All Fleet'!IB$5)*11.8%)-'All Fleet'!IB75)</f>
        <v>-47.468611111111102</v>
      </c>
      <c r="IF12" s="102">
        <f>IF('All Fleet'!IC75="","",((COUNTIFS('All Fleet'!$A$66:$A$74,"777E")*'All Fleet'!IC$5)*11.8%)-'All Fleet'!IC75)</f>
        <v>-55.94861111111112</v>
      </c>
      <c r="IG12" s="102">
        <f>IF('All Fleet'!ID75="","",((COUNTIFS('All Fleet'!$A$66:$A$74,"777E")*'All Fleet'!ID$5)*11.8%)-'All Fleet'!ID75)</f>
        <v>-46.908611111111099</v>
      </c>
      <c r="IH12" s="102">
        <f>IF('All Fleet'!IE75="","",((COUNTIFS('All Fleet'!$A$66:$A$74,"777E")*'All Fleet'!IE$5)*11.8%)-'All Fleet'!IE75)</f>
        <v>-45.268611111111113</v>
      </c>
      <c r="II12" s="102">
        <f>IF('All Fleet'!IF75="","",((COUNTIFS('All Fleet'!$A$66:$A$74,"777E")*'All Fleet'!IF$5)*11.8%)-'All Fleet'!IF75)</f>
        <v>-40.978611111111093</v>
      </c>
      <c r="IJ12" s="102">
        <f>IF('All Fleet'!IG75="","",((COUNTIFS('All Fleet'!$A$66:$A$74,"777E")*'All Fleet'!IG$5)*11.8%)-'All Fleet'!IG75)</f>
        <v>-33.648611111111052</v>
      </c>
      <c r="IK12" s="102">
        <f>IF('All Fleet'!IH75="","",((COUNTIFS('All Fleet'!$A$66:$A$74,"777E")*'All Fleet'!IH$5)*11.8%)-'All Fleet'!IH75)</f>
        <v>-109.78861111111109</v>
      </c>
      <c r="IL12" s="102">
        <f>IF('All Fleet'!II75="","",((COUNTIFS('All Fleet'!$A$66:$A$74,"777E")*'All Fleet'!II$5)*11.8%)-'All Fleet'!II75)</f>
        <v>-95.62861111111107</v>
      </c>
      <c r="IM12" s="102">
        <f>IF('All Fleet'!IJ75="","",((COUNTIFS('All Fleet'!$A$66:$A$74,"777E")*'All Fleet'!IJ$5)*11.8%)-'All Fleet'!IJ75)</f>
        <v>-152.75861111111107</v>
      </c>
      <c r="IN12" s="102">
        <f>IF('All Fleet'!IK75="","",((COUNTIFS('All Fleet'!$A$66:$A$74,"777E")*'All Fleet'!IK$5)*11.8%)-'All Fleet'!IK75)</f>
        <v>-152.8461111111111</v>
      </c>
      <c r="IO12" s="102">
        <f>IF('All Fleet'!IL75="","",((COUNTIFS('All Fleet'!$A$66:$A$74,"777E")*'All Fleet'!IL$5)*11.8%)-'All Fleet'!IL75)</f>
        <v>5.0422222222222217</v>
      </c>
      <c r="IP12" s="102">
        <f>IF('All Fleet'!IM75="","",((COUNTIFS('All Fleet'!$A$66:$A$74,"777E")*'All Fleet'!IM$5)*11.8%)-'All Fleet'!IM75)</f>
        <v>8.0811111111111131</v>
      </c>
      <c r="IQ12" s="102">
        <f>IF('All Fleet'!IN75="","",((COUNTIFS('All Fleet'!$A$66:$A$74,"777E")*'All Fleet'!IN$5)*11.8%)-'All Fleet'!IN75)</f>
        <v>-7.9563888888888954</v>
      </c>
      <c r="IR12" s="102">
        <f>IF('All Fleet'!IO75="","",((COUNTIFS('All Fleet'!$A$66:$A$74,"777E")*'All Fleet'!IO$5)*11.8%)-'All Fleet'!IO75)</f>
        <v>-10.209722222222226</v>
      </c>
      <c r="IS12" s="102">
        <f>IF('All Fleet'!IP75="","",((COUNTIFS('All Fleet'!$A$66:$A$74,"777E")*'All Fleet'!IP$5)*11.8%)-'All Fleet'!IP75)</f>
        <v>-6.7455555555555549</v>
      </c>
      <c r="IT12" s="102">
        <f>IF('All Fleet'!IQ75="","",((COUNTIFS('All Fleet'!$A$66:$A$74,"777E")*'All Fleet'!IQ$5)*11.8%)-'All Fleet'!IQ75)</f>
        <v>-3.3763888888888971</v>
      </c>
      <c r="IU12" s="102">
        <f>IF('All Fleet'!IR75="","",((COUNTIFS('All Fleet'!$A$66:$A$74,"777E")*'All Fleet'!IR$5)*11.8%)-'All Fleet'!IR75)</f>
        <v>-1.710277777777776</v>
      </c>
      <c r="IV12" s="102">
        <f>IF('All Fleet'!IS75="","",((COUNTIFS('All Fleet'!$A$66:$A$74,"777E")*'All Fleet'!IS$5)*11.8%)-'All Fleet'!IS75)</f>
        <v>6.7936111111111046</v>
      </c>
      <c r="IW12" s="102">
        <f>IF('All Fleet'!IT75="","",((COUNTIFS('All Fleet'!$A$66:$A$74,"777E")*'All Fleet'!IT$5)*11.8%)-'All Fleet'!IT75)</f>
        <v>1.0611111111111171</v>
      </c>
      <c r="IX12" s="102">
        <f>IF('All Fleet'!IU75="","",((COUNTIFS('All Fleet'!$A$66:$A$74,"777E")*'All Fleet'!IU$5)*11.8%)-'All Fleet'!IU75)</f>
        <v>-26.803333333333313</v>
      </c>
      <c r="IY12" s="102">
        <f>IF('All Fleet'!IV75="","",((COUNTIFS('All Fleet'!$A$66:$A$74,"777E")*'All Fleet'!IV$5)*11.8%)-'All Fleet'!IV75)</f>
        <v>-46.066388888888866</v>
      </c>
      <c r="IZ12" s="102">
        <f>IF('All Fleet'!IW75="","",((COUNTIFS('All Fleet'!$A$66:$A$74,"777E")*'All Fleet'!IW$5)*11.8%)-'All Fleet'!IW75)</f>
        <v>-66.0972222222222</v>
      </c>
      <c r="JA12" s="102">
        <f>IF('All Fleet'!IX75="","",((COUNTIFS('All Fleet'!$A$66:$A$74,"777E")*'All Fleet'!IX$5)*11.8%)-'All Fleet'!IX75)</f>
        <v>-106.33555555555554</v>
      </c>
      <c r="JB12" s="102">
        <f>IF('All Fleet'!IY75="","",((COUNTIFS('All Fleet'!$A$66:$A$74,"777E")*'All Fleet'!IY$5)*11.8%)-'All Fleet'!IY75)</f>
        <v>-135.02805555555557</v>
      </c>
      <c r="JC12" s="102">
        <f>IF('All Fleet'!IZ75="","",((COUNTIFS('All Fleet'!$A$66:$A$74,"777E")*'All Fleet'!IZ$5)*11.8%)-'All Fleet'!IZ75)</f>
        <v>-138.58055555555561</v>
      </c>
      <c r="JD12" s="102">
        <f>IF('All Fleet'!JA75="","",((COUNTIFS('All Fleet'!$A$66:$A$74,"777E")*'All Fleet'!JA$5)*11.8%)-'All Fleet'!JA75)</f>
        <v>-143.47333333333336</v>
      </c>
      <c r="JE12" s="102">
        <f>IF('All Fleet'!JB75="","",((COUNTIFS('All Fleet'!$A$66:$A$74,"777E")*'All Fleet'!JB$5)*11.8%)-'All Fleet'!JB75)</f>
        <v>-130.52277777777778</v>
      </c>
      <c r="JF12" s="102">
        <f>IF('All Fleet'!JC75="","",((COUNTIFS('All Fleet'!$A$66:$A$74,"777E")*'All Fleet'!JC$5)*11.8%)-'All Fleet'!JC75)</f>
        <v>-117.33666666666667</v>
      </c>
      <c r="JG12" s="102">
        <f>IF('All Fleet'!JD75="","",((COUNTIFS('All Fleet'!$A$66:$A$74,"777E")*'All Fleet'!JD$5)*11.8%)-'All Fleet'!JD75)</f>
        <v>-112.94749999999999</v>
      </c>
      <c r="JH12" s="102">
        <f>IF('All Fleet'!JE75="","",((COUNTIFS('All Fleet'!$A$66:$A$74,"777E")*'All Fleet'!JE$5)*11.8%)-'All Fleet'!JE75)</f>
        <v>-101.26722222222219</v>
      </c>
      <c r="JI12" s="102">
        <f>IF('All Fleet'!JF75="","",((COUNTIFS('All Fleet'!$A$66:$A$74,"777E")*'All Fleet'!JF$5)*11.8%)-'All Fleet'!JF75)</f>
        <v>-87.107222222222219</v>
      </c>
      <c r="JJ12" s="102">
        <f>IF('All Fleet'!JG75="","",((COUNTIFS('All Fleet'!$A$66:$A$74,"777E")*'All Fleet'!JG$5)*11.8%)-'All Fleet'!JG75)</f>
        <v>-72.947222222222194</v>
      </c>
      <c r="JK12" s="102">
        <f>IF('All Fleet'!JH75="","",((COUNTIFS('All Fleet'!$A$66:$A$74,"777E")*'All Fleet'!JH$5)*11.8%)-'All Fleet'!JH75)</f>
        <v>-68.704999999999984</v>
      </c>
      <c r="JL12" s="102">
        <f>IF('All Fleet'!JI75="","",((COUNTIFS('All Fleet'!$A$66:$A$74,"777E")*'All Fleet'!JI$5)*11.8%)-'All Fleet'!JI75)</f>
        <v>-81.477499999999964</v>
      </c>
      <c r="JM12" s="102">
        <f>IF('All Fleet'!JJ75="","",((COUNTIFS('All Fleet'!$A$66:$A$74,"777E")*'All Fleet'!JJ$5)*11.8%)-'All Fleet'!JJ75)</f>
        <v>-96.550277777777865</v>
      </c>
      <c r="JN12" s="102">
        <f>IF('All Fleet'!JK75="","",((COUNTIFS('All Fleet'!$A$66:$A$74,"777E")*'All Fleet'!JK$5)*11.8%)-'All Fleet'!JK75)</f>
        <v>-91.73138888888883</v>
      </c>
      <c r="JO12" s="102">
        <f>IF('All Fleet'!JL75="","",((COUNTIFS('All Fleet'!$A$66:$A$74,"777E")*'All Fleet'!JL$5)*11.8%)-'All Fleet'!JL75)</f>
        <v>-83.901111111111049</v>
      </c>
      <c r="JP12" s="102">
        <f>IF('All Fleet'!JM75="","",((COUNTIFS('All Fleet'!$A$66:$A$74,"777E")*'All Fleet'!JM$5)*11.8%)-'All Fleet'!JM75)</f>
        <v>-77.16111111111104</v>
      </c>
      <c r="JQ12" s="102">
        <f>IF('All Fleet'!JN75="","",((COUNTIFS('All Fleet'!$A$66:$A$74,"777E")*'All Fleet'!JN$5)*11.8%)-'All Fleet'!JN75)</f>
        <v>-81.716111111111047</v>
      </c>
      <c r="JR12" s="102">
        <f>IF('All Fleet'!JO75="","",((COUNTIFS('All Fleet'!$A$66:$A$74,"777E")*'All Fleet'!JO$5)*11.8%)-'All Fleet'!JO75)</f>
        <v>-72.556111111111079</v>
      </c>
      <c r="JS12" s="102">
        <f>IF('All Fleet'!JP75="","",((COUNTIFS('All Fleet'!$A$66:$A$74,"777E")*'All Fleet'!JP$5)*11.8%)-'All Fleet'!JP75)</f>
        <v>-0.29250000000000043</v>
      </c>
      <c r="JT12" s="102">
        <f>IF('All Fleet'!JQ75="","",((COUNTIFS('All Fleet'!$A$66:$A$74,"777E")*'All Fleet'!JQ$5)*11.8%)-'All Fleet'!JQ75)</f>
        <v>0.6875</v>
      </c>
      <c r="JU12" s="102">
        <f>IF('All Fleet'!JR75="","",((COUNTIFS('All Fleet'!$A$66:$A$74,"777E")*'All Fleet'!JR$5)*11.8%)-'All Fleet'!JR75)</f>
        <v>-48.893333333333331</v>
      </c>
      <c r="JV12" s="102">
        <f>IF('All Fleet'!JS75="","",((COUNTIFS('All Fleet'!$A$66:$A$74,"777E")*'All Fleet'!JS$5)*11.8%)-'All Fleet'!JS75)</f>
        <v>-43.088611111111121</v>
      </c>
      <c r="JW12" s="102">
        <f>IF('All Fleet'!JT75="","",((COUNTIFS('All Fleet'!$A$66:$A$74,"777E")*'All Fleet'!JT$5)*11.8%)-'All Fleet'!JT75)</f>
        <v>-31.208611111111097</v>
      </c>
      <c r="JX12" s="102">
        <f>IF('All Fleet'!JU75="","",((COUNTIFS('All Fleet'!$A$66:$A$74,"777E")*'All Fleet'!JU$5)*11.8%)-'All Fleet'!JU75)</f>
        <v>-21.508611111111094</v>
      </c>
      <c r="JY12" s="102">
        <f>IF('All Fleet'!JV75="","",((COUNTIFS('All Fleet'!$A$66:$A$74,"777E")*'All Fleet'!JV$5)*11.8%)-'All Fleet'!JV75)</f>
        <v>-9.6486111111111086</v>
      </c>
      <c r="JZ12" s="102">
        <f>IF('All Fleet'!JW75="","",((COUNTIFS('All Fleet'!$A$66:$A$74,"777E")*'All Fleet'!JW$5)*11.8%)-'All Fleet'!JW75)</f>
        <v>4.511388888888888</v>
      </c>
      <c r="KA12" s="102">
        <f>IF('All Fleet'!JX75="","",((COUNTIFS('All Fleet'!$A$66:$A$74,"777E")*'All Fleet'!JX$5)*11.8%)-'All Fleet'!JX75)</f>
        <v>14.671388888888899</v>
      </c>
      <c r="KB12" s="102">
        <f>IF('All Fleet'!JY75="","",((COUNTIFS('All Fleet'!$A$66:$A$74,"777E")*'All Fleet'!JY$5)*11.8%)-'All Fleet'!JY75)</f>
        <v>4.8313888888889096</v>
      </c>
      <c r="KC12" s="102">
        <f>IF('All Fleet'!JZ75="","",((COUNTIFS('All Fleet'!$A$66:$A$74,"777E")*'All Fleet'!JZ$5)*11.8%)-'All Fleet'!JZ75)</f>
        <v>-5.0086111111110938</v>
      </c>
      <c r="KD12" s="102">
        <f>IF('All Fleet'!KA75="","",((COUNTIFS('All Fleet'!$A$66:$A$74,"777E")*'All Fleet'!KA$5)*11.8%)-'All Fleet'!KA75)</f>
        <v>9.1513888888889028</v>
      </c>
      <c r="KE12" s="102">
        <f>IF('All Fleet'!KB75="","",((COUNTIFS('All Fleet'!$A$66:$A$74,"777E")*'All Fleet'!KB$5)*11.8%)-'All Fleet'!KB75)</f>
        <v>23.311388888888899</v>
      </c>
      <c r="KF12" s="102">
        <f>IF('All Fleet'!KC75="","",((COUNTIFS('All Fleet'!$A$66:$A$74,"777E")*'All Fleet'!KC$5)*11.8%)-'All Fleet'!KC75)</f>
        <v>13.471388888888896</v>
      </c>
      <c r="KG12" s="102">
        <f>IF('All Fleet'!KD75="","",((COUNTIFS('All Fleet'!$A$66:$A$74,"777E")*'All Fleet'!KD$5)*11.8%)-'All Fleet'!KD75)</f>
        <v>21.631388888888893</v>
      </c>
      <c r="KH12" s="102">
        <f>IF('All Fleet'!KE75="","",((COUNTIFS('All Fleet'!$A$66:$A$74,"777E")*'All Fleet'!KE$5)*11.8%)-'All Fleet'!KE75)</f>
        <v>35.791388888888889</v>
      </c>
      <c r="KI12" s="102">
        <f>IF('All Fleet'!KF75="","",((COUNTIFS('All Fleet'!$A$66:$A$74,"777E")*'All Fleet'!KF$5)*11.8%)-'All Fleet'!KF75)</f>
        <v>49.951388888888914</v>
      </c>
      <c r="KJ12" s="102">
        <f>IF('All Fleet'!KG75="","",((COUNTIFS('All Fleet'!$A$66:$A$74,"777E")*'All Fleet'!KG$5)*11.8%)-'All Fleet'!KG75)</f>
        <v>64.111388888888911</v>
      </c>
      <c r="KK12" s="102">
        <f>IF('All Fleet'!KH75="","",((COUNTIFS('All Fleet'!$A$66:$A$74,"777E")*'All Fleet'!KH$5)*11.8%)-'All Fleet'!KH75)</f>
        <v>42.271388888888907</v>
      </c>
      <c r="KL12" s="102">
        <f>IF('All Fleet'!KI75="","",((COUNTIFS('All Fleet'!$A$66:$A$74,"777E")*'All Fleet'!KI$5)*11.8%)-'All Fleet'!KI75)</f>
        <v>56.431388888888932</v>
      </c>
      <c r="KM12" s="102">
        <f>IF('All Fleet'!KJ75="","",((COUNTIFS('All Fleet'!$A$66:$A$74,"777E")*'All Fleet'!KJ$5)*11.8%)-'All Fleet'!KJ75)</f>
        <v>64.591388888888901</v>
      </c>
      <c r="KN12" s="102">
        <f>IF('All Fleet'!KK75="","",((COUNTIFS('All Fleet'!$A$66:$A$74,"777E")*'All Fleet'!KK$5)*11.8%)-'All Fleet'!KK75)</f>
        <v>78.751388888888926</v>
      </c>
      <c r="KO12" s="102">
        <f>IF('All Fleet'!KL75="","",((COUNTIFS('All Fleet'!$A$66:$A$74,"777E")*'All Fleet'!KL$5)*11.8%)-'All Fleet'!KL75)</f>
        <v>92.911388888888894</v>
      </c>
      <c r="KP12" s="102">
        <f>IF('All Fleet'!KM75="","",((COUNTIFS('All Fleet'!$A$66:$A$74,"777E")*'All Fleet'!KM$5)*11.8%)-'All Fleet'!KM75)</f>
        <v>107.07138888888892</v>
      </c>
      <c r="KQ12" s="102">
        <f>IF('All Fleet'!KN75="","",((COUNTIFS('All Fleet'!$A$66:$A$74,"777E")*'All Fleet'!KN$5)*11.8%)-'All Fleet'!KN75)</f>
        <v>121.23138888888889</v>
      </c>
      <c r="KR12" s="102">
        <f>IF('All Fleet'!KO75="","",((COUNTIFS('All Fleet'!$A$66:$A$74,"777E")*'All Fleet'!KO$5)*11.8%)-'All Fleet'!KO75)</f>
        <v>135.39138888888891</v>
      </c>
      <c r="KS12" s="102">
        <f>IF('All Fleet'!KP75="","",((COUNTIFS('All Fleet'!$A$66:$A$74,"777E")*'All Fleet'!KP$5)*11.8%)-'All Fleet'!KP75)</f>
        <v>149.55138888888894</v>
      </c>
      <c r="KT12" s="102">
        <f>IF('All Fleet'!KQ75="","",((COUNTIFS('All Fleet'!$A$66:$A$74,"777E")*'All Fleet'!KQ$5)*11.8%)-'All Fleet'!KQ75)</f>
        <v>163.71138888888891</v>
      </c>
      <c r="KU12" s="102">
        <f>IF('All Fleet'!KR75="","",((COUNTIFS('All Fleet'!$A$66:$A$74,"777E")*'All Fleet'!KR$5)*11.8%)-'All Fleet'!KR75)</f>
        <v>177.87138888888893</v>
      </c>
      <c r="KV12" s="102">
        <f>IF('All Fleet'!KS75="","",((COUNTIFS('All Fleet'!$A$66:$A$74,"777E")*'All Fleet'!KS$5)*11.8%)-'All Fleet'!KS75)</f>
        <v>192.0313888888889</v>
      </c>
      <c r="KW12" s="102">
        <f>IF('All Fleet'!KT75="","",((COUNTIFS('All Fleet'!$A$66:$A$74,"777E")*'All Fleet'!KT$5)*11.8%)-'All Fleet'!KT75)</f>
        <v>206.19138888888892</v>
      </c>
      <c r="KX12" s="102" t="str">
        <f>IF('All Fleet'!KU75="","",((COUNTIFS('All Fleet'!$A$66:$A$74,"777E")*'All Fleet'!KU$5)*11.8%)-'All Fleet'!KU75)</f>
        <v/>
      </c>
      <c r="KY12" s="102" t="str">
        <f>IF('All Fleet'!KV75="","",((COUNTIFS('All Fleet'!$A$66:$A$74,"777E")*'All Fleet'!KV$5)*11.8%)-'All Fleet'!KV75)</f>
        <v/>
      </c>
      <c r="KZ12" s="102" t="str">
        <f>IF('All Fleet'!KW75="","",((COUNTIFS('All Fleet'!$A$66:$A$74,"777E")*'All Fleet'!KW$5)*11.8%)-'All Fleet'!KW75)</f>
        <v/>
      </c>
      <c r="LA12" s="102" t="str">
        <f>IF('All Fleet'!KX75="","",((COUNTIFS('All Fleet'!$A$66:$A$74,"777E")*'All Fleet'!KX$5)*11.8%)-'All Fleet'!KX75)</f>
        <v/>
      </c>
      <c r="LB12" s="102" t="str">
        <f>IF('All Fleet'!KY75="","",((COUNTIFS('All Fleet'!$A$66:$A$74,"777E")*'All Fleet'!KY$5)*11.8%)-'All Fleet'!KY75)</f>
        <v/>
      </c>
      <c r="LC12" s="102" t="str">
        <f>IF('All Fleet'!KZ75="","",((COUNTIFS('All Fleet'!$A$66:$A$74,"777E")*'All Fleet'!KZ$5)*11.8%)-'All Fleet'!KZ75)</f>
        <v/>
      </c>
      <c r="LD12" s="102" t="str">
        <f>IF('All Fleet'!LA75="","",((COUNTIFS('All Fleet'!$A$66:$A$74,"777E")*'All Fleet'!LA$5)*11.8%)-'All Fleet'!LA75)</f>
        <v/>
      </c>
      <c r="LE12" s="102" t="str">
        <f>IF('All Fleet'!LB75="","",((COUNTIFS('All Fleet'!$A$66:$A$74,"777E")*'All Fleet'!LB$5)*11.8%)-'All Fleet'!LB75)</f>
        <v/>
      </c>
      <c r="LF12" s="102" t="str">
        <f>IF('All Fleet'!LC75="","",((COUNTIFS('All Fleet'!$A$66:$A$74,"777E")*'All Fleet'!LC$5)*11.8%)-'All Fleet'!LC75)</f>
        <v/>
      </c>
      <c r="LG12" s="102" t="str">
        <f>IF('All Fleet'!LD75="","",((COUNTIFS('All Fleet'!$A$66:$A$74,"777E")*'All Fleet'!LD$5)*11.8%)-'All Fleet'!LD75)</f>
        <v/>
      </c>
      <c r="LH12" s="102" t="str">
        <f>IF('All Fleet'!LE75="","",((COUNTIFS('All Fleet'!$A$66:$A$74,"777E")*'All Fleet'!LE$5)*11.8%)-'All Fleet'!LE75)</f>
        <v/>
      </c>
      <c r="LI12" s="102" t="str">
        <f>IF('All Fleet'!LF75="","",((COUNTIFS('All Fleet'!$A$66:$A$74,"777E")*'All Fleet'!LF$5)*11.8%)-'All Fleet'!LF75)</f>
        <v/>
      </c>
      <c r="LJ12" s="102" t="str">
        <f>IF('All Fleet'!LG75="","",((COUNTIFS('All Fleet'!$A$66:$A$74,"777E")*'All Fleet'!LG$5)*11.8%)-'All Fleet'!LG75)</f>
        <v/>
      </c>
      <c r="LK12" s="102" t="str">
        <f>IF('All Fleet'!LH75="","",((COUNTIFS('All Fleet'!$A$66:$A$74,"777E")*'All Fleet'!LH$5)*11.8%)-'All Fleet'!LH75)</f>
        <v/>
      </c>
      <c r="LL12" s="102" t="str">
        <f>IF('All Fleet'!LI75="","",((COUNTIFS('All Fleet'!$A$66:$A$74,"777E")*'All Fleet'!LI$5)*11.8%)-'All Fleet'!LI75)</f>
        <v/>
      </c>
      <c r="LM12" s="102" t="str">
        <f>IF('All Fleet'!LJ75="","",((COUNTIFS('All Fleet'!$A$66:$A$74,"777E")*'All Fleet'!LJ$5)*11.8%)-'All Fleet'!LJ75)</f>
        <v/>
      </c>
      <c r="LN12" s="102" t="str">
        <f>IF('All Fleet'!LK75="","",((COUNTIFS('All Fleet'!$A$66:$A$74,"777E")*'All Fleet'!LK$5)*11.8%)-'All Fleet'!LK75)</f>
        <v/>
      </c>
      <c r="LO12" s="102" t="str">
        <f>IF('All Fleet'!LL75="","",((COUNTIFS('All Fleet'!$A$66:$A$74,"777E")*'All Fleet'!LL$5)*11.8%)-'All Fleet'!LL75)</f>
        <v/>
      </c>
      <c r="LP12" s="102" t="str">
        <f>IF('All Fleet'!LM75="","",((COUNTIFS('All Fleet'!$A$66:$A$74,"777E")*'All Fleet'!LM$5)*11.8%)-'All Fleet'!LM75)</f>
        <v/>
      </c>
      <c r="LQ12" s="102" t="str">
        <f>IF('All Fleet'!LN75="","",((COUNTIFS('All Fleet'!$A$66:$A$74,"777E")*'All Fleet'!LN$5)*11.8%)-'All Fleet'!LN75)</f>
        <v/>
      </c>
      <c r="LR12" s="102" t="str">
        <f>IF('All Fleet'!LO75="","",((COUNTIFS('All Fleet'!$A$66:$A$74,"777E")*'All Fleet'!LO$5)*11.8%)-'All Fleet'!LO75)</f>
        <v/>
      </c>
      <c r="LS12" s="102" t="str">
        <f>IF('All Fleet'!LP75="","",((COUNTIFS('All Fleet'!$A$66:$A$74,"777E")*'All Fleet'!LP$5)*11.8%)-'All Fleet'!LP75)</f>
        <v/>
      </c>
      <c r="LT12" s="102" t="str">
        <f>IF('All Fleet'!LQ75="","",((COUNTIFS('All Fleet'!$A$66:$A$74,"777E")*'All Fleet'!LQ$5)*11.8%)-'All Fleet'!LQ75)</f>
        <v/>
      </c>
      <c r="LU12" s="102" t="str">
        <f>IF('All Fleet'!LR75="","",((COUNTIFS('All Fleet'!$A$66:$A$74,"777E")*'All Fleet'!LR$5)*11.8%)-'All Fleet'!LR75)</f>
        <v/>
      </c>
      <c r="LV12" s="102" t="str">
        <f>IF('All Fleet'!LS75="","",((COUNTIFS('All Fleet'!$A$66:$A$74,"777E")*'All Fleet'!LS$5)*11.8%)-'All Fleet'!LS75)</f>
        <v/>
      </c>
      <c r="LW12" s="102" t="str">
        <f>IF('All Fleet'!LT75="","",((COUNTIFS('All Fleet'!$A$66:$A$74,"777E")*'All Fleet'!LT$5)*11.8%)-'All Fleet'!LT75)</f>
        <v/>
      </c>
      <c r="LX12" s="102" t="str">
        <f>IF('All Fleet'!LU75="","",((COUNTIFS('All Fleet'!$A$66:$A$74,"777E")*'All Fleet'!LU$5)*11.8%)-'All Fleet'!LU75)</f>
        <v/>
      </c>
      <c r="LY12" s="102" t="str">
        <f>IF('All Fleet'!LV75="","",((COUNTIFS('All Fleet'!$A$66:$A$74,"777E")*'All Fleet'!LV$5)*11.8%)-'All Fleet'!LV75)</f>
        <v/>
      </c>
      <c r="LZ12" s="102" t="str">
        <f>IF('All Fleet'!LW75="","",((COUNTIFS('All Fleet'!$A$66:$A$74,"777E")*'All Fleet'!LW$5)*11.8%)-'All Fleet'!LW75)</f>
        <v/>
      </c>
      <c r="MA12" s="102" t="str">
        <f>IF('All Fleet'!LX75="","",((COUNTIFS('All Fleet'!$A$66:$A$74,"777E")*'All Fleet'!LX$5)*11.8%)-'All Fleet'!LX75)</f>
        <v/>
      </c>
      <c r="MB12" s="102" t="str">
        <f>IF('All Fleet'!LY75="","",((COUNTIFS('All Fleet'!$A$66:$A$74,"777E")*'All Fleet'!LY$5)*11.8%)-'All Fleet'!LY75)</f>
        <v/>
      </c>
      <c r="MC12" s="102" t="str">
        <f>IF('All Fleet'!LZ75="","",((COUNTIFS('All Fleet'!$A$66:$A$74,"777E")*'All Fleet'!LZ$5)*11.8%)-'All Fleet'!LZ75)</f>
        <v/>
      </c>
      <c r="MD12" s="102" t="str">
        <f>IF('All Fleet'!MA75="","",((COUNTIFS('All Fleet'!$A$66:$A$74,"777E")*'All Fleet'!MA$5)*11.8%)-'All Fleet'!MA75)</f>
        <v/>
      </c>
      <c r="ME12" s="102" t="str">
        <f>IF('All Fleet'!MB75="","",((COUNTIFS('All Fleet'!$A$66:$A$74,"777E")*'All Fleet'!MB$5)*11.8%)-'All Fleet'!MB75)</f>
        <v/>
      </c>
      <c r="MF12" s="102" t="str">
        <f>IF('All Fleet'!MC75="","",((COUNTIFS('All Fleet'!$A$66:$A$74,"777E")*'All Fleet'!MC$5)*11.8%)-'All Fleet'!MC75)</f>
        <v/>
      </c>
      <c r="MG12" s="102" t="str">
        <f>IF('All Fleet'!MD75="","",((COUNTIFS('All Fleet'!$A$66:$A$74,"777E")*'All Fleet'!MD$5)*11.8%)-'All Fleet'!MD75)</f>
        <v/>
      </c>
      <c r="MH12" s="102" t="str">
        <f>IF('All Fleet'!ME75="","",((COUNTIFS('All Fleet'!$A$66:$A$74,"777E")*'All Fleet'!ME$5)*11.8%)-'All Fleet'!ME75)</f>
        <v/>
      </c>
      <c r="MI12" s="102" t="str">
        <f>IF('All Fleet'!MF75="","",((COUNTIFS('All Fleet'!$A$66:$A$74,"777E")*'All Fleet'!MF$5)*11.8%)-'All Fleet'!MF75)</f>
        <v/>
      </c>
      <c r="MJ12" s="102" t="str">
        <f>IF('All Fleet'!MG75="","",((COUNTIFS('All Fleet'!$A$66:$A$74,"777E")*'All Fleet'!MG$5)*11.8%)-'All Fleet'!MG75)</f>
        <v/>
      </c>
      <c r="MK12" s="102" t="str">
        <f>IF('All Fleet'!MH75="","",((COUNTIFS('All Fleet'!$A$66:$A$74,"777E")*'All Fleet'!MH$5)*11.8%)-'All Fleet'!MH75)</f>
        <v/>
      </c>
      <c r="ML12" s="102" t="str">
        <f>IF('All Fleet'!MI75="","",((COUNTIFS('All Fleet'!$A$66:$A$74,"777E")*'All Fleet'!MI$5)*11.8%)-'All Fleet'!MI75)</f>
        <v/>
      </c>
      <c r="MM12" s="102" t="str">
        <f>IF('All Fleet'!MJ75="","",((COUNTIFS('All Fleet'!$A$66:$A$74,"777E")*'All Fleet'!MJ$5)*11.8%)-'All Fleet'!MJ75)</f>
        <v/>
      </c>
      <c r="MN12" s="102" t="str">
        <f>IF('All Fleet'!MK75="","",((COUNTIFS('All Fleet'!$A$66:$A$74,"777E")*'All Fleet'!MK$5)*11.8%)-'All Fleet'!MK75)</f>
        <v/>
      </c>
      <c r="MO12" s="102" t="str">
        <f>IF('All Fleet'!ML75="","",((COUNTIFS('All Fleet'!$A$66:$A$74,"777E")*'All Fleet'!ML$5)*11.8%)-'All Fleet'!ML75)</f>
        <v/>
      </c>
      <c r="MP12" s="102" t="str">
        <f>IF('All Fleet'!MM75="","",((COUNTIFS('All Fleet'!$A$66:$A$74,"777E")*'All Fleet'!MM$5)*11.8%)-'All Fleet'!MM75)</f>
        <v/>
      </c>
      <c r="MQ12" s="102" t="str">
        <f>IF('All Fleet'!MN75="","",((COUNTIFS('All Fleet'!$A$66:$A$74,"777E")*'All Fleet'!MN$5)*11.8%)-'All Fleet'!MN75)</f>
        <v/>
      </c>
      <c r="MR12" s="102" t="str">
        <f>IF('All Fleet'!MO75="","",((COUNTIFS('All Fleet'!$A$66:$A$74,"777E")*'All Fleet'!MO$5)*11.8%)-'All Fleet'!MO75)</f>
        <v/>
      </c>
      <c r="MS12" s="102" t="str">
        <f>IF('All Fleet'!MP75="","",((COUNTIFS('All Fleet'!$A$66:$A$74,"777E")*'All Fleet'!MP$5)*11.8%)-'All Fleet'!MP75)</f>
        <v/>
      </c>
      <c r="MT12" s="102" t="str">
        <f>IF('All Fleet'!MQ75="","",((COUNTIFS('All Fleet'!$A$66:$A$74,"777E")*'All Fleet'!MQ$5)*11.8%)-'All Fleet'!MQ75)</f>
        <v/>
      </c>
      <c r="MU12" s="102" t="str">
        <f>IF('All Fleet'!MR75="","",((COUNTIFS('All Fleet'!$A$66:$A$74,"777E")*'All Fleet'!MR$5)*11.8%)-'All Fleet'!MR75)</f>
        <v/>
      </c>
      <c r="MV12" s="102" t="str">
        <f>IF('All Fleet'!MS75="","",((COUNTIFS('All Fleet'!$A$66:$A$74,"777E")*'All Fleet'!MS$5)*11.8%)-'All Fleet'!MS75)</f>
        <v/>
      </c>
      <c r="MW12" s="102" t="str">
        <f>IF('All Fleet'!MT75="","",((COUNTIFS('All Fleet'!$A$66:$A$74,"777E")*'All Fleet'!MT$5)*11.8%)-'All Fleet'!MT75)</f>
        <v/>
      </c>
      <c r="MX12" s="102" t="str">
        <f>IF('All Fleet'!MU75="","",((COUNTIFS('All Fleet'!$A$66:$A$74,"777E")*'All Fleet'!MU$5)*11.8%)-'All Fleet'!MU75)</f>
        <v/>
      </c>
      <c r="MY12" s="102" t="str">
        <f>IF('All Fleet'!MV75="","",((COUNTIFS('All Fleet'!$A$66:$A$74,"777E")*'All Fleet'!MV$5)*11.8%)-'All Fleet'!MV75)</f>
        <v/>
      </c>
      <c r="MZ12" s="102" t="str">
        <f>IF('All Fleet'!MW75="","",((COUNTIFS('All Fleet'!$A$66:$A$74,"777E")*'All Fleet'!MW$5)*11.8%)-'All Fleet'!MW75)</f>
        <v/>
      </c>
      <c r="NA12" s="102" t="str">
        <f>IF('All Fleet'!MX75="","",((COUNTIFS('All Fleet'!$A$66:$A$74,"777E")*'All Fleet'!MX$5)*11.8%)-'All Fleet'!MX75)</f>
        <v/>
      </c>
      <c r="NB12" s="102" t="str">
        <f>IF('All Fleet'!MY75="","",((COUNTIFS('All Fleet'!$A$66:$A$74,"777E")*'All Fleet'!MY$5)*11.8%)-'All Fleet'!MY75)</f>
        <v/>
      </c>
      <c r="NC12" s="102" t="str">
        <f>IF('All Fleet'!MZ75="","",((COUNTIFS('All Fleet'!$A$66:$A$74,"777E")*'All Fleet'!MZ$5)*11.8%)-'All Fleet'!MZ75)</f>
        <v/>
      </c>
      <c r="ND12" s="102" t="str">
        <f>IF('All Fleet'!NA75="","",((COUNTIFS('All Fleet'!$A$66:$A$74,"777E")*'All Fleet'!NA$5)*11.8%)-'All Fleet'!NA75)</f>
        <v/>
      </c>
      <c r="NE12" s="102" t="str">
        <f>IF('All Fleet'!NB75="","",((COUNTIFS('All Fleet'!$A$66:$A$74,"777E")*'All Fleet'!NB$5)*11.8%)-'All Fleet'!NB75)</f>
        <v/>
      </c>
      <c r="NF12" s="102" t="str">
        <f>IF('All Fleet'!NC75="","",((COUNTIFS('All Fleet'!$A$66:$A$74,"777E")*'All Fleet'!NC$5)*11.8%)-'All Fleet'!NC75)</f>
        <v/>
      </c>
      <c r="NG12" s="102" t="str">
        <f>IF('All Fleet'!ND75="","",((COUNTIFS('All Fleet'!$A$66:$A$74,"777E")*'All Fleet'!ND$5)*11.8%)-'All Fleet'!ND75)</f>
        <v/>
      </c>
      <c r="NH12" s="102" t="str">
        <f>IF('All Fleet'!NE75="","",((COUNTIFS('All Fleet'!$A$66:$A$74,"777E")*'All Fleet'!NE$5)*11.8%)-'All Fleet'!NE75)</f>
        <v/>
      </c>
      <c r="NI12" s="102" t="str">
        <f>IF('All Fleet'!NF75="","",((COUNTIFS('All Fleet'!$A$66:$A$74,"777E")*'All Fleet'!NF$5)*11.8%)-'All Fleet'!NF75)</f>
        <v/>
      </c>
      <c r="NJ12" s="102" t="str">
        <f>IF('All Fleet'!NG75="","",((COUNTIFS('All Fleet'!$A$66:$A$74,"777E")*'All Fleet'!NG$5)*11.8%)-'All Fleet'!NG75)</f>
        <v/>
      </c>
      <c r="NK12" s="102" t="str">
        <f>IF('All Fleet'!NH75="","",((COUNTIFS('All Fleet'!$A$66:$A$74,"777E")*'All Fleet'!NH$5)*11.8%)-'All Fleet'!NH75)</f>
        <v/>
      </c>
      <c r="NL12" s="102" t="str">
        <f>IF('All Fleet'!NI75="","",((COUNTIFS('All Fleet'!$A$66:$A$74,"777E")*'All Fleet'!NI$5)*11.8%)-'All Fleet'!NI75)</f>
        <v/>
      </c>
      <c r="NM12" s="102" t="str">
        <f>IF('All Fleet'!NJ75="","",((COUNTIFS('All Fleet'!$A$66:$A$74,"777E")*'All Fleet'!NJ$5)*11.8%)-'All Fleet'!NJ75)</f>
        <v/>
      </c>
      <c r="NN12" s="102" t="str">
        <f>IF('All Fleet'!NK75="","",((COUNTIFS('All Fleet'!$A$66:$A$74,"777E")*'All Fleet'!NK$5)*11.8%)-'All Fleet'!NK75)</f>
        <v/>
      </c>
      <c r="NO12" s="102" t="str">
        <f>IF('All Fleet'!NL75="","",((COUNTIFS('All Fleet'!$A$66:$A$74,"777E")*'All Fleet'!NL$5)*11.8%)-'All Fleet'!NL75)</f>
        <v/>
      </c>
      <c r="NP12" s="102" t="str">
        <f>IF('All Fleet'!NM75="","",((COUNTIFS('All Fleet'!$A$66:$A$74,"777E")*'All Fleet'!NM$5)*11.8%)-'All Fleet'!NM75)</f>
        <v/>
      </c>
      <c r="NQ12" s="102" t="str">
        <f>IF('All Fleet'!NN75="","",((COUNTIFS('All Fleet'!$A$66:$A$74,"777E")*'All Fleet'!NN$5)*11.8%)-'All Fleet'!NN75)</f>
        <v/>
      </c>
      <c r="NR12" s="102" t="str">
        <f>IF('All Fleet'!NO75="","",((COUNTIFS('All Fleet'!$A$66:$A$74,"777E")*'All Fleet'!NO$5)*11.8%)-'All Fleet'!NO75)</f>
        <v/>
      </c>
      <c r="NS12" s="102" t="str">
        <f>IF('All Fleet'!NP75="","",((COUNTIFS('All Fleet'!$A$66:$A$74,"777E")*'All Fleet'!NP$5)*11.8%)-'All Fleet'!NP75)</f>
        <v/>
      </c>
      <c r="NT12" s="102" t="str">
        <f>IF('All Fleet'!NQ75="","",((COUNTIFS('All Fleet'!$A$66:$A$74,"777E")*'All Fleet'!NQ$5)*11.8%)-'All Fleet'!NQ75)</f>
        <v/>
      </c>
      <c r="NU12" s="102" t="str">
        <f>IF('All Fleet'!NR75="","",((COUNTIFS('All Fleet'!$A$66:$A$74,"777E")*'All Fleet'!NR$5)*11.8%)-'All Fleet'!NR75)</f>
        <v/>
      </c>
      <c r="NV12" s="102" t="str">
        <f>IF('All Fleet'!NS75="","",((COUNTIFS('All Fleet'!$A$66:$A$74,"777E")*'All Fleet'!NS$5)*11.8%)-'All Fleet'!NS75)</f>
        <v/>
      </c>
      <c r="NW12" s="102" t="str">
        <f>IF('All Fleet'!NT75="","",((COUNTIFS('All Fleet'!$A$66:$A$74,"777E")*'All Fleet'!NT$5)*11.8%)-'All Fleet'!NT75)</f>
        <v/>
      </c>
      <c r="NX12" s="102" t="str">
        <f>IF('All Fleet'!NU75="","",((COUNTIFS('All Fleet'!$A$66:$A$74,"777E")*'All Fleet'!NU$5)*11.8%)-'All Fleet'!NU75)</f>
        <v/>
      </c>
      <c r="NY12" s="102" t="str">
        <f>IF('All Fleet'!NV75="","",((COUNTIFS('All Fleet'!$A$66:$A$74,"777E")*'All Fleet'!NV$5)*11.8%)-'All Fleet'!NV75)</f>
        <v/>
      </c>
      <c r="NZ12" s="102" t="str">
        <f>IF('All Fleet'!NW75="","",((COUNTIFS('All Fleet'!$A$66:$A$74,"777E")*'All Fleet'!NW$5)*11.8%)-'All Fleet'!NW75)</f>
        <v/>
      </c>
      <c r="OA12" s="102" t="str">
        <f>IF('All Fleet'!NX75="","",((COUNTIFS('All Fleet'!$A$66:$A$74,"777E")*'All Fleet'!NX$5)*11.8%)-'All Fleet'!NX75)</f>
        <v/>
      </c>
      <c r="OB12" s="102" t="str">
        <f>IF('All Fleet'!NY75="","",((COUNTIFS('All Fleet'!$A$66:$A$74,"777E")*'All Fleet'!NY$5)*11.8%)-'All Fleet'!NY75)</f>
        <v/>
      </c>
      <c r="OC12" s="102" t="str">
        <f>IF('All Fleet'!NZ75="","",((COUNTIFS('All Fleet'!$A$66:$A$74,"777E")*'All Fleet'!NZ$5)*11.8%)-'All Fleet'!NZ75)</f>
        <v/>
      </c>
      <c r="OD12" s="102" t="str">
        <f>IF('All Fleet'!OA75="","",((COUNTIFS('All Fleet'!$A$66:$A$74,"777E")*'All Fleet'!OA$5)*11.8%)-'All Fleet'!OA75)</f>
        <v/>
      </c>
      <c r="OE12" s="102" t="str">
        <f>IF('All Fleet'!OB75="","",((COUNTIFS('All Fleet'!$A$66:$A$74,"777E")*'All Fleet'!OB$5)*11.8%)-'All Fleet'!OB75)</f>
        <v/>
      </c>
      <c r="OF12" s="102" t="str">
        <f>IF('All Fleet'!OC75="","",((COUNTIFS('All Fleet'!$A$66:$A$74,"777E")*'All Fleet'!OC$5)*11.8%)-'All Fleet'!OC75)</f>
        <v/>
      </c>
      <c r="OG12" s="102" t="str">
        <f>IF('All Fleet'!OD75="","",((COUNTIFS('All Fleet'!$A$66:$A$74,"777E")*'All Fleet'!OD$5)*11.8%)-'All Fleet'!OD75)</f>
        <v/>
      </c>
      <c r="OH12" s="102" t="str">
        <f>IF('All Fleet'!OE75="","",((COUNTIFS('All Fleet'!$A$66:$A$74,"777E")*'All Fleet'!OE$5)*11.8%)-'All Fleet'!OE75)</f>
        <v/>
      </c>
      <c r="OI12" s="102" t="str">
        <f>IF('All Fleet'!OF75="","",((COUNTIFS('All Fleet'!$A$66:$A$74,"777E")*'All Fleet'!OF$5)*11.8%)-'All Fleet'!OF75)</f>
        <v/>
      </c>
      <c r="OJ12" s="102" t="str">
        <f>IF('All Fleet'!OG75="","",((COUNTIFS('All Fleet'!$A$66:$A$74,"777E")*'All Fleet'!OG$5)*11.8%)-'All Fleet'!OG75)</f>
        <v/>
      </c>
      <c r="OK12" s="102" t="str">
        <f>IF('All Fleet'!OH75="","",((COUNTIFS('All Fleet'!$A$66:$A$74,"777E")*'All Fleet'!OH$5)*11.8%)-'All Fleet'!OH75)</f>
        <v/>
      </c>
      <c r="OL12" s="102" t="str">
        <f>IF('All Fleet'!OI75="","",((COUNTIFS('All Fleet'!$A$66:$A$74,"777E")*'All Fleet'!OI$5)*11.8%)-'All Fleet'!OI75)</f>
        <v/>
      </c>
      <c r="OM12" s="102" t="str">
        <f>IF('All Fleet'!OJ75="","",((COUNTIFS('All Fleet'!$A$66:$A$74,"777E")*'All Fleet'!OJ$5)*11.8%)-'All Fleet'!OJ75)</f>
        <v/>
      </c>
      <c r="ON12" s="102" t="str">
        <f>IF('All Fleet'!OK75="","",((COUNTIFS('All Fleet'!$A$66:$A$74,"777E")*'All Fleet'!OK$5)*11.8%)-'All Fleet'!OK75)</f>
        <v/>
      </c>
      <c r="OO12" s="102" t="str">
        <f>IF('All Fleet'!OL75="","",((COUNTIFS('All Fleet'!$A$66:$A$74,"777E")*'All Fleet'!OL$5)*11.8%)-'All Fleet'!OL75)</f>
        <v/>
      </c>
      <c r="OP12" s="102" t="str">
        <f>IF('All Fleet'!OM75="","",((COUNTIFS('All Fleet'!$A$66:$A$74,"777E")*'All Fleet'!OM$5)*11.8%)-'All Fleet'!OM75)</f>
        <v/>
      </c>
      <c r="OQ12" s="102" t="str">
        <f>IF('All Fleet'!ON75="","",((COUNTIFS('All Fleet'!$A$66:$A$74,"777E")*'All Fleet'!ON$5)*11.8%)-'All Fleet'!ON75)</f>
        <v/>
      </c>
      <c r="OR12" s="102" t="str">
        <f>IF('All Fleet'!OO75="","",((COUNTIFS('All Fleet'!$A$66:$A$74,"777E")*'All Fleet'!OO$5)*11.8%)-'All Fleet'!OO75)</f>
        <v/>
      </c>
      <c r="OS12" s="102" t="str">
        <f>IF('All Fleet'!OP75="","",((COUNTIFS('All Fleet'!$A$66:$A$74,"777E")*'All Fleet'!OP$5)*11.8%)-'All Fleet'!OP75)</f>
        <v/>
      </c>
      <c r="OT12" s="102" t="str">
        <f>IF('All Fleet'!OQ75="","",((COUNTIFS('All Fleet'!$A$66:$A$74,"777E")*'All Fleet'!OQ$5)*11.8%)-'All Fleet'!OQ75)</f>
        <v/>
      </c>
      <c r="OU12" s="102" t="str">
        <f>IF('All Fleet'!OR75="","",((COUNTIFS('All Fleet'!$A$66:$A$74,"777E")*'All Fleet'!OR$5)*11.8%)-'All Fleet'!OR75)</f>
        <v/>
      </c>
      <c r="OV12" s="102" t="str">
        <f>IF('All Fleet'!OS75="","",((COUNTIFS('All Fleet'!$A$66:$A$74,"777E")*'All Fleet'!OS$5)*11.8%)-'All Fleet'!OS75)</f>
        <v/>
      </c>
      <c r="OW12" s="102" t="str">
        <f>IF('All Fleet'!OT75="","",((COUNTIFS('All Fleet'!$A$66:$A$74,"777E")*'All Fleet'!OT$5)*11.8%)-'All Fleet'!OT75)</f>
        <v/>
      </c>
      <c r="OX12" s="102" t="str">
        <f>IF('All Fleet'!OU75="","",((COUNTIFS('All Fleet'!$A$66:$A$74,"777E")*'All Fleet'!OU$5)*11.8%)-'All Fleet'!OU75)</f>
        <v/>
      </c>
      <c r="OY12" s="102" t="str">
        <f>IF('All Fleet'!OV75="","",((COUNTIFS('All Fleet'!$A$66:$A$74,"777E")*'All Fleet'!OV$5)*11.8%)-'All Fleet'!OV75)</f>
        <v/>
      </c>
      <c r="OZ12" s="169" t="str">
        <f>IF('All Fleet'!OW75="","",((COUNTIFS('All Fleet'!$A$66:$A$74,"777E")*'All Fleet'!OW$5)*11.8%)-'All Fleet'!OW75)</f>
        <v/>
      </c>
    </row>
    <row r="13" spans="1:416" s="170" customFormat="1" ht="15" customHeight="1" x14ac:dyDescent="0.2">
      <c r="A13" s="138" t="b">
        <f t="shared" si="376"/>
        <v>0</v>
      </c>
      <c r="B13" s="139">
        <v>10</v>
      </c>
      <c r="C13" s="149" t="str">
        <f t="shared" si="380"/>
        <v>Mechanical Availability</v>
      </c>
      <c r="D13" s="150" t="str">
        <f t="shared" si="380"/>
        <v>777E Expro</v>
      </c>
      <c r="E13" s="193" t="s">
        <v>71</v>
      </c>
      <c r="F13" s="175">
        <f>IF('All Fleet'!C75="","",(4*24*11.8%)-'All Fleet'!C22)</f>
        <v>11.328000000000001</v>
      </c>
      <c r="G13" s="175">
        <f>IF('All Fleet'!D75="","",(4*24*11.8%)-'All Fleet'!D22)</f>
        <v>11.328000000000001</v>
      </c>
      <c r="H13" s="175">
        <f>IF('All Fleet'!E75="","",(4*24*11.8%)-'All Fleet'!E22)</f>
        <v>8.9280000000000008</v>
      </c>
      <c r="I13" s="175">
        <f>IF('All Fleet'!F75="","",(4*24*11.8%)-'All Fleet'!F22)</f>
        <v>11.328000000000001</v>
      </c>
      <c r="J13" s="175">
        <f>IF('All Fleet'!G75="","",(4*24*11.8%)-'All Fleet'!G22)</f>
        <v>11.328000000000001</v>
      </c>
      <c r="K13" s="175">
        <f>IF('All Fleet'!H75="","",(4*24*11.8%)-'All Fleet'!H22)</f>
        <v>4.1080000000000014</v>
      </c>
      <c r="L13" s="175">
        <f>IF('All Fleet'!I75="","",(4*24*11.8%)-'All Fleet'!I22)</f>
        <v>9.8580000000000005</v>
      </c>
      <c r="M13" s="175">
        <f>IF('All Fleet'!J75="","",(4*24*11.8%)-'All Fleet'!J22)</f>
        <v>-15.171999999999999</v>
      </c>
      <c r="N13" s="175">
        <f>IF('All Fleet'!K75="","",(4*24*11.8%)-'All Fleet'!K22)</f>
        <v>10.078000000000001</v>
      </c>
      <c r="O13" s="175">
        <f>IF('All Fleet'!L75="","",(4*24*11.8%)-'All Fleet'!L22)</f>
        <v>3.0980000000000008</v>
      </c>
      <c r="P13" s="175">
        <f>IF('All Fleet'!M75="","",(4*24*11.8%)-'All Fleet'!M22)</f>
        <v>-25.042000000000002</v>
      </c>
      <c r="Q13" s="175">
        <f>IF('All Fleet'!N75="","",(4*24*11.8%)-'All Fleet'!N22)</f>
        <v>2.7280000000000015</v>
      </c>
      <c r="R13" s="175">
        <f>IF('All Fleet'!O75="","",(4*24*11.8%)-'All Fleet'!O22)</f>
        <v>-31.491999999999997</v>
      </c>
      <c r="S13" s="175">
        <f>IF('All Fleet'!P75="","",(4*24*11.8%)-'All Fleet'!P22)</f>
        <v>11.328000000000001</v>
      </c>
      <c r="T13" s="175">
        <f>IF('All Fleet'!Q75="","",(4*24*11.8%)-'All Fleet'!Q22)</f>
        <v>4.8780000000000019</v>
      </c>
      <c r="U13" s="175">
        <f>IF('All Fleet'!R75="","",(4*24*11.8%)-'All Fleet'!R22)</f>
        <v>-18.781999999999996</v>
      </c>
      <c r="V13" s="175">
        <f>IF('All Fleet'!S75="","",(4*24*11.8%)-'All Fleet'!S22)</f>
        <v>10.308000000000002</v>
      </c>
      <c r="W13" s="175">
        <f>IF('All Fleet'!T75="","",(4*24*11.8%)-'All Fleet'!T22)</f>
        <v>5.8980000000000015</v>
      </c>
      <c r="X13" s="175">
        <f>IF('All Fleet'!U75="","",(4*24*11.8%)-'All Fleet'!U22)</f>
        <v>8.0580000000000016</v>
      </c>
      <c r="Y13" s="175">
        <f>IF('All Fleet'!V75="","",(4*24*11.8%)-'All Fleet'!V22)</f>
        <v>-2.4419999999999984</v>
      </c>
      <c r="Z13" s="175">
        <f>IF('All Fleet'!W75="","",(4*24*11.8%)-'All Fleet'!W22)</f>
        <v>11.108000000000001</v>
      </c>
      <c r="AA13" s="175">
        <f>IF('All Fleet'!X75="","",(4*24*11.8%)-'All Fleet'!X22)</f>
        <v>-14.631999999999996</v>
      </c>
      <c r="AB13" s="175">
        <f>IF('All Fleet'!Y75="","",(4*24*11.8%)-'All Fleet'!Y22)</f>
        <v>-44.222000000000001</v>
      </c>
      <c r="AC13" s="175">
        <f>IF('All Fleet'!Z75="","",(4*24*11.8%)-'All Fleet'!Z22)</f>
        <v>1.9280000000000008</v>
      </c>
      <c r="AD13" s="175">
        <f>IF('All Fleet'!AA75="","",(4*24*11.8%)-'All Fleet'!AA22)</f>
        <v>7.7780000000000014</v>
      </c>
      <c r="AE13" s="175">
        <f>IF('All Fleet'!AB75="","",(4*24*11.8%)-'All Fleet'!AB22)</f>
        <v>11.328000000000001</v>
      </c>
      <c r="AF13" s="175">
        <f>IF('All Fleet'!AC75="","",(4*24*11.8%)-'All Fleet'!AC22)</f>
        <v>10.168000000000001</v>
      </c>
      <c r="AG13" s="175">
        <f>IF('All Fleet'!AD75="","",(4*24*11.8%)-'All Fleet'!AD22)</f>
        <v>-31.171999999999997</v>
      </c>
      <c r="AH13" s="175">
        <f>IF('All Fleet'!AE75="","",(4*24*11.8%)-'All Fleet'!AE22)</f>
        <v>11.328000000000001</v>
      </c>
      <c r="AI13" s="175">
        <f>IF('All Fleet'!AF75="","",(4*24*11.8%)-'All Fleet'!AF22)</f>
        <v>-3.9019999999999992</v>
      </c>
      <c r="AJ13" s="175">
        <f>IF('All Fleet'!AG75="","",(4*24*11.8%)-'All Fleet'!AG22)</f>
        <v>5.3480000000000008</v>
      </c>
      <c r="AK13" s="175">
        <f>IF('All Fleet'!AH75="","",(5*24*11.8%)-'All Fleet'!AH22)</f>
        <v>12.19</v>
      </c>
      <c r="AL13" s="175">
        <f>IF('All Fleet'!AI75="","",(5*24*11.8%)-'All Fleet'!AI22)</f>
        <v>-8.629999999999999</v>
      </c>
      <c r="AM13" s="175">
        <f>IF('All Fleet'!AJ75="","",(5*24*11.8%)-'All Fleet'!AJ22)</f>
        <v>8.14</v>
      </c>
      <c r="AN13" s="175">
        <f>IF('All Fleet'!AK75="","",(5*24*11.8%)-'All Fleet'!AK22)</f>
        <v>6.29</v>
      </c>
      <c r="AO13" s="175">
        <f>IF('All Fleet'!AL75="","",(5*24*11.8%)-'All Fleet'!AL22)</f>
        <v>7.6099999999999994</v>
      </c>
      <c r="AP13" s="175">
        <f>IF('All Fleet'!AM75="","",(5*24*11.8%)-'All Fleet'!AM22)</f>
        <v>-7.7999999999999972</v>
      </c>
      <c r="AQ13" s="175">
        <f>IF('All Fleet'!AN75="","",(5*24*11.8%)-'All Fleet'!AN22)</f>
        <v>9.2000000000000011</v>
      </c>
      <c r="AR13" s="175">
        <f>IF('All Fleet'!AO75="","",(5*24*11.8%)-'All Fleet'!AO22)</f>
        <v>-4.0000000000000924E-2</v>
      </c>
      <c r="AS13" s="175">
        <f>IF('All Fleet'!AP75="","",(5*24*11.8%)-'All Fleet'!AP22)</f>
        <v>-3.5299999999999976</v>
      </c>
      <c r="AT13" s="175">
        <f>IF('All Fleet'!AQ75="","",(5*24*11.8%)-'All Fleet'!AQ22)</f>
        <v>-4.25</v>
      </c>
      <c r="AU13" s="175">
        <f>IF('All Fleet'!AR75="","",(5*24*11.8%)-'All Fleet'!AR22)</f>
        <v>-2.4499999999999993</v>
      </c>
      <c r="AV13" s="175">
        <f>IF('All Fleet'!AS75="","",(5*24*11.8%)-'All Fleet'!AS22)</f>
        <v>-4.990000000000002</v>
      </c>
      <c r="AW13" s="175">
        <f>IF('All Fleet'!AT75="","",(5*24*11.8%)-'All Fleet'!AT22)</f>
        <v>11.35</v>
      </c>
      <c r="AX13" s="175">
        <f>IF('All Fleet'!AU75="","",(5*24*11.8%)-'All Fleet'!AU22)</f>
        <v>-6.259999999999998</v>
      </c>
      <c r="AY13" s="175">
        <f>IF('All Fleet'!AV75="","",(5*24*11.8%)-'All Fleet'!AV22)</f>
        <v>-14.36</v>
      </c>
      <c r="AZ13" s="175">
        <f>IF('All Fleet'!AW75="","",(5*24*11.8%)-'All Fleet'!AW22)</f>
        <v>0.50999999999999979</v>
      </c>
      <c r="BA13" s="175">
        <f>IF('All Fleet'!AX75="","",(5*24*11.8%)-'All Fleet'!AX22)</f>
        <v>10.97</v>
      </c>
      <c r="BB13" s="175">
        <f>IF('All Fleet'!AY75="","",(5*24*11.8%)-'All Fleet'!AY22)</f>
        <v>-20.49</v>
      </c>
      <c r="BC13" s="175">
        <f>IF('All Fleet'!AZ75="","",(5*24*11.8%)-'All Fleet'!AZ22)</f>
        <v>-9.73</v>
      </c>
      <c r="BD13" s="175">
        <f>IF('All Fleet'!BA75="","",(5*24*11.8%)-'All Fleet'!BA22)</f>
        <v>-12.5</v>
      </c>
      <c r="BE13" s="175">
        <f>IF('All Fleet'!BB75="","",(5*24*11.8%)-'All Fleet'!BB22)</f>
        <v>11.379999999999999</v>
      </c>
      <c r="BF13" s="175">
        <f>IF('All Fleet'!BC75="","",(5*24*11.8%)-'All Fleet'!BC22)</f>
        <v>2.5</v>
      </c>
      <c r="BG13" s="175">
        <f>IF('All Fleet'!BD75="","",(5*24*11.8%)-'All Fleet'!BD22)</f>
        <v>10.89</v>
      </c>
      <c r="BH13" s="175">
        <f>IF('All Fleet'!BE75="","",(5*24*11.8%)-'All Fleet'!BE22)</f>
        <v>9.4499999999999993</v>
      </c>
      <c r="BI13" s="175">
        <f>IF('All Fleet'!BF75="","",(5*24*11.8%)-'All Fleet'!BF22)</f>
        <v>10.24</v>
      </c>
      <c r="BJ13" s="175">
        <f>IF('All Fleet'!BG75="","",(5*24*11.8%)-'All Fleet'!BG22)</f>
        <v>9.33</v>
      </c>
      <c r="BK13" s="175">
        <f>IF('All Fleet'!BH75="","",(5*24*11.8%)-'All Fleet'!BH22)</f>
        <v>10.36</v>
      </c>
      <c r="BL13" s="175">
        <f>IF('All Fleet'!BI75="","",(5*24*11.8%)-'All Fleet'!BI22)</f>
        <v>5.43</v>
      </c>
      <c r="BM13" s="175">
        <f>IF('All Fleet'!BJ75="","",(5*24*11.8%)-'All Fleet'!BJ22)</f>
        <v>-16.970000000000002</v>
      </c>
      <c r="BN13" s="175">
        <f>IF('All Fleet'!BK75="","",(5*24*11.8%)-'All Fleet'!BK22)</f>
        <v>-14.45</v>
      </c>
      <c r="BO13" s="175">
        <f>IF('All Fleet'!BL75="","",(5*24*11.8%)-'All Fleet'!BL22)</f>
        <v>-28.889999999999997</v>
      </c>
      <c r="BP13" s="175">
        <f>IF('All Fleet'!BM75="","",(5*24*11.8%)-'All Fleet'!BM22)</f>
        <v>14.16</v>
      </c>
      <c r="BQ13" s="175">
        <f>IF('All Fleet'!BN75="","",(5*24*11.8%)-'All Fleet'!BN22)</f>
        <v>-10.54</v>
      </c>
      <c r="BR13" s="175">
        <f>IF('All Fleet'!BO75="","",(5*24*11.8%)-'All Fleet'!BO22)</f>
        <v>-10.349999999999998</v>
      </c>
      <c r="BS13" s="175">
        <f>IF('All Fleet'!BP75="","",(5*24*11.8%)-'All Fleet'!BP22)</f>
        <v>10.119999999999999</v>
      </c>
      <c r="BT13" s="175">
        <f>IF('All Fleet'!BQ75="","",(5*24*11.8%)-'All Fleet'!BQ22)</f>
        <v>8.17</v>
      </c>
      <c r="BU13" s="175">
        <f>IF('All Fleet'!BR75="","",(5*24*11.8%)-'All Fleet'!BR22)</f>
        <v>-4.6700000000000017</v>
      </c>
      <c r="BV13" s="175">
        <f>IF('All Fleet'!BS75="","",(5*24*11.8%)-'All Fleet'!BS22)</f>
        <v>-8.7200000000000024</v>
      </c>
      <c r="BW13" s="175">
        <f>IF('All Fleet'!BT75="","",(5*24*11.8%)-'All Fleet'!BT22)</f>
        <v>7.99</v>
      </c>
      <c r="BX13" s="175">
        <f>IF('All Fleet'!BU75="","",(5*24*11.8%)-'All Fleet'!BU22)</f>
        <v>8.379999999999999</v>
      </c>
      <c r="BY13" s="175">
        <f>IF('All Fleet'!BV75="","",(5*24*11.8%)-'All Fleet'!BV22)</f>
        <v>-3.8499999999999979</v>
      </c>
      <c r="BZ13" s="175">
        <f>IF('All Fleet'!BW75="","",(5*24*11.8%)-'All Fleet'!BW22)</f>
        <v>1.9599999999999991</v>
      </c>
      <c r="CA13" s="175">
        <f>IF('All Fleet'!BX75="","",(5*24*11.8%)-'All Fleet'!BX22)</f>
        <v>11.64</v>
      </c>
      <c r="CB13" s="175">
        <f>IF('All Fleet'!BY75="","",(5*24*11.8%)-'All Fleet'!BY22)</f>
        <v>8.9600000000000009</v>
      </c>
      <c r="CC13" s="175">
        <f>IF('All Fleet'!BZ75="","",(5*24*11.8%)-'All Fleet'!BZ22)</f>
        <v>10.63</v>
      </c>
      <c r="CD13" s="175">
        <f>IF('All Fleet'!CA75="","",(5*24*11.8%)-'All Fleet'!CA22)</f>
        <v>1.2800000000000011</v>
      </c>
      <c r="CE13" s="175">
        <f>IF('All Fleet'!CB75="","",(5*24*11.8%)-'All Fleet'!CB22)</f>
        <v>-48.31</v>
      </c>
      <c r="CF13" s="175">
        <f>IF('All Fleet'!CC75="","",(5*24*11.8%)-'All Fleet'!CC22)</f>
        <v>-35.430000000000007</v>
      </c>
      <c r="CG13" s="175">
        <f>IF('All Fleet'!CD75="","",(5*24*11.8%)-'All Fleet'!CD22)</f>
        <v>6.3699999999999992</v>
      </c>
      <c r="CH13" s="175">
        <f>IF('All Fleet'!CE75="","",(5*24*11.8%)-'All Fleet'!CE22)</f>
        <v>14.16</v>
      </c>
      <c r="CI13" s="175">
        <f>IF('All Fleet'!CF75="","",(5*24*11.8%)-'All Fleet'!CF22)</f>
        <v>-3.5</v>
      </c>
      <c r="CJ13" s="175">
        <f>IF('All Fleet'!CG75="","",(5*24*11.8%)-'All Fleet'!CG22)</f>
        <v>13.84</v>
      </c>
      <c r="CK13" s="175">
        <f>IF('All Fleet'!CH75="","",(5*24*11.8%)-'All Fleet'!CH22)</f>
        <v>9.26</v>
      </c>
      <c r="CL13" s="175">
        <f>IF('All Fleet'!CI75="","",(5*24*11.8%)-'All Fleet'!CI22)</f>
        <v>2.5099999999999998</v>
      </c>
      <c r="CM13" s="175">
        <f>IF('All Fleet'!CJ75="","",(5*24*11.8%)-'All Fleet'!CJ22)</f>
        <v>3.9000000000000021</v>
      </c>
      <c r="CN13" s="175">
        <f>IF('All Fleet'!CK75="","",(5*24*11.8%)-'All Fleet'!CK22)</f>
        <v>14.16</v>
      </c>
      <c r="CO13" s="175">
        <f>IF('All Fleet'!CL75="","",(5*24*11.8%)-'All Fleet'!CL22)</f>
        <v>12.08</v>
      </c>
      <c r="CP13" s="175">
        <f>IF('All Fleet'!CM75="","",(5*24*11.8%)-'All Fleet'!CM22)</f>
        <v>-14.249999999999996</v>
      </c>
      <c r="CQ13" s="175">
        <f>IF('All Fleet'!CN75="","",(5*24*11.8%)-'All Fleet'!CN22)</f>
        <v>3.41</v>
      </c>
      <c r="CR13" s="175">
        <f>IF('All Fleet'!CO75="","",(5*24*11.8%)-'All Fleet'!CO22)</f>
        <v>-20.8</v>
      </c>
      <c r="CS13" s="175">
        <f>IF('All Fleet'!CP75="","",(5*24*11.8%)-'All Fleet'!CP22)</f>
        <v>3.3000000000000007</v>
      </c>
      <c r="CT13" s="175">
        <f>IF('All Fleet'!CQ75="","",(5*24*11.8%)-'All Fleet'!CQ22)</f>
        <v>-3.5599999999999987</v>
      </c>
      <c r="CU13" s="175">
        <f>IF('All Fleet'!CR75="","",(5*24*11.8%)-'All Fleet'!CR22)</f>
        <v>-18.820000000000004</v>
      </c>
      <c r="CV13" s="175">
        <f>IF('All Fleet'!CS75="","",(5*24*11.8%)-'All Fleet'!CS22)</f>
        <v>-17.02</v>
      </c>
      <c r="CW13" s="175">
        <f>IF('All Fleet'!CT75="","",(5*24*11.8%)-'All Fleet'!CT22)</f>
        <v>-3.84</v>
      </c>
      <c r="CX13" s="175">
        <f>IF('All Fleet'!CU75="","",(5*24*11.8%)-'All Fleet'!CU22)</f>
        <v>3.6899999999999995</v>
      </c>
      <c r="CY13" s="175">
        <f>IF('All Fleet'!CV75="","",(5*24*11.8%)-'All Fleet'!CV22)</f>
        <v>12.73</v>
      </c>
      <c r="CZ13" s="175">
        <f>IF('All Fleet'!CW75="","",(5*24*11.8%)-'All Fleet'!CW22)</f>
        <v>14.16</v>
      </c>
      <c r="DA13" s="175">
        <f>IF('All Fleet'!CX75="","",(5*24*11.8%)-'All Fleet'!CX22)</f>
        <v>14.16</v>
      </c>
      <c r="DB13" s="175">
        <f>IF('All Fleet'!CY75="","",(5*24*11.8%)-'All Fleet'!CY22)</f>
        <v>-2.7699999999999996</v>
      </c>
      <c r="DC13" s="175">
        <f>IF('All Fleet'!CZ75="","",(5*24*11.8%)-'All Fleet'!CZ22)</f>
        <v>14.16</v>
      </c>
      <c r="DD13" s="175">
        <f>IF('All Fleet'!DA75="","",(5*24*11.8%)-'All Fleet'!DA22)</f>
        <v>-3.2300000000000004</v>
      </c>
      <c r="DE13" s="175">
        <f>IF('All Fleet'!DB75="","",(5*24*11.8%)-'All Fleet'!DB22)</f>
        <v>9.7799999999999994</v>
      </c>
      <c r="DF13" s="175">
        <f>IF('All Fleet'!DC75="","",(5*24*11.8%)-'All Fleet'!DC22)</f>
        <v>14.16</v>
      </c>
      <c r="DG13" s="175">
        <f>IF('All Fleet'!DD75="","",(5*24*11.8%)-'All Fleet'!DD22)</f>
        <v>0.35000000000000142</v>
      </c>
      <c r="DH13" s="175">
        <f>IF('All Fleet'!DE75="","",(5*24*11.8%)-'All Fleet'!DE22)</f>
        <v>2.4599999999999991</v>
      </c>
      <c r="DI13" s="175">
        <f>IF('All Fleet'!DF75="","",(5*24*11.8%)-'All Fleet'!DF22)</f>
        <v>12.16</v>
      </c>
      <c r="DJ13" s="175">
        <f>IF('All Fleet'!DG75="","",(5*24*11.8%)-'All Fleet'!DG22)</f>
        <v>-1.0899999999999999</v>
      </c>
      <c r="DK13" s="175">
        <f>IF('All Fleet'!DH75="","",(5*24*11.8%)-'All Fleet'!DH22)</f>
        <v>-30.580000000000002</v>
      </c>
      <c r="DL13" s="175">
        <f>IF('All Fleet'!DI75="","",(5*24*11.8%)-'All Fleet'!DI22)</f>
        <v>12.32</v>
      </c>
      <c r="DM13" s="175">
        <f>IF('All Fleet'!DJ75="","",(5*24*11.8%)-'All Fleet'!DJ22)</f>
        <v>7.9</v>
      </c>
      <c r="DN13" s="175">
        <f>IF('All Fleet'!DK75="","",(5*24*11.8%)-'All Fleet'!DK22)</f>
        <v>10.47</v>
      </c>
      <c r="DO13" s="175">
        <f>IF('All Fleet'!DL75="","",(5*24*11.8%)-'All Fleet'!DL22)</f>
        <v>10.54</v>
      </c>
      <c r="DP13" s="175">
        <f>IF('All Fleet'!DM75="","",(5*24*11.8%)-'All Fleet'!DM22)</f>
        <v>14.16</v>
      </c>
      <c r="DQ13" s="175">
        <f>IF('All Fleet'!DN75="","",(5*24*11.8%)-'All Fleet'!DN22)</f>
        <v>14.16</v>
      </c>
      <c r="DR13" s="175">
        <f>IF('All Fleet'!DO75="","",(5*24*11.8%)-'All Fleet'!DO22)</f>
        <v>5.41</v>
      </c>
      <c r="DS13" s="175">
        <f>IF('All Fleet'!DP75="","",(5*24*11.8%)-'All Fleet'!DP22)</f>
        <v>6.0599999999999987</v>
      </c>
      <c r="DT13" s="175">
        <f>IF('All Fleet'!DQ75="","",(5*24*11.8%)-'All Fleet'!DQ22)</f>
        <v>13.030000000000001</v>
      </c>
      <c r="DU13" s="175">
        <f>IF('All Fleet'!DR75="","",(5*24*11.8%)-'All Fleet'!DR22)</f>
        <v>-21.859999999999996</v>
      </c>
      <c r="DV13" s="175">
        <f>IF('All Fleet'!DS75="","",(5*24*11.8%)-'All Fleet'!DS22)</f>
        <v>-2.2200000000000024</v>
      </c>
      <c r="DW13" s="175">
        <f>IF('All Fleet'!DT75="","",(5*24*11.8%)-'All Fleet'!DT22)</f>
        <v>9.1999999999999993</v>
      </c>
      <c r="DX13" s="175">
        <f>IF('All Fleet'!DU75="","",(5*24*11.8%)-'All Fleet'!DU22)</f>
        <v>-21.790000000000003</v>
      </c>
      <c r="DY13" s="175">
        <f>IF('All Fleet'!DV75="","",(5*24*11.8%)-'All Fleet'!DV22)</f>
        <v>8.31</v>
      </c>
      <c r="DZ13" s="175">
        <f>IF('All Fleet'!DW75="","",(5*24*11.8%)-'All Fleet'!DW22)</f>
        <v>12.89</v>
      </c>
      <c r="EA13" s="175">
        <f>IF('All Fleet'!DX75="","",(5*24*11.8%)-'All Fleet'!DX22)</f>
        <v>0.10999999999999943</v>
      </c>
      <c r="EB13" s="175">
        <f>IF('All Fleet'!DY75="","",(5*24*11.8%)-'All Fleet'!DY22)</f>
        <v>9.57</v>
      </c>
      <c r="EC13" s="175">
        <f>IF('All Fleet'!DZ75="","",(5*24*11.8%)-'All Fleet'!DZ22)</f>
        <v>-5.6699999999999982</v>
      </c>
      <c r="ED13" s="175">
        <f>IF('All Fleet'!EA75="","",(5*24*11.8%)-'All Fleet'!EA22)</f>
        <v>14.16</v>
      </c>
      <c r="EE13" s="175">
        <f>IF('All Fleet'!EB75="","",(5*24*11.8%)-'All Fleet'!EB22)</f>
        <v>6.17</v>
      </c>
      <c r="EF13" s="175">
        <f>IF('All Fleet'!EC75="","",(5*24*11.8%)-'All Fleet'!EC22)</f>
        <v>-28.48</v>
      </c>
      <c r="EG13" s="175">
        <f>IF('All Fleet'!ED75="","",(5*24*11.8%)-'All Fleet'!ED22)</f>
        <v>6.0000000000000497E-2</v>
      </c>
      <c r="EH13" s="175">
        <f>IF('All Fleet'!EE75="","",(5*24*11.8%)-'All Fleet'!EE22)</f>
        <v>-33.069999999999993</v>
      </c>
      <c r="EI13" s="175">
        <f>IF('All Fleet'!EF75="","",(5*24*11.8%)-'All Fleet'!EF22)</f>
        <v>14.16</v>
      </c>
      <c r="EJ13" s="175">
        <f>IF('All Fleet'!EG75="","",(5*24*11.8%)-'All Fleet'!EG22)</f>
        <v>-25.76</v>
      </c>
      <c r="EK13" s="175">
        <f>IF('All Fleet'!EH75="","",(5*24*11.8%)-'All Fleet'!EH22)</f>
        <v>13.790000000000001</v>
      </c>
      <c r="EL13" s="175">
        <f>IF('All Fleet'!EI75="","",(5*24*11.8%)-'All Fleet'!EI22)</f>
        <v>-14.720000000000002</v>
      </c>
      <c r="EM13" s="175">
        <f>IF('All Fleet'!EJ75="","",(5*24*11.8%)-'All Fleet'!EJ22)</f>
        <v>0.69999999999999929</v>
      </c>
      <c r="EN13" s="175">
        <f>IF('All Fleet'!EK75="","",(5*24*11.8%)-'All Fleet'!EK22)</f>
        <v>6.2600000000000007</v>
      </c>
      <c r="EO13" s="175">
        <f>IF('All Fleet'!EL75="","",(5*24*11.8%)-'All Fleet'!EL22)</f>
        <v>-10.989999999999998</v>
      </c>
      <c r="EP13" s="175">
        <f>IF('All Fleet'!EM75="","",(5*24*11.8%)-'All Fleet'!EM22)</f>
        <v>3.59</v>
      </c>
      <c r="EQ13" s="175">
        <f>IF('All Fleet'!EN75="","",(5*24*11.8%)-'All Fleet'!EN22)</f>
        <v>12.06</v>
      </c>
      <c r="ER13" s="175">
        <f>IF('All Fleet'!EO75="","",(5*24*11.8%)-'All Fleet'!EO22)</f>
        <v>-13.77</v>
      </c>
      <c r="ES13" s="175">
        <f>IF('All Fleet'!EP75="","",(5*24*11.8%)-'All Fleet'!EP22)</f>
        <v>-20.709999999999997</v>
      </c>
      <c r="ET13" s="175">
        <f>IF('All Fleet'!EQ75="","",(5*24*11.8%)-'All Fleet'!EQ22)</f>
        <v>10.78</v>
      </c>
      <c r="EU13" s="175">
        <f>IF('All Fleet'!ER75="","",(5*24*11.8%)-'All Fleet'!ER22)</f>
        <v>4.76</v>
      </c>
      <c r="EV13" s="175">
        <f>IF('All Fleet'!ES75="","",(5*24*11.8%)-'All Fleet'!ES22)</f>
        <v>6.41</v>
      </c>
      <c r="EW13" s="175">
        <f>IF('All Fleet'!ET75="","",(5*24*11.8%)-'All Fleet'!ET22)</f>
        <v>7.63</v>
      </c>
      <c r="EX13" s="175">
        <f>IF('All Fleet'!EU75="","",(5*24*11.8%)-'All Fleet'!EU22)</f>
        <v>14.16</v>
      </c>
      <c r="EY13" s="175">
        <f>IF('All Fleet'!EV75="","",(5*24*11.8%)-'All Fleet'!EV22)</f>
        <v>14.16</v>
      </c>
      <c r="EZ13" s="175">
        <f>IF('All Fleet'!EW75="","",(5*24*11.8%)-'All Fleet'!EW22)</f>
        <v>14.16</v>
      </c>
      <c r="FA13" s="175">
        <f>IF('All Fleet'!EX75="","",(5*24*11.8%)-'All Fleet'!EX22)</f>
        <v>14.16</v>
      </c>
      <c r="FB13" s="175">
        <f>IF('All Fleet'!EY75="","",(5*24*11.8%)-'All Fleet'!EY22)</f>
        <v>14.16</v>
      </c>
      <c r="FC13" s="175">
        <f>IF('All Fleet'!EZ75="","",(5*24*11.8%)-'All Fleet'!EZ22)</f>
        <v>14.16</v>
      </c>
      <c r="FD13" s="175">
        <f>IF('All Fleet'!FA75="","",(5*24*11.8%)-'All Fleet'!FA22)</f>
        <v>14.16</v>
      </c>
      <c r="FE13" s="175">
        <f>IF('All Fleet'!FB75="","",(5*24*11.8%)-'All Fleet'!FB22)</f>
        <v>14.16</v>
      </c>
      <c r="FF13" s="175">
        <f>IF('All Fleet'!FC75="","",(5*24*11.8%)-'All Fleet'!FC22)</f>
        <v>14.16</v>
      </c>
      <c r="FG13" s="175">
        <f>IF('All Fleet'!FD75="","",(5*24*11.8%)-'All Fleet'!FD22)</f>
        <v>9.61</v>
      </c>
      <c r="FH13" s="175">
        <f>IF('All Fleet'!FE75="","",(5*24*11.8%)-'All Fleet'!FE22)</f>
        <v>-12.970000000000002</v>
      </c>
      <c r="FI13" s="175">
        <f>IF('All Fleet'!FF75="","",(5*24*11.8%)-'All Fleet'!FF22)</f>
        <v>2.6700000000000017</v>
      </c>
      <c r="FJ13" s="175">
        <f>IF('All Fleet'!FG75="","",(5*24*11.8%)-'All Fleet'!FG22)</f>
        <v>-10.470000000000002</v>
      </c>
      <c r="FK13" s="175">
        <f>IF('All Fleet'!FH75="","",(5*24*11.8%)-'All Fleet'!FH22)</f>
        <v>2.6099999999999994</v>
      </c>
      <c r="FL13" s="175">
        <f>IF('All Fleet'!FI75="","",(5*24*11.8%)-'All Fleet'!FI22)</f>
        <v>-8.5599999999999987</v>
      </c>
      <c r="FM13" s="175">
        <f>IF('All Fleet'!FJ75="","",(5*24*11.8%)-'All Fleet'!FJ22)</f>
        <v>7.18</v>
      </c>
      <c r="FN13" s="175">
        <f>IF('All Fleet'!FK75="","",(5*24*11.8%)-'All Fleet'!FK22)</f>
        <v>-8.6700000000000053</v>
      </c>
      <c r="FO13" s="175">
        <f>IF('All Fleet'!FL75="","",(5*24*11.8%)-'All Fleet'!FL22)</f>
        <v>10.96</v>
      </c>
      <c r="FP13" s="175">
        <f>IF('All Fleet'!FM75="","",(5*24*11.8%)-'All Fleet'!FM22)</f>
        <v>9.0399999999999991</v>
      </c>
      <c r="FQ13" s="175">
        <f>IF('All Fleet'!FN75="","",(5*24*11.8%)-'All Fleet'!FN22)</f>
        <v>14.16</v>
      </c>
      <c r="FR13" s="175">
        <f>IF('All Fleet'!FO75="","",(5*24*11.8%)-'All Fleet'!FO22)</f>
        <v>-17.5</v>
      </c>
      <c r="FS13" s="175">
        <f>IF('All Fleet'!FP75="","",(5*24*11.8%)-'All Fleet'!FP22)</f>
        <v>-50.28</v>
      </c>
      <c r="FT13" s="175">
        <f>IF('All Fleet'!FQ75="","",(5*24*11.8%)-'All Fleet'!FQ22)</f>
        <v>4.93</v>
      </c>
      <c r="FU13" s="175">
        <f>IF('All Fleet'!FR75="","",(5*24*11.8%)-'All Fleet'!FR22)</f>
        <v>-139.86000000000001</v>
      </c>
      <c r="FV13" s="175">
        <f>IF('All Fleet'!FS75="","",(5*24*11.8%)-'All Fleet'!FS22)</f>
        <v>-0.3100000000000005</v>
      </c>
      <c r="FW13" s="175">
        <f>IF('All Fleet'!FT75="","",(5*24*11.8%)-'All Fleet'!FT22)</f>
        <v>-12.620000000000001</v>
      </c>
      <c r="FX13" s="175">
        <f>IF('All Fleet'!FU75="","",(5*24*11.8%)-'All Fleet'!FU22)</f>
        <v>-7.66</v>
      </c>
      <c r="FY13" s="175">
        <f>IF('All Fleet'!FV75="","",(5*24*11.8%)-'All Fleet'!FV22)</f>
        <v>-6.9499999999999993</v>
      </c>
      <c r="FZ13" s="175">
        <f>IF('All Fleet'!FW75="","",(5*24*11.8%)-'All Fleet'!FW22)</f>
        <v>-6.0500000000000007</v>
      </c>
      <c r="GA13" s="175">
        <f>IF('All Fleet'!FX75="","",(5*24*11.8%)-'All Fleet'!FX22)</f>
        <v>-4.3499999999999979</v>
      </c>
      <c r="GB13" s="175">
        <f>IF('All Fleet'!FY75="","",(5*24*11.8%)-'All Fleet'!FY22)</f>
        <v>-263.19999999999993</v>
      </c>
      <c r="GC13" s="175">
        <f>IF('All Fleet'!FZ75="","",(5*24*11.8%)-'All Fleet'!FZ22)</f>
        <v>2.6400000000000006</v>
      </c>
      <c r="GD13" s="175">
        <f>IF('All Fleet'!GA75="","",(5*24*11.8%)-'All Fleet'!GA22)</f>
        <v>12.86</v>
      </c>
      <c r="GE13" s="175">
        <f>IF('All Fleet'!GB75="","",(5*24*11.8%)-'All Fleet'!GB22)</f>
        <v>-49.989999999999995</v>
      </c>
      <c r="GF13" s="175">
        <f>IF('All Fleet'!GC75="","",(5*24*11.8%)-'All Fleet'!GC22)</f>
        <v>-0.70999999999999908</v>
      </c>
      <c r="GG13" s="175">
        <f>IF('All Fleet'!GD75="","",(5*24*11.8%)-'All Fleet'!GD22)</f>
        <v>-10.09</v>
      </c>
      <c r="GH13" s="175">
        <f>IF('All Fleet'!GE75="","",(5*24*11.8%)-'All Fleet'!GE22)</f>
        <v>-21.439999999999994</v>
      </c>
      <c r="GI13" s="175">
        <f>IF('All Fleet'!GF75="","",(5*24*11.8%)-'All Fleet'!GF22)</f>
        <v>4.51</v>
      </c>
      <c r="GJ13" s="175">
        <f>IF('All Fleet'!GG75="","",(5*24*11.8%)-'All Fleet'!GG22)</f>
        <v>-77.040000000000006</v>
      </c>
      <c r="GK13" s="175">
        <f>IF('All Fleet'!GH75="","",(5*24*11.8%)-'All Fleet'!GH22)</f>
        <v>-9.34</v>
      </c>
      <c r="GL13" s="175">
        <f>IF('All Fleet'!GI75="","",(5*24*11.8%)-'All Fleet'!GI22)</f>
        <v>7.74</v>
      </c>
      <c r="GM13" s="175">
        <f>IF('All Fleet'!GJ75="","",(5*24*11.8%)-'All Fleet'!GJ22)</f>
        <v>7.7700000000000005</v>
      </c>
      <c r="GN13" s="175">
        <f>IF('All Fleet'!GK75="","",(5*24*11.8%)-'All Fleet'!GK22)</f>
        <v>14.16</v>
      </c>
      <c r="GO13" s="175">
        <f>IF('All Fleet'!GL75="","",(5*24*11.8%)-'All Fleet'!GL22)</f>
        <v>-176.72</v>
      </c>
      <c r="GP13" s="175">
        <f>IF('All Fleet'!GM75="","",(5*24*11.8%)-'All Fleet'!GM22)</f>
        <v>1.25</v>
      </c>
      <c r="GQ13" s="175">
        <f>IF('All Fleet'!GN75="","",(5*24*11.8%)-'All Fleet'!GN22)</f>
        <v>14.16</v>
      </c>
      <c r="GR13" s="175">
        <f>IF('All Fleet'!GO75="","",(5*24*11.8%)-'All Fleet'!GO22)</f>
        <v>14.16</v>
      </c>
      <c r="GS13" s="175">
        <f>IF('All Fleet'!GP75="","",(5*24*11.8%)-'All Fleet'!GP22)</f>
        <v>14.16</v>
      </c>
      <c r="GT13" s="175">
        <f>IF('All Fleet'!GQ75="","",(5*24*11.8%)-'All Fleet'!GQ22)</f>
        <v>14.16</v>
      </c>
      <c r="GU13" s="175">
        <f>IF('All Fleet'!GR75="","",(5*24*11.8%)-'All Fleet'!GR22)</f>
        <v>-33.760000000000005</v>
      </c>
      <c r="GV13" s="175">
        <f>IF('All Fleet'!GS75="","",(5*24*11.8%)-'All Fleet'!GS22)</f>
        <v>14.16</v>
      </c>
      <c r="GW13" s="175">
        <f>IF('All Fleet'!GT75="","",(5*24*11.8%)-'All Fleet'!GT22)</f>
        <v>2.5799999999999983</v>
      </c>
      <c r="GX13" s="175">
        <f>IF('All Fleet'!GU75="","",(5*24*11.8%)-'All Fleet'!GU22)</f>
        <v>-33.659999999999997</v>
      </c>
      <c r="GY13" s="175">
        <f>IF('All Fleet'!GV75="","",(5*24*11.8%)-'All Fleet'!GV22)</f>
        <v>14.16</v>
      </c>
      <c r="GZ13" s="175">
        <f>IF('All Fleet'!GW75="","",(5*24*11.8%)-'All Fleet'!GW22)</f>
        <v>-29.419999999999998</v>
      </c>
      <c r="HA13" s="175">
        <f>IF('All Fleet'!GX75="","",(5*24*11.8%)-'All Fleet'!GX22)</f>
        <v>14.16</v>
      </c>
      <c r="HB13" s="175">
        <f>IF('All Fleet'!GY75="","",(5*24*11.8%)-'All Fleet'!GY22)</f>
        <v>14.16</v>
      </c>
      <c r="HC13" s="175">
        <f>IF('All Fleet'!GZ75="","",(5*24*11.8%)-'All Fleet'!GZ22)</f>
        <v>14.16</v>
      </c>
      <c r="HD13" s="175">
        <f>IF('All Fleet'!HA75="","",(5*24*11.8%)-'All Fleet'!HA22)</f>
        <v>14.16</v>
      </c>
      <c r="HE13" s="175">
        <f>IF('All Fleet'!HB75="","",(5*24*11.8%)-'All Fleet'!HB22)</f>
        <v>11.49</v>
      </c>
      <c r="HF13" s="175">
        <f>IF('All Fleet'!HC75="","",(5*24*11.8%)-'All Fleet'!HC22)</f>
        <v>-5.7899999999999991</v>
      </c>
      <c r="HG13" s="175">
        <f>IF('All Fleet'!HD75="","",(5*24*11.8%)-'All Fleet'!HD22)</f>
        <v>-3.5199999999999996</v>
      </c>
      <c r="HH13" s="175">
        <f>IF('All Fleet'!HE75="","",(5*24*11.8%)-'All Fleet'!HE22)</f>
        <v>14.16</v>
      </c>
      <c r="HI13" s="175">
        <f>IF('All Fleet'!HF75="","",(5*24*11.8%)-'All Fleet'!HF22)</f>
        <v>-1.1400000000000006</v>
      </c>
      <c r="HJ13" s="175">
        <f>IF('All Fleet'!HG75="","",(5*24*11.8%)-'All Fleet'!HG22)</f>
        <v>-2.9961111111111123</v>
      </c>
      <c r="HK13" s="175">
        <f>IF('All Fleet'!HH75="","",(5*24*11.8%)-'All Fleet'!HH22)</f>
        <v>8.6611111111111114</v>
      </c>
      <c r="HL13" s="175">
        <f>IF('All Fleet'!HI75="","",(5*24*11.8%)-'All Fleet'!HI22)</f>
        <v>-13.343888888888888</v>
      </c>
      <c r="HM13" s="175">
        <f>IF('All Fleet'!HJ75="","",(5*24*11.8%)-'All Fleet'!HJ22)</f>
        <v>6.0083333333333346</v>
      </c>
      <c r="HN13" s="175">
        <f>IF('All Fleet'!HK75="","",(5*24*11.8%)-'All Fleet'!HK22)</f>
        <v>-6.4111111111111114</v>
      </c>
      <c r="HO13" s="175">
        <f>IF('All Fleet'!HL75="","",(5*24*11.8%)-'All Fleet'!HL22)</f>
        <v>-6.6919444444444416</v>
      </c>
      <c r="HP13" s="175">
        <f>IF('All Fleet'!HM75="","",(5*24*11.8%)-'All Fleet'!HM22)</f>
        <v>-13.011388888888892</v>
      </c>
      <c r="HQ13" s="175">
        <f>IF('All Fleet'!HN75="","",(5*24*11.8%)-'All Fleet'!HN22)</f>
        <v>-0.97138888888888886</v>
      </c>
      <c r="HR13" s="175">
        <f>IF('All Fleet'!HO75="","",(5*24*11.8%)-'All Fleet'!HO22)</f>
        <v>13.795555555555556</v>
      </c>
      <c r="HS13" s="175">
        <f>IF('All Fleet'!HP75="","",(5*24*11.8%)-'All Fleet'!HP22)</f>
        <v>-21.342222222222215</v>
      </c>
      <c r="HT13" s="175">
        <f>IF('All Fleet'!HQ75="","",(5*24*11.8%)-'All Fleet'!HQ22)</f>
        <v>12.328888888888889</v>
      </c>
      <c r="HU13" s="175">
        <f>IF('All Fleet'!HR75="","",(5*24*11.8%)-'All Fleet'!HR22)</f>
        <v>-8.50138888888889</v>
      </c>
      <c r="HV13" s="175">
        <f>IF('All Fleet'!HS75="","",(5*24*11.8%)-'All Fleet'!HS22)</f>
        <v>-2.1916666666666664</v>
      </c>
      <c r="HW13" s="175">
        <f>IF('All Fleet'!HT75="","",(5*24*11.8%)-'All Fleet'!HT22)</f>
        <v>6.0852777777777778</v>
      </c>
      <c r="HX13" s="175">
        <f>IF('All Fleet'!HU75="","",(5*24*11.8%)-'All Fleet'!HU22)</f>
        <v>2.3477777777777789</v>
      </c>
      <c r="HY13" s="175">
        <f>IF('All Fleet'!HV75="","",(5*24*11.8%)-'All Fleet'!HV22)</f>
        <v>11.779722222222222</v>
      </c>
      <c r="HZ13" s="175">
        <f>IF('All Fleet'!HW75="","",(5*24*11.8%)-'All Fleet'!HW22)</f>
        <v>2.4252777777777776</v>
      </c>
      <c r="IA13" s="175">
        <f>IF('All Fleet'!HX75="","",(5*24*11.8%)-'All Fleet'!HX22)</f>
        <v>-5.807500000000001</v>
      </c>
      <c r="IB13" s="175">
        <f>IF('All Fleet'!HY75="","",(5*24*11.8%)-'All Fleet'!HY22)</f>
        <v>-0.70166666666666622</v>
      </c>
      <c r="IC13" s="175">
        <f>IF('All Fleet'!HZ75="","",(5*24*11.8%)-'All Fleet'!HZ22)</f>
        <v>-42.046666666666667</v>
      </c>
      <c r="ID13" s="175">
        <f>IF('All Fleet'!IA75="","",(5*24*11.8%)-'All Fleet'!IA22)</f>
        <v>5.2200000000000006</v>
      </c>
      <c r="IE13" s="175">
        <f>IF('All Fleet'!IB75="","",(5*24*11.8%)-'All Fleet'!IB22)</f>
        <v>7.8963888888888896</v>
      </c>
      <c r="IF13" s="175">
        <f>IF('All Fleet'!IC75="","",(5*24*11.8%)-'All Fleet'!IC22)</f>
        <v>-8.48</v>
      </c>
      <c r="IG13" s="175">
        <f>IF('All Fleet'!ID75="","",(5*24*11.8%)-'All Fleet'!ID22)</f>
        <v>9.0399999999999991</v>
      </c>
      <c r="IH13" s="175">
        <f>IF('All Fleet'!IE75="","",(5*24*11.8%)-'All Fleet'!IE22)</f>
        <v>1.6400000000000006</v>
      </c>
      <c r="II13" s="175">
        <f>IF('All Fleet'!IF75="","",(5*24*11.8%)-'All Fleet'!IF22)</f>
        <v>4.2900000000000009</v>
      </c>
      <c r="IJ13" s="175">
        <f>IF('All Fleet'!IG75="","",(5*24*11.8%)-'All Fleet'!IG22)</f>
        <v>7.33</v>
      </c>
      <c r="IK13" s="175">
        <f>IF('All Fleet'!IH75="","",(5*24*11.8%)-'All Fleet'!IH22)</f>
        <v>-76.14</v>
      </c>
      <c r="IL13" s="175">
        <f>IF('All Fleet'!II75="","",(5*24*11.8%)-'All Fleet'!II22)</f>
        <v>14.16</v>
      </c>
      <c r="IM13" s="175">
        <f>IF('All Fleet'!IJ75="","",(5*24*11.8%)-'All Fleet'!IJ22)</f>
        <v>-57.129999999999995</v>
      </c>
      <c r="IN13" s="175">
        <f>IF('All Fleet'!IK75="","",(5*24*11.8%)-'All Fleet'!IK22)</f>
        <v>-8.7499999999998579E-2</v>
      </c>
      <c r="IO13" s="175">
        <f>IF('All Fleet'!IL75="","",(5*24*11.8%)-'All Fleet'!IL22)</f>
        <v>5.0422222222222217</v>
      </c>
      <c r="IP13" s="175">
        <f>IF('All Fleet'!IM75="","",(5*24*11.8%)-'All Fleet'!IM22)</f>
        <v>3.0388888888888896</v>
      </c>
      <c r="IQ13" s="175">
        <f>IF('All Fleet'!IN75="","",(5*24*11.8%)-'All Fleet'!IN22)</f>
        <v>-16.037500000000005</v>
      </c>
      <c r="IR13" s="175">
        <f>IF('All Fleet'!IO75="","",(5*24*11.8%)-'All Fleet'!IO22)</f>
        <v>-2.2533333333333339</v>
      </c>
      <c r="IS13" s="175">
        <f>IF('All Fleet'!IP75="","",(5*24*11.8%)-'All Fleet'!IP22)</f>
        <v>3.4641666666666655</v>
      </c>
      <c r="IT13" s="175">
        <f>IF('All Fleet'!IQ75="","",(5*24*11.8%)-'All Fleet'!IQ22)</f>
        <v>3.3691666666666684</v>
      </c>
      <c r="IU13" s="175">
        <f>IF('All Fleet'!IR75="","",(5*24*11.8%)-'All Fleet'!IR22)</f>
        <v>1.6661111111111122</v>
      </c>
      <c r="IV13" s="175">
        <f>IF('All Fleet'!IS75="","",(5*24*11.8%)-'All Fleet'!IS22)</f>
        <v>8.5038888888888877</v>
      </c>
      <c r="IW13" s="175">
        <f>IF('All Fleet'!IT75="","",(5*24*11.8%)-'All Fleet'!IT22)</f>
        <v>-5.7324999999999982</v>
      </c>
      <c r="IX13" s="175">
        <f>IF('All Fleet'!IU75="","",(5*24*11.8%)-'All Fleet'!IU22)</f>
        <v>-27.864444444444448</v>
      </c>
      <c r="IY13" s="175">
        <f>IF('All Fleet'!IV75="","",(5*24*11.8%)-'All Fleet'!IV22)</f>
        <v>-19.263055555555557</v>
      </c>
      <c r="IZ13" s="175">
        <f>IF('All Fleet'!IW75="","",(5*24*11.8%)-'All Fleet'!IW22)</f>
        <v>-20.03083333333333</v>
      </c>
      <c r="JA13" s="175">
        <f>IF('All Fleet'!IX75="","",(5*24*11.8%)-'All Fleet'!IX22)</f>
        <v>-40.23833333333333</v>
      </c>
      <c r="JB13" s="175">
        <f>IF('All Fleet'!IY75="","",(5*24*11.8%)-'All Fleet'!IY22)</f>
        <v>-28.692499999999999</v>
      </c>
      <c r="JC13" s="175">
        <f>IF('All Fleet'!IZ75="","",(5*24*11.8%)-'All Fleet'!IZ22)</f>
        <v>-3.5524999999999984</v>
      </c>
      <c r="JD13" s="175">
        <f>IF('All Fleet'!JA75="","",(5*24*11.8%)-'All Fleet'!JA22)</f>
        <v>-4.892777777777777</v>
      </c>
      <c r="JE13" s="175">
        <f>IF('All Fleet'!JB75="","",(5*24*11.8%)-'All Fleet'!JB22)</f>
        <v>12.950555555555557</v>
      </c>
      <c r="JF13" s="175">
        <f>IF('All Fleet'!JC75="","",(5*24*11.8%)-'All Fleet'!JC22)</f>
        <v>13.186111111111112</v>
      </c>
      <c r="JG13" s="175">
        <f>IF('All Fleet'!JD75="","",(5*24*11.8%)-'All Fleet'!JD22)</f>
        <v>4.3891666666666662</v>
      </c>
      <c r="JH13" s="175">
        <f>IF('All Fleet'!JE75="","",(5*24*11.8%)-'All Fleet'!JE22)</f>
        <v>11.680277777777778</v>
      </c>
      <c r="JI13" s="175">
        <f>IF('All Fleet'!JF75="","",(5*24*11.8%)-'All Fleet'!JF22)</f>
        <v>14.16</v>
      </c>
      <c r="JJ13" s="175">
        <f>IF('All Fleet'!JG75="","",(5*24*11.8%)-'All Fleet'!JG22)</f>
        <v>14.16</v>
      </c>
      <c r="JK13" s="175">
        <f>IF('All Fleet'!JH75="","",(5*24*11.8%)-'All Fleet'!JH22)</f>
        <v>4.2422222222222228</v>
      </c>
      <c r="JL13" s="175">
        <f>IF('All Fleet'!JI75="","",(5*24*11.8%)-'All Fleet'!JI22)</f>
        <v>-12.772499999999997</v>
      </c>
      <c r="JM13" s="175">
        <f>IF('All Fleet'!JJ75="","",(5*24*11.8%)-'All Fleet'!JJ22)</f>
        <v>-15.072777777777777</v>
      </c>
      <c r="JN13" s="175">
        <f>IF('All Fleet'!JK75="","",(5*24*11.8%)-'All Fleet'!JK22)</f>
        <v>4.818888888888889</v>
      </c>
      <c r="JO13" s="175">
        <f>IF('All Fleet'!JL75="","",(5*24*11.8%)-'All Fleet'!JL22)</f>
        <v>7.830277777777777</v>
      </c>
      <c r="JP13" s="175">
        <f>IF('All Fleet'!JM75="","",(5*24*11.8%)-'All Fleet'!JM22)</f>
        <v>6.74</v>
      </c>
      <c r="JQ13" s="175">
        <f>IF('All Fleet'!JN75="","",(5*24*11.8%)-'All Fleet'!JN22)</f>
        <v>-4.5549999999999997</v>
      </c>
      <c r="JR13" s="175">
        <f>IF('All Fleet'!JO75="","",(5*24*11.8%)-'All Fleet'!JO22)</f>
        <v>9.16</v>
      </c>
      <c r="JS13" s="175">
        <f>IF('All Fleet'!JP75="","",(5*24*11.8%)-'All Fleet'!JP22)</f>
        <v>-0.29250000000000043</v>
      </c>
      <c r="JT13" s="175">
        <f>IF('All Fleet'!JQ75="","",(5*24*11.8%)-'All Fleet'!JQ22)</f>
        <v>0.98000000000000043</v>
      </c>
      <c r="JU13" s="175">
        <f>IF('All Fleet'!JR75="","",(5*24*11.8%)-'All Fleet'!JR22)</f>
        <v>-49.580833333333331</v>
      </c>
      <c r="JV13" s="175">
        <f>IF('All Fleet'!JS75="","",(5*24*11.8%)-'All Fleet'!JS22)</f>
        <v>5.8047222222222228</v>
      </c>
      <c r="JW13" s="175">
        <f>IF('All Fleet'!JT75="","",(5*24*11.8%)-'All Fleet'!JT22)</f>
        <v>11.88</v>
      </c>
      <c r="JX13" s="175">
        <f>IF('All Fleet'!JU75="","",(5*24*11.8%)-'All Fleet'!JU22)</f>
        <v>9.6999999999999993</v>
      </c>
      <c r="JY13" s="175">
        <f>IF('All Fleet'!JV75="","",(5*24*11.8%)-'All Fleet'!JV22)</f>
        <v>11.86</v>
      </c>
      <c r="JZ13" s="175">
        <f>IF('All Fleet'!JW75="","",(5*24*11.8%)-'All Fleet'!JW22)</f>
        <v>14.16</v>
      </c>
      <c r="KA13" s="175">
        <f>IF('All Fleet'!JX75="","",(5*24*11.8%)-'All Fleet'!JX22)</f>
        <v>10.16</v>
      </c>
      <c r="KB13" s="175">
        <f>IF('All Fleet'!JY75="","",(5*24*11.8%)-'All Fleet'!JY22)</f>
        <v>-9.84</v>
      </c>
      <c r="KC13" s="175">
        <f>IF('All Fleet'!JZ75="","",(5*24*11.8%)-'All Fleet'!JZ22)</f>
        <v>-9.84</v>
      </c>
      <c r="KD13" s="175">
        <f>IF('All Fleet'!KA75="","",(5*24*11.8%)-'All Fleet'!KA22)</f>
        <v>14.16</v>
      </c>
      <c r="KE13" s="175">
        <f>IF('All Fleet'!KB75="","",(5*24*11.8%)-'All Fleet'!KB22)</f>
        <v>14.16</v>
      </c>
      <c r="KF13" s="175">
        <f>IF('All Fleet'!KC75="","",(5*24*11.8%)-'All Fleet'!KC22)</f>
        <v>-9.84</v>
      </c>
      <c r="KG13" s="175">
        <f>IF('All Fleet'!KD75="","",(5*24*11.8%)-'All Fleet'!KD22)</f>
        <v>8.16</v>
      </c>
      <c r="KH13" s="175">
        <f>IF('All Fleet'!KE75="","",(5*24*11.8%)-'All Fleet'!KE22)</f>
        <v>14.16</v>
      </c>
      <c r="KI13" s="175">
        <f>IF('All Fleet'!KF75="","",(5*24*11.8%)-'All Fleet'!KF22)</f>
        <v>14.16</v>
      </c>
      <c r="KJ13" s="175">
        <f>IF('All Fleet'!KG75="","",(5*24*11.8%)-'All Fleet'!KG22)</f>
        <v>14.16</v>
      </c>
      <c r="KK13" s="175">
        <f>IF('All Fleet'!KH75="","",(5*24*11.8%)-'All Fleet'!KH22)</f>
        <v>-21.84</v>
      </c>
      <c r="KL13" s="175">
        <f>IF('All Fleet'!KI75="","",(5*24*11.8%)-'All Fleet'!KI22)</f>
        <v>14.16</v>
      </c>
      <c r="KM13" s="175">
        <f>IF('All Fleet'!KJ75="","",(5*24*11.8%)-'All Fleet'!KJ22)</f>
        <v>8.16</v>
      </c>
      <c r="KN13" s="175">
        <f>IF('All Fleet'!KK75="","",(5*24*11.8%)-'All Fleet'!KK22)</f>
        <v>14.16</v>
      </c>
      <c r="KO13" s="175">
        <f>IF('All Fleet'!KL75="","",(5*24*11.8%)-'All Fleet'!KL22)</f>
        <v>14.16</v>
      </c>
      <c r="KP13" s="175">
        <f>IF('All Fleet'!KM75="","",(5*24*11.8%)-'All Fleet'!KM22)</f>
        <v>14.16</v>
      </c>
      <c r="KQ13" s="175">
        <f>IF('All Fleet'!KN75="","",(5*24*11.8%)-'All Fleet'!KN22)</f>
        <v>14.16</v>
      </c>
      <c r="KR13" s="175">
        <f>IF('All Fleet'!KO75="","",(5*24*11.8%)-'All Fleet'!KO22)</f>
        <v>14.16</v>
      </c>
      <c r="KS13" s="175">
        <f>IF('All Fleet'!KP75="","",(5*24*11.8%)-'All Fleet'!KP22)</f>
        <v>14.16</v>
      </c>
      <c r="KT13" s="175">
        <f>IF('All Fleet'!KQ75="","",(5*24*11.8%)-'All Fleet'!KQ22)</f>
        <v>14.16</v>
      </c>
      <c r="KU13" s="175">
        <f>IF('All Fleet'!KR75="","",(5*24*11.8%)-'All Fleet'!KR22)</f>
        <v>14.16</v>
      </c>
      <c r="KV13" s="175">
        <f>IF('All Fleet'!KS75="","",(5*24*11.8%)-'All Fleet'!KS22)</f>
        <v>14.16</v>
      </c>
      <c r="KW13" s="175">
        <f>IF('All Fleet'!KT75="","",(5*24*11.8%)-'All Fleet'!KT22)</f>
        <v>14.16</v>
      </c>
      <c r="KX13" s="175" t="str">
        <f>IF('All Fleet'!KU75="","",(5*24*11.8%)-'All Fleet'!KU22)</f>
        <v/>
      </c>
      <c r="KY13" s="175" t="str">
        <f>IF('All Fleet'!KV75="","",(5*24*11.8%)-'All Fleet'!KV22)</f>
        <v/>
      </c>
      <c r="KZ13" s="175" t="str">
        <f>IF('All Fleet'!KW75="","",(5*24*11.8%)-'All Fleet'!KW22)</f>
        <v/>
      </c>
      <c r="LA13" s="175" t="str">
        <f>IF('All Fleet'!KX75="","",(5*24*11.8%)-'All Fleet'!KX22)</f>
        <v/>
      </c>
      <c r="LB13" s="175" t="str">
        <f>IF('All Fleet'!KY75="","",(5*24*11.8%)-'All Fleet'!KY22)</f>
        <v/>
      </c>
      <c r="LC13" s="175" t="str">
        <f>IF('All Fleet'!KZ75="","",(5*24*11.8%)-'All Fleet'!KZ22)</f>
        <v/>
      </c>
      <c r="LD13" s="175" t="str">
        <f>IF('All Fleet'!LA75="","",(5*24*11.8%)-'All Fleet'!LA22)</f>
        <v/>
      </c>
      <c r="LE13" s="175" t="str">
        <f>IF('All Fleet'!LB75="","",(5*24*11.8%)-'All Fleet'!LB22)</f>
        <v/>
      </c>
      <c r="LF13" s="175" t="str">
        <f>IF('All Fleet'!LC75="","",(5*24*11.8%)-'All Fleet'!LC22)</f>
        <v/>
      </c>
      <c r="LG13" s="175" t="str">
        <f>IF('All Fleet'!LD75="","",(5*24*11.8%)-'All Fleet'!LD22)</f>
        <v/>
      </c>
      <c r="LH13" s="175" t="str">
        <f>IF('All Fleet'!LE75="","",(5*24*11.8%)-'All Fleet'!LE22)</f>
        <v/>
      </c>
      <c r="LI13" s="175" t="str">
        <f>IF('All Fleet'!LF75="","",(5*24*11.8%)-'All Fleet'!LF22)</f>
        <v/>
      </c>
      <c r="LJ13" s="175" t="str">
        <f>IF('All Fleet'!LG75="","",(5*24*11.8%)-'All Fleet'!LG22)</f>
        <v/>
      </c>
      <c r="LK13" s="175" t="str">
        <f>IF('All Fleet'!LH75="","",(5*24*11.8%)-'All Fleet'!LH22)</f>
        <v/>
      </c>
      <c r="LL13" s="175" t="str">
        <f>IF('All Fleet'!LI75="","",(5*24*11.8%)-'All Fleet'!LI22)</f>
        <v/>
      </c>
      <c r="LM13" s="175" t="str">
        <f>IF('All Fleet'!LJ75="","",(5*24*11.8%)-'All Fleet'!LJ22)</f>
        <v/>
      </c>
      <c r="LN13" s="175" t="str">
        <f>IF('All Fleet'!LK75="","",(5*24*11.8%)-'All Fleet'!LK22)</f>
        <v/>
      </c>
      <c r="LO13" s="175" t="str">
        <f>IF('All Fleet'!LL75="","",(5*24*11.8%)-'All Fleet'!LL22)</f>
        <v/>
      </c>
      <c r="LP13" s="175" t="str">
        <f>IF('All Fleet'!LM75="","",(5*24*11.8%)-'All Fleet'!LM22)</f>
        <v/>
      </c>
      <c r="LQ13" s="175" t="str">
        <f>IF('All Fleet'!LN75="","",(5*24*11.8%)-'All Fleet'!LN22)</f>
        <v/>
      </c>
      <c r="LR13" s="175" t="str">
        <f>IF('All Fleet'!LO75="","",(5*24*11.8%)-'All Fleet'!LO22)</f>
        <v/>
      </c>
      <c r="LS13" s="175" t="str">
        <f>IF('All Fleet'!LP75="","",(5*24*11.8%)-'All Fleet'!LP22)</f>
        <v/>
      </c>
      <c r="LT13" s="175" t="str">
        <f>IF('All Fleet'!LQ75="","",(5*24*11.8%)-'All Fleet'!LQ22)</f>
        <v/>
      </c>
      <c r="LU13" s="175" t="str">
        <f>IF('All Fleet'!LR75="","",(5*24*11.8%)-'All Fleet'!LR22)</f>
        <v/>
      </c>
      <c r="LV13" s="175" t="str">
        <f>IF('All Fleet'!LS75="","",(5*24*11.8%)-'All Fleet'!LS22)</f>
        <v/>
      </c>
      <c r="LW13" s="175" t="str">
        <f>IF('All Fleet'!LT75="","",(5*24*11.8%)-'All Fleet'!LT22)</f>
        <v/>
      </c>
      <c r="LX13" s="175" t="str">
        <f>IF('All Fleet'!LU75="","",(5*24*11.8%)-'All Fleet'!LU22)</f>
        <v/>
      </c>
      <c r="LY13" s="175" t="str">
        <f>IF('All Fleet'!LV75="","",(5*24*11.8%)-'All Fleet'!LV22)</f>
        <v/>
      </c>
      <c r="LZ13" s="175" t="str">
        <f>IF('All Fleet'!LW75="","",(5*24*11.8%)-'All Fleet'!LW22)</f>
        <v/>
      </c>
      <c r="MA13" s="175" t="str">
        <f>IF('All Fleet'!LX75="","",(5*24*11.8%)-'All Fleet'!LX22)</f>
        <v/>
      </c>
      <c r="MB13" s="175" t="str">
        <f>IF('All Fleet'!LY75="","",(5*24*11.8%)-'All Fleet'!LY22)</f>
        <v/>
      </c>
      <c r="MC13" s="175" t="str">
        <f>IF('All Fleet'!LZ75="","",(5*24*11.8%)-'All Fleet'!LZ22)</f>
        <v/>
      </c>
      <c r="MD13" s="175" t="str">
        <f>IF('All Fleet'!MA75="","",(5*24*11.8%)-'All Fleet'!MA22)</f>
        <v/>
      </c>
      <c r="ME13" s="175" t="str">
        <f>IF('All Fleet'!MB75="","",(5*24*11.8%)-'All Fleet'!MB22)</f>
        <v/>
      </c>
      <c r="MF13" s="175" t="str">
        <f>IF('All Fleet'!MC75="","",(5*24*11.8%)-'All Fleet'!MC22)</f>
        <v/>
      </c>
      <c r="MG13" s="175" t="str">
        <f>IF('All Fleet'!MD75="","",(5*24*11.8%)-'All Fleet'!MD22)</f>
        <v/>
      </c>
      <c r="MH13" s="175" t="str">
        <f>IF('All Fleet'!ME75="","",(5*24*11.8%)-'All Fleet'!ME22)</f>
        <v/>
      </c>
      <c r="MI13" s="175" t="str">
        <f>IF('All Fleet'!MF75="","",(5*24*11.8%)-'All Fleet'!MF22)</f>
        <v/>
      </c>
      <c r="MJ13" s="175" t="str">
        <f>IF('All Fleet'!MG75="","",(5*24*11.8%)-'All Fleet'!MG22)</f>
        <v/>
      </c>
      <c r="MK13" s="175" t="str">
        <f>IF('All Fleet'!MH75="","",(5*24*11.8%)-'All Fleet'!MH22)</f>
        <v/>
      </c>
      <c r="ML13" s="175" t="str">
        <f>IF('All Fleet'!MI75="","",(5*24*11.8%)-'All Fleet'!MI22)</f>
        <v/>
      </c>
      <c r="MM13" s="175" t="str">
        <f>IF('All Fleet'!MJ75="","",(5*24*11.8%)-'All Fleet'!MJ22)</f>
        <v/>
      </c>
      <c r="MN13" s="175" t="str">
        <f>IF('All Fleet'!MK75="","",(5*24*11.8%)-'All Fleet'!MK22)</f>
        <v/>
      </c>
      <c r="MO13" s="175" t="str">
        <f>IF('All Fleet'!ML75="","",(5*24*11.8%)-'All Fleet'!ML22)</f>
        <v/>
      </c>
      <c r="MP13" s="175" t="str">
        <f>IF('All Fleet'!MM75="","",(5*24*11.8%)-'All Fleet'!MM22)</f>
        <v/>
      </c>
      <c r="MQ13" s="175" t="str">
        <f>IF('All Fleet'!MN75="","",(5*24*11.8%)-'All Fleet'!MN22)</f>
        <v/>
      </c>
      <c r="MR13" s="175" t="str">
        <f>IF('All Fleet'!MO75="","",(5*24*11.8%)-'All Fleet'!MO22)</f>
        <v/>
      </c>
      <c r="MS13" s="175" t="str">
        <f>IF('All Fleet'!MP75="","",(5*24*11.8%)-'All Fleet'!MP22)</f>
        <v/>
      </c>
      <c r="MT13" s="175" t="str">
        <f>IF('All Fleet'!MQ75="","",(5*24*11.8%)-'All Fleet'!MQ22)</f>
        <v/>
      </c>
      <c r="MU13" s="175" t="str">
        <f>IF('All Fleet'!MR75="","",(5*24*11.8%)-'All Fleet'!MR22)</f>
        <v/>
      </c>
      <c r="MV13" s="175" t="str">
        <f>IF('All Fleet'!MS75="","",(5*24*11.8%)-'All Fleet'!MS22)</f>
        <v/>
      </c>
      <c r="MW13" s="175" t="str">
        <f>IF('All Fleet'!MT75="","",(5*24*11.8%)-'All Fleet'!MT22)</f>
        <v/>
      </c>
      <c r="MX13" s="175" t="str">
        <f>IF('All Fleet'!MU75="","",(5*24*11.8%)-'All Fleet'!MU22)</f>
        <v/>
      </c>
      <c r="MY13" s="175" t="str">
        <f>IF('All Fleet'!MV75="","",(5*24*11.8%)-'All Fleet'!MV22)</f>
        <v/>
      </c>
      <c r="MZ13" s="175" t="str">
        <f>IF('All Fleet'!MW75="","",(5*24*11.8%)-'All Fleet'!MW22)</f>
        <v/>
      </c>
      <c r="NA13" s="175" t="str">
        <f>IF('All Fleet'!MX75="","",(5*24*11.8%)-'All Fleet'!MX22)</f>
        <v/>
      </c>
      <c r="NB13" s="175" t="str">
        <f>IF('All Fleet'!MY75="","",(5*24*11.8%)-'All Fleet'!MY22)</f>
        <v/>
      </c>
      <c r="NC13" s="175" t="str">
        <f>IF('All Fleet'!MZ75="","",(5*24*11.8%)-'All Fleet'!MZ22)</f>
        <v/>
      </c>
      <c r="ND13" s="175" t="str">
        <f>IF('All Fleet'!NA75="","",(5*24*11.8%)-'All Fleet'!NA22)</f>
        <v/>
      </c>
      <c r="NE13" s="175" t="str">
        <f>IF('All Fleet'!NB75="","",(5*24*11.8%)-'All Fleet'!NB22)</f>
        <v/>
      </c>
      <c r="NF13" s="175" t="str">
        <f>IF('All Fleet'!NC75="","",(5*24*11.8%)-'All Fleet'!NC22)</f>
        <v/>
      </c>
      <c r="NG13" s="175" t="str">
        <f>IF('All Fleet'!ND75="","",(5*24*11.8%)-'All Fleet'!ND22)</f>
        <v/>
      </c>
      <c r="NH13" s="175" t="str">
        <f>IF('All Fleet'!NE75="","",(5*24*11.8%)-'All Fleet'!NE22)</f>
        <v/>
      </c>
      <c r="NI13" s="175" t="str">
        <f>IF('All Fleet'!NF75="","",(5*24*11.8%)-'All Fleet'!NF22)</f>
        <v/>
      </c>
      <c r="NJ13" s="175" t="str">
        <f>IF('All Fleet'!NG75="","",(5*24*11.8%)-'All Fleet'!NG22)</f>
        <v/>
      </c>
      <c r="NK13" s="175" t="str">
        <f>IF('All Fleet'!NH75="","",(5*24*11.8%)-'All Fleet'!NH22)</f>
        <v/>
      </c>
      <c r="NL13" s="175" t="str">
        <f>IF('All Fleet'!NI75="","",(5*24*11.8%)-'All Fleet'!NI22)</f>
        <v/>
      </c>
      <c r="NM13" s="175" t="str">
        <f>IF('All Fleet'!NJ75="","",(5*24*11.8%)-'All Fleet'!NJ22)</f>
        <v/>
      </c>
      <c r="NN13" s="175" t="str">
        <f>IF('All Fleet'!NK75="","",(5*24*11.8%)-'All Fleet'!NK22)</f>
        <v/>
      </c>
      <c r="NO13" s="175" t="str">
        <f>IF('All Fleet'!NL75="","",(5*24*11.8%)-'All Fleet'!NL22)</f>
        <v/>
      </c>
      <c r="NP13" s="175" t="str">
        <f>IF('All Fleet'!NM75="","",(5*24*11.8%)-'All Fleet'!NM22)</f>
        <v/>
      </c>
      <c r="NQ13" s="175" t="str">
        <f>IF('All Fleet'!NN75="","",(5*24*11.8%)-'All Fleet'!NN22)</f>
        <v/>
      </c>
      <c r="NR13" s="175" t="str">
        <f>IF('All Fleet'!NO75="","",(5*24*11.8%)-'All Fleet'!NO22)</f>
        <v/>
      </c>
      <c r="NS13" s="175" t="str">
        <f>IF('All Fleet'!NP75="","",(5*24*11.8%)-'All Fleet'!NP22)</f>
        <v/>
      </c>
      <c r="NT13" s="175" t="str">
        <f>IF('All Fleet'!NQ75="","",(5*24*11.8%)-'All Fleet'!NQ22)</f>
        <v/>
      </c>
      <c r="NU13" s="175" t="str">
        <f>IF('All Fleet'!NR75="","",(5*24*11.8%)-'All Fleet'!NR22)</f>
        <v/>
      </c>
      <c r="NV13" s="175" t="str">
        <f>IF('All Fleet'!NS75="","",(5*24*11.8%)-'All Fleet'!NS22)</f>
        <v/>
      </c>
      <c r="NW13" s="175" t="str">
        <f>IF('All Fleet'!NT75="","",(5*24*11.8%)-'All Fleet'!NT22)</f>
        <v/>
      </c>
      <c r="NX13" s="175" t="str">
        <f>IF('All Fleet'!NU75="","",(5*24*11.8%)-'All Fleet'!NU22)</f>
        <v/>
      </c>
      <c r="NY13" s="175" t="str">
        <f>IF('All Fleet'!NV75="","",(5*24*11.8%)-'All Fleet'!NV22)</f>
        <v/>
      </c>
      <c r="NZ13" s="175" t="str">
        <f>IF('All Fleet'!NW75="","",(5*24*11.8%)-'All Fleet'!NW22)</f>
        <v/>
      </c>
      <c r="OA13" s="175" t="str">
        <f>IF('All Fleet'!NX75="","",(5*24*11.8%)-'All Fleet'!NX22)</f>
        <v/>
      </c>
      <c r="OB13" s="175" t="str">
        <f>IF('All Fleet'!NY75="","",(5*24*11.8%)-'All Fleet'!NY22)</f>
        <v/>
      </c>
      <c r="OC13" s="175" t="str">
        <f>IF('All Fleet'!NZ75="","",(5*24*11.8%)-'All Fleet'!NZ22)</f>
        <v/>
      </c>
      <c r="OD13" s="175" t="str">
        <f>IF('All Fleet'!OA75="","",(5*24*11.8%)-'All Fleet'!OA22)</f>
        <v/>
      </c>
      <c r="OE13" s="175" t="str">
        <f>IF('All Fleet'!OB75="","",(5*24*11.8%)-'All Fleet'!OB22)</f>
        <v/>
      </c>
      <c r="OF13" s="175" t="str">
        <f>IF('All Fleet'!OC75="","",(5*24*11.8%)-'All Fleet'!OC22)</f>
        <v/>
      </c>
      <c r="OG13" s="175" t="str">
        <f>IF('All Fleet'!OD75="","",(5*24*11.8%)-'All Fleet'!OD22)</f>
        <v/>
      </c>
      <c r="OH13" s="175" t="str">
        <f>IF('All Fleet'!OE75="","",(5*24*11.8%)-'All Fleet'!OE22)</f>
        <v/>
      </c>
      <c r="OI13" s="175" t="str">
        <f>IF('All Fleet'!OF75="","",(5*24*11.8%)-'All Fleet'!OF22)</f>
        <v/>
      </c>
      <c r="OJ13" s="175" t="str">
        <f>IF('All Fleet'!OG75="","",(5*24*11.8%)-'All Fleet'!OG22)</f>
        <v/>
      </c>
      <c r="OK13" s="175" t="str">
        <f>IF('All Fleet'!OH75="","",(5*24*11.8%)-'All Fleet'!OH22)</f>
        <v/>
      </c>
      <c r="OL13" s="175" t="str">
        <f>IF('All Fleet'!OI75="","",(5*24*11.8%)-'All Fleet'!OI22)</f>
        <v/>
      </c>
      <c r="OM13" s="175" t="str">
        <f>IF('All Fleet'!OJ75="","",(5*24*11.8%)-'All Fleet'!OJ22)</f>
        <v/>
      </c>
      <c r="ON13" s="175" t="str">
        <f>IF('All Fleet'!OK75="","",(5*24*11.8%)-'All Fleet'!OK22)</f>
        <v/>
      </c>
      <c r="OO13" s="175" t="str">
        <f>IF('All Fleet'!OL75="","",(5*24*11.8%)-'All Fleet'!OL22)</f>
        <v/>
      </c>
      <c r="OP13" s="175" t="str">
        <f>IF('All Fleet'!OM75="","",(5*24*11.8%)-'All Fleet'!OM22)</f>
        <v/>
      </c>
      <c r="OQ13" s="175" t="str">
        <f>IF('All Fleet'!ON75="","",(5*24*11.8%)-'All Fleet'!ON22)</f>
        <v/>
      </c>
      <c r="OR13" s="175" t="str">
        <f>IF('All Fleet'!OO75="","",(5*24*11.8%)-'All Fleet'!OO22)</f>
        <v/>
      </c>
      <c r="OS13" s="175" t="str">
        <f>IF('All Fleet'!OP75="","",(5*24*11.8%)-'All Fleet'!OP22)</f>
        <v/>
      </c>
      <c r="OT13" s="175" t="str">
        <f>IF('All Fleet'!OQ75="","",(5*24*11.8%)-'All Fleet'!OQ22)</f>
        <v/>
      </c>
      <c r="OU13" s="175" t="str">
        <f>IF('All Fleet'!OR75="","",(5*24*11.8%)-'All Fleet'!OR22)</f>
        <v/>
      </c>
      <c r="OV13" s="175" t="str">
        <f>IF('All Fleet'!OS75="","",(5*24*11.8%)-'All Fleet'!OS22)</f>
        <v/>
      </c>
      <c r="OW13" s="175" t="str">
        <f>IF('All Fleet'!OT75="","",(5*24*11.8%)-'All Fleet'!OT22)</f>
        <v/>
      </c>
      <c r="OX13" s="175" t="str">
        <f>IF('All Fleet'!OU75="","",(5*24*11.8%)-'All Fleet'!OU22)</f>
        <v/>
      </c>
      <c r="OY13" s="175" t="str">
        <f>IF('All Fleet'!OV75="","",(5*24*11.8%)-'All Fleet'!OV22)</f>
        <v/>
      </c>
      <c r="OZ13" s="176" t="str">
        <f>IF('All Fleet'!OW75="","",(5*24*11.8%)-'All Fleet'!OW22)</f>
        <v/>
      </c>
    </row>
    <row r="14" spans="1:416" s="168" customFormat="1" ht="15" customHeight="1" x14ac:dyDescent="0.2">
      <c r="A14" s="138" t="b">
        <f t="shared" si="376"/>
        <v>1</v>
      </c>
      <c r="B14" s="139">
        <v>11</v>
      </c>
      <c r="C14" s="151" t="str">
        <f>C13</f>
        <v>Mechanical Availability</v>
      </c>
      <c r="D14" s="152" t="s">
        <v>90</v>
      </c>
      <c r="E14" s="190" t="s">
        <v>82</v>
      </c>
      <c r="F14" s="155">
        <f>IF('All Fleet'!C58="","",'All Fleet'!C58)</f>
        <v>1</v>
      </c>
      <c r="G14" s="155">
        <f>IF('All Fleet'!D58="","",'All Fleet'!D58)</f>
        <v>-0.12750000000000017</v>
      </c>
      <c r="H14" s="155">
        <f>IF('All Fleet'!E58="","",'All Fleet'!E58)</f>
        <v>0.24833333333333329</v>
      </c>
      <c r="I14" s="155">
        <f>IF('All Fleet'!F58="","",'All Fleet'!F58)</f>
        <v>0.43624999999999992</v>
      </c>
      <c r="J14" s="155">
        <f>IF('All Fleet'!G58="","",'All Fleet'!G58)</f>
        <v>0.29299999999999993</v>
      </c>
      <c r="K14" s="155">
        <f>IF('All Fleet'!H58="","",'All Fleet'!H58)</f>
        <v>0.3611805555555555</v>
      </c>
      <c r="L14" s="155">
        <f>IF('All Fleet'!I58="","",'All Fleet'!I58)</f>
        <v>0.45244047619047612</v>
      </c>
      <c r="M14" s="155">
        <f>IF('All Fleet'!J58="","",'All Fleet'!J58)</f>
        <v>0.45989583333333328</v>
      </c>
      <c r="N14" s="155">
        <f>IF('All Fleet'!K58="","",'All Fleet'!K58)</f>
        <v>0.51990740740740737</v>
      </c>
      <c r="O14" s="155">
        <f>IF('All Fleet'!L58="","",'All Fleet'!L58)</f>
        <v>0.55449999999999999</v>
      </c>
      <c r="P14" s="155">
        <f>IF('All Fleet'!M58="","",'All Fleet'!M58)</f>
        <v>0.59499999999999997</v>
      </c>
      <c r="Q14" s="155">
        <f>IF('All Fleet'!N58="","",'All Fleet'!N58)</f>
        <v>0.62451388888888881</v>
      </c>
      <c r="R14" s="155">
        <f>IF('All Fleet'!O58="","",'All Fleet'!O58)</f>
        <v>0.65339743589743593</v>
      </c>
      <c r="S14" s="155">
        <f>IF('All Fleet'!P58="","",'All Fleet'!P58)</f>
        <v>0.66869047619047617</v>
      </c>
      <c r="T14" s="155">
        <f>IF('All Fleet'!Q58="","",'All Fleet'!Q58)</f>
        <v>0.69077777777777771</v>
      </c>
      <c r="U14" s="155">
        <f>IF('All Fleet'!R58="","",'All Fleet'!R58)</f>
        <v>0.71010416666666665</v>
      </c>
      <c r="V14" s="155">
        <f>IF('All Fleet'!S58="","",'All Fleet'!S58)</f>
        <v>0.72715686274509794</v>
      </c>
      <c r="W14" s="155">
        <f>IF('All Fleet'!T58="","",'All Fleet'!T58)</f>
        <v>0.74231481481481487</v>
      </c>
      <c r="X14" s="155">
        <f>IF('All Fleet'!U58="","",'All Fleet'!U58)</f>
        <v>0.75587719298245615</v>
      </c>
      <c r="Y14" s="155">
        <f>IF('All Fleet'!V58="","",'All Fleet'!V58)</f>
        <v>0.76808333333333334</v>
      </c>
      <c r="Z14" s="155">
        <f>IF('All Fleet'!W58="","",'All Fleet'!W58)</f>
        <v>0.77912698412698411</v>
      </c>
      <c r="AA14" s="155">
        <f>IF('All Fleet'!X58="","",'All Fleet'!X58)</f>
        <v>0.78916666666666668</v>
      </c>
      <c r="AB14" s="155">
        <f>IF('All Fleet'!Y58="","",'All Fleet'!Y58)</f>
        <v>0.79833333333333334</v>
      </c>
      <c r="AC14" s="155">
        <f>IF('All Fleet'!Z58="","",'All Fleet'!Z58)</f>
        <v>0.80086805555555551</v>
      </c>
      <c r="AD14" s="155">
        <f>IF('All Fleet'!AA58="","",'All Fleet'!AA58)</f>
        <v>0.80883333333333329</v>
      </c>
      <c r="AE14" s="155">
        <f>IF('All Fleet'!AB58="","",'All Fleet'!AB58)</f>
        <v>0.81618589743589742</v>
      </c>
      <c r="AF14" s="155">
        <f>IF('All Fleet'!AC58="","",'All Fleet'!AC58)</f>
        <v>0.77527777777777773</v>
      </c>
      <c r="AG14" s="155">
        <f>IF('All Fleet'!AD58="","",'All Fleet'!AD58)</f>
        <v>0.78330357142857143</v>
      </c>
      <c r="AH14" s="155">
        <f>IF('All Fleet'!AE58="","",'All Fleet'!AE58)</f>
        <v>0.79077586206896555</v>
      </c>
      <c r="AI14" s="155">
        <f>IF('All Fleet'!AF58="","",'All Fleet'!AF58)</f>
        <v>0.79774999999999996</v>
      </c>
      <c r="AJ14" s="155">
        <f>IF('All Fleet'!AG58="","",'All Fleet'!AG58)</f>
        <v>0.80427419354838703</v>
      </c>
      <c r="AK14" s="155">
        <f>IF('All Fleet'!AH58="","",'All Fleet'!AH58)</f>
        <v>0.81039062500000003</v>
      </c>
      <c r="AL14" s="155">
        <f>IF('All Fleet'!AI58="","",'All Fleet'!AI58)</f>
        <v>0.81613636363636366</v>
      </c>
      <c r="AM14" s="155">
        <f>IF('All Fleet'!AJ58="","",'All Fleet'!AJ58)</f>
        <v>0.82154411764705881</v>
      </c>
      <c r="AN14" s="155">
        <f>IF('All Fleet'!AK58="","",'All Fleet'!AK58)</f>
        <v>0.82664285714285712</v>
      </c>
      <c r="AO14" s="155">
        <f>IF('All Fleet'!AL58="","",'All Fleet'!AL58)</f>
        <v>0.82932870370370371</v>
      </c>
      <c r="AP14" s="155">
        <f>IF('All Fleet'!AM58="","",'All Fleet'!AM58)</f>
        <v>0.83394144144144144</v>
      </c>
      <c r="AQ14" s="155">
        <f>IF('All Fleet'!AN58="","",'All Fleet'!AN58)</f>
        <v>0.83831140350877198</v>
      </c>
      <c r="AR14" s="155">
        <f>IF('All Fleet'!AO58="","",'All Fleet'!AO58)</f>
        <v>0.84245726495726492</v>
      </c>
      <c r="AS14" s="155">
        <f>IF('All Fleet'!AP58="","",'All Fleet'!AP58)</f>
        <v>0.84639583333333335</v>
      </c>
      <c r="AT14" s="155">
        <f>IF('All Fleet'!AQ58="","",'All Fleet'!AQ58)</f>
        <v>0.85014227642276419</v>
      </c>
      <c r="AU14" s="155">
        <f>IF('All Fleet'!AR58="","",'All Fleet'!AR58)</f>
        <v>0.85371031746031745</v>
      </c>
      <c r="AV14" s="155">
        <f>IF('All Fleet'!AS58="","",'All Fleet'!AS58)</f>
        <v>0.85711240310077519</v>
      </c>
      <c r="AW14" s="155">
        <f>IF('All Fleet'!AT58="","",'All Fleet'!AT58)</f>
        <v>0.86035984848484848</v>
      </c>
      <c r="AX14" s="155">
        <f>IF('All Fleet'!AU58="","",'All Fleet'!AU58)</f>
        <v>0.86346296296296299</v>
      </c>
      <c r="AY14" s="155">
        <f>IF('All Fleet'!AV58="","",'All Fleet'!AV58)</f>
        <v>0.86643115942028981</v>
      </c>
      <c r="AZ14" s="155">
        <f>IF('All Fleet'!AW58="","",'All Fleet'!AW58)</f>
        <v>0.86927304964539009</v>
      </c>
      <c r="BA14" s="155">
        <f>IF('All Fleet'!AX58="","",'All Fleet'!AX58)</f>
        <v>0.87199652777777781</v>
      </c>
      <c r="BB14" s="155">
        <f>IF('All Fleet'!AY58="","",'All Fleet'!AY58)</f>
        <v>0.87460884353741497</v>
      </c>
      <c r="BC14" s="155">
        <f>IF('All Fleet'!AZ58="","",'All Fleet'!AZ58)</f>
        <v>0.87711666666666666</v>
      </c>
      <c r="BD14" s="155">
        <f>IF('All Fleet'!BA58="","",'All Fleet'!BA58)</f>
        <v>0.87919934640522879</v>
      </c>
      <c r="BE14" s="155">
        <f>IF('All Fleet'!BB58="","",'All Fleet'!BB58)</f>
        <v>0.88152243589743584</v>
      </c>
      <c r="BF14" s="155">
        <f>IF('All Fleet'!BC58="","",'All Fleet'!BC58)</f>
        <v>0.88375786163522008</v>
      </c>
      <c r="BG14" s="155">
        <f>IF('All Fleet'!BD58="","",'All Fleet'!BD58)</f>
        <v>0.8684722222222222</v>
      </c>
      <c r="BH14" s="155">
        <f>IF('All Fleet'!BE58="","",'All Fleet'!BE58)</f>
        <v>0.8708636363636364</v>
      </c>
      <c r="BI14" s="155">
        <f>IF('All Fleet'!BF58="","",'All Fleet'!BF58)</f>
        <v>0.87316964285714282</v>
      </c>
      <c r="BJ14" s="155">
        <f>IF('All Fleet'!BG58="","",'All Fleet'!BG58)</f>
        <v>0.87539473684210523</v>
      </c>
      <c r="BK14" s="155">
        <f>IF('All Fleet'!BH58="","",'All Fleet'!BH58)</f>
        <v>0.87754310344827591</v>
      </c>
      <c r="BL14" s="155">
        <f>IF('All Fleet'!BI58="","",'All Fleet'!BI58)</f>
        <v>0.87596751412429374</v>
      </c>
      <c r="BM14" s="155">
        <f>IF('All Fleet'!BJ58="","",'All Fleet'!BJ58)</f>
        <v>0.87138194444444439</v>
      </c>
      <c r="BN14" s="155">
        <f>IF('All Fleet'!BK58="","",'All Fleet'!BK58)</f>
        <v>0.86825136612021858</v>
      </c>
      <c r="BO14" s="155">
        <f>IF('All Fleet'!BL58="","",'All Fleet'!BL58)</f>
        <v>0.86071908602150538</v>
      </c>
      <c r="BP14" s="155">
        <f>IF('All Fleet'!BM58="","",'All Fleet'!BM58)</f>
        <v>0.85780423280423279</v>
      </c>
      <c r="BQ14" s="155">
        <f>IF('All Fleet'!BN58="","",'All Fleet'!BN58)</f>
        <v>0.85526041666666663</v>
      </c>
      <c r="BR14" s="155">
        <f>IF('All Fleet'!BO58="","",'All Fleet'!BO58)</f>
        <v>0.83822435897435899</v>
      </c>
      <c r="BS14" s="155">
        <f>IF('All Fleet'!BP58="","",'All Fleet'!BP58)</f>
        <v>0.84067550505050503</v>
      </c>
      <c r="BT14" s="155">
        <f>IF('All Fleet'!BQ58="","",'All Fleet'!BQ58)</f>
        <v>0.8425124378109452</v>
      </c>
      <c r="BU14" s="155">
        <f>IF('All Fleet'!BR58="","",'All Fleet'!BR58)</f>
        <v>0.84269607843137251</v>
      </c>
      <c r="BV14" s="155">
        <f>IF('All Fleet'!BS58="","",'All Fleet'!BS58)</f>
        <v>0.84181763285024158</v>
      </c>
      <c r="BW14" s="155">
        <f>IF('All Fleet'!BT58="","",'All Fleet'!BT58)</f>
        <v>0.84407738095238094</v>
      </c>
      <c r="BX14" s="155">
        <f>IF('All Fleet'!BU58="","",'All Fleet'!BU58)</f>
        <v>0.84627347417840371</v>
      </c>
      <c r="BY14" s="155">
        <f>IF('All Fleet'!BV58="","",'All Fleet'!BV58)</f>
        <v>0.84840856481481475</v>
      </c>
      <c r="BZ14" s="155">
        <f>IF('All Fleet'!BW58="","",'All Fleet'!BW58)</f>
        <v>0.85048515981735151</v>
      </c>
      <c r="CA14" s="155">
        <f>IF('All Fleet'!BX58="","",'All Fleet'!BX58)</f>
        <v>0.83851351351351344</v>
      </c>
      <c r="CB14" s="155">
        <f>IF('All Fleet'!BY58="","",'All Fleet'!BY58)</f>
        <v>0.83168333333333333</v>
      </c>
      <c r="CC14" s="155">
        <f>IF('All Fleet'!BZ58="","",'All Fleet'!BZ58)</f>
        <v>0.83389802631578946</v>
      </c>
      <c r="CD14" s="155">
        <f>IF('All Fleet'!CA58="","",'All Fleet'!CA58)</f>
        <v>0.83605519480519475</v>
      </c>
      <c r="CE14" s="155">
        <f>IF('All Fleet'!CB58="","",'All Fleet'!CB58)</f>
        <v>0.83752136752136752</v>
      </c>
      <c r="CF14" s="155">
        <f>IF('All Fleet'!CC58="","",'All Fleet'!CC58)</f>
        <v>0.83762658227848097</v>
      </c>
      <c r="CG14" s="155">
        <f>IF('All Fleet'!CD58="","",'All Fleet'!CD58)</f>
        <v>0.83965624999999999</v>
      </c>
      <c r="CH14" s="155">
        <f>IF('All Fleet'!CE58="","",'All Fleet'!CE58)</f>
        <v>0.84163580246913572</v>
      </c>
      <c r="CI14" s="155">
        <f>IF('All Fleet'!CF58="","",'All Fleet'!CF58)</f>
        <v>0.84356707317073165</v>
      </c>
      <c r="CJ14" s="155">
        <f>IF('All Fleet'!CG58="","",'All Fleet'!CG58)</f>
        <v>0.84545180722891566</v>
      </c>
      <c r="CK14" s="155">
        <f>IF('All Fleet'!CH58="","",'All Fleet'!CH58)</f>
        <v>0.84594246031746023</v>
      </c>
      <c r="CL14" s="155">
        <f>IF('All Fleet'!CI58="","",'All Fleet'!CI58)</f>
        <v>0.84184803921568618</v>
      </c>
      <c r="CM14" s="155">
        <f>IF('All Fleet'!CJ58="","",'All Fleet'!CJ58)</f>
        <v>0.84368701550387593</v>
      </c>
      <c r="CN14" s="155">
        <f>IF('All Fleet'!CK58="","",'All Fleet'!CK58)</f>
        <v>0.84548371647509568</v>
      </c>
      <c r="CO14" s="155">
        <f>IF('All Fleet'!CL58="","",'All Fleet'!CL58)</f>
        <v>0.84655776515151504</v>
      </c>
      <c r="CP14" s="155">
        <f>IF('All Fleet'!CM58="","",'All Fleet'!CM58)</f>
        <v>0.84828183520599243</v>
      </c>
      <c r="CQ14" s="155">
        <f>IF('All Fleet'!CN58="","",'All Fleet'!CN58)</f>
        <v>0.84996759259259258</v>
      </c>
      <c r="CR14" s="155">
        <f>IF('All Fleet'!CO58="","",'All Fleet'!CO58)</f>
        <v>0.85161630036630032</v>
      </c>
      <c r="CS14" s="155">
        <f>IF('All Fleet'!CP58="","",'All Fleet'!CP58)</f>
        <v>0.85322916666666659</v>
      </c>
      <c r="CT14" s="155">
        <f>IF('All Fleet'!CQ58="","",'All Fleet'!CQ58)</f>
        <v>0.85401433691756268</v>
      </c>
      <c r="CU14" s="155">
        <f>IF('All Fleet'!CR58="","",'All Fleet'!CR58)</f>
        <v>0.85556737588652476</v>
      </c>
      <c r="CV14" s="155">
        <f>IF('All Fleet'!CS58="","",'All Fleet'!CS58)</f>
        <v>0.85655263157894734</v>
      </c>
      <c r="CW14" s="155">
        <f>IF('All Fleet'!CT58="","",'All Fleet'!CT58)</f>
        <v>0.85804687499999999</v>
      </c>
      <c r="CX14" s="155">
        <f>IF('All Fleet'!CU58="","",'All Fleet'!CU58)</f>
        <v>0.85951030927835048</v>
      </c>
      <c r="CY14" s="155">
        <f>IF('All Fleet'!CV58="","",'All Fleet'!CV58)</f>
        <v>0.86094387755102031</v>
      </c>
      <c r="CZ14" s="155">
        <f>IF('All Fleet'!CW58="","",'All Fleet'!CW58)</f>
        <v>0.86234848484848481</v>
      </c>
      <c r="DA14" s="155">
        <f>IF('All Fleet'!CX58="","",'All Fleet'!CX58)</f>
        <v>0.84848333333333326</v>
      </c>
      <c r="DB14" s="155">
        <f>IF('All Fleet'!CY58="","",'All Fleet'!CY58)</f>
        <v>0.84998349834983489</v>
      </c>
      <c r="DC14" s="155">
        <f>IF('All Fleet'!CZ58="","",'All Fleet'!CZ58)</f>
        <v>0.85084150326797381</v>
      </c>
      <c r="DD14" s="155">
        <f>IF('All Fleet'!DA58="","",'All Fleet'!DA58)</f>
        <v>0.85228964401294494</v>
      </c>
      <c r="DE14" s="155">
        <f>IF('All Fleet'!DB58="","",'All Fleet'!DB58)</f>
        <v>0.84980368589743582</v>
      </c>
      <c r="DF14" s="155">
        <f>IF('All Fleet'!DC58="","",'All Fleet'!DC58)</f>
        <v>0.85055952380952382</v>
      </c>
      <c r="DG14" s="155">
        <f>IF('All Fleet'!DD58="","",'All Fleet'!DD58)</f>
        <v>0.85196933962264154</v>
      </c>
      <c r="DH14" s="155">
        <f>IF('All Fleet'!DE58="","",'All Fleet'!DE58)</f>
        <v>0.85335280373831779</v>
      </c>
      <c r="DI14" s="155">
        <f>IF('All Fleet'!DF58="","",'All Fleet'!DF58)</f>
        <v>0.85410493827160494</v>
      </c>
      <c r="DJ14" s="155">
        <f>IF('All Fleet'!DG58="","",'All Fleet'!DG58)</f>
        <v>0.85544342507645255</v>
      </c>
      <c r="DK14" s="155">
        <f>IF('All Fleet'!DH58="","",'All Fleet'!DH58)</f>
        <v>0.85675757575757572</v>
      </c>
      <c r="DL14" s="155">
        <f>IF('All Fleet'!DI58="","",'All Fleet'!DI58)</f>
        <v>0.85804804804804802</v>
      </c>
      <c r="DM14" s="155">
        <f>IF('All Fleet'!DJ58="","",'All Fleet'!DJ58)</f>
        <v>0.85931547619047621</v>
      </c>
      <c r="DN14" s="155">
        <f>IF('All Fleet'!DK58="","",'All Fleet'!DK58)</f>
        <v>0.86056047197640118</v>
      </c>
      <c r="DO14" s="155">
        <f>IF('All Fleet'!DL58="","",'All Fleet'!DL58)</f>
        <v>0.8617836257309941</v>
      </c>
      <c r="DP14" s="155">
        <f>IF('All Fleet'!DM58="","",'All Fleet'!DM58)</f>
        <v>0.86298550724637679</v>
      </c>
      <c r="DQ14" s="155">
        <f>IF('All Fleet'!DN58="","",'All Fleet'!DN58)</f>
        <v>0.86416666666666664</v>
      </c>
      <c r="DR14" s="155">
        <f>IF('All Fleet'!DO58="","",'All Fleet'!DO58)</f>
        <v>0.86532763532763535</v>
      </c>
      <c r="DS14" s="155">
        <f>IF('All Fleet'!DP58="","",'All Fleet'!DP58)</f>
        <v>0.86610522598870054</v>
      </c>
      <c r="DT14" s="155">
        <f>IF('All Fleet'!DQ58="","",'All Fleet'!DQ58)</f>
        <v>0.86683823529411763</v>
      </c>
      <c r="DU14" s="155">
        <f>IF('All Fleet'!DR58="","",'All Fleet'!DR58)</f>
        <v>0.8679479166666666</v>
      </c>
      <c r="DV14" s="155">
        <f>IF('All Fleet'!DS58="","",'All Fleet'!DS58)</f>
        <v>0.86871212121212116</v>
      </c>
      <c r="DW14" s="155">
        <f>IF('All Fleet'!DT58="","",'All Fleet'!DT58)</f>
        <v>0.86714139344262287</v>
      </c>
      <c r="DX14" s="155">
        <f>IF('All Fleet'!DU58="","",'All Fleet'!DU58)</f>
        <v>0.8682215447154471</v>
      </c>
      <c r="DY14" s="155">
        <f>IF('All Fleet'!DV58="","",'All Fleet'!DV58)</f>
        <v>0.86928427419354837</v>
      </c>
      <c r="DZ14" s="155">
        <f>IF('All Fleet'!DW58="","",'All Fleet'!DW58)</f>
        <v>0.87033000000000005</v>
      </c>
      <c r="EA14" s="155">
        <f>IF('All Fleet'!DX58="","",'All Fleet'!DX58)</f>
        <v>0.87135912698412699</v>
      </c>
      <c r="EB14" s="155">
        <f>IF('All Fleet'!DY58="","",'All Fleet'!DY58)</f>
        <v>0.87237204724409445</v>
      </c>
      <c r="EC14" s="155">
        <f>IF('All Fleet'!DZ58="","",'All Fleet'!DZ58)</f>
        <v>0.87336914062499993</v>
      </c>
      <c r="ED14" s="155">
        <f>IF('All Fleet'!EA58="","",'All Fleet'!EA58)</f>
        <v>0.87435077519379845</v>
      </c>
      <c r="EE14" s="155">
        <f>IF('All Fleet'!EB58="","",'All Fleet'!EB58)</f>
        <v>0.8745801282051282</v>
      </c>
      <c r="EF14" s="155">
        <f>IF('All Fleet'!EC58="","",'All Fleet'!EC58)</f>
        <v>0.87553753180661575</v>
      </c>
      <c r="EG14" s="155">
        <f>IF('All Fleet'!ED58="","",'All Fleet'!ED58)</f>
        <v>0.87648042929292924</v>
      </c>
      <c r="EH14" s="155">
        <f>IF('All Fleet'!EE58="","",'All Fleet'!EE58)</f>
        <v>0.87355576441102756</v>
      </c>
      <c r="EI14" s="155">
        <f>IF('All Fleet'!EF58="","",'All Fleet'!EF58)</f>
        <v>0.87449937810945277</v>
      </c>
      <c r="EJ14" s="155">
        <f>IF('All Fleet'!EG58="","",'All Fleet'!EG58)</f>
        <v>0.87147839506172842</v>
      </c>
      <c r="EK14" s="155">
        <f>IF('All Fleet'!EH58="","",'All Fleet'!EH58)</f>
        <v>0.87242340686274511</v>
      </c>
      <c r="EL14" s="155">
        <f>IF('All Fleet'!EI58="","",'All Fleet'!EI58)</f>
        <v>0.87335462287104626</v>
      </c>
      <c r="EM14" s="155">
        <f>IF('All Fleet'!EJ58="","",'All Fleet'!EJ58)</f>
        <v>0.87427234299516909</v>
      </c>
      <c r="EN14" s="155">
        <f>IF('All Fleet'!EK58="","",'All Fleet'!EK58)</f>
        <v>0.87517685851318938</v>
      </c>
      <c r="EO14" s="155">
        <f>IF('All Fleet'!EL58="","",'All Fleet'!EL58)</f>
        <v>0.87606845238095232</v>
      </c>
      <c r="EP14" s="155">
        <f>IF('All Fleet'!EM58="","",'All Fleet'!EM58)</f>
        <v>0.87608156028368789</v>
      </c>
      <c r="EQ14" s="155">
        <f>IF('All Fleet'!EN58="","",'All Fleet'!EN58)</f>
        <v>0.87695422535211265</v>
      </c>
      <c r="ER14" s="155">
        <f>IF('All Fleet'!EO58="","",'All Fleet'!EO58)</f>
        <v>0.87781468531468532</v>
      </c>
      <c r="ES14" s="155">
        <f>IF('All Fleet'!EP58="","",'All Fleet'!EP58)</f>
        <v>0.87662905092592591</v>
      </c>
      <c r="ET14" s="155">
        <f>IF('All Fleet'!EQ58="","",'All Fleet'!EQ58)</f>
        <v>0.87747988505747121</v>
      </c>
      <c r="EU14" s="155">
        <f>IF('All Fleet'!ER58="","",'All Fleet'!ER58)</f>
        <v>0.87831906392694059</v>
      </c>
      <c r="EV14" s="155">
        <f>IF('All Fleet'!ES58="","",'All Fleet'!ES58)</f>
        <v>0.87914682539682543</v>
      </c>
      <c r="EW14" s="155">
        <f>IF('All Fleet'!ET58="","",'All Fleet'!ET58)</f>
        <v>0.87996340090090086</v>
      </c>
      <c r="EX14" s="155">
        <f>IF('All Fleet'!EU58="","",'All Fleet'!EU58)</f>
        <v>0.88076901565995525</v>
      </c>
      <c r="EY14" s="155">
        <f>IF('All Fleet'!EV58="","",'All Fleet'!EV58)</f>
        <v>0.88156388888888881</v>
      </c>
      <c r="EZ14" s="155">
        <f>IF('All Fleet'!EW58="","",'All Fleet'!EW58)</f>
        <v>0.88234823399558493</v>
      </c>
      <c r="FA14" s="155">
        <f>'All Fleet'!EX45</f>
        <v>1</v>
      </c>
      <c r="FB14" s="155">
        <f>'All Fleet'!EY45</f>
        <v>1</v>
      </c>
      <c r="FC14" s="155">
        <f>'All Fleet'!EZ45</f>
        <v>1</v>
      </c>
      <c r="FD14" s="155">
        <f>'All Fleet'!FA45</f>
        <v>1</v>
      </c>
      <c r="FE14" s="155">
        <f>'All Fleet'!FB45</f>
        <v>1</v>
      </c>
      <c r="FF14" s="155">
        <f>'All Fleet'!FC45</f>
        <v>1</v>
      </c>
      <c r="FG14" s="155">
        <f>'All Fleet'!FD45</f>
        <v>0.9754761904761905</v>
      </c>
      <c r="FH14" s="155">
        <f>'All Fleet'!FE45</f>
        <v>0.97854166666666664</v>
      </c>
      <c r="FI14" s="155">
        <f>'All Fleet'!FF45</f>
        <v>0.9786111111111111</v>
      </c>
      <c r="FJ14" s="155">
        <f>'All Fleet'!FG45</f>
        <v>0.98075000000000001</v>
      </c>
      <c r="FK14" s="155">
        <f>'All Fleet'!FH45</f>
        <v>0.98250000000000004</v>
      </c>
      <c r="FL14" s="155">
        <f>'All Fleet'!FI45</f>
        <v>0.98395833333333338</v>
      </c>
      <c r="FM14" s="155">
        <f>'All Fleet'!FJ45</f>
        <v>0.9851923076923077</v>
      </c>
      <c r="FN14" s="155">
        <f>'All Fleet'!FK45</f>
        <v>0.98624999999999996</v>
      </c>
      <c r="FO14" s="155">
        <f>'All Fleet'!FL45</f>
        <v>0.97447222222222218</v>
      </c>
      <c r="FP14" s="155">
        <f>'All Fleet'!FM45</f>
        <v>0.97606770833333334</v>
      </c>
      <c r="FQ14" s="155">
        <f>'All Fleet'!FN45</f>
        <v>0.97747549019607838</v>
      </c>
      <c r="FR14" s="155">
        <f>'All Fleet'!FO45</f>
        <v>0.97513888888888889</v>
      </c>
      <c r="FS14" s="155">
        <f>'All Fleet'!FP45</f>
        <v>0.97644736842105262</v>
      </c>
      <c r="FT14" s="155">
        <f>'All Fleet'!FQ45</f>
        <v>0.97758333333333336</v>
      </c>
      <c r="FU14" s="155">
        <f>'All Fleet'!FR45</f>
        <v>0.97865079365079366</v>
      </c>
      <c r="FV14" s="155">
        <f>'All Fleet'!FS45</f>
        <v>0.97962121212121211</v>
      </c>
      <c r="FW14" s="155">
        <f>'All Fleet'!FT45</f>
        <v>0.93847826086956521</v>
      </c>
      <c r="FX14" s="155">
        <f>'All Fleet'!FU45</f>
        <v>0.94104166666666667</v>
      </c>
      <c r="FY14" s="155">
        <f>'All Fleet'!FV45</f>
        <v>0.94340000000000002</v>
      </c>
      <c r="FZ14" s="155">
        <f>'All Fleet'!FW45</f>
        <v>0.94557692307692309</v>
      </c>
      <c r="GA14" s="155">
        <f>'All Fleet'!FX45</f>
        <v>0.9431018518518518</v>
      </c>
      <c r="GB14" s="155">
        <f>'All Fleet'!FY45</f>
        <v>0.94513392857142853</v>
      </c>
      <c r="GC14" s="155">
        <f>'All Fleet'!FZ45</f>
        <v>0.94702586206896555</v>
      </c>
      <c r="GD14" s="155">
        <f>'All Fleet'!GA45</f>
        <v>0.9487916666666667</v>
      </c>
      <c r="GE14" s="155">
        <f>'All Fleet'!GB45</f>
        <v>0.8320833333333334</v>
      </c>
      <c r="GF14" s="155">
        <f>'All Fleet'!GC45</f>
        <v>0.91604166666666664</v>
      </c>
      <c r="GG14" s="155">
        <f>'All Fleet'!GD45</f>
        <v>0.9440277777777778</v>
      </c>
      <c r="GH14" s="155">
        <f>'All Fleet'!GE45</f>
        <v>0.95802083333333332</v>
      </c>
      <c r="GI14" s="155">
        <f>'All Fleet'!GF45</f>
        <v>0.86616666666666664</v>
      </c>
      <c r="GJ14" s="155">
        <f>'All Fleet'!GG45</f>
        <v>0.87694444444444442</v>
      </c>
      <c r="GK14" s="155">
        <f>'All Fleet'!GH45</f>
        <v>0.8945238095238095</v>
      </c>
      <c r="GL14" s="155">
        <f>'All Fleet'!GI45</f>
        <v>0.90770833333333334</v>
      </c>
      <c r="GM14" s="155">
        <f>'All Fleet'!GJ45</f>
        <v>0.89768518518518525</v>
      </c>
      <c r="GN14" s="155">
        <f>'All Fleet'!GK45</f>
        <v>0.90791666666666671</v>
      </c>
      <c r="GO14" s="155">
        <f>'All Fleet'!GL45</f>
        <v>0.91628787878787876</v>
      </c>
      <c r="GP14" s="155">
        <f>'All Fleet'!GM45</f>
        <v>0.92326388888888888</v>
      </c>
      <c r="GQ14" s="155">
        <f>'All Fleet'!GN45</f>
        <v>0.9291666666666667</v>
      </c>
      <c r="GR14" s="155">
        <f>'All Fleet'!GO45</f>
        <v>0.93422619047619049</v>
      </c>
      <c r="GS14" s="155">
        <f>'All Fleet'!GP45</f>
        <v>0.93861111111111106</v>
      </c>
      <c r="GT14" s="155">
        <f>'All Fleet'!GQ45</f>
        <v>0.94244791666666672</v>
      </c>
      <c r="GU14" s="155">
        <f>'All Fleet'!GR45</f>
        <v>0.94061274509803927</v>
      </c>
      <c r="GV14" s="155">
        <f>'All Fleet'!GS45</f>
        <v>0.94391203703703708</v>
      </c>
      <c r="GW14" s="155">
        <f>'All Fleet'!GT45</f>
        <v>0.94686403508771932</v>
      </c>
      <c r="GX14" s="155">
        <f>'All Fleet'!GU45</f>
        <v>0.94952083333333337</v>
      </c>
      <c r="GY14" s="155">
        <f>'All Fleet'!GV45</f>
        <v>0.95192460317460315</v>
      </c>
      <c r="GZ14" s="155">
        <f>'All Fleet'!GW45</f>
        <v>0.93967803030303032</v>
      </c>
      <c r="HA14" s="155">
        <f>'All Fleet'!GX45</f>
        <v>0.94230072463768111</v>
      </c>
      <c r="HB14" s="155">
        <f>'All Fleet'!GY45</f>
        <v>0.94470486111111107</v>
      </c>
      <c r="HC14" s="155">
        <f>'All Fleet'!GZ45</f>
        <v>0.94691666666666663</v>
      </c>
      <c r="HD14" s="155">
        <f>'All Fleet'!HA45</f>
        <v>0.94895833333333335</v>
      </c>
      <c r="HE14" s="155">
        <f>'All Fleet'!HB45</f>
        <v>0.95084876543209873</v>
      </c>
      <c r="HF14" s="155">
        <f>'All Fleet'!HC45</f>
        <v>0.9526041666666667</v>
      </c>
      <c r="HG14" s="155">
        <f>'All Fleet'!HD45</f>
        <v>0.95423850574712643</v>
      </c>
      <c r="HH14" s="155">
        <f>'All Fleet'!HE45</f>
        <v>0.95576388888888886</v>
      </c>
      <c r="HI14" s="155">
        <f>'All Fleet'!HF45</f>
        <v>0.95719086021505373</v>
      </c>
      <c r="HJ14" s="155">
        <f>'All Fleet'!HG45</f>
        <v>1</v>
      </c>
      <c r="HK14" s="155">
        <f>'All Fleet'!HH45</f>
        <v>1</v>
      </c>
      <c r="HL14" s="155">
        <f>'All Fleet'!HI45</f>
        <v>1</v>
      </c>
      <c r="HM14" s="155">
        <f>'All Fleet'!HJ45</f>
        <v>1</v>
      </c>
      <c r="HN14" s="155">
        <f>'All Fleet'!HK45</f>
        <v>0.83045370370370364</v>
      </c>
      <c r="HO14" s="155">
        <f>'All Fleet'!HL45</f>
        <v>0.69204475308641977</v>
      </c>
      <c r="HP14" s="155">
        <f>'All Fleet'!HM45</f>
        <v>0.61295469576719586</v>
      </c>
      <c r="HQ14" s="155">
        <f>'All Fleet'!HN45</f>
        <v>0.65861834490740745</v>
      </c>
      <c r="HR14" s="155">
        <f>'All Fleet'!HO45</f>
        <v>0.69654963991769558</v>
      </c>
      <c r="HS14" s="155">
        <f>'All Fleet'!HP45</f>
        <v>0.72689467592592594</v>
      </c>
      <c r="HT14" s="155">
        <f>'All Fleet'!HQ45</f>
        <v>0.75172243265993266</v>
      </c>
      <c r="HU14" s="155">
        <f>'All Fleet'!HR45</f>
        <v>0.77241222993827163</v>
      </c>
      <c r="HV14" s="155">
        <f>'All Fleet'!HS45</f>
        <v>0.75995014245014247</v>
      </c>
      <c r="HW14" s="155">
        <f>'All Fleet'!HT45</f>
        <v>0.77709656084656087</v>
      </c>
      <c r="HX14" s="155">
        <f>'All Fleet'!HU45</f>
        <v>0.79195679012345677</v>
      </c>
      <c r="HY14" s="155">
        <f>'All Fleet'!HV45</f>
        <v>0.8049594907407408</v>
      </c>
      <c r="HZ14" s="155">
        <f>'All Fleet'!HW45</f>
        <v>0.80966230936819172</v>
      </c>
      <c r="IA14" s="155">
        <f>'All Fleet'!HX45</f>
        <v>0.82023662551440335</v>
      </c>
      <c r="IB14" s="155">
        <f>'All Fleet'!HY45</f>
        <v>0.82969785575048738</v>
      </c>
      <c r="IC14" s="155">
        <f>'All Fleet'!HZ45</f>
        <v>0.82143229166666665</v>
      </c>
      <c r="ID14" s="155">
        <f>'All Fleet'!IA45</f>
        <v>0.82993551587301595</v>
      </c>
      <c r="IE14" s="155">
        <f>'All Fleet'!IB45</f>
        <v>0.83766571969696968</v>
      </c>
      <c r="IF14" s="155">
        <f>'All Fleet'!IC45</f>
        <v>0.84472373188405803</v>
      </c>
      <c r="IG14" s="155">
        <f>'All Fleet'!ID45</f>
        <v>0.84737413194444444</v>
      </c>
      <c r="IH14" s="155">
        <f>'All Fleet'!IE45</f>
        <v>0.85347916666666668</v>
      </c>
      <c r="II14" s="155">
        <f>'All Fleet'!IF45</f>
        <v>0.85105368589743591</v>
      </c>
      <c r="IJ14" s="155">
        <f>'All Fleet'!IG45</f>
        <v>0.85657021604938266</v>
      </c>
      <c r="IK14" s="155">
        <f>'All Fleet'!IH45</f>
        <v>0.86169270833333333</v>
      </c>
      <c r="IL14" s="155">
        <f>'All Fleet'!II45</f>
        <v>0.86646192528735633</v>
      </c>
      <c r="IM14" s="155">
        <f>'All Fleet'!IJ45</f>
        <v>0.87091319444444448</v>
      </c>
      <c r="IN14" s="155">
        <f>'All Fleet'!IK45</f>
        <v>0.86977934587813621</v>
      </c>
      <c r="IO14" s="155">
        <f>'All Fleet'!IL45</f>
        <v>1</v>
      </c>
      <c r="IP14" s="155">
        <f>'All Fleet'!IM45</f>
        <v>1</v>
      </c>
      <c r="IQ14" s="155">
        <f>'All Fleet'!IN45</f>
        <v>0.94572916666666673</v>
      </c>
      <c r="IR14" s="155">
        <f>'All Fleet'!IO45</f>
        <v>0.95929687500000005</v>
      </c>
      <c r="IS14" s="155">
        <f>'All Fleet'!IP45</f>
        <v>0.96743749999999995</v>
      </c>
      <c r="IT14" s="155">
        <f>'All Fleet'!IQ45</f>
        <v>0.96227816358024687</v>
      </c>
      <c r="IU14" s="155">
        <f>'All Fleet'!IR45</f>
        <v>0.96766699735449735</v>
      </c>
      <c r="IV14" s="155">
        <f>'All Fleet'!IS45</f>
        <v>0.97136718750000006</v>
      </c>
      <c r="IW14" s="155">
        <f>'All Fleet'!IT45</f>
        <v>0.97454861111111113</v>
      </c>
      <c r="IX14" s="155">
        <f>'All Fleet'!IU45</f>
        <v>0.97709374999999998</v>
      </c>
      <c r="IY14" s="155">
        <f>'All Fleet'!IV45</f>
        <v>0.97878156565656571</v>
      </c>
      <c r="IZ14" s="155">
        <f>'All Fleet'!IW45</f>
        <v>0.98022183641975313</v>
      </c>
      <c r="JA14" s="155">
        <f>'All Fleet'!IX45</f>
        <v>0.98174323361823368</v>
      </c>
      <c r="JB14" s="155">
        <f>'All Fleet'!IY45</f>
        <v>0.98282076719576716</v>
      </c>
      <c r="JC14" s="155">
        <f>'All Fleet'!IZ45</f>
        <v>0.98382021604938275</v>
      </c>
      <c r="JD14" s="155">
        <f>'All Fleet'!JA45</f>
        <v>0.9802112268518518</v>
      </c>
      <c r="JE14" s="155">
        <f>'All Fleet'!JB45</f>
        <v>0.96687295751633984</v>
      </c>
      <c r="JF14" s="155">
        <f>'All Fleet'!JC45</f>
        <v>0.96871334876543214</v>
      </c>
      <c r="JG14" s="155">
        <f>'All Fleet'!JD45</f>
        <v>0.97036001461988308</v>
      </c>
      <c r="JH14" s="155">
        <f>'All Fleet'!JE45</f>
        <v>0.97184201388888891</v>
      </c>
      <c r="JI14" s="155">
        <f>'All Fleet'!JF45</f>
        <v>0.97318287037037032</v>
      </c>
      <c r="JJ14" s="155">
        <f>'All Fleet'!JG45</f>
        <v>0.97440183080808085</v>
      </c>
      <c r="JK14" s="155">
        <f>'All Fleet'!JH45</f>
        <v>0.96672403381642513</v>
      </c>
      <c r="JL14" s="155">
        <f>'All Fleet'!JI45</f>
        <v>0.96220052083333329</v>
      </c>
      <c r="JM14" s="155">
        <f>'All Fleet'!JJ45</f>
        <v>0.95836296296296297</v>
      </c>
      <c r="JN14" s="155">
        <f>'All Fleet'!JK45</f>
        <v>0.94734998219373223</v>
      </c>
      <c r="JO14" s="155">
        <f>'All Fleet'!JL45</f>
        <v>0.93519461591220854</v>
      </c>
      <c r="JP14" s="155">
        <f>'All Fleet'!JM45</f>
        <v>0.92903521825396829</v>
      </c>
      <c r="JQ14" s="155">
        <f>'All Fleet'!JN45</f>
        <v>0.93004549808429116</v>
      </c>
      <c r="JR14" s="155">
        <f>'All Fleet'!JO45</f>
        <v>0.9309884259259259</v>
      </c>
      <c r="JS14" s="155">
        <f>'All Fleet'!JP45</f>
        <v>0.95833333333333337</v>
      </c>
      <c r="JT14" s="155">
        <f>'All Fleet'!JQ45</f>
        <v>0.95833333333333337</v>
      </c>
      <c r="JU14" s="155">
        <f>'All Fleet'!JR45</f>
        <v>0.95833333333333337</v>
      </c>
      <c r="JV14" s="155">
        <f>'All Fleet'!JS45</f>
        <v>0.8677083333333333</v>
      </c>
      <c r="JW14" s="155">
        <f>'All Fleet'!JT45</f>
        <v>0.86083333333333334</v>
      </c>
      <c r="JX14" s="155">
        <f>'All Fleet'!JU45</f>
        <v>0.88173611111111116</v>
      </c>
      <c r="JY14" s="155">
        <f>'All Fleet'!JV45</f>
        <v>0.89267857142857143</v>
      </c>
      <c r="JZ14" s="155">
        <f>'All Fleet'!JW45</f>
        <v>0.90609375000000003</v>
      </c>
      <c r="KA14" s="155">
        <f>'All Fleet'!JX45</f>
        <v>0.91652777777777783</v>
      </c>
      <c r="KB14" s="155">
        <f>'All Fleet'!JY45</f>
        <v>0.924875</v>
      </c>
      <c r="KC14" s="155">
        <f>'All Fleet'!JZ45</f>
        <v>0.93170454545454551</v>
      </c>
      <c r="KD14" s="155">
        <f>'All Fleet'!KA45</f>
        <v>0.93739583333333332</v>
      </c>
      <c r="KE14" s="155">
        <f>'All Fleet'!KB45</f>
        <v>0.94221153846153849</v>
      </c>
      <c r="KF14" s="155">
        <f>'All Fleet'!KC45</f>
        <v>0.94633928571428572</v>
      </c>
      <c r="KG14" s="155">
        <f>'All Fleet'!KD45</f>
        <v>0.94991666666666663</v>
      </c>
      <c r="KH14" s="155">
        <f>'All Fleet'!KE45</f>
        <v>0.95304687499999996</v>
      </c>
      <c r="KI14" s="155">
        <f>'All Fleet'!KF45</f>
        <v>0.95580882352941177</v>
      </c>
      <c r="KJ14" s="155">
        <f>'All Fleet'!KG45</f>
        <v>0.95826388888888892</v>
      </c>
      <c r="KK14" s="155">
        <f>'All Fleet'!KH45</f>
        <v>0.96046052631578949</v>
      </c>
      <c r="KL14" s="155">
        <f>'All Fleet'!KI45</f>
        <v>0.96243750000000006</v>
      </c>
      <c r="KM14" s="155">
        <f>'All Fleet'!KJ45</f>
        <v>0.96422619047619051</v>
      </c>
      <c r="KN14" s="155">
        <f>'All Fleet'!KK45</f>
        <v>0.9658522727272727</v>
      </c>
      <c r="KO14" s="155">
        <f>'All Fleet'!KL45</f>
        <v>0.96733695652173912</v>
      </c>
      <c r="KP14" s="155">
        <f>'All Fleet'!KM45</f>
        <v>0.96869791666666671</v>
      </c>
      <c r="KQ14" s="155">
        <f>'All Fleet'!KN45</f>
        <v>0.96994999999999998</v>
      </c>
      <c r="KR14" s="155">
        <f>'All Fleet'!KO45</f>
        <v>0.97110576923076919</v>
      </c>
      <c r="KS14" s="155">
        <f>'All Fleet'!KP45</f>
        <v>0.97217592592592594</v>
      </c>
      <c r="KT14" s="155">
        <f>'All Fleet'!KQ45</f>
        <v>0.97316964285714291</v>
      </c>
      <c r="KU14" s="155">
        <f>'All Fleet'!KR45</f>
        <v>0.97409482758620691</v>
      </c>
      <c r="KV14" s="155">
        <f>'All Fleet'!KS45</f>
        <v>0.97495833333333337</v>
      </c>
      <c r="KW14" s="155">
        <f>'All Fleet'!KT45</f>
        <v>0.97576612903225812</v>
      </c>
      <c r="KX14" s="155" t="str">
        <f>'All Fleet'!KU45</f>
        <v/>
      </c>
      <c r="KY14" s="155" t="str">
        <f>'All Fleet'!KV45</f>
        <v/>
      </c>
      <c r="KZ14" s="155" t="str">
        <f>'All Fleet'!KW45</f>
        <v/>
      </c>
      <c r="LA14" s="155" t="str">
        <f>'All Fleet'!KX45</f>
        <v/>
      </c>
      <c r="LB14" s="155" t="str">
        <f>'All Fleet'!KY45</f>
        <v/>
      </c>
      <c r="LC14" s="155" t="str">
        <f>'All Fleet'!KZ45</f>
        <v/>
      </c>
      <c r="LD14" s="155" t="str">
        <f>'All Fleet'!LA45</f>
        <v/>
      </c>
      <c r="LE14" s="155" t="str">
        <f>'All Fleet'!LB45</f>
        <v/>
      </c>
      <c r="LF14" s="155" t="str">
        <f>'All Fleet'!LC45</f>
        <v/>
      </c>
      <c r="LG14" s="155" t="str">
        <f>'All Fleet'!LD45</f>
        <v/>
      </c>
      <c r="LH14" s="155" t="str">
        <f>'All Fleet'!LE45</f>
        <v/>
      </c>
      <c r="LI14" s="155" t="str">
        <f>'All Fleet'!LF45</f>
        <v/>
      </c>
      <c r="LJ14" s="155" t="str">
        <f>'All Fleet'!LG45</f>
        <v/>
      </c>
      <c r="LK14" s="155" t="str">
        <f>'All Fleet'!LH45</f>
        <v/>
      </c>
      <c r="LL14" s="155" t="str">
        <f>'All Fleet'!LI45</f>
        <v/>
      </c>
      <c r="LM14" s="155" t="str">
        <f>'All Fleet'!LJ45</f>
        <v/>
      </c>
      <c r="LN14" s="155" t="str">
        <f>'All Fleet'!LK45</f>
        <v/>
      </c>
      <c r="LO14" s="155" t="str">
        <f>'All Fleet'!LL45</f>
        <v/>
      </c>
      <c r="LP14" s="155" t="str">
        <f>'All Fleet'!LM45</f>
        <v/>
      </c>
      <c r="LQ14" s="155" t="str">
        <f>'All Fleet'!LN45</f>
        <v/>
      </c>
      <c r="LR14" s="155" t="str">
        <f>'All Fleet'!LO45</f>
        <v/>
      </c>
      <c r="LS14" s="155" t="str">
        <f>'All Fleet'!LP45</f>
        <v/>
      </c>
      <c r="LT14" s="155" t="str">
        <f>'All Fleet'!LQ45</f>
        <v/>
      </c>
      <c r="LU14" s="155" t="str">
        <f>'All Fleet'!LR45</f>
        <v/>
      </c>
      <c r="LV14" s="155" t="str">
        <f>'All Fleet'!LS45</f>
        <v/>
      </c>
      <c r="LW14" s="155" t="str">
        <f>'All Fleet'!LT45</f>
        <v/>
      </c>
      <c r="LX14" s="155" t="str">
        <f>'All Fleet'!LU45</f>
        <v/>
      </c>
      <c r="LY14" s="155" t="str">
        <f>'All Fleet'!LV45</f>
        <v/>
      </c>
      <c r="LZ14" s="155" t="str">
        <f>'All Fleet'!LW45</f>
        <v/>
      </c>
      <c r="MA14" s="155" t="str">
        <f>'All Fleet'!LX45</f>
        <v/>
      </c>
      <c r="MB14" s="155" t="str">
        <f>'All Fleet'!LY45</f>
        <v/>
      </c>
      <c r="MC14" s="155" t="str">
        <f>'All Fleet'!LZ45</f>
        <v/>
      </c>
      <c r="MD14" s="155" t="str">
        <f>'All Fleet'!MA45</f>
        <v/>
      </c>
      <c r="ME14" s="155" t="str">
        <f>'All Fleet'!MB45</f>
        <v/>
      </c>
      <c r="MF14" s="155" t="str">
        <f>'All Fleet'!MC45</f>
        <v/>
      </c>
      <c r="MG14" s="155" t="str">
        <f>'All Fleet'!MD45</f>
        <v/>
      </c>
      <c r="MH14" s="155" t="str">
        <f>'All Fleet'!ME45</f>
        <v/>
      </c>
      <c r="MI14" s="155" t="str">
        <f>'All Fleet'!MF45</f>
        <v/>
      </c>
      <c r="MJ14" s="155" t="str">
        <f>'All Fleet'!MG45</f>
        <v/>
      </c>
      <c r="MK14" s="155" t="str">
        <f>'All Fleet'!MH45</f>
        <v/>
      </c>
      <c r="ML14" s="155" t="str">
        <f>'All Fleet'!MI45</f>
        <v/>
      </c>
      <c r="MM14" s="155" t="str">
        <f>'All Fleet'!MJ45</f>
        <v/>
      </c>
      <c r="MN14" s="155" t="str">
        <f>'All Fleet'!MK45</f>
        <v/>
      </c>
      <c r="MO14" s="155" t="str">
        <f>'All Fleet'!ML45</f>
        <v/>
      </c>
      <c r="MP14" s="155" t="str">
        <f>'All Fleet'!MM45</f>
        <v/>
      </c>
      <c r="MQ14" s="155" t="str">
        <f>'All Fleet'!MN45</f>
        <v/>
      </c>
      <c r="MR14" s="155" t="str">
        <f>'All Fleet'!MO45</f>
        <v/>
      </c>
      <c r="MS14" s="155" t="str">
        <f>'All Fleet'!MP45</f>
        <v/>
      </c>
      <c r="MT14" s="155" t="str">
        <f>'All Fleet'!MQ45</f>
        <v/>
      </c>
      <c r="MU14" s="155" t="str">
        <f>'All Fleet'!MR45</f>
        <v/>
      </c>
      <c r="MV14" s="155" t="str">
        <f>'All Fleet'!MS45</f>
        <v/>
      </c>
      <c r="MW14" s="155" t="str">
        <f>'All Fleet'!MT45</f>
        <v/>
      </c>
      <c r="MX14" s="155" t="str">
        <f>'All Fleet'!MU45</f>
        <v/>
      </c>
      <c r="MY14" s="155" t="str">
        <f>'All Fleet'!MV45</f>
        <v/>
      </c>
      <c r="MZ14" s="155" t="str">
        <f>'All Fleet'!MW45</f>
        <v/>
      </c>
      <c r="NA14" s="155" t="str">
        <f>'All Fleet'!MX45</f>
        <v/>
      </c>
      <c r="NB14" s="155" t="str">
        <f>'All Fleet'!MY45</f>
        <v/>
      </c>
      <c r="NC14" s="155" t="str">
        <f>'All Fleet'!MZ45</f>
        <v/>
      </c>
      <c r="ND14" s="155" t="str">
        <f>'All Fleet'!NA45</f>
        <v/>
      </c>
      <c r="NE14" s="155" t="str">
        <f>'All Fleet'!NB45</f>
        <v/>
      </c>
      <c r="NF14" s="155" t="str">
        <f>'All Fleet'!NC45</f>
        <v/>
      </c>
      <c r="NG14" s="155" t="str">
        <f>'All Fleet'!ND45</f>
        <v/>
      </c>
      <c r="NH14" s="155" t="str">
        <f>'All Fleet'!NE45</f>
        <v/>
      </c>
      <c r="NI14" s="155" t="str">
        <f>'All Fleet'!NF45</f>
        <v/>
      </c>
      <c r="NJ14" s="155" t="str">
        <f>'All Fleet'!NG45</f>
        <v/>
      </c>
      <c r="NK14" s="155" t="str">
        <f>'All Fleet'!NH45</f>
        <v/>
      </c>
      <c r="NL14" s="155" t="str">
        <f>'All Fleet'!NI45</f>
        <v/>
      </c>
      <c r="NM14" s="155" t="str">
        <f>'All Fleet'!NJ45</f>
        <v/>
      </c>
      <c r="NN14" s="155" t="str">
        <f>'All Fleet'!NK45</f>
        <v/>
      </c>
      <c r="NO14" s="155" t="str">
        <f>'All Fleet'!NL45</f>
        <v/>
      </c>
      <c r="NP14" s="155" t="str">
        <f>'All Fleet'!NM45</f>
        <v/>
      </c>
      <c r="NQ14" s="155" t="str">
        <f>'All Fleet'!NN45</f>
        <v/>
      </c>
      <c r="NR14" s="155" t="str">
        <f>'All Fleet'!NO45</f>
        <v/>
      </c>
      <c r="NS14" s="155" t="str">
        <f>'All Fleet'!NP45</f>
        <v/>
      </c>
      <c r="NT14" s="155" t="str">
        <f>'All Fleet'!NQ45</f>
        <v/>
      </c>
      <c r="NU14" s="155" t="str">
        <f>'All Fleet'!NR45</f>
        <v/>
      </c>
      <c r="NV14" s="155" t="str">
        <f>'All Fleet'!NS45</f>
        <v/>
      </c>
      <c r="NW14" s="155" t="str">
        <f>'All Fleet'!NT45</f>
        <v/>
      </c>
      <c r="NX14" s="155" t="str">
        <f>'All Fleet'!NU45</f>
        <v/>
      </c>
      <c r="NY14" s="155" t="str">
        <f>'All Fleet'!NV45</f>
        <v/>
      </c>
      <c r="NZ14" s="155" t="str">
        <f>'All Fleet'!NW45</f>
        <v/>
      </c>
      <c r="OA14" s="155" t="str">
        <f>'All Fleet'!NX45</f>
        <v/>
      </c>
      <c r="OB14" s="155" t="str">
        <f>'All Fleet'!NY45</f>
        <v/>
      </c>
      <c r="OC14" s="155" t="str">
        <f>'All Fleet'!NZ45</f>
        <v/>
      </c>
      <c r="OD14" s="155" t="str">
        <f>'All Fleet'!OA45</f>
        <v/>
      </c>
      <c r="OE14" s="155" t="str">
        <f>'All Fleet'!OB45</f>
        <v/>
      </c>
      <c r="OF14" s="155" t="str">
        <f>'All Fleet'!OC45</f>
        <v/>
      </c>
      <c r="OG14" s="155" t="str">
        <f>'All Fleet'!OD45</f>
        <v/>
      </c>
      <c r="OH14" s="155" t="str">
        <f>'All Fleet'!OE45</f>
        <v/>
      </c>
      <c r="OI14" s="155" t="str">
        <f>'All Fleet'!OF45</f>
        <v/>
      </c>
      <c r="OJ14" s="155" t="str">
        <f>'All Fleet'!OG45</f>
        <v/>
      </c>
      <c r="OK14" s="155" t="str">
        <f>'All Fleet'!OH45</f>
        <v/>
      </c>
      <c r="OL14" s="155" t="str">
        <f>'All Fleet'!OI45</f>
        <v/>
      </c>
      <c r="OM14" s="155" t="str">
        <f>'All Fleet'!OJ45</f>
        <v/>
      </c>
      <c r="ON14" s="155" t="str">
        <f>'All Fleet'!OK45</f>
        <v/>
      </c>
      <c r="OO14" s="155" t="str">
        <f>'All Fleet'!OL45</f>
        <v/>
      </c>
      <c r="OP14" s="155" t="str">
        <f>'All Fleet'!OM45</f>
        <v/>
      </c>
      <c r="OQ14" s="155" t="str">
        <f>'All Fleet'!ON45</f>
        <v/>
      </c>
      <c r="OR14" s="155" t="str">
        <f>'All Fleet'!OO45</f>
        <v/>
      </c>
      <c r="OS14" s="155" t="str">
        <f>'All Fleet'!OP45</f>
        <v/>
      </c>
      <c r="OT14" s="155" t="str">
        <f>'All Fleet'!OQ45</f>
        <v/>
      </c>
      <c r="OU14" s="155" t="str">
        <f>'All Fleet'!OR45</f>
        <v/>
      </c>
      <c r="OV14" s="155" t="str">
        <f>'All Fleet'!OS45</f>
        <v/>
      </c>
      <c r="OW14" s="155" t="str">
        <f>'All Fleet'!OT45</f>
        <v/>
      </c>
      <c r="OX14" s="155" t="str">
        <f>'All Fleet'!OU45</f>
        <v/>
      </c>
      <c r="OY14" s="155" t="str">
        <f>'All Fleet'!OV45</f>
        <v/>
      </c>
      <c r="OZ14" s="156" t="str">
        <f>'All Fleet'!OW45</f>
        <v/>
      </c>
    </row>
    <row r="15" spans="1:416" s="168" customFormat="1" ht="15" customHeight="1" x14ac:dyDescent="0.2">
      <c r="A15" s="138" t="b">
        <f t="shared" si="376"/>
        <v>0</v>
      </c>
      <c r="B15" s="139">
        <v>12</v>
      </c>
      <c r="C15" s="153" t="str">
        <f t="shared" si="377"/>
        <v>Mechanical Availability</v>
      </c>
      <c r="D15" s="154" t="str">
        <f>D14</f>
        <v>777 Optiload</v>
      </c>
      <c r="E15" s="194" t="s">
        <v>83</v>
      </c>
      <c r="F15" s="177">
        <f>IF('All Fleet'!C59="","",'All Fleet'!C59)</f>
        <v>1</v>
      </c>
      <c r="G15" s="177">
        <f>IF('All Fleet'!D59="","",'All Fleet'!D59)</f>
        <v>1</v>
      </c>
      <c r="H15" s="177">
        <f>IF('All Fleet'!E59="","",'All Fleet'!E59)</f>
        <v>1</v>
      </c>
      <c r="I15" s="177">
        <f>IF('All Fleet'!F59="","",'All Fleet'!F59)</f>
        <v>1</v>
      </c>
      <c r="J15" s="177">
        <f>IF('All Fleet'!G59="","",'All Fleet'!G59)</f>
        <v>1</v>
      </c>
      <c r="K15" s="177">
        <f>IF('All Fleet'!H59="","",'All Fleet'!H59)</f>
        <v>1</v>
      </c>
      <c r="L15" s="177">
        <f>IF('All Fleet'!I59="","",'All Fleet'!I59)</f>
        <v>1</v>
      </c>
      <c r="M15" s="177">
        <f>IF('All Fleet'!J59="","",'All Fleet'!J59)</f>
        <v>1</v>
      </c>
      <c r="N15" s="177">
        <f>IF('All Fleet'!K59="","",'All Fleet'!K59)</f>
        <v>0.98356481481481484</v>
      </c>
      <c r="O15" s="177">
        <f>IF('All Fleet'!L59="","",'All Fleet'!L59)</f>
        <v>0.93987500000000002</v>
      </c>
      <c r="P15" s="177">
        <f>IF('All Fleet'!M59="","",'All Fleet'!M59)</f>
        <v>0.94534090909090907</v>
      </c>
      <c r="Q15" s="177">
        <f>IF('All Fleet'!N59="","",'All Fleet'!N59)</f>
        <v>0.94989583333333338</v>
      </c>
      <c r="R15" s="177">
        <f>IF('All Fleet'!O59="","",'All Fleet'!O59)</f>
        <v>0.95374999999999999</v>
      </c>
      <c r="S15" s="177">
        <f>IF('All Fleet'!P59="","",'All Fleet'!P59)</f>
        <v>0.95705357142857139</v>
      </c>
      <c r="T15" s="177">
        <f>IF('All Fleet'!Q59="","",'All Fleet'!Q59)</f>
        <v>0.95991666666666664</v>
      </c>
      <c r="U15" s="177">
        <f>IF('All Fleet'!R59="","",'All Fleet'!R59)</f>
        <v>0.95578125000000003</v>
      </c>
      <c r="V15" s="177">
        <f>IF('All Fleet'!S59="","",'All Fleet'!S59)</f>
        <v>0.95838235294117646</v>
      </c>
      <c r="W15" s="177">
        <f>IF('All Fleet'!T59="","",'All Fleet'!T59)</f>
        <v>0.96069444444444441</v>
      </c>
      <c r="X15" s="177">
        <f>IF('All Fleet'!U59="","",'All Fleet'!U59)</f>
        <v>0.94412280701754381</v>
      </c>
      <c r="Y15" s="177">
        <f>IF('All Fleet'!V59="","",'All Fleet'!V59)</f>
        <v>0.92889583333333337</v>
      </c>
      <c r="Z15" s="177">
        <f>IF('All Fleet'!W59="","",'All Fleet'!W59)</f>
        <v>0.93228174603174607</v>
      </c>
      <c r="AA15" s="177">
        <f>IF('All Fleet'!X59="","",'All Fleet'!X59)</f>
        <v>0.93535984848484843</v>
      </c>
      <c r="AB15" s="177">
        <f>IF('All Fleet'!Y59="","",'All Fleet'!Y59)</f>
        <v>0.93817028985507245</v>
      </c>
      <c r="AC15" s="177">
        <f>IF('All Fleet'!Z59="","",'All Fleet'!Z59)</f>
        <v>0.94074652777777779</v>
      </c>
      <c r="AD15" s="177">
        <f>IF('All Fleet'!AA59="","",'All Fleet'!AA59)</f>
        <v>0.94311666666666671</v>
      </c>
      <c r="AE15" s="177">
        <f>IF('All Fleet'!AB59="","",'All Fleet'!AB59)</f>
        <v>0.94530448717948712</v>
      </c>
      <c r="AF15" s="177">
        <f>IF('All Fleet'!AC59="","",'All Fleet'!AC59)</f>
        <v>0.94643518518518521</v>
      </c>
      <c r="AG15" s="177">
        <f>IF('All Fleet'!AD59="","",'All Fleet'!AD59)</f>
        <v>0.94834821428571425</v>
      </c>
      <c r="AH15" s="177">
        <f>IF('All Fleet'!AE59="","",'All Fleet'!AE59)</f>
        <v>0.95012931034482762</v>
      </c>
      <c r="AI15" s="177">
        <f>IF('All Fleet'!AF59="","",'All Fleet'!AF59)</f>
        <v>0.9517916666666667</v>
      </c>
      <c r="AJ15" s="177">
        <f>IF('All Fleet'!AG59="","",'All Fleet'!AG59)</f>
        <v>0.95334677419354841</v>
      </c>
      <c r="AK15" s="177">
        <f>IF('All Fleet'!AH59="","",'All Fleet'!AH59)</f>
        <v>0.95480468750000003</v>
      </c>
      <c r="AL15" s="177">
        <f>IF('All Fleet'!AI59="","",'All Fleet'!AI59)</f>
        <v>0.95617424242424243</v>
      </c>
      <c r="AM15" s="177">
        <f>IF('All Fleet'!AJ59="","",'All Fleet'!AJ59)</f>
        <v>0.9574632352941177</v>
      </c>
      <c r="AN15" s="177">
        <f>IF('All Fleet'!AK59="","",'All Fleet'!AK59)</f>
        <v>0.95867857142857138</v>
      </c>
      <c r="AO15" s="177">
        <f>IF('All Fleet'!AL59="","",'All Fleet'!AL59)</f>
        <v>0.95545138888888892</v>
      </c>
      <c r="AP15" s="177">
        <f>IF('All Fleet'!AM59="","",'All Fleet'!AM59)</f>
        <v>0.95609234234234231</v>
      </c>
      <c r="AQ15" s="177">
        <f>IF('All Fleet'!AN59="","",'All Fleet'!AN59)</f>
        <v>0.95724780701754386</v>
      </c>
      <c r="AR15" s="177">
        <f>IF('All Fleet'!AO59="","",'All Fleet'!AO59)</f>
        <v>0.95834401709401706</v>
      </c>
      <c r="AS15" s="177">
        <f>IF('All Fleet'!AP59="","",'All Fleet'!AP59)</f>
        <v>0.95938541666666666</v>
      </c>
      <c r="AT15" s="177">
        <f>IF('All Fleet'!AQ59="","",'All Fleet'!AQ59)</f>
        <v>0.95907520325203255</v>
      </c>
      <c r="AU15" s="177">
        <f>IF('All Fleet'!AR59="","",'All Fleet'!AR59)</f>
        <v>0.95776785714285717</v>
      </c>
      <c r="AV15" s="177">
        <f>IF('All Fleet'!AS59="","",'All Fleet'!AS59)</f>
        <v>0.94781976744186047</v>
      </c>
      <c r="AW15" s="177">
        <f>IF('All Fleet'!AT59="","",'All Fleet'!AT59)</f>
        <v>0.9317897727272727</v>
      </c>
      <c r="AX15" s="177">
        <f>IF('All Fleet'!AU59="","",'All Fleet'!AU59)</f>
        <v>0.93330555555555561</v>
      </c>
      <c r="AY15" s="177">
        <f>IF('All Fleet'!AV59="","",'All Fleet'!AV59)</f>
        <v>0.9347554347826087</v>
      </c>
      <c r="AZ15" s="177">
        <f>IF('All Fleet'!AW59="","",'All Fleet'!AW59)</f>
        <v>0.93614361702127658</v>
      </c>
      <c r="BA15" s="177">
        <f>IF('All Fleet'!AX59="","",'All Fleet'!AX59)</f>
        <v>0.93219618055555553</v>
      </c>
      <c r="BB15" s="177">
        <f>IF('All Fleet'!AY59="","",'All Fleet'!AY59)</f>
        <v>0.9335799319727891</v>
      </c>
      <c r="BC15" s="177">
        <f>IF('All Fleet'!AZ59="","",'All Fleet'!AZ59)</f>
        <v>0.93490833333333334</v>
      </c>
      <c r="BD15" s="177">
        <f>IF('All Fleet'!BA59="","",'All Fleet'!BA59)</f>
        <v>0.93618464052287576</v>
      </c>
      <c r="BE15" s="177">
        <f>IF('All Fleet'!BB59="","",'All Fleet'!BB59)</f>
        <v>0.93306891025641026</v>
      </c>
      <c r="BF15" s="177">
        <f>IF('All Fleet'!BC59="","",'All Fleet'!BC59)</f>
        <v>0.89937106918238996</v>
      </c>
      <c r="BG15" s="177">
        <f>IF('All Fleet'!BD59="","",'All Fleet'!BD59)</f>
        <v>0.90123456790123457</v>
      </c>
      <c r="BH15" s="177">
        <f>IF('All Fleet'!BE59="","",'All Fleet'!BE59)</f>
        <v>0.90217424242424249</v>
      </c>
      <c r="BI15" s="177">
        <f>IF('All Fleet'!BF59="","",'All Fleet'!BF59)</f>
        <v>0.89959077380952379</v>
      </c>
      <c r="BJ15" s="177">
        <f>IF('All Fleet'!BG59="","",'All Fleet'!BG59)</f>
        <v>0.90135233918128654</v>
      </c>
      <c r="BK15" s="177">
        <f>IF('All Fleet'!BH59="","",'All Fleet'!BH59)</f>
        <v>0.90305316091954024</v>
      </c>
      <c r="BL15" s="177">
        <f>IF('All Fleet'!BI59="","",'All Fleet'!BI59)</f>
        <v>0.90469632768361585</v>
      </c>
      <c r="BM15" s="177">
        <f>IF('All Fleet'!BJ59="","",'All Fleet'!BJ59)</f>
        <v>0.90628472222222223</v>
      </c>
      <c r="BN15" s="177">
        <f>IF('All Fleet'!BK59="","",'All Fleet'!BK59)</f>
        <v>0.90782103825136617</v>
      </c>
      <c r="BO15" s="177">
        <f>IF('All Fleet'!BL59="","",'All Fleet'!BL59)</f>
        <v>0.90771505376344086</v>
      </c>
      <c r="BP15" s="177">
        <f>IF('All Fleet'!BM59="","",'All Fleet'!BM59)</f>
        <v>0.9091798941798942</v>
      </c>
      <c r="BQ15" s="177">
        <f>IF('All Fleet'!BN59="","",'All Fleet'!BN59)</f>
        <v>0.91059895833333337</v>
      </c>
      <c r="BR15" s="177">
        <f>IF('All Fleet'!BO59="","",'All Fleet'!BO59)</f>
        <v>0.91197435897435897</v>
      </c>
      <c r="BS15" s="177">
        <f>IF('All Fleet'!BP59="","",'All Fleet'!BP59)</f>
        <v>0.91330808080808079</v>
      </c>
      <c r="BT15" s="177">
        <f>IF('All Fleet'!BQ59="","",'All Fleet'!BQ59)</f>
        <v>0.91460199004975129</v>
      </c>
      <c r="BU15" s="177">
        <f>IF('All Fleet'!BR59="","",'All Fleet'!BR59)</f>
        <v>0.90943627450980391</v>
      </c>
      <c r="BV15" s="177">
        <f>IF('All Fleet'!BS59="","",'All Fleet'!BS59)</f>
        <v>0.9107487922705314</v>
      </c>
      <c r="BW15" s="177">
        <f>IF('All Fleet'!BT59="","",'All Fleet'!BT59)</f>
        <v>0.91202380952380957</v>
      </c>
      <c r="BX15" s="177">
        <f>IF('All Fleet'!BU59="","",'All Fleet'!BU59)</f>
        <v>0.91326291079812205</v>
      </c>
      <c r="BY15" s="177">
        <f>IF('All Fleet'!BV59="","",'All Fleet'!BV59)</f>
        <v>0.91446759259259258</v>
      </c>
      <c r="BZ15" s="177">
        <f>IF('All Fleet'!BW59="","",'All Fleet'!BW59)</f>
        <v>0.91563926940639273</v>
      </c>
      <c r="CA15" s="177">
        <f>IF('All Fleet'!BX59="","",'All Fleet'!BX59)</f>
        <v>0.91677927927927927</v>
      </c>
      <c r="CB15" s="177">
        <f>IF('All Fleet'!BY59="","",'All Fleet'!BY59)</f>
        <v>0.91788888888888887</v>
      </c>
      <c r="CC15" s="177">
        <f>IF('All Fleet'!BZ59="","",'All Fleet'!BZ59)</f>
        <v>0.91896929824561402</v>
      </c>
      <c r="CD15" s="177">
        <f>IF('All Fleet'!CA59="","",'All Fleet'!CA59)</f>
        <v>0.92002164502164507</v>
      </c>
      <c r="CE15" s="177">
        <f>IF('All Fleet'!CB59="","",'All Fleet'!CB59)</f>
        <v>0.92104700854700861</v>
      </c>
      <c r="CF15" s="177">
        <f>IF('All Fleet'!CC59="","",'All Fleet'!CC59)</f>
        <v>0.9220464135021097</v>
      </c>
      <c r="CG15" s="177">
        <f>IF('All Fleet'!CD59="","",'All Fleet'!CD59)</f>
        <v>0.9230208333333334</v>
      </c>
      <c r="CH15" s="177">
        <f>IF('All Fleet'!CE59="","",'All Fleet'!CE59)</f>
        <v>0.92397119341563783</v>
      </c>
      <c r="CI15" s="177">
        <f>IF('All Fleet'!CF59="","",'All Fleet'!CF59)</f>
        <v>0.91859756097560974</v>
      </c>
      <c r="CJ15" s="177">
        <f>IF('All Fleet'!CG59="","",'All Fleet'!CG59)</f>
        <v>0.91957831325301209</v>
      </c>
      <c r="CK15" s="177">
        <f>IF('All Fleet'!CH59="","",'All Fleet'!CH59)</f>
        <v>0.92053571428571423</v>
      </c>
      <c r="CL15" s="177">
        <f>IF('All Fleet'!CI59="","",'All Fleet'!CI59)</f>
        <v>0.91658333333333331</v>
      </c>
      <c r="CM15" s="177">
        <f>IF('All Fleet'!CJ59="","",'All Fleet'!CJ59)</f>
        <v>0.91755329457364343</v>
      </c>
      <c r="CN15" s="177">
        <f>IF('All Fleet'!CK59="","",'All Fleet'!CK59)</f>
        <v>0.91850095785440611</v>
      </c>
      <c r="CO15" s="177">
        <f>IF('All Fleet'!CL59="","",'All Fleet'!CL59)</f>
        <v>0.91942708333333334</v>
      </c>
      <c r="CP15" s="177">
        <f>IF('All Fleet'!CM59="","",'All Fleet'!CM59)</f>
        <v>0.91788389513108615</v>
      </c>
      <c r="CQ15" s="177">
        <f>IF('All Fleet'!CN59="","",'All Fleet'!CN59)</f>
        <v>0.91879629629629633</v>
      </c>
      <c r="CR15" s="177">
        <f>IF('All Fleet'!CO59="","",'All Fleet'!CO59)</f>
        <v>0.91258241758241754</v>
      </c>
      <c r="CS15" s="177">
        <f>IF('All Fleet'!CP59="","",'All Fleet'!CP59)</f>
        <v>0.91336050724637685</v>
      </c>
      <c r="CT15" s="177">
        <f>IF('All Fleet'!CQ59="","",'All Fleet'!CQ59)</f>
        <v>0.91429211469534055</v>
      </c>
      <c r="CU15" s="177">
        <f>IF('All Fleet'!CR59="","",'All Fleet'!CR59)</f>
        <v>0.91520390070921986</v>
      </c>
      <c r="CV15" s="177">
        <f>IF('All Fleet'!CS59="","",'All Fleet'!CS59)</f>
        <v>0.91140350877192988</v>
      </c>
      <c r="CW15" s="177">
        <f>IF('All Fleet'!CT59="","",'All Fleet'!CT59)</f>
        <v>0.91232638888888884</v>
      </c>
      <c r="CX15" s="177">
        <f>IF('All Fleet'!CU59="","",'All Fleet'!CU59)</f>
        <v>0.91323024054982815</v>
      </c>
      <c r="CY15" s="177">
        <f>IF('All Fleet'!CV59="","",'All Fleet'!CV59)</f>
        <v>0.91411564625850339</v>
      </c>
      <c r="CZ15" s="177">
        <f>IF('All Fleet'!CW59="","",'All Fleet'!CW59)</f>
        <v>0.91354377104377105</v>
      </c>
      <c r="DA15" s="177">
        <f>IF('All Fleet'!CX59="","",'All Fleet'!CX59)</f>
        <v>0.91440833333333338</v>
      </c>
      <c r="DB15" s="177">
        <f>IF('All Fleet'!CY59="","",'All Fleet'!CY59)</f>
        <v>0.91525577557755777</v>
      </c>
      <c r="DC15" s="177">
        <f>IF('All Fleet'!CZ59="","",'All Fleet'!CZ59)</f>
        <v>0.91608660130718955</v>
      </c>
      <c r="DD15" s="177">
        <f>IF('All Fleet'!DA59="","",'All Fleet'!DA59)</f>
        <v>0.91649676375404532</v>
      </c>
      <c r="DE15" s="177">
        <f>IF('All Fleet'!DB59="","",'All Fleet'!DB59)</f>
        <v>0.9172996794871795</v>
      </c>
      <c r="DF15" s="177">
        <f>IF('All Fleet'!DC59="","",'All Fleet'!DC59)</f>
        <v>0.91808730158730156</v>
      </c>
      <c r="DG15" s="177">
        <f>IF('All Fleet'!DD59="","",'All Fleet'!DD59)</f>
        <v>0.91880896226415099</v>
      </c>
      <c r="DH15" s="177">
        <f>IF('All Fleet'!DE59="","",'All Fleet'!DE59)</f>
        <v>0.91956775700934579</v>
      </c>
      <c r="DI15" s="177">
        <f>IF('All Fleet'!DF59="","",'All Fleet'!DF59)</f>
        <v>0.91870370370370369</v>
      </c>
      <c r="DJ15" s="177">
        <f>IF('All Fleet'!DG59="","",'All Fleet'!DG59)</f>
        <v>0.9194495412844037</v>
      </c>
      <c r="DK15" s="177">
        <f>IF('All Fleet'!DH59="","",'All Fleet'!DH59)</f>
        <v>0.91929166666666673</v>
      </c>
      <c r="DL15" s="177">
        <f>IF('All Fleet'!DI59="","",'All Fleet'!DI59)</f>
        <v>0.91867492492492497</v>
      </c>
      <c r="DM15" s="177">
        <f>IF('All Fleet'!DJ59="","",'All Fleet'!DJ59)</f>
        <v>0.85605654761904759</v>
      </c>
      <c r="DN15" s="177">
        <f>IF('All Fleet'!DK59="","",'All Fleet'!DK59)</f>
        <v>0.85733038348082591</v>
      </c>
      <c r="DO15" s="177">
        <f>IF('All Fleet'!DL59="","",'All Fleet'!DL59)</f>
        <v>0.85858187134502928</v>
      </c>
      <c r="DP15" s="177">
        <f>IF('All Fleet'!DM59="","",'All Fleet'!DM59)</f>
        <v>0.85981159420289854</v>
      </c>
      <c r="DQ15" s="177">
        <f>IF('All Fleet'!DN59="","",'All Fleet'!DN59)</f>
        <v>0.86102011494252872</v>
      </c>
      <c r="DR15" s="177">
        <f>IF('All Fleet'!DO59="","",'All Fleet'!DO59)</f>
        <v>0.86220797720797726</v>
      </c>
      <c r="DS15" s="177">
        <f>IF('All Fleet'!DP59="","",'All Fleet'!DP59)</f>
        <v>0.86337570621468929</v>
      </c>
      <c r="DT15" s="177">
        <f>IF('All Fleet'!DQ59="","",'All Fleet'!DQ59)</f>
        <v>0.86452380952380947</v>
      </c>
      <c r="DU15" s="177">
        <f>IF('All Fleet'!DR59="","",'All Fleet'!DR59)</f>
        <v>0.86565277777777783</v>
      </c>
      <c r="DV15" s="177">
        <f>IF('All Fleet'!DS59="","",'All Fleet'!DS59)</f>
        <v>0.86676308539944902</v>
      </c>
      <c r="DW15" s="177">
        <f>IF('All Fleet'!DT59="","",'All Fleet'!DT59)</f>
        <v>0.86757172131147542</v>
      </c>
      <c r="DX15" s="177">
        <f>IF('All Fleet'!DU59="","",'All Fleet'!DU59)</f>
        <v>0.86584688346883465</v>
      </c>
      <c r="DY15" s="177">
        <f>IF('All Fleet'!DV59="","",'All Fleet'!DV59)</f>
        <v>0.86602150537634415</v>
      </c>
      <c r="DZ15" s="177">
        <f>IF('All Fleet'!DW59="","",'All Fleet'!DW59)</f>
        <v>0.8536866666666667</v>
      </c>
      <c r="EA15" s="177">
        <f>IF('All Fleet'!DX59="","",'All Fleet'!DX59)</f>
        <v>0.85484788359788366</v>
      </c>
      <c r="EB15" s="177">
        <f>IF('All Fleet'!DY59="","",'All Fleet'!DY59)</f>
        <v>0.85599081364829399</v>
      </c>
      <c r="EC15" s="177">
        <f>IF('All Fleet'!DZ59="","",'All Fleet'!DZ59)</f>
        <v>0.85711588541666672</v>
      </c>
      <c r="ED15" s="177">
        <f>IF('All Fleet'!EA59="","",'All Fleet'!EA59)</f>
        <v>0.85785206718346252</v>
      </c>
      <c r="EE15" s="177">
        <f>IF('All Fleet'!EB59="","",'All Fleet'!EB59)</f>
        <v>0.85894551282051279</v>
      </c>
      <c r="EF15" s="177">
        <f>IF('All Fleet'!EC59="","",'All Fleet'!EC59)</f>
        <v>0.86002226463104325</v>
      </c>
      <c r="EG15" s="177">
        <f>IF('All Fleet'!ED59="","",'All Fleet'!ED59)</f>
        <v>0.8610827020202021</v>
      </c>
      <c r="EH15" s="177">
        <f>IF('All Fleet'!EE59="","",'All Fleet'!EE59)</f>
        <v>0.8621271929824561</v>
      </c>
      <c r="EI15" s="177">
        <f>IF('All Fleet'!EF59="","",'All Fleet'!EF59)</f>
        <v>0.8628917910447762</v>
      </c>
      <c r="EJ15" s="177">
        <f>IF('All Fleet'!EG59="","",'All Fleet'!EG59)</f>
        <v>0.86091358024691367</v>
      </c>
      <c r="EK15" s="177">
        <f>IF('All Fleet'!EH59="","",'All Fleet'!EH59)</f>
        <v>0.86193627450980392</v>
      </c>
      <c r="EL15" s="177">
        <f>IF('All Fleet'!EI59="","",'All Fleet'!EI59)</f>
        <v>0.8628071776155718</v>
      </c>
      <c r="EM15" s="177">
        <f>IF('All Fleet'!EJ59="","",'All Fleet'!EJ59)</f>
        <v>0.86380132850241553</v>
      </c>
      <c r="EN15" s="177">
        <f>IF('All Fleet'!EK59="","",'All Fleet'!EK59)</f>
        <v>0.86478117505995211</v>
      </c>
      <c r="EO15" s="177">
        <f>IF('All Fleet'!EL59="","",'All Fleet'!EL59)</f>
        <v>0.86574702380952384</v>
      </c>
      <c r="EP15" s="177">
        <f>IF('All Fleet'!EM59="","",'All Fleet'!EM59)</f>
        <v>0.86666371158392441</v>
      </c>
      <c r="EQ15" s="177">
        <f>IF('All Fleet'!EN59="","",'All Fleet'!EN59)</f>
        <v>0.86760269953051639</v>
      </c>
      <c r="ER15" s="177">
        <f>IF('All Fleet'!EO59="","",'All Fleet'!EO59)</f>
        <v>0.86852855477855484</v>
      </c>
      <c r="ES15" s="177">
        <f>IF('All Fleet'!EP59="","",'All Fleet'!EP59)</f>
        <v>0.8694415509259259</v>
      </c>
      <c r="ET15" s="177">
        <f>IF('All Fleet'!EQ59="","",'All Fleet'!EQ59)</f>
        <v>0.87008333333333332</v>
      </c>
      <c r="EU15" s="177">
        <f>IF('All Fleet'!ER59="","",'All Fleet'!ER59)</f>
        <v>0.8709731735159818</v>
      </c>
      <c r="EV15" s="177">
        <f>IF('All Fleet'!ES59="","",'All Fleet'!ES59)</f>
        <v>0.87185090702947843</v>
      </c>
      <c r="EW15" s="177">
        <f>IF('All Fleet'!ET59="","",'All Fleet'!ET59)</f>
        <v>0.87271677927927938</v>
      </c>
      <c r="EX15" s="177">
        <f>IF('All Fleet'!EU59="","",'All Fleet'!EU59)</f>
        <v>0.87273210290827741</v>
      </c>
      <c r="EY15" s="177">
        <f>IF('All Fleet'!EV59="","",'All Fleet'!EV59)</f>
        <v>0.87358055555555558</v>
      </c>
      <c r="EZ15" s="177">
        <f>IF('All Fleet'!EW59="","",'All Fleet'!EW59)</f>
        <v>0.87441777041942603</v>
      </c>
      <c r="FA15" s="177">
        <f>'All Fleet'!EX46</f>
        <v>1</v>
      </c>
      <c r="FB15" s="177">
        <f>'All Fleet'!EY46</f>
        <v>1</v>
      </c>
      <c r="FC15" s="177">
        <f>'All Fleet'!EZ46</f>
        <v>1</v>
      </c>
      <c r="FD15" s="177">
        <f>'All Fleet'!FA46</f>
        <v>1</v>
      </c>
      <c r="FE15" s="177">
        <f>'All Fleet'!FB46</f>
        <v>1</v>
      </c>
      <c r="FF15" s="177">
        <f>'All Fleet'!FC46</f>
        <v>1</v>
      </c>
      <c r="FG15" s="177">
        <f>'All Fleet'!FD46</f>
        <v>0.9570238095238095</v>
      </c>
      <c r="FH15" s="177">
        <f>'All Fleet'!FE46</f>
        <v>0.90093749999999995</v>
      </c>
      <c r="FI15" s="177">
        <f>'All Fleet'!FF46</f>
        <v>0.91194444444444445</v>
      </c>
      <c r="FJ15" s="177">
        <f>'All Fleet'!FG46</f>
        <v>0.88091666666666668</v>
      </c>
      <c r="FK15" s="177">
        <f>'All Fleet'!FH46</f>
        <v>0.86496212121212124</v>
      </c>
      <c r="FL15" s="177">
        <f>'All Fleet'!FI46</f>
        <v>0.87142361111111111</v>
      </c>
      <c r="FM15" s="177">
        <f>'All Fleet'!FJ46</f>
        <v>0.88131410256410259</v>
      </c>
      <c r="FN15" s="177">
        <f>'All Fleet'!FK46</f>
        <v>0.88979166666666665</v>
      </c>
      <c r="FO15" s="177">
        <f>'All Fleet'!FL46</f>
        <v>0.89713888888888893</v>
      </c>
      <c r="FP15" s="177">
        <f>'All Fleet'!FM46</f>
        <v>0.90356770833333333</v>
      </c>
      <c r="FQ15" s="177">
        <f>'All Fleet'!FN46</f>
        <v>0.90924019607843132</v>
      </c>
      <c r="FR15" s="177">
        <f>'All Fleet'!FO46</f>
        <v>0.9142824074074074</v>
      </c>
      <c r="FS15" s="177">
        <f>'All Fleet'!FP46</f>
        <v>0.91879385964912275</v>
      </c>
      <c r="FT15" s="177">
        <f>'All Fleet'!FQ46</f>
        <v>0.92285416666666664</v>
      </c>
      <c r="FU15" s="177">
        <f>'All Fleet'!FR46</f>
        <v>0.92652777777777773</v>
      </c>
      <c r="FV15" s="177">
        <f>'All Fleet'!FS46</f>
        <v>0.9298674242424243</v>
      </c>
      <c r="FW15" s="177">
        <f>'All Fleet'!FT46</f>
        <v>0.93291666666666662</v>
      </c>
      <c r="FX15" s="177">
        <f>'All Fleet'!FU46</f>
        <v>0.93571180555555555</v>
      </c>
      <c r="FY15" s="177">
        <f>'All Fleet'!FV46</f>
        <v>0.93828333333333336</v>
      </c>
      <c r="FZ15" s="177">
        <f>'All Fleet'!FW46</f>
        <v>0.93128205128205133</v>
      </c>
      <c r="GA15" s="177">
        <f>'All Fleet'!FX46</f>
        <v>0.93382716049382719</v>
      </c>
      <c r="GB15" s="177">
        <f>'All Fleet'!FY46</f>
        <v>0.93619047619047624</v>
      </c>
      <c r="GC15" s="177">
        <f>'All Fleet'!FZ46</f>
        <v>0.93813218390804598</v>
      </c>
      <c r="GD15" s="177">
        <f>'All Fleet'!GA46</f>
        <v>0.94019444444444444</v>
      </c>
      <c r="GE15" s="177">
        <f>'All Fleet'!GB46</f>
        <v>1</v>
      </c>
      <c r="GF15" s="177">
        <f>'All Fleet'!GC46</f>
        <v>1</v>
      </c>
      <c r="GG15" s="177">
        <f>'All Fleet'!GD46</f>
        <v>1</v>
      </c>
      <c r="GH15" s="177">
        <f>'All Fleet'!GE46</f>
        <v>0.98052083333333329</v>
      </c>
      <c r="GI15" s="177">
        <f>'All Fleet'!GF46</f>
        <v>0.98441666666666672</v>
      </c>
      <c r="GJ15" s="177">
        <f>'All Fleet'!GG46</f>
        <v>0.98701388888888886</v>
      </c>
      <c r="GK15" s="177">
        <f>'All Fleet'!GH46</f>
        <v>0.98886904761904759</v>
      </c>
      <c r="GL15" s="177">
        <f>'All Fleet'!GI46</f>
        <v>0.99026041666666664</v>
      </c>
      <c r="GM15" s="177">
        <f>'All Fleet'!GJ46</f>
        <v>0.99134259259259261</v>
      </c>
      <c r="GN15" s="177">
        <f>'All Fleet'!GK46</f>
        <v>0.99220833333333336</v>
      </c>
      <c r="GO15" s="177">
        <f>'All Fleet'!GL46</f>
        <v>0.99291666666666667</v>
      </c>
      <c r="GP15" s="177">
        <f>'All Fleet'!GM46</f>
        <v>0.99350694444444443</v>
      </c>
      <c r="GQ15" s="177">
        <f>'All Fleet'!GN46</f>
        <v>0.99400641025641023</v>
      </c>
      <c r="GR15" s="177">
        <f>'All Fleet'!GO46</f>
        <v>0.9944345238095238</v>
      </c>
      <c r="GS15" s="177">
        <f>'All Fleet'!GP46</f>
        <v>0.99480555555555561</v>
      </c>
      <c r="GT15" s="177">
        <f>'All Fleet'!GQ46</f>
        <v>0.98895833333333338</v>
      </c>
      <c r="GU15" s="177">
        <f>'All Fleet'!GR46</f>
        <v>0.97490196078431368</v>
      </c>
      <c r="GV15" s="177">
        <f>'All Fleet'!GS46</f>
        <v>0.97629629629629633</v>
      </c>
      <c r="GW15" s="177">
        <f>'All Fleet'!GT46</f>
        <v>0.96120614035087715</v>
      </c>
      <c r="GX15" s="177">
        <f>'All Fleet'!GU46</f>
        <v>0.96314583333333337</v>
      </c>
      <c r="GY15" s="177">
        <f>'All Fleet'!GV46</f>
        <v>0.66063492063492069</v>
      </c>
      <c r="GZ15" s="177">
        <f>'All Fleet'!GW46</f>
        <v>0.67606060606060603</v>
      </c>
      <c r="HA15" s="177">
        <f>'All Fleet'!GX46</f>
        <v>0.69014492753623191</v>
      </c>
      <c r="HB15" s="177">
        <f>'All Fleet'!GY46</f>
        <v>0.70305555555555554</v>
      </c>
      <c r="HC15" s="177">
        <f>'All Fleet'!GZ46</f>
        <v>0.71493333333333342</v>
      </c>
      <c r="HD15" s="177">
        <f>'All Fleet'!HA46</f>
        <v>0.72589743589743594</v>
      </c>
      <c r="HE15" s="177">
        <f>'All Fleet'!HB46</f>
        <v>0.5121296296296296</v>
      </c>
      <c r="HF15" s="177">
        <f>'All Fleet'!HC46</f>
        <v>0.52955357142857151</v>
      </c>
      <c r="HG15" s="177">
        <f>'All Fleet'!HD46</f>
        <v>0.54577586206896556</v>
      </c>
      <c r="HH15" s="177">
        <f>'All Fleet'!HE46</f>
        <v>0.56091666666666673</v>
      </c>
      <c r="HI15" s="177">
        <f>'All Fleet'!HF46</f>
        <v>0.57508064516129032</v>
      </c>
      <c r="HJ15" s="177">
        <f>'All Fleet'!HG46</f>
        <v>1</v>
      </c>
      <c r="HK15" s="177">
        <f>'All Fleet'!HH46</f>
        <v>1</v>
      </c>
      <c r="HL15" s="177">
        <f>'All Fleet'!HI46</f>
        <v>1</v>
      </c>
      <c r="HM15" s="177">
        <f>'All Fleet'!HJ46</f>
        <v>1</v>
      </c>
      <c r="HN15" s="177">
        <f>'All Fleet'!HK46</f>
        <v>0.99146527777777782</v>
      </c>
      <c r="HO15" s="177">
        <f>'All Fleet'!HL46</f>
        <v>0.99288773148148146</v>
      </c>
      <c r="HP15" s="177">
        <f>'All Fleet'!HM46</f>
        <v>0.9729794973544974</v>
      </c>
      <c r="HQ15" s="177">
        <f>'All Fleet'!HN46</f>
        <v>0.97083478009259261</v>
      </c>
      <c r="HR15" s="177">
        <f>'All Fleet'!HO46</f>
        <v>0.97407536008230455</v>
      </c>
      <c r="HS15" s="177">
        <f>'All Fleet'!HP46</f>
        <v>0.97666782407407404</v>
      </c>
      <c r="HT15" s="177">
        <f>'All Fleet'!HQ46</f>
        <v>0.97878893097643094</v>
      </c>
      <c r="HU15" s="177">
        <f>'All Fleet'!HR46</f>
        <v>0.98055652006172844</v>
      </c>
      <c r="HV15" s="177">
        <f>'All Fleet'!HS46</f>
        <v>0.90052439458689459</v>
      </c>
      <c r="HW15" s="177">
        <f>'All Fleet'!HT46</f>
        <v>0.8362012235449735</v>
      </c>
      <c r="HX15" s="177">
        <f>'All Fleet'!HU46</f>
        <v>0.78045447530864198</v>
      </c>
      <c r="HY15" s="177">
        <f>'All Fleet'!HV46</f>
        <v>0.74139756944444435</v>
      </c>
      <c r="HZ15" s="177">
        <f>'All Fleet'!HW46</f>
        <v>0.75532883986928101</v>
      </c>
      <c r="IA15" s="177">
        <f>'All Fleet'!HX46</f>
        <v>0.76892168209876544</v>
      </c>
      <c r="IB15" s="177">
        <f>'All Fleet'!HY46</f>
        <v>0.77321454678362578</v>
      </c>
      <c r="IC15" s="177">
        <f>'All Fleet'!HZ46</f>
        <v>0.78455381944444447</v>
      </c>
      <c r="ID15" s="177">
        <f>'All Fleet'!IA46</f>
        <v>0.79481316137566138</v>
      </c>
      <c r="IE15" s="177">
        <f>'All Fleet'!IB46</f>
        <v>0.79846327861952859</v>
      </c>
      <c r="IF15" s="177">
        <f>'All Fleet'!IC46</f>
        <v>0.80722574476650566</v>
      </c>
      <c r="IG15" s="177">
        <f>'All Fleet'!ID46</f>
        <v>0.66833092206790123</v>
      </c>
      <c r="IH15" s="177">
        <f>'All Fleet'!IE46</f>
        <v>0.68159768518518526</v>
      </c>
      <c r="II15" s="177">
        <f>'All Fleet'!IF46</f>
        <v>0.69384392806267803</v>
      </c>
      <c r="IJ15" s="177">
        <f>'All Fleet'!IG46</f>
        <v>0.70518304183813441</v>
      </c>
      <c r="IK15" s="177">
        <f>'All Fleet'!IH46</f>
        <v>0.71196221891534384</v>
      </c>
      <c r="IL15" s="177">
        <f>'All Fleet'!II46</f>
        <v>0.72189455619412513</v>
      </c>
      <c r="IM15" s="177">
        <f>'All Fleet'!IJ46</f>
        <v>0.731164737654321</v>
      </c>
      <c r="IN15" s="177">
        <f>'All Fleet'!IK46</f>
        <v>0.73983684289127838</v>
      </c>
      <c r="IO15" s="177">
        <f>'All Fleet'!IL46</f>
        <v>1</v>
      </c>
      <c r="IP15" s="177">
        <f>'All Fleet'!IM46</f>
        <v>1</v>
      </c>
      <c r="IQ15" s="177">
        <f>'All Fleet'!IN46</f>
        <v>1</v>
      </c>
      <c r="IR15" s="177">
        <f>'All Fleet'!IO46</f>
        <v>0.97267361111111117</v>
      </c>
      <c r="IS15" s="177">
        <f>'All Fleet'!IP46</f>
        <v>0.97813888888888889</v>
      </c>
      <c r="IT15" s="177">
        <f>'All Fleet'!IQ46</f>
        <v>0.98178240740740741</v>
      </c>
      <c r="IU15" s="177">
        <f>'All Fleet'!IR46</f>
        <v>0.84152777777777776</v>
      </c>
      <c r="IV15" s="177">
        <f>'All Fleet'!IS46</f>
        <v>0.73633680555555547</v>
      </c>
      <c r="IW15" s="177">
        <f>'All Fleet'!IT46</f>
        <v>0.65452160493827161</v>
      </c>
      <c r="IX15" s="177">
        <f>'All Fleet'!IU46</f>
        <v>0.66011921296296294</v>
      </c>
      <c r="IY15" s="177">
        <f>'All Fleet'!IV46</f>
        <v>0.6910174663299663</v>
      </c>
      <c r="IZ15" s="177">
        <f>'All Fleet'!IW46</f>
        <v>0.71676601080246916</v>
      </c>
      <c r="JA15" s="177">
        <f>'All Fleet'!IX46</f>
        <v>0.73855324074074069</v>
      </c>
      <c r="JB15" s="177">
        <f>'All Fleet'!IY46</f>
        <v>0.74640624999999994</v>
      </c>
      <c r="JC15" s="177">
        <f>'All Fleet'!IZ46</f>
        <v>0.76331250000000006</v>
      </c>
      <c r="JD15" s="177">
        <f>'All Fleet'!JA46</f>
        <v>0.77795138888888893</v>
      </c>
      <c r="JE15" s="177">
        <f>'All Fleet'!JB46</f>
        <v>0.7910130718954248</v>
      </c>
      <c r="JF15" s="177">
        <f>'All Fleet'!JC46</f>
        <v>0.80245820473251028</v>
      </c>
      <c r="JG15" s="177">
        <f>'All Fleet'!JD46</f>
        <v>0.81285514132553605</v>
      </c>
      <c r="JH15" s="177">
        <f>'All Fleet'!JE46</f>
        <v>0.82221238425925924</v>
      </c>
      <c r="JI15" s="177">
        <f>'All Fleet'!JF46</f>
        <v>0.83067846119929456</v>
      </c>
      <c r="JJ15" s="177">
        <f>'All Fleet'!JG46</f>
        <v>0.8383748947811448</v>
      </c>
      <c r="JK15" s="177">
        <f>'All Fleet'!JH46</f>
        <v>0.83767914653784215</v>
      </c>
      <c r="JL15" s="177">
        <f>'All Fleet'!JI46</f>
        <v>0.84442708333333338</v>
      </c>
      <c r="JM15" s="177">
        <f>'All Fleet'!JJ46</f>
        <v>0.85065000000000002</v>
      </c>
      <c r="JN15" s="177">
        <f>'All Fleet'!JK46</f>
        <v>0.85089521011396008</v>
      </c>
      <c r="JO15" s="177">
        <f>'All Fleet'!JL46</f>
        <v>0.84900634430727018</v>
      </c>
      <c r="JP15" s="177">
        <f>'All Fleet'!JM46</f>
        <v>0.84926504629629629</v>
      </c>
      <c r="JQ15" s="177">
        <f>'All Fleet'!JN46</f>
        <v>0.8538593550446999</v>
      </c>
      <c r="JR15" s="177">
        <f>'All Fleet'!JO46</f>
        <v>0.85734182098765432</v>
      </c>
      <c r="JS15" s="177">
        <f>'All Fleet'!JP46</f>
        <v>0.95833333333333337</v>
      </c>
      <c r="JT15" s="177">
        <f>'All Fleet'!JQ46</f>
        <v>0.95437499999999997</v>
      </c>
      <c r="JU15" s="177">
        <f>'All Fleet'!JR46</f>
        <v>0.9556944444444444</v>
      </c>
      <c r="JV15" s="177">
        <f>'All Fleet'!JS46</f>
        <v>0.8761458333333334</v>
      </c>
      <c r="JW15" s="177">
        <f>'All Fleet'!JT46</f>
        <v>0.87550000000000006</v>
      </c>
      <c r="JX15" s="177">
        <f>'All Fleet'!JU46</f>
        <v>0.89624999999999999</v>
      </c>
      <c r="JY15" s="177">
        <f>'All Fleet'!JV46</f>
        <v>0.9051190476190476</v>
      </c>
      <c r="JZ15" s="177">
        <f>'All Fleet'!JW46</f>
        <v>0.91697916666666668</v>
      </c>
      <c r="KA15" s="177">
        <f>'All Fleet'!JX46</f>
        <v>0.92620370370370375</v>
      </c>
      <c r="KB15" s="177">
        <f>'All Fleet'!JY46</f>
        <v>0.93358333333333332</v>
      </c>
      <c r="KC15" s="177">
        <f>'All Fleet'!JZ46</f>
        <v>0.93962121212121208</v>
      </c>
      <c r="KD15" s="177">
        <f>'All Fleet'!KA46</f>
        <v>0.94465277777777779</v>
      </c>
      <c r="KE15" s="177">
        <f>'All Fleet'!KB46</f>
        <v>0.94891025641025639</v>
      </c>
      <c r="KF15" s="177">
        <f>'All Fleet'!KC46</f>
        <v>0.9525595238095238</v>
      </c>
      <c r="KG15" s="177">
        <f>'All Fleet'!KD46</f>
        <v>0.95572222222222225</v>
      </c>
      <c r="KH15" s="177">
        <f>'All Fleet'!KE46</f>
        <v>0.95848958333333334</v>
      </c>
      <c r="KI15" s="177">
        <f>'All Fleet'!KF46</f>
        <v>0.96093137254901961</v>
      </c>
      <c r="KJ15" s="177">
        <f>'All Fleet'!KG46</f>
        <v>0.96310185185185182</v>
      </c>
      <c r="KK15" s="177">
        <f>'All Fleet'!KH46</f>
        <v>0.96504385964912287</v>
      </c>
      <c r="KL15" s="177">
        <f>'All Fleet'!KI46</f>
        <v>0.96679166666666672</v>
      </c>
      <c r="KM15" s="177">
        <f>'All Fleet'!KJ46</f>
        <v>0.96837301587301583</v>
      </c>
      <c r="KN15" s="177">
        <f>'All Fleet'!KK46</f>
        <v>0.9698106060606061</v>
      </c>
      <c r="KO15" s="177">
        <f>'All Fleet'!KL46</f>
        <v>0.97112318840579714</v>
      </c>
      <c r="KP15" s="177">
        <f>'All Fleet'!KM46</f>
        <v>0.97232638888888889</v>
      </c>
      <c r="KQ15" s="177">
        <f>'All Fleet'!KN46</f>
        <v>0.97343333333333337</v>
      </c>
      <c r="KR15" s="177">
        <f>'All Fleet'!KO46</f>
        <v>0.97445512820512825</v>
      </c>
      <c r="KS15" s="177">
        <f>'All Fleet'!KP46</f>
        <v>0.97540123456790129</v>
      </c>
      <c r="KT15" s="177">
        <f>'All Fleet'!KQ46</f>
        <v>0.97627976190476196</v>
      </c>
      <c r="KU15" s="177">
        <f>'All Fleet'!KR46</f>
        <v>0.97709770114942529</v>
      </c>
      <c r="KV15" s="177">
        <f>'All Fleet'!KS46</f>
        <v>0.97786111111111107</v>
      </c>
      <c r="KW15" s="177">
        <f>'All Fleet'!KT46</f>
        <v>0.97857526881720436</v>
      </c>
      <c r="KX15" s="177" t="str">
        <f>'All Fleet'!KU46</f>
        <v/>
      </c>
      <c r="KY15" s="177" t="str">
        <f>'All Fleet'!KV46</f>
        <v/>
      </c>
      <c r="KZ15" s="177" t="str">
        <f>'All Fleet'!KW46</f>
        <v/>
      </c>
      <c r="LA15" s="177" t="str">
        <f>'All Fleet'!KX46</f>
        <v/>
      </c>
      <c r="LB15" s="177" t="str">
        <f>'All Fleet'!KY46</f>
        <v/>
      </c>
      <c r="LC15" s="177" t="str">
        <f>'All Fleet'!KZ46</f>
        <v/>
      </c>
      <c r="LD15" s="177" t="str">
        <f>'All Fleet'!LA46</f>
        <v/>
      </c>
      <c r="LE15" s="177" t="str">
        <f>'All Fleet'!LB46</f>
        <v/>
      </c>
      <c r="LF15" s="177" t="str">
        <f>'All Fleet'!LC46</f>
        <v/>
      </c>
      <c r="LG15" s="177" t="str">
        <f>'All Fleet'!LD46</f>
        <v/>
      </c>
      <c r="LH15" s="177" t="str">
        <f>'All Fleet'!LE46</f>
        <v/>
      </c>
      <c r="LI15" s="177" t="str">
        <f>'All Fleet'!LF46</f>
        <v/>
      </c>
      <c r="LJ15" s="177" t="str">
        <f>'All Fleet'!LG46</f>
        <v/>
      </c>
      <c r="LK15" s="177" t="str">
        <f>'All Fleet'!LH46</f>
        <v/>
      </c>
      <c r="LL15" s="177" t="str">
        <f>'All Fleet'!LI46</f>
        <v/>
      </c>
      <c r="LM15" s="177" t="str">
        <f>'All Fleet'!LJ46</f>
        <v/>
      </c>
      <c r="LN15" s="177" t="str">
        <f>'All Fleet'!LK46</f>
        <v/>
      </c>
      <c r="LO15" s="177" t="str">
        <f>'All Fleet'!LL46</f>
        <v/>
      </c>
      <c r="LP15" s="177" t="str">
        <f>'All Fleet'!LM46</f>
        <v/>
      </c>
      <c r="LQ15" s="177" t="str">
        <f>'All Fleet'!LN46</f>
        <v/>
      </c>
      <c r="LR15" s="177" t="str">
        <f>'All Fleet'!LO46</f>
        <v/>
      </c>
      <c r="LS15" s="177" t="str">
        <f>'All Fleet'!LP46</f>
        <v/>
      </c>
      <c r="LT15" s="177" t="str">
        <f>'All Fleet'!LQ46</f>
        <v/>
      </c>
      <c r="LU15" s="177" t="str">
        <f>'All Fleet'!LR46</f>
        <v/>
      </c>
      <c r="LV15" s="177" t="str">
        <f>'All Fleet'!LS46</f>
        <v/>
      </c>
      <c r="LW15" s="177" t="str">
        <f>'All Fleet'!LT46</f>
        <v/>
      </c>
      <c r="LX15" s="177" t="str">
        <f>'All Fleet'!LU46</f>
        <v/>
      </c>
      <c r="LY15" s="177" t="str">
        <f>'All Fleet'!LV46</f>
        <v/>
      </c>
      <c r="LZ15" s="177" t="str">
        <f>'All Fleet'!LW46</f>
        <v/>
      </c>
      <c r="MA15" s="177" t="str">
        <f>'All Fleet'!LX46</f>
        <v/>
      </c>
      <c r="MB15" s="177" t="str">
        <f>'All Fleet'!LY46</f>
        <v/>
      </c>
      <c r="MC15" s="177" t="str">
        <f>'All Fleet'!LZ46</f>
        <v/>
      </c>
      <c r="MD15" s="177" t="str">
        <f>'All Fleet'!MA46</f>
        <v/>
      </c>
      <c r="ME15" s="177" t="str">
        <f>'All Fleet'!MB46</f>
        <v/>
      </c>
      <c r="MF15" s="177" t="str">
        <f>'All Fleet'!MC46</f>
        <v/>
      </c>
      <c r="MG15" s="177" t="str">
        <f>'All Fleet'!MD46</f>
        <v/>
      </c>
      <c r="MH15" s="177" t="str">
        <f>'All Fleet'!ME46</f>
        <v/>
      </c>
      <c r="MI15" s="177" t="str">
        <f>'All Fleet'!MF46</f>
        <v/>
      </c>
      <c r="MJ15" s="177" t="str">
        <f>'All Fleet'!MG46</f>
        <v/>
      </c>
      <c r="MK15" s="177" t="str">
        <f>'All Fleet'!MH46</f>
        <v/>
      </c>
      <c r="ML15" s="177" t="str">
        <f>'All Fleet'!MI46</f>
        <v/>
      </c>
      <c r="MM15" s="177" t="str">
        <f>'All Fleet'!MJ46</f>
        <v/>
      </c>
      <c r="MN15" s="177" t="str">
        <f>'All Fleet'!MK46</f>
        <v/>
      </c>
      <c r="MO15" s="177" t="str">
        <f>'All Fleet'!ML46</f>
        <v/>
      </c>
      <c r="MP15" s="177" t="str">
        <f>'All Fleet'!MM46</f>
        <v/>
      </c>
      <c r="MQ15" s="177" t="str">
        <f>'All Fleet'!MN46</f>
        <v/>
      </c>
      <c r="MR15" s="177" t="str">
        <f>'All Fleet'!MO46</f>
        <v/>
      </c>
      <c r="MS15" s="177" t="str">
        <f>'All Fleet'!MP46</f>
        <v/>
      </c>
      <c r="MT15" s="177" t="str">
        <f>'All Fleet'!MQ46</f>
        <v/>
      </c>
      <c r="MU15" s="177" t="str">
        <f>'All Fleet'!MR46</f>
        <v/>
      </c>
      <c r="MV15" s="177" t="str">
        <f>'All Fleet'!MS46</f>
        <v/>
      </c>
      <c r="MW15" s="177" t="str">
        <f>'All Fleet'!MT46</f>
        <v/>
      </c>
      <c r="MX15" s="177" t="str">
        <f>'All Fleet'!MU46</f>
        <v/>
      </c>
      <c r="MY15" s="177" t="str">
        <f>'All Fleet'!MV46</f>
        <v/>
      </c>
      <c r="MZ15" s="177" t="str">
        <f>'All Fleet'!MW46</f>
        <v/>
      </c>
      <c r="NA15" s="177" t="str">
        <f>'All Fleet'!MX46</f>
        <v/>
      </c>
      <c r="NB15" s="177" t="str">
        <f>'All Fleet'!MY46</f>
        <v/>
      </c>
      <c r="NC15" s="177" t="str">
        <f>'All Fleet'!MZ46</f>
        <v/>
      </c>
      <c r="ND15" s="177" t="str">
        <f>'All Fleet'!NA46</f>
        <v/>
      </c>
      <c r="NE15" s="177" t="str">
        <f>'All Fleet'!NB46</f>
        <v/>
      </c>
      <c r="NF15" s="177" t="str">
        <f>'All Fleet'!NC46</f>
        <v/>
      </c>
      <c r="NG15" s="177" t="str">
        <f>'All Fleet'!ND46</f>
        <v/>
      </c>
      <c r="NH15" s="177" t="str">
        <f>'All Fleet'!NE46</f>
        <v/>
      </c>
      <c r="NI15" s="177" t="str">
        <f>'All Fleet'!NF46</f>
        <v/>
      </c>
      <c r="NJ15" s="177" t="str">
        <f>'All Fleet'!NG46</f>
        <v/>
      </c>
      <c r="NK15" s="177" t="str">
        <f>'All Fleet'!NH46</f>
        <v/>
      </c>
      <c r="NL15" s="177" t="str">
        <f>'All Fleet'!NI46</f>
        <v/>
      </c>
      <c r="NM15" s="177" t="str">
        <f>'All Fleet'!NJ46</f>
        <v/>
      </c>
      <c r="NN15" s="177" t="str">
        <f>'All Fleet'!NK46</f>
        <v/>
      </c>
      <c r="NO15" s="177" t="str">
        <f>'All Fleet'!NL46</f>
        <v/>
      </c>
      <c r="NP15" s="177" t="str">
        <f>'All Fleet'!NM46</f>
        <v/>
      </c>
      <c r="NQ15" s="177" t="str">
        <f>'All Fleet'!NN46</f>
        <v/>
      </c>
      <c r="NR15" s="177" t="str">
        <f>'All Fleet'!NO46</f>
        <v/>
      </c>
      <c r="NS15" s="177" t="str">
        <f>'All Fleet'!NP46</f>
        <v/>
      </c>
      <c r="NT15" s="177" t="str">
        <f>'All Fleet'!NQ46</f>
        <v/>
      </c>
      <c r="NU15" s="177" t="str">
        <f>'All Fleet'!NR46</f>
        <v/>
      </c>
      <c r="NV15" s="177" t="str">
        <f>'All Fleet'!NS46</f>
        <v/>
      </c>
      <c r="NW15" s="177" t="str">
        <f>'All Fleet'!NT46</f>
        <v/>
      </c>
      <c r="NX15" s="177" t="str">
        <f>'All Fleet'!NU46</f>
        <v/>
      </c>
      <c r="NY15" s="177" t="str">
        <f>'All Fleet'!NV46</f>
        <v/>
      </c>
      <c r="NZ15" s="177" t="str">
        <f>'All Fleet'!NW46</f>
        <v/>
      </c>
      <c r="OA15" s="177" t="str">
        <f>'All Fleet'!NX46</f>
        <v/>
      </c>
      <c r="OB15" s="177" t="str">
        <f>'All Fleet'!NY46</f>
        <v/>
      </c>
      <c r="OC15" s="177" t="str">
        <f>'All Fleet'!NZ46</f>
        <v/>
      </c>
      <c r="OD15" s="177" t="str">
        <f>'All Fleet'!OA46</f>
        <v/>
      </c>
      <c r="OE15" s="177" t="str">
        <f>'All Fleet'!OB46</f>
        <v/>
      </c>
      <c r="OF15" s="177" t="str">
        <f>'All Fleet'!OC46</f>
        <v/>
      </c>
      <c r="OG15" s="177" t="str">
        <f>'All Fleet'!OD46</f>
        <v/>
      </c>
      <c r="OH15" s="177" t="str">
        <f>'All Fleet'!OE46</f>
        <v/>
      </c>
      <c r="OI15" s="177" t="str">
        <f>'All Fleet'!OF46</f>
        <v/>
      </c>
      <c r="OJ15" s="177" t="str">
        <f>'All Fleet'!OG46</f>
        <v/>
      </c>
      <c r="OK15" s="177" t="str">
        <f>'All Fleet'!OH46</f>
        <v/>
      </c>
      <c r="OL15" s="177" t="str">
        <f>'All Fleet'!OI46</f>
        <v/>
      </c>
      <c r="OM15" s="177" t="str">
        <f>'All Fleet'!OJ46</f>
        <v/>
      </c>
      <c r="ON15" s="177" t="str">
        <f>'All Fleet'!OK46</f>
        <v/>
      </c>
      <c r="OO15" s="177" t="str">
        <f>'All Fleet'!OL46</f>
        <v/>
      </c>
      <c r="OP15" s="177" t="str">
        <f>'All Fleet'!OM46</f>
        <v/>
      </c>
      <c r="OQ15" s="177" t="str">
        <f>'All Fleet'!ON46</f>
        <v/>
      </c>
      <c r="OR15" s="177" t="str">
        <f>'All Fleet'!OO46</f>
        <v/>
      </c>
      <c r="OS15" s="177" t="str">
        <f>'All Fleet'!OP46</f>
        <v/>
      </c>
      <c r="OT15" s="177" t="str">
        <f>'All Fleet'!OQ46</f>
        <v/>
      </c>
      <c r="OU15" s="177" t="str">
        <f>'All Fleet'!OR46</f>
        <v/>
      </c>
      <c r="OV15" s="177" t="str">
        <f>'All Fleet'!OS46</f>
        <v/>
      </c>
      <c r="OW15" s="177" t="str">
        <f>'All Fleet'!OT46</f>
        <v/>
      </c>
      <c r="OX15" s="177" t="str">
        <f>'All Fleet'!OU46</f>
        <v/>
      </c>
      <c r="OY15" s="177" t="str">
        <f>'All Fleet'!OV46</f>
        <v/>
      </c>
      <c r="OZ15" s="178" t="str">
        <f>'All Fleet'!OW46</f>
        <v/>
      </c>
    </row>
    <row r="16" spans="1:416" s="168" customFormat="1" ht="15" customHeight="1" x14ac:dyDescent="0.2">
      <c r="A16" s="138" t="b">
        <f t="shared" si="376"/>
        <v>1</v>
      </c>
      <c r="B16" s="139">
        <v>13</v>
      </c>
      <c r="C16" s="153" t="str">
        <f t="shared" si="377"/>
        <v>Mechanical Availability</v>
      </c>
      <c r="D16" s="154" t="str">
        <f t="shared" ref="D16:D17" si="381">D15</f>
        <v>777 Optiload</v>
      </c>
      <c r="E16" s="190" t="s">
        <v>84</v>
      </c>
      <c r="F16" s="155">
        <f>IF('All Fleet'!C60="","",'All Fleet'!C60)</f>
        <v>1</v>
      </c>
      <c r="G16" s="155">
        <f>IF('All Fleet'!D60="","",'All Fleet'!D60)</f>
        <v>1</v>
      </c>
      <c r="H16" s="155">
        <f>IF('All Fleet'!E60="","",'All Fleet'!E60)</f>
        <v>0.94374999999999998</v>
      </c>
      <c r="I16" s="155">
        <f>IF('All Fleet'!F60="","",'All Fleet'!F60)</f>
        <v>0.95781249999999996</v>
      </c>
      <c r="J16" s="155">
        <f>IF('All Fleet'!G60="","",'All Fleet'!G60)</f>
        <v>0.96624999999999994</v>
      </c>
      <c r="K16" s="155">
        <f>IF('All Fleet'!H60="","",'All Fleet'!H60)</f>
        <v>0.94256944444444446</v>
      </c>
      <c r="L16" s="155">
        <f>IF('All Fleet'!I60="","",'All Fleet'!I60)</f>
        <v>0.8923214285714286</v>
      </c>
      <c r="M16" s="155">
        <f>IF('All Fleet'!J60="","",'All Fleet'!J60)</f>
        <v>0.81125000000000003</v>
      </c>
      <c r="N16" s="155">
        <f>IF('All Fleet'!K60="","",'All Fleet'!K60)</f>
        <v>0.8322222222222222</v>
      </c>
      <c r="O16" s="155">
        <f>IF('All Fleet'!L60="","",'All Fleet'!L60)</f>
        <v>0.84899999999999998</v>
      </c>
      <c r="P16" s="155">
        <f>IF('All Fleet'!M60="","",'All Fleet'!M60)</f>
        <v>0.64329545454545456</v>
      </c>
      <c r="Q16" s="155">
        <f>IF('All Fleet'!N60="","",'All Fleet'!N60)</f>
        <v>0.6730208333333334</v>
      </c>
      <c r="R16" s="155">
        <f>IF('All Fleet'!O60="","",'All Fleet'!O60)</f>
        <v>0.69817307692307695</v>
      </c>
      <c r="S16" s="155">
        <f>IF('All Fleet'!P60="","",'All Fleet'!P60)</f>
        <v>0.68616071428571423</v>
      </c>
      <c r="T16" s="155">
        <f>IF('All Fleet'!Q60="","",'All Fleet'!Q60)</f>
        <v>0.66452777777777783</v>
      </c>
      <c r="U16" s="155">
        <f>IF('All Fleet'!R60="","",'All Fleet'!R60)</f>
        <v>0.68549479166666671</v>
      </c>
      <c r="V16" s="155">
        <f>IF('All Fleet'!S60="","",'All Fleet'!S60)</f>
        <v>0.70399509803921567</v>
      </c>
      <c r="W16" s="155">
        <f>IF('All Fleet'!T60="","",'All Fleet'!T60)</f>
        <v>0.70185185185185184</v>
      </c>
      <c r="X16" s="155">
        <f>IF('All Fleet'!U60="","",'All Fleet'!U60)</f>
        <v>0.70043859649122808</v>
      </c>
      <c r="Y16" s="155">
        <f>IF('All Fleet'!V60="","",'All Fleet'!V60)</f>
        <v>0.70937499999999987</v>
      </c>
      <c r="Z16" s="155">
        <f>IF('All Fleet'!W60="","",'All Fleet'!W60)</f>
        <v>0.71884920634920624</v>
      </c>
      <c r="AA16" s="155">
        <f>IF('All Fleet'!X60="","",'All Fleet'!X60)</f>
        <v>0.72969696969696962</v>
      </c>
      <c r="AB16" s="155">
        <f>IF('All Fleet'!Y60="","",'All Fleet'!Y60)</f>
        <v>0.73827898550724635</v>
      </c>
      <c r="AC16" s="155">
        <f>IF('All Fleet'!Z60="","",'All Fleet'!Z60)</f>
        <v>0.74918402777777771</v>
      </c>
      <c r="AD16" s="155">
        <f>IF('All Fleet'!AA60="","",'All Fleet'!AA60)</f>
        <v>0.75921666666666665</v>
      </c>
      <c r="AE16" s="155">
        <f>IF('All Fleet'!AB60="","",'All Fleet'!AB60)</f>
        <v>0.76847756410256407</v>
      </c>
      <c r="AF16" s="155">
        <f>IF('All Fleet'!AC60="","",'All Fleet'!AC60)</f>
        <v>0.77705246913580239</v>
      </c>
      <c r="AG16" s="155">
        <f>IF('All Fleet'!AD60="","",'All Fleet'!AD60)</f>
        <v>0.78501488095238092</v>
      </c>
      <c r="AH16" s="155">
        <f>IF('All Fleet'!AE60="","",'All Fleet'!AE60)</f>
        <v>0.79242816091954016</v>
      </c>
      <c r="AI16" s="155">
        <f>IF('All Fleet'!AF60="","",'All Fleet'!AF60)</f>
        <v>0.79934722222222221</v>
      </c>
      <c r="AJ16" s="155">
        <f>IF('All Fleet'!AG60="","",'All Fleet'!AG60)</f>
        <v>0.80408602150537634</v>
      </c>
      <c r="AK16" s="155">
        <f>IF('All Fleet'!AH60="","",'All Fleet'!AH60)</f>
        <v>0.80190104166666665</v>
      </c>
      <c r="AL16" s="155">
        <f>IF('All Fleet'!AI60="","",'All Fleet'!AI60)</f>
        <v>0.8079040404040404</v>
      </c>
      <c r="AM16" s="155">
        <f>IF('All Fleet'!AJ60="","",'All Fleet'!AJ60)</f>
        <v>0.81355392156862738</v>
      </c>
      <c r="AN16" s="155">
        <f>IF('All Fleet'!AK60="","",'All Fleet'!AK60)</f>
        <v>0.81888095238095238</v>
      </c>
      <c r="AO16" s="155">
        <f>IF('All Fleet'!AL60="","",'All Fleet'!AL60)</f>
        <v>0.82391203703703697</v>
      </c>
      <c r="AP16" s="155">
        <f>IF('All Fleet'!AM60="","",'All Fleet'!AM60)</f>
        <v>0.82867117117117117</v>
      </c>
      <c r="AQ16" s="155">
        <f>IF('All Fleet'!AN60="","",'All Fleet'!AN60)</f>
        <v>0.83116228070175435</v>
      </c>
      <c r="AR16" s="155">
        <f>IF('All Fleet'!AO60="","",'All Fleet'!AO60)</f>
        <v>0.835491452991453</v>
      </c>
      <c r="AS16" s="155">
        <f>IF('All Fleet'!AP60="","",'All Fleet'!AP60)</f>
        <v>0.83960416666666671</v>
      </c>
      <c r="AT16" s="155">
        <f>IF('All Fleet'!AQ60="","",'All Fleet'!AQ60)</f>
        <v>0.84176829268292686</v>
      </c>
      <c r="AU16" s="155">
        <f>IF('All Fleet'!AR60="","",'All Fleet'!AR60)</f>
        <v>0.84553571428571428</v>
      </c>
      <c r="AV16" s="155">
        <f>IF('All Fleet'!AS60="","",'All Fleet'!AS60)</f>
        <v>0.84912790697674412</v>
      </c>
      <c r="AW16" s="155">
        <f>IF('All Fleet'!AT60="","",'All Fleet'!AT60)</f>
        <v>0.85255681818181817</v>
      </c>
      <c r="AX16" s="155">
        <f>IF('All Fleet'!AU60="","",'All Fleet'!AU60)</f>
        <v>0.85583333333333333</v>
      </c>
      <c r="AY16" s="155">
        <f>IF('All Fleet'!AV60="","",'All Fleet'!AV60)</f>
        <v>0.85896739130434785</v>
      </c>
      <c r="AZ16" s="155">
        <f>IF('All Fleet'!AW60="","",'All Fleet'!AW60)</f>
        <v>0.8619680851063829</v>
      </c>
      <c r="BA16" s="155">
        <f>IF('All Fleet'!AX60="","",'All Fleet'!AX60)</f>
        <v>0.86484375000000002</v>
      </c>
      <c r="BB16" s="155">
        <f>IF('All Fleet'!AY60="","",'All Fleet'!AY60)</f>
        <v>0.86760204081632653</v>
      </c>
      <c r="BC16" s="155">
        <f>IF('All Fleet'!AZ60="","",'All Fleet'!AZ60)</f>
        <v>0.87024999999999997</v>
      </c>
      <c r="BD16" s="155">
        <f>IF('All Fleet'!BA60="","",'All Fleet'!BA60)</f>
        <v>0.86388888888888893</v>
      </c>
      <c r="BE16" s="155">
        <f>IF('All Fleet'!BB60="","",'All Fleet'!BB60)</f>
        <v>0.86650641025641018</v>
      </c>
      <c r="BF16" s="155">
        <f>IF('All Fleet'!BC60="","",'All Fleet'!BC60)</f>
        <v>0.86902515723270435</v>
      </c>
      <c r="BG16" s="155">
        <f>IF('All Fleet'!BD60="","",'All Fleet'!BD60)</f>
        <v>0.86815586419753088</v>
      </c>
      <c r="BH16" s="155">
        <f>IF('All Fleet'!BE60="","",'All Fleet'!BE60)</f>
        <v>0.87055303030303022</v>
      </c>
      <c r="BI16" s="155">
        <f>IF('All Fleet'!BF60="","",'All Fleet'!BF60)</f>
        <v>0.87286458333333328</v>
      </c>
      <c r="BJ16" s="155">
        <f>IF('All Fleet'!BG60="","",'All Fleet'!BG60)</f>
        <v>0.87509502923976612</v>
      </c>
      <c r="BK16" s="155">
        <f>IF('All Fleet'!BH60="","",'All Fleet'!BH60)</f>
        <v>0.87724856321839084</v>
      </c>
      <c r="BL16" s="155">
        <f>IF('All Fleet'!BI60="","",'All Fleet'!BI60)</f>
        <v>0.87932909604519771</v>
      </c>
      <c r="BM16" s="155">
        <f>IF('All Fleet'!BJ60="","",'All Fleet'!BJ60)</f>
        <v>0.87675694444444441</v>
      </c>
      <c r="BN16" s="155">
        <f>IF('All Fleet'!BK60="","",'All Fleet'!BK60)</f>
        <v>0.87877732240437156</v>
      </c>
      <c r="BO16" s="155">
        <f>IF('All Fleet'!BL60="","",'All Fleet'!BL60)</f>
        <v>0.88000672043010753</v>
      </c>
      <c r="BP16" s="155">
        <f>IF('All Fleet'!BM60="","",'All Fleet'!BM60)</f>
        <v>0.87869047619047613</v>
      </c>
      <c r="BQ16" s="155">
        <f>IF('All Fleet'!BN60="","",'All Fleet'!BN60)</f>
        <v>0.88058593750000003</v>
      </c>
      <c r="BR16" s="155">
        <f>IF('All Fleet'!BO60="","",'All Fleet'!BO60)</f>
        <v>0.879301282051282</v>
      </c>
      <c r="BS16" s="155">
        <f>IF('All Fleet'!BP60="","",'All Fleet'!BP60)</f>
        <v>0.87742424242424244</v>
      </c>
      <c r="BT16" s="155">
        <f>IF('All Fleet'!BQ60="","",'All Fleet'!BQ60)</f>
        <v>0.87925373134328355</v>
      </c>
      <c r="BU16" s="155">
        <f>IF('All Fleet'!BR60="","",'All Fleet'!BR60)</f>
        <v>0.88102941176470584</v>
      </c>
      <c r="BV16" s="155">
        <f>IF('All Fleet'!BS60="","",'All Fleet'!BS60)</f>
        <v>0.88181763285024151</v>
      </c>
      <c r="BW16" s="155">
        <f>IF('All Fleet'!BT60="","",'All Fleet'!BT60)</f>
        <v>0.87182142857142852</v>
      </c>
      <c r="BX16" s="155">
        <f>IF('All Fleet'!BU60="","",'All Fleet'!BU60)</f>
        <v>0.87362676056338029</v>
      </c>
      <c r="BY16" s="155">
        <f>IF('All Fleet'!BV60="","",'All Fleet'!BV60)</f>
        <v>0.87538194444444439</v>
      </c>
      <c r="BZ16" s="155">
        <f>IF('All Fleet'!BW60="","",'All Fleet'!BW60)</f>
        <v>0.87708904109589036</v>
      </c>
      <c r="CA16" s="155">
        <f>IF('All Fleet'!BX60="","",'All Fleet'!BX60)</f>
        <v>0.87874999999999992</v>
      </c>
      <c r="CB16" s="155">
        <f>IF('All Fleet'!BY60="","",'All Fleet'!BY60)</f>
        <v>0.88036666666666663</v>
      </c>
      <c r="CC16" s="155">
        <f>IF('All Fleet'!BZ60="","",'All Fleet'!BZ60)</f>
        <v>0.88194078947368415</v>
      </c>
      <c r="CD16" s="155">
        <f>IF('All Fleet'!CA60="","",'All Fleet'!CA60)</f>
        <v>0.88347402597402591</v>
      </c>
      <c r="CE16" s="155">
        <f>IF('All Fleet'!CB60="","",'All Fleet'!CB60)</f>
        <v>0.8849679487179487</v>
      </c>
      <c r="CF16" s="155">
        <f>IF('All Fleet'!CC60="","",'All Fleet'!CC60)</f>
        <v>0.88642405063291141</v>
      </c>
      <c r="CG16" s="155">
        <f>IF('All Fleet'!CD60="","",'All Fleet'!CD60)</f>
        <v>0.88784374999999993</v>
      </c>
      <c r="CH16" s="155">
        <f>IF('All Fleet'!CE60="","",'All Fleet'!CE60)</f>
        <v>0.88922839506172835</v>
      </c>
      <c r="CI16" s="155">
        <f>IF('All Fleet'!CF60="","",'All Fleet'!CF60)</f>
        <v>0.8884451219512195</v>
      </c>
      <c r="CJ16" s="155">
        <f>IF('All Fleet'!CG60="","",'All Fleet'!CG60)</f>
        <v>0.88978915662650604</v>
      </c>
      <c r="CK16" s="155">
        <f>IF('All Fleet'!CH60="","",'All Fleet'!CH60)</f>
        <v>0.89110119047619041</v>
      </c>
      <c r="CL16" s="155">
        <f>IF('All Fleet'!CI60="","",'All Fleet'!CI60)</f>
        <v>0.8923823529411764</v>
      </c>
      <c r="CM16" s="155">
        <f>IF('All Fleet'!CJ60="","",'All Fleet'!CJ60)</f>
        <v>0.89363372093023252</v>
      </c>
      <c r="CN16" s="155">
        <f>IF('All Fleet'!CK60="","",'All Fleet'!CK60)</f>
        <v>0.89437739463601529</v>
      </c>
      <c r="CO16" s="155">
        <f>IF('All Fleet'!CL60="","",'All Fleet'!CL60)</f>
        <v>0.89557765151515145</v>
      </c>
      <c r="CP16" s="155">
        <f>IF('All Fleet'!CM60="","",'All Fleet'!CM60)</f>
        <v>0.89675093632958802</v>
      </c>
      <c r="CQ16" s="155">
        <f>IF('All Fleet'!CN60="","",'All Fleet'!CN60)</f>
        <v>0.89789814814814817</v>
      </c>
      <c r="CR16" s="155">
        <f>IF('All Fleet'!CO60="","",'All Fleet'!CO60)</f>
        <v>0.8990201465201465</v>
      </c>
      <c r="CS16" s="155">
        <f>IF('All Fleet'!CP60="","",'All Fleet'!CP60)</f>
        <v>0.89975543478260867</v>
      </c>
      <c r="CT16" s="155">
        <f>IF('All Fleet'!CQ60="","",'All Fleet'!CQ60)</f>
        <v>0.8999820788530466</v>
      </c>
      <c r="CU16" s="155">
        <f>IF('All Fleet'!CR60="","",'All Fleet'!CR60)</f>
        <v>0.90104609929078006</v>
      </c>
      <c r="CV16" s="155">
        <f>IF('All Fleet'!CS60="","",'All Fleet'!CS60)</f>
        <v>0.9020877192982456</v>
      </c>
      <c r="CW16" s="155">
        <f>IF('All Fleet'!CT60="","",'All Fleet'!CT60)</f>
        <v>0.90144965277777778</v>
      </c>
      <c r="CX16" s="155">
        <f>IF('All Fleet'!CU60="","",'All Fleet'!CU60)</f>
        <v>0.90246563573883165</v>
      </c>
      <c r="CY16" s="155">
        <f>IF('All Fleet'!CV60="","",'All Fleet'!CV60)</f>
        <v>0.90165391156462582</v>
      </c>
      <c r="CZ16" s="155">
        <f>IF('All Fleet'!CW60="","",'All Fleet'!CW60)</f>
        <v>0.90201599326599324</v>
      </c>
      <c r="DA16" s="155">
        <f>IF('All Fleet'!CX60="","",'All Fleet'!CX60)</f>
        <v>0.90299583333333333</v>
      </c>
      <c r="DB16" s="155">
        <f>IF('All Fleet'!CY60="","",'All Fleet'!CY60)</f>
        <v>0.90395627062706274</v>
      </c>
      <c r="DC16" s="155">
        <f>IF('All Fleet'!CZ60="","",'All Fleet'!CZ60)</f>
        <v>0.90489787581699344</v>
      </c>
      <c r="DD16" s="155">
        <f>IF('All Fleet'!DA60="","",'All Fleet'!DA60)</f>
        <v>0.9058211974110032</v>
      </c>
      <c r="DE16" s="155">
        <f>IF('All Fleet'!DB60="","",'All Fleet'!DB60)</f>
        <v>0.90672676282051279</v>
      </c>
      <c r="DF16" s="155">
        <f>IF('All Fleet'!DC60="","",'All Fleet'!DC60)</f>
        <v>0.90761507936507935</v>
      </c>
      <c r="DG16" s="155">
        <f>IF('All Fleet'!DD60="","",'All Fleet'!DD60)</f>
        <v>0.9073545597484276</v>
      </c>
      <c r="DH16" s="155">
        <f>IF('All Fleet'!DE60="","",'All Fleet'!DE60)</f>
        <v>0.89995716510903423</v>
      </c>
      <c r="DI16" s="155">
        <f>IF('All Fleet'!DF60="","",'All Fleet'!DF60)</f>
        <v>0.88944444444444448</v>
      </c>
      <c r="DJ16" s="155">
        <f>IF('All Fleet'!DG60="","",'All Fleet'!DG60)</f>
        <v>0.89045871559633027</v>
      </c>
      <c r="DK16" s="155">
        <f>IF('All Fleet'!DH60="","",'All Fleet'!DH60)</f>
        <v>0.89145454545454539</v>
      </c>
      <c r="DL16" s="155">
        <f>IF('All Fleet'!DI60="","",'All Fleet'!DI60)</f>
        <v>0.89228228228228224</v>
      </c>
      <c r="DM16" s="155">
        <f>IF('All Fleet'!DJ60="","",'All Fleet'!DJ60)</f>
        <v>0.88978422619047615</v>
      </c>
      <c r="DN16" s="155">
        <f>IF('All Fleet'!DK60="","",'All Fleet'!DK60)</f>
        <v>0.89075958702064895</v>
      </c>
      <c r="DO16" s="155">
        <f>IF('All Fleet'!DL60="","",'All Fleet'!DL60)</f>
        <v>0.89171783625730994</v>
      </c>
      <c r="DP16" s="155">
        <f>IF('All Fleet'!DM60="","",'All Fleet'!DM60)</f>
        <v>0.89265942028985501</v>
      </c>
      <c r="DQ16" s="155">
        <f>IF('All Fleet'!DN60="","",'All Fleet'!DN60)</f>
        <v>0.89204741379310348</v>
      </c>
      <c r="DR16" s="155">
        <f>IF('All Fleet'!DO60="","",'All Fleet'!DO60)</f>
        <v>0.8929700854700855</v>
      </c>
      <c r="DS16" s="155">
        <f>IF('All Fleet'!DP60="","",'All Fleet'!DP60)</f>
        <v>0.89349576271186437</v>
      </c>
      <c r="DT16" s="155">
        <f>IF('All Fleet'!DQ60="","",'All Fleet'!DQ60)</f>
        <v>0.89360994397759108</v>
      </c>
      <c r="DU16" s="155">
        <f>IF('All Fleet'!DR60="","",'All Fleet'!DR60)</f>
        <v>0.89436805555555554</v>
      </c>
      <c r="DV16" s="155">
        <f>IF('All Fleet'!DS60="","",'All Fleet'!DS60)</f>
        <v>0.8948037190082645</v>
      </c>
      <c r="DW16" s="155">
        <f>IF('All Fleet'!DT60="","",'All Fleet'!DT60)</f>
        <v>0.89566598360655736</v>
      </c>
      <c r="DX16" s="155">
        <f>IF('All Fleet'!DU60="","",'All Fleet'!DU60)</f>
        <v>0.89451558265582654</v>
      </c>
      <c r="DY16" s="155">
        <f>IF('All Fleet'!DV60="","",'All Fleet'!DV60)</f>
        <v>0.8949327956989247</v>
      </c>
      <c r="DZ16" s="155">
        <f>IF('All Fleet'!DW60="","",'All Fleet'!DW60)</f>
        <v>0.89577333333333331</v>
      </c>
      <c r="EA16" s="155">
        <f>IF('All Fleet'!DX60="","",'All Fleet'!DX60)</f>
        <v>0.89660052910052912</v>
      </c>
      <c r="EB16" s="155">
        <f>IF('All Fleet'!DY60="","",'All Fleet'!DY60)</f>
        <v>0.89741469816272967</v>
      </c>
      <c r="EC16" s="155">
        <f>IF('All Fleet'!DZ60="","",'All Fleet'!DZ60)</f>
        <v>0.89821614583333331</v>
      </c>
      <c r="ED16" s="155">
        <f>IF('All Fleet'!EA60="","",'All Fleet'!EA60)</f>
        <v>0.89900516795865637</v>
      </c>
      <c r="EE16" s="155">
        <f>IF('All Fleet'!EB60="","",'All Fleet'!EB60)</f>
        <v>0.89798076923076919</v>
      </c>
      <c r="EF16" s="155">
        <f>IF('All Fleet'!EC60="","",'All Fleet'!EC60)</f>
        <v>0.89875954198473285</v>
      </c>
      <c r="EG16" s="155">
        <f>IF('All Fleet'!ED60="","",'All Fleet'!ED60)</f>
        <v>0.89952651515151516</v>
      </c>
      <c r="EH16" s="155">
        <f>IF('All Fleet'!EE60="","",'All Fleet'!EE60)</f>
        <v>0.90028195488721807</v>
      </c>
      <c r="EI16" s="155">
        <f>IF('All Fleet'!EF60="","",'All Fleet'!EF60)</f>
        <v>0.89884950248756224</v>
      </c>
      <c r="EJ16" s="155">
        <f>IF('All Fleet'!EG60="","",'All Fleet'!EG60)</f>
        <v>0.89270370370370367</v>
      </c>
      <c r="EK16" s="155">
        <f>IF('All Fleet'!EH60="","",'All Fleet'!EH60)</f>
        <v>0.89037990196078431</v>
      </c>
      <c r="EL16" s="155">
        <f>IF('All Fleet'!EI60="","",'All Fleet'!EI60)</f>
        <v>0.88568430656934305</v>
      </c>
      <c r="EM16" s="155">
        <f>IF('All Fleet'!EJ60="","",'All Fleet'!EJ60)</f>
        <v>0.88651268115942028</v>
      </c>
      <c r="EN16" s="155">
        <f>IF('All Fleet'!EK60="","",'All Fleet'!EK60)</f>
        <v>0.8873291366906475</v>
      </c>
      <c r="EO16" s="155">
        <f>IF('All Fleet'!EL60="","",'All Fleet'!EL60)</f>
        <v>0.88099107142857147</v>
      </c>
      <c r="EP16" s="155">
        <f>IF('All Fleet'!EM60="","",'All Fleet'!EM60)</f>
        <v>0.87474290780141839</v>
      </c>
      <c r="EQ16" s="155">
        <f>IF('All Fleet'!EN60="","",'All Fleet'!EN60)</f>
        <v>0.86858274647887324</v>
      </c>
      <c r="ER16" s="155">
        <f>IF('All Fleet'!EO60="","",'All Fleet'!EO60)</f>
        <v>0.86600524475524476</v>
      </c>
      <c r="ES16" s="155">
        <f>IF('All Fleet'!EP60="","",'All Fleet'!EP60)</f>
        <v>0.86693576388888882</v>
      </c>
      <c r="ET16" s="155">
        <f>IF('All Fleet'!EQ60="","",'All Fleet'!EQ60)</f>
        <v>0.86785344827586208</v>
      </c>
      <c r="EU16" s="155">
        <f>IF('All Fleet'!ER60="","",'All Fleet'!ER60)</f>
        <v>0.86875856164383558</v>
      </c>
      <c r="EV16" s="155">
        <f>IF('All Fleet'!ES60="","",'All Fleet'!ES60)</f>
        <v>0.86801303854875278</v>
      </c>
      <c r="EW16" s="155">
        <f>IF('All Fleet'!ET60="","",'All Fleet'!ET60)</f>
        <v>0.86645551801801801</v>
      </c>
      <c r="EX16" s="155">
        <f>IF('All Fleet'!EU60="","",'All Fleet'!EU60)</f>
        <v>0.86735178970917226</v>
      </c>
      <c r="EY16" s="155">
        <f>IF('All Fleet'!EV60="","",'All Fleet'!EV60)</f>
        <v>0.8682361111111111</v>
      </c>
      <c r="EZ16" s="155">
        <f>IF('All Fleet'!EW60="","",'All Fleet'!EW60)</f>
        <v>0.86910871964679914</v>
      </c>
      <c r="FA16" s="155">
        <f>'All Fleet'!EX47</f>
        <v>1</v>
      </c>
      <c r="FB16" s="155">
        <f>'All Fleet'!EY47</f>
        <v>1</v>
      </c>
      <c r="FC16" s="155">
        <f>'All Fleet'!EZ47</f>
        <v>1</v>
      </c>
      <c r="FD16" s="155">
        <f>'All Fleet'!FA47</f>
        <v>1</v>
      </c>
      <c r="FE16" s="155">
        <f>'All Fleet'!FB47</f>
        <v>1</v>
      </c>
      <c r="FF16" s="155">
        <f>'All Fleet'!FC47</f>
        <v>1</v>
      </c>
      <c r="FG16" s="155">
        <f>'All Fleet'!FD47</f>
        <v>0.94595238095238099</v>
      </c>
      <c r="FH16" s="155">
        <f>'All Fleet'!FE47</f>
        <v>0.87640625000000005</v>
      </c>
      <c r="FI16" s="155">
        <f>'All Fleet'!FF47</f>
        <v>0.89013888888888892</v>
      </c>
      <c r="FJ16" s="155">
        <f>'All Fleet'!FG47</f>
        <v>0.90112499999999995</v>
      </c>
      <c r="FK16" s="155">
        <f>'All Fleet'!FH47</f>
        <v>0.9101136363636364</v>
      </c>
      <c r="FL16" s="155">
        <f>'All Fleet'!FI47</f>
        <v>0.91760416666666667</v>
      </c>
      <c r="FM16" s="155">
        <f>'All Fleet'!FJ47</f>
        <v>0.91544871794871796</v>
      </c>
      <c r="FN16" s="155">
        <f>'All Fleet'!FK47</f>
        <v>0.92148809523809527</v>
      </c>
      <c r="FO16" s="155">
        <f>'All Fleet'!FL47</f>
        <v>0.92672222222222222</v>
      </c>
      <c r="FP16" s="155">
        <f>'All Fleet'!FM47</f>
        <v>0.93130208333333331</v>
      </c>
      <c r="FQ16" s="155">
        <f>'All Fleet'!FN47</f>
        <v>0.93534313725490192</v>
      </c>
      <c r="FR16" s="155">
        <f>'All Fleet'!FO47</f>
        <v>0.92962962962962958</v>
      </c>
      <c r="FS16" s="155">
        <f>'All Fleet'!FP47</f>
        <v>0.93333333333333335</v>
      </c>
      <c r="FT16" s="155">
        <f>'All Fleet'!FQ47</f>
        <v>0.93666666666666665</v>
      </c>
      <c r="FU16" s="155">
        <f>'All Fleet'!FR47</f>
        <v>0.93968253968253967</v>
      </c>
      <c r="FV16" s="155">
        <f>'All Fleet'!FS47</f>
        <v>0.90814393939393945</v>
      </c>
      <c r="FW16" s="155">
        <f>'All Fleet'!FT47</f>
        <v>0.89007246376811588</v>
      </c>
      <c r="FX16" s="155">
        <f>'All Fleet'!FU47</f>
        <v>0.89465277777777774</v>
      </c>
      <c r="FY16" s="155">
        <f>'All Fleet'!FV47</f>
        <v>0.89031666666666665</v>
      </c>
      <c r="FZ16" s="155">
        <f>'All Fleet'!FW47</f>
        <v>0.88272435897435897</v>
      </c>
      <c r="GA16" s="155">
        <f>'All Fleet'!FX47</f>
        <v>0.88706790123456791</v>
      </c>
      <c r="GB16" s="155">
        <f>'All Fleet'!FY47</f>
        <v>0.89110119047619052</v>
      </c>
      <c r="GC16" s="155">
        <f>'All Fleet'!FZ47</f>
        <v>0.89485632183908048</v>
      </c>
      <c r="GD16" s="155">
        <f>'All Fleet'!GA47</f>
        <v>0.89836111111111105</v>
      </c>
      <c r="GE16" s="155">
        <f>'All Fleet'!GB47</f>
        <v>1</v>
      </c>
      <c r="GF16" s="155">
        <f>'All Fleet'!GC47</f>
        <v>1</v>
      </c>
      <c r="GG16" s="155">
        <f>'All Fleet'!GD47</f>
        <v>1</v>
      </c>
      <c r="GH16" s="155">
        <f>'All Fleet'!GE47</f>
        <v>1</v>
      </c>
      <c r="GI16" s="155">
        <f>'All Fleet'!GF47</f>
        <v>1</v>
      </c>
      <c r="GJ16" s="155">
        <f>'All Fleet'!GG47</f>
        <v>1</v>
      </c>
      <c r="GK16" s="155">
        <f>'All Fleet'!GH47</f>
        <v>1</v>
      </c>
      <c r="GL16" s="155">
        <f>'All Fleet'!GI47</f>
        <v>1</v>
      </c>
      <c r="GM16" s="155">
        <f>'All Fleet'!GJ47</f>
        <v>1</v>
      </c>
      <c r="GN16" s="155">
        <f>'All Fleet'!GK47</f>
        <v>0.97366666666666668</v>
      </c>
      <c r="GO16" s="155">
        <f>'All Fleet'!GL47</f>
        <v>0.97606060606060607</v>
      </c>
      <c r="GP16" s="155">
        <f>'All Fleet'!GM47</f>
        <v>0.97805555555555557</v>
      </c>
      <c r="GQ16" s="155">
        <f>'All Fleet'!GN47</f>
        <v>0.97974358974358977</v>
      </c>
      <c r="GR16" s="155">
        <f>'All Fleet'!GO47</f>
        <v>0.98119047619047617</v>
      </c>
      <c r="GS16" s="155">
        <f>'All Fleet'!GP47</f>
        <v>0.98244444444444445</v>
      </c>
      <c r="GT16" s="155">
        <f>'All Fleet'!GQ47</f>
        <v>0.98354166666666665</v>
      </c>
      <c r="GU16" s="155">
        <f>'All Fleet'!GR47</f>
        <v>0.98450980392156862</v>
      </c>
      <c r="GV16" s="155">
        <f>'All Fleet'!GS47</f>
        <v>0.98537037037037034</v>
      </c>
      <c r="GW16" s="155">
        <f>'All Fleet'!GT47</f>
        <v>0.98614035087719298</v>
      </c>
      <c r="GX16" s="155">
        <f>'All Fleet'!GU47</f>
        <v>0.98683333333333334</v>
      </c>
      <c r="GY16" s="155">
        <f>'All Fleet'!GV47</f>
        <v>0.98746031746031748</v>
      </c>
      <c r="GZ16" s="155">
        <f>'All Fleet'!GW47</f>
        <v>0.98803030303030304</v>
      </c>
      <c r="HA16" s="155">
        <f>'All Fleet'!GX47</f>
        <v>0.98855072463768112</v>
      </c>
      <c r="HB16" s="155">
        <f>'All Fleet'!GY47</f>
        <v>0.98902777777777773</v>
      </c>
      <c r="HC16" s="155">
        <f>'All Fleet'!GZ47</f>
        <v>0.98946666666666672</v>
      </c>
      <c r="HD16" s="155">
        <f>'All Fleet'!HA47</f>
        <v>0.98987179487179489</v>
      </c>
      <c r="HE16" s="155">
        <f>'All Fleet'!HB47</f>
        <v>0.99024691358024697</v>
      </c>
      <c r="HF16" s="155">
        <f>'All Fleet'!HC47</f>
        <v>0.99059523809523808</v>
      </c>
      <c r="HG16" s="155">
        <f>'All Fleet'!HD47</f>
        <v>0.99091954022988504</v>
      </c>
      <c r="HH16" s="155">
        <f>'All Fleet'!HE47</f>
        <v>0.99122222222222223</v>
      </c>
      <c r="HI16" s="155">
        <f>'All Fleet'!HF47</f>
        <v>0.99150537634408598</v>
      </c>
      <c r="HJ16" s="155">
        <f>'All Fleet'!HG47</f>
        <v>1</v>
      </c>
      <c r="HK16" s="155">
        <f>'All Fleet'!HH47</f>
        <v>1</v>
      </c>
      <c r="HL16" s="155">
        <f>'All Fleet'!HI47</f>
        <v>1</v>
      </c>
      <c r="HM16" s="155">
        <f>'All Fleet'!HJ47</f>
        <v>1</v>
      </c>
      <c r="HN16" s="155">
        <f>'All Fleet'!HK47</f>
        <v>1</v>
      </c>
      <c r="HO16" s="155">
        <f>'All Fleet'!HL47</f>
        <v>1</v>
      </c>
      <c r="HP16" s="155">
        <f>'All Fleet'!HM47</f>
        <v>0.97467427248677252</v>
      </c>
      <c r="HQ16" s="155">
        <f>'All Fleet'!HN47</f>
        <v>0.9778399884259259</v>
      </c>
      <c r="HR16" s="155">
        <f>'All Fleet'!HO47</f>
        <v>0.98030221193415634</v>
      </c>
      <c r="HS16" s="155">
        <f>'All Fleet'!HP47</f>
        <v>0.98227199074074079</v>
      </c>
      <c r="HT16" s="155">
        <f>'All Fleet'!HQ47</f>
        <v>0.98388362794612794</v>
      </c>
      <c r="HU16" s="155">
        <f>'All Fleet'!HR47</f>
        <v>0.98522665895061734</v>
      </c>
      <c r="HV16" s="155">
        <f>'All Fleet'!HS47</f>
        <v>0.98636306980056976</v>
      </c>
      <c r="HW16" s="155">
        <f>'All Fleet'!HT47</f>
        <v>0.98733713624338626</v>
      </c>
      <c r="HX16" s="155">
        <f>'All Fleet'!HU47</f>
        <v>0.98818132716049378</v>
      </c>
      <c r="HY16" s="155">
        <f>'All Fleet'!HV47</f>
        <v>0.98308232060185186</v>
      </c>
      <c r="HZ16" s="155">
        <f>'All Fleet'!HW47</f>
        <v>0.98303513071895421</v>
      </c>
      <c r="IA16" s="155">
        <f>'All Fleet'!HX47</f>
        <v>0.94230838477366252</v>
      </c>
      <c r="IB16" s="155">
        <f>'All Fleet'!HY47</f>
        <v>0.89271320662768028</v>
      </c>
      <c r="IC16" s="155">
        <f>'All Fleet'!HZ47</f>
        <v>0.89224363425925923</v>
      </c>
      <c r="ID16" s="155">
        <f>'All Fleet'!IA47</f>
        <v>0.89737488977072311</v>
      </c>
      <c r="IE16" s="155">
        <f>'All Fleet'!IB47</f>
        <v>0.90203966750841746</v>
      </c>
      <c r="IF16" s="155">
        <f>'All Fleet'!IC47</f>
        <v>0.90629881239935584</v>
      </c>
      <c r="IG16" s="155">
        <f>'All Fleet'!ID47</f>
        <v>0.90851900077160497</v>
      </c>
      <c r="IH16" s="155">
        <f>'All Fleet'!IE47</f>
        <v>0.88176157407407407</v>
      </c>
      <c r="II16" s="155">
        <f>'All Fleet'!IF47</f>
        <v>0.8863092058404558</v>
      </c>
      <c r="IJ16" s="155">
        <f>'All Fleet'!IG47</f>
        <v>0.89051997599451305</v>
      </c>
      <c r="IK16" s="155">
        <f>'All Fleet'!IH47</f>
        <v>0.89442997685185188</v>
      </c>
      <c r="IL16" s="155">
        <f>'All Fleet'!II47</f>
        <v>0.89807032247765006</v>
      </c>
      <c r="IM16" s="155">
        <f>'All Fleet'!IJ47</f>
        <v>0.87406520061728399</v>
      </c>
      <c r="IN16" s="155">
        <f>'All Fleet'!IK47</f>
        <v>0.87559177120669052</v>
      </c>
      <c r="IO16" s="155">
        <f>'All Fleet'!IL47</f>
        <v>0.60938657407407404</v>
      </c>
      <c r="IP16" s="155">
        <f>'All Fleet'!IM47</f>
        <v>0.76793402777777775</v>
      </c>
      <c r="IQ16" s="155">
        <f>'All Fleet'!IN47</f>
        <v>0.84528935185185183</v>
      </c>
      <c r="IR16" s="155">
        <f>'All Fleet'!IO47</f>
        <v>0.77855034722222216</v>
      </c>
      <c r="IS16" s="155">
        <f>'All Fleet'!IP47</f>
        <v>0.76599074074074069</v>
      </c>
      <c r="IT16" s="155">
        <f>'All Fleet'!IQ47</f>
        <v>0.67387152777777781</v>
      </c>
      <c r="IU16" s="155">
        <f>'All Fleet'!IR47</f>
        <v>0.72046130952380949</v>
      </c>
      <c r="IV16" s="155">
        <f>'All Fleet'!IS47</f>
        <v>0.6879181134259259</v>
      </c>
      <c r="IW16" s="155">
        <f>'All Fleet'!IT47</f>
        <v>0.63880015432098769</v>
      </c>
      <c r="IX16" s="155">
        <f>'All Fleet'!IU47</f>
        <v>0.58516666666666661</v>
      </c>
      <c r="IY16" s="155">
        <f>'All Fleet'!IV47</f>
        <v>0.6100126262626262</v>
      </c>
      <c r="IZ16" s="155">
        <f>'All Fleet'!IW47</f>
        <v>0.64251157407407411</v>
      </c>
      <c r="JA16" s="155">
        <f>'All Fleet'!IX47</f>
        <v>0.65857727920227926</v>
      </c>
      <c r="JB16" s="155">
        <f>'All Fleet'!IY47</f>
        <v>0.68296461640211636</v>
      </c>
      <c r="JC16" s="155">
        <f>'All Fleet'!IZ47</f>
        <v>0.70410030864197526</v>
      </c>
      <c r="JD16" s="155">
        <f>'All Fleet'!JA47</f>
        <v>0.72259403935185185</v>
      </c>
      <c r="JE16" s="155">
        <f>'All Fleet'!JB47</f>
        <v>0.73891203703703701</v>
      </c>
      <c r="JF16" s="155">
        <f>'All Fleet'!JC47</f>
        <v>0.75094135802469131</v>
      </c>
      <c r="JG16" s="155">
        <f>'All Fleet'!JD47</f>
        <v>0.76362329434697851</v>
      </c>
      <c r="JH16" s="155">
        <f>'All Fleet'!JE47</f>
        <v>0.77544212962962966</v>
      </c>
      <c r="JI16" s="155">
        <f>'All Fleet'!JF47</f>
        <v>0.78613536155202823</v>
      </c>
      <c r="JJ16" s="155">
        <f>'All Fleet'!JG47</f>
        <v>0.79103851010101012</v>
      </c>
      <c r="JK16" s="155">
        <f>'All Fleet'!JH47</f>
        <v>0.78916465378421896</v>
      </c>
      <c r="JL16" s="155">
        <f>'All Fleet'!JI47</f>
        <v>0.79735146604938267</v>
      </c>
      <c r="JM16" s="155">
        <f>'All Fleet'!JJ47</f>
        <v>0.80056805555555555</v>
      </c>
      <c r="JN16" s="155">
        <f>'All Fleet'!JK47</f>
        <v>0.80823851495726495</v>
      </c>
      <c r="JO16" s="155">
        <f>'All Fleet'!JL47</f>
        <v>0.81525548696844996</v>
      </c>
      <c r="JP16" s="155">
        <f>'All Fleet'!JM47</f>
        <v>0.81369295634920635</v>
      </c>
      <c r="JQ16" s="155">
        <f>'All Fleet'!JN47</f>
        <v>0.79822078544061303</v>
      </c>
      <c r="JR16" s="155">
        <f>'All Fleet'!JO47</f>
        <v>0.80355787037037041</v>
      </c>
      <c r="JS16" s="155">
        <f>'All Fleet'!JP47</f>
        <v>0.95833333333333337</v>
      </c>
      <c r="JT16" s="155">
        <f>'All Fleet'!JQ47</f>
        <v>0.95833333333333337</v>
      </c>
      <c r="JU16" s="155">
        <f>'All Fleet'!JR47</f>
        <v>0.95833333333333337</v>
      </c>
      <c r="JV16" s="155">
        <f>'All Fleet'!JS47</f>
        <v>0.95833333333333337</v>
      </c>
      <c r="JW16" s="155">
        <f>'All Fleet'!JT47</f>
        <v>0.93374999999999997</v>
      </c>
      <c r="JX16" s="155">
        <f>'All Fleet'!JU47</f>
        <v>0.94388888888888889</v>
      </c>
      <c r="JY16" s="155">
        <f>'All Fleet'!JV47</f>
        <v>0.94595238095238099</v>
      </c>
      <c r="JZ16" s="155">
        <f>'All Fleet'!JW47</f>
        <v>0.95270833333333338</v>
      </c>
      <c r="KA16" s="155">
        <f>'All Fleet'!JX47</f>
        <v>0.95796296296296291</v>
      </c>
      <c r="KB16" s="155">
        <f>'All Fleet'!JY47</f>
        <v>0.96216666666666661</v>
      </c>
      <c r="KC16" s="155">
        <f>'All Fleet'!JZ47</f>
        <v>0.96560606060606058</v>
      </c>
      <c r="KD16" s="155">
        <f>'All Fleet'!KA47</f>
        <v>0.96847222222222218</v>
      </c>
      <c r="KE16" s="155">
        <f>'All Fleet'!KB47</f>
        <v>0.97089743589743593</v>
      </c>
      <c r="KF16" s="155">
        <f>'All Fleet'!KC47</f>
        <v>0.97297619047619044</v>
      </c>
      <c r="KG16" s="155">
        <f>'All Fleet'!KD47</f>
        <v>0.97477777777777774</v>
      </c>
      <c r="KH16" s="155">
        <f>'All Fleet'!KE47</f>
        <v>0.97635416666666663</v>
      </c>
      <c r="KI16" s="155">
        <f>'All Fleet'!KF47</f>
        <v>0.97774509803921572</v>
      </c>
      <c r="KJ16" s="155">
        <f>'All Fleet'!KG47</f>
        <v>0.97898148148148145</v>
      </c>
      <c r="KK16" s="155">
        <f>'All Fleet'!KH47</f>
        <v>0.98008771929824556</v>
      </c>
      <c r="KL16" s="155">
        <f>'All Fleet'!KI47</f>
        <v>0.98108333333333331</v>
      </c>
      <c r="KM16" s="155">
        <f>'All Fleet'!KJ47</f>
        <v>0.98198412698412696</v>
      </c>
      <c r="KN16" s="155">
        <f>'All Fleet'!KK47</f>
        <v>0.98280303030303029</v>
      </c>
      <c r="KO16" s="155">
        <f>'All Fleet'!KL47</f>
        <v>0.98355072463768112</v>
      </c>
      <c r="KP16" s="155">
        <f>'All Fleet'!KM47</f>
        <v>0.98423611111111109</v>
      </c>
      <c r="KQ16" s="155">
        <f>'All Fleet'!KN47</f>
        <v>0.98486666666666667</v>
      </c>
      <c r="KR16" s="155">
        <f>'All Fleet'!KO47</f>
        <v>0.98544871794871791</v>
      </c>
      <c r="KS16" s="155">
        <f>'All Fleet'!KP47</f>
        <v>0.98598765432098767</v>
      </c>
      <c r="KT16" s="155">
        <f>'All Fleet'!KQ47</f>
        <v>0.98648809523809522</v>
      </c>
      <c r="KU16" s="155">
        <f>'All Fleet'!KR47</f>
        <v>0.98695402298850576</v>
      </c>
      <c r="KV16" s="155">
        <f>'All Fleet'!KS47</f>
        <v>0.98738888888888887</v>
      </c>
      <c r="KW16" s="155">
        <f>'All Fleet'!KT47</f>
        <v>0.98779569892473118</v>
      </c>
      <c r="KX16" s="155" t="str">
        <f>'All Fleet'!KU47</f>
        <v/>
      </c>
      <c r="KY16" s="155" t="str">
        <f>'All Fleet'!KV47</f>
        <v/>
      </c>
      <c r="KZ16" s="155" t="str">
        <f>'All Fleet'!KW47</f>
        <v/>
      </c>
      <c r="LA16" s="155" t="str">
        <f>'All Fleet'!KX47</f>
        <v/>
      </c>
      <c r="LB16" s="155" t="str">
        <f>'All Fleet'!KY47</f>
        <v/>
      </c>
      <c r="LC16" s="155" t="str">
        <f>'All Fleet'!KZ47</f>
        <v/>
      </c>
      <c r="LD16" s="155" t="str">
        <f>'All Fleet'!LA47</f>
        <v/>
      </c>
      <c r="LE16" s="155" t="str">
        <f>'All Fleet'!LB47</f>
        <v/>
      </c>
      <c r="LF16" s="155" t="str">
        <f>'All Fleet'!LC47</f>
        <v/>
      </c>
      <c r="LG16" s="155" t="str">
        <f>'All Fleet'!LD47</f>
        <v/>
      </c>
      <c r="LH16" s="155" t="str">
        <f>'All Fleet'!LE47</f>
        <v/>
      </c>
      <c r="LI16" s="155" t="str">
        <f>'All Fleet'!LF47</f>
        <v/>
      </c>
      <c r="LJ16" s="155" t="str">
        <f>'All Fleet'!LG47</f>
        <v/>
      </c>
      <c r="LK16" s="155" t="str">
        <f>'All Fleet'!LH47</f>
        <v/>
      </c>
      <c r="LL16" s="155" t="str">
        <f>'All Fleet'!LI47</f>
        <v/>
      </c>
      <c r="LM16" s="155" t="str">
        <f>'All Fleet'!LJ47</f>
        <v/>
      </c>
      <c r="LN16" s="155" t="str">
        <f>'All Fleet'!LK47</f>
        <v/>
      </c>
      <c r="LO16" s="155" t="str">
        <f>'All Fleet'!LL47</f>
        <v/>
      </c>
      <c r="LP16" s="155" t="str">
        <f>'All Fleet'!LM47</f>
        <v/>
      </c>
      <c r="LQ16" s="155" t="str">
        <f>'All Fleet'!LN47</f>
        <v/>
      </c>
      <c r="LR16" s="155" t="str">
        <f>'All Fleet'!LO47</f>
        <v/>
      </c>
      <c r="LS16" s="155" t="str">
        <f>'All Fleet'!LP47</f>
        <v/>
      </c>
      <c r="LT16" s="155" t="str">
        <f>'All Fleet'!LQ47</f>
        <v/>
      </c>
      <c r="LU16" s="155" t="str">
        <f>'All Fleet'!LR47</f>
        <v/>
      </c>
      <c r="LV16" s="155" t="str">
        <f>'All Fleet'!LS47</f>
        <v/>
      </c>
      <c r="LW16" s="155" t="str">
        <f>'All Fleet'!LT47</f>
        <v/>
      </c>
      <c r="LX16" s="155" t="str">
        <f>'All Fleet'!LU47</f>
        <v/>
      </c>
      <c r="LY16" s="155" t="str">
        <f>'All Fleet'!LV47</f>
        <v/>
      </c>
      <c r="LZ16" s="155" t="str">
        <f>'All Fleet'!LW47</f>
        <v/>
      </c>
      <c r="MA16" s="155" t="str">
        <f>'All Fleet'!LX47</f>
        <v/>
      </c>
      <c r="MB16" s="155" t="str">
        <f>'All Fleet'!LY47</f>
        <v/>
      </c>
      <c r="MC16" s="155" t="str">
        <f>'All Fleet'!LZ47</f>
        <v/>
      </c>
      <c r="MD16" s="155" t="str">
        <f>'All Fleet'!MA47</f>
        <v/>
      </c>
      <c r="ME16" s="155" t="str">
        <f>'All Fleet'!MB47</f>
        <v/>
      </c>
      <c r="MF16" s="155" t="str">
        <f>'All Fleet'!MC47</f>
        <v/>
      </c>
      <c r="MG16" s="155" t="str">
        <f>'All Fleet'!MD47</f>
        <v/>
      </c>
      <c r="MH16" s="155" t="str">
        <f>'All Fleet'!ME47</f>
        <v/>
      </c>
      <c r="MI16" s="155" t="str">
        <f>'All Fleet'!MF47</f>
        <v/>
      </c>
      <c r="MJ16" s="155" t="str">
        <f>'All Fleet'!MG47</f>
        <v/>
      </c>
      <c r="MK16" s="155" t="str">
        <f>'All Fleet'!MH47</f>
        <v/>
      </c>
      <c r="ML16" s="155" t="str">
        <f>'All Fleet'!MI47</f>
        <v/>
      </c>
      <c r="MM16" s="155" t="str">
        <f>'All Fleet'!MJ47</f>
        <v/>
      </c>
      <c r="MN16" s="155" t="str">
        <f>'All Fleet'!MK47</f>
        <v/>
      </c>
      <c r="MO16" s="155" t="str">
        <f>'All Fleet'!ML47</f>
        <v/>
      </c>
      <c r="MP16" s="155" t="str">
        <f>'All Fleet'!MM47</f>
        <v/>
      </c>
      <c r="MQ16" s="155" t="str">
        <f>'All Fleet'!MN47</f>
        <v/>
      </c>
      <c r="MR16" s="155" t="str">
        <f>'All Fleet'!MO47</f>
        <v/>
      </c>
      <c r="MS16" s="155" t="str">
        <f>'All Fleet'!MP47</f>
        <v/>
      </c>
      <c r="MT16" s="155" t="str">
        <f>'All Fleet'!MQ47</f>
        <v/>
      </c>
      <c r="MU16" s="155" t="str">
        <f>'All Fleet'!MR47</f>
        <v/>
      </c>
      <c r="MV16" s="155" t="str">
        <f>'All Fleet'!MS47</f>
        <v/>
      </c>
      <c r="MW16" s="155" t="str">
        <f>'All Fleet'!MT47</f>
        <v/>
      </c>
      <c r="MX16" s="155" t="str">
        <f>'All Fleet'!MU47</f>
        <v/>
      </c>
      <c r="MY16" s="155" t="str">
        <f>'All Fleet'!MV47</f>
        <v/>
      </c>
      <c r="MZ16" s="155" t="str">
        <f>'All Fleet'!MW47</f>
        <v/>
      </c>
      <c r="NA16" s="155" t="str">
        <f>'All Fleet'!MX47</f>
        <v/>
      </c>
      <c r="NB16" s="155" t="str">
        <f>'All Fleet'!MY47</f>
        <v/>
      </c>
      <c r="NC16" s="155" t="str">
        <f>'All Fleet'!MZ47</f>
        <v/>
      </c>
      <c r="ND16" s="155" t="str">
        <f>'All Fleet'!NA47</f>
        <v/>
      </c>
      <c r="NE16" s="155" t="str">
        <f>'All Fleet'!NB47</f>
        <v/>
      </c>
      <c r="NF16" s="155" t="str">
        <f>'All Fleet'!NC47</f>
        <v/>
      </c>
      <c r="NG16" s="155" t="str">
        <f>'All Fleet'!ND47</f>
        <v/>
      </c>
      <c r="NH16" s="155" t="str">
        <f>'All Fleet'!NE47</f>
        <v/>
      </c>
      <c r="NI16" s="155" t="str">
        <f>'All Fleet'!NF47</f>
        <v/>
      </c>
      <c r="NJ16" s="155" t="str">
        <f>'All Fleet'!NG47</f>
        <v/>
      </c>
      <c r="NK16" s="155" t="str">
        <f>'All Fleet'!NH47</f>
        <v/>
      </c>
      <c r="NL16" s="155" t="str">
        <f>'All Fleet'!NI47</f>
        <v/>
      </c>
      <c r="NM16" s="155" t="str">
        <f>'All Fleet'!NJ47</f>
        <v/>
      </c>
      <c r="NN16" s="155" t="str">
        <f>'All Fleet'!NK47</f>
        <v/>
      </c>
      <c r="NO16" s="155" t="str">
        <f>'All Fleet'!NL47</f>
        <v/>
      </c>
      <c r="NP16" s="155" t="str">
        <f>'All Fleet'!NM47</f>
        <v/>
      </c>
      <c r="NQ16" s="155" t="str">
        <f>'All Fleet'!NN47</f>
        <v/>
      </c>
      <c r="NR16" s="155" t="str">
        <f>'All Fleet'!NO47</f>
        <v/>
      </c>
      <c r="NS16" s="155" t="str">
        <f>'All Fleet'!NP47</f>
        <v/>
      </c>
      <c r="NT16" s="155" t="str">
        <f>'All Fleet'!NQ47</f>
        <v/>
      </c>
      <c r="NU16" s="155" t="str">
        <f>'All Fleet'!NR47</f>
        <v/>
      </c>
      <c r="NV16" s="155" t="str">
        <f>'All Fleet'!NS47</f>
        <v/>
      </c>
      <c r="NW16" s="155" t="str">
        <f>'All Fleet'!NT47</f>
        <v/>
      </c>
      <c r="NX16" s="155" t="str">
        <f>'All Fleet'!NU47</f>
        <v/>
      </c>
      <c r="NY16" s="155" t="str">
        <f>'All Fleet'!NV47</f>
        <v/>
      </c>
      <c r="NZ16" s="155" t="str">
        <f>'All Fleet'!NW47</f>
        <v/>
      </c>
      <c r="OA16" s="155" t="str">
        <f>'All Fleet'!NX47</f>
        <v/>
      </c>
      <c r="OB16" s="155" t="str">
        <f>'All Fleet'!NY47</f>
        <v/>
      </c>
      <c r="OC16" s="155" t="str">
        <f>'All Fleet'!NZ47</f>
        <v/>
      </c>
      <c r="OD16" s="155" t="str">
        <f>'All Fleet'!OA47</f>
        <v/>
      </c>
      <c r="OE16" s="155" t="str">
        <f>'All Fleet'!OB47</f>
        <v/>
      </c>
      <c r="OF16" s="155" t="str">
        <f>'All Fleet'!OC47</f>
        <v/>
      </c>
      <c r="OG16" s="155" t="str">
        <f>'All Fleet'!OD47</f>
        <v/>
      </c>
      <c r="OH16" s="155" t="str">
        <f>'All Fleet'!OE47</f>
        <v/>
      </c>
      <c r="OI16" s="155" t="str">
        <f>'All Fleet'!OF47</f>
        <v/>
      </c>
      <c r="OJ16" s="155" t="str">
        <f>'All Fleet'!OG47</f>
        <v/>
      </c>
      <c r="OK16" s="155" t="str">
        <f>'All Fleet'!OH47</f>
        <v/>
      </c>
      <c r="OL16" s="155" t="str">
        <f>'All Fleet'!OI47</f>
        <v/>
      </c>
      <c r="OM16" s="155" t="str">
        <f>'All Fleet'!OJ47</f>
        <v/>
      </c>
      <c r="ON16" s="155" t="str">
        <f>'All Fleet'!OK47</f>
        <v/>
      </c>
      <c r="OO16" s="155" t="str">
        <f>'All Fleet'!OL47</f>
        <v/>
      </c>
      <c r="OP16" s="155" t="str">
        <f>'All Fleet'!OM47</f>
        <v/>
      </c>
      <c r="OQ16" s="155" t="str">
        <f>'All Fleet'!ON47</f>
        <v/>
      </c>
      <c r="OR16" s="155" t="str">
        <f>'All Fleet'!OO47</f>
        <v/>
      </c>
      <c r="OS16" s="155" t="str">
        <f>'All Fleet'!OP47</f>
        <v/>
      </c>
      <c r="OT16" s="155" t="str">
        <f>'All Fleet'!OQ47</f>
        <v/>
      </c>
      <c r="OU16" s="155" t="str">
        <f>'All Fleet'!OR47</f>
        <v/>
      </c>
      <c r="OV16" s="155" t="str">
        <f>'All Fleet'!OS47</f>
        <v/>
      </c>
      <c r="OW16" s="155" t="str">
        <f>'All Fleet'!OT47</f>
        <v/>
      </c>
      <c r="OX16" s="155" t="str">
        <f>'All Fleet'!OU47</f>
        <v/>
      </c>
      <c r="OY16" s="155" t="str">
        <f>'All Fleet'!OV47</f>
        <v/>
      </c>
      <c r="OZ16" s="156" t="str">
        <f>'All Fleet'!OW47</f>
        <v/>
      </c>
    </row>
    <row r="17" spans="1:416" s="168" customFormat="1" ht="15" customHeight="1" x14ac:dyDescent="0.2">
      <c r="A17" s="138" t="b">
        <f t="shared" si="376"/>
        <v>0</v>
      </c>
      <c r="B17" s="139">
        <v>14</v>
      </c>
      <c r="C17" s="153" t="str">
        <f t="shared" si="377"/>
        <v>Mechanical Availability</v>
      </c>
      <c r="D17" s="154" t="str">
        <f t="shared" si="381"/>
        <v>777 Optiload</v>
      </c>
      <c r="E17" s="194" t="s">
        <v>85</v>
      </c>
      <c r="F17" s="177">
        <f>IF('All Fleet'!C61="","",'All Fleet'!C61)</f>
        <v>1</v>
      </c>
      <c r="G17" s="177">
        <f>IF('All Fleet'!D61="","",'All Fleet'!D61)</f>
        <v>1</v>
      </c>
      <c r="H17" s="177">
        <f>IF('All Fleet'!E61="","",'All Fleet'!E61)</f>
        <v>1</v>
      </c>
      <c r="I17" s="177">
        <f>IF('All Fleet'!F61="","",'All Fleet'!F61)</f>
        <v>1</v>
      </c>
      <c r="J17" s="177">
        <f>IF('All Fleet'!G61="","",'All Fleet'!G61)</f>
        <v>1</v>
      </c>
      <c r="K17" s="177">
        <f>IF('All Fleet'!H61="","",'All Fleet'!H61)</f>
        <v>1</v>
      </c>
      <c r="L17" s="177">
        <f>IF('All Fleet'!I61="","",'All Fleet'!I61)</f>
        <v>1</v>
      </c>
      <c r="M17" s="177">
        <f>IF('All Fleet'!J61="","",'All Fleet'!J61)</f>
        <v>1</v>
      </c>
      <c r="N17" s="177">
        <f>IF('All Fleet'!K61="","",'All Fleet'!K61)</f>
        <v>1</v>
      </c>
      <c r="O17" s="177">
        <f>IF('All Fleet'!L61="","",'All Fleet'!L61)</f>
        <v>1</v>
      </c>
      <c r="P17" s="177">
        <f>IF('All Fleet'!M61="","",'All Fleet'!M61)</f>
        <v>1</v>
      </c>
      <c r="Q17" s="177">
        <f>IF('All Fleet'!N61="","",'All Fleet'!N61)</f>
        <v>0.99652777777777779</v>
      </c>
      <c r="R17" s="177">
        <f>IF('All Fleet'!O61="","",'All Fleet'!O61)</f>
        <v>0.99679487179487181</v>
      </c>
      <c r="S17" s="177">
        <f>IF('All Fleet'!P61="","",'All Fleet'!P61)</f>
        <v>0.96523809523809523</v>
      </c>
      <c r="T17" s="177">
        <f>IF('All Fleet'!Q61="","",'All Fleet'!Q61)</f>
        <v>0.9675555555555555</v>
      </c>
      <c r="U17" s="177">
        <f>IF('All Fleet'!R61="","",'All Fleet'!R61)</f>
        <v>0.96958333333333335</v>
      </c>
      <c r="V17" s="177">
        <f>IF('All Fleet'!S61="","",'All Fleet'!S61)</f>
        <v>0.9713725490196079</v>
      </c>
      <c r="W17" s="177">
        <f>IF('All Fleet'!T61="","",'All Fleet'!T61)</f>
        <v>0.97296296296296292</v>
      </c>
      <c r="X17" s="177">
        <f>IF('All Fleet'!U61="","",'All Fleet'!U61)</f>
        <v>0.97438596491228069</v>
      </c>
      <c r="Y17" s="177">
        <f>IF('All Fleet'!V61="","",'All Fleet'!V61)</f>
        <v>0.97566666666666668</v>
      </c>
      <c r="Z17" s="177">
        <f>IF('All Fleet'!W61="","",'All Fleet'!W61)</f>
        <v>0.97682539682539682</v>
      </c>
      <c r="AA17" s="177">
        <f>IF('All Fleet'!X61="","",'All Fleet'!X61)</f>
        <v>0.9778787878787879</v>
      </c>
      <c r="AB17" s="177">
        <f>IF('All Fleet'!Y61="","",'All Fleet'!Y61)</f>
        <v>0.97884057971014493</v>
      </c>
      <c r="AC17" s="177">
        <f>IF('All Fleet'!Z61="","",'All Fleet'!Z61)</f>
        <v>0.97972222222222227</v>
      </c>
      <c r="AD17" s="177">
        <f>IF('All Fleet'!AA61="","",'All Fleet'!AA61)</f>
        <v>0.94278333333333331</v>
      </c>
      <c r="AE17" s="177">
        <f>IF('All Fleet'!AB61="","",'All Fleet'!AB61)</f>
        <v>0.94498397435897441</v>
      </c>
      <c r="AF17" s="177">
        <f>IF('All Fleet'!AC61="","",'All Fleet'!AC61)</f>
        <v>0.94702160493827159</v>
      </c>
      <c r="AG17" s="177">
        <f>IF('All Fleet'!AD61="","",'All Fleet'!AD61)</f>
        <v>0.94891369047619045</v>
      </c>
      <c r="AH17" s="177">
        <f>IF('All Fleet'!AE61="","",'All Fleet'!AE61)</f>
        <v>0.94708333333333328</v>
      </c>
      <c r="AI17" s="177">
        <f>IF('All Fleet'!AF61="","",'All Fleet'!AF61)</f>
        <v>0.94884722222222218</v>
      </c>
      <c r="AJ17" s="177">
        <f>IF('All Fleet'!AG61="","",'All Fleet'!AG61)</f>
        <v>0.95049731182795694</v>
      </c>
      <c r="AK17" s="177">
        <f>IF('All Fleet'!AH61="","",'All Fleet'!AH61)</f>
        <v>0.95204427083333332</v>
      </c>
      <c r="AL17" s="177">
        <f>IF('All Fleet'!AI61="","",'All Fleet'!AI61)</f>
        <v>0.95146464646464646</v>
      </c>
      <c r="AM17" s="177">
        <f>IF('All Fleet'!AJ61="","",'All Fleet'!AJ61)</f>
        <v>0.95289215686274509</v>
      </c>
      <c r="AN17" s="177">
        <f>IF('All Fleet'!AK61="","",'All Fleet'!AK61)</f>
        <v>0.95423809523809522</v>
      </c>
      <c r="AO17" s="177">
        <f>IF('All Fleet'!AL61="","",'All Fleet'!AL61)</f>
        <v>0.95550925925925922</v>
      </c>
      <c r="AP17" s="177">
        <f>IF('All Fleet'!AM61="","",'All Fleet'!AM61)</f>
        <v>0.9555855855855856</v>
      </c>
      <c r="AQ17" s="177">
        <f>IF('All Fleet'!AN61="","",'All Fleet'!AN61)</f>
        <v>0.95675438596491225</v>
      </c>
      <c r="AR17" s="177">
        <f>IF('All Fleet'!AO61="","",'All Fleet'!AO61)</f>
        <v>0.95786324786324784</v>
      </c>
      <c r="AS17" s="177">
        <f>IF('All Fleet'!AP61="","",'All Fleet'!AP61)</f>
        <v>0.95891666666666664</v>
      </c>
      <c r="AT17" s="177">
        <f>IF('All Fleet'!AQ61="","",'All Fleet'!AQ61)</f>
        <v>0.95744918699186987</v>
      </c>
      <c r="AU17" s="177">
        <f>IF('All Fleet'!AR61="","",'All Fleet'!AR61)</f>
        <v>0.95846230158730161</v>
      </c>
      <c r="AV17" s="177">
        <f>IF('All Fleet'!AS61="","",'All Fleet'!AS61)</f>
        <v>0.95942829457364343</v>
      </c>
      <c r="AW17" s="177">
        <f>IF('All Fleet'!AT61="","",'All Fleet'!AT61)</f>
        <v>0.95133522727272724</v>
      </c>
      <c r="AX17" s="177">
        <f>IF('All Fleet'!AU61="","",'All Fleet'!AU61)</f>
        <v>0.95241666666666669</v>
      </c>
      <c r="AY17" s="177">
        <f>IF('All Fleet'!AV61="","",'All Fleet'!AV61)</f>
        <v>0.9534510869565217</v>
      </c>
      <c r="AZ17" s="177">
        <f>IF('All Fleet'!AW61="","",'All Fleet'!AW61)</f>
        <v>0.95444148936170214</v>
      </c>
      <c r="BA17" s="177">
        <f>IF('All Fleet'!AX61="","",'All Fleet'!AX61)</f>
        <v>0.95539062500000005</v>
      </c>
      <c r="BB17" s="177">
        <f>IF('All Fleet'!AY61="","",'All Fleet'!AY61)</f>
        <v>0.95630102040816323</v>
      </c>
      <c r="BC17" s="177">
        <f>IF('All Fleet'!AZ61="","",'All Fleet'!AZ61)</f>
        <v>0.956175</v>
      </c>
      <c r="BD17" s="177">
        <f>IF('All Fleet'!BA61="","",'All Fleet'!BA61)</f>
        <v>0.95703431372549019</v>
      </c>
      <c r="BE17" s="177">
        <f>IF('All Fleet'!BB61="","",'All Fleet'!BB61)</f>
        <v>0.95786057692307691</v>
      </c>
      <c r="BF17" s="177">
        <f>IF('All Fleet'!BC61="","",'All Fleet'!BC61)</f>
        <v>0.9586556603773585</v>
      </c>
      <c r="BG17" s="177">
        <f>IF('All Fleet'!BD61="","",'All Fleet'!BD61)</f>
        <v>0.95942129629629624</v>
      </c>
      <c r="BH17" s="177">
        <f>IF('All Fleet'!BE61="","",'All Fleet'!BE61)</f>
        <v>0.96015909090909091</v>
      </c>
      <c r="BI17" s="177">
        <f>IF('All Fleet'!BF61="","",'All Fleet'!BF61)</f>
        <v>0.94827380952380946</v>
      </c>
      <c r="BJ17" s="177">
        <f>IF('All Fleet'!BG61="","",'All Fleet'!BG61)</f>
        <v>0.94918128654970757</v>
      </c>
      <c r="BK17" s="177">
        <f>IF('All Fleet'!BH61="","",'All Fleet'!BH61)</f>
        <v>0.95005747126436779</v>
      </c>
      <c r="BL17" s="177">
        <f>IF('All Fleet'!BI61="","",'All Fleet'!BI61)</f>
        <v>0.95090395480225987</v>
      </c>
      <c r="BM17" s="177">
        <f>IF('All Fleet'!BJ61="","",'All Fleet'!BJ61)</f>
        <v>0.95172222222222225</v>
      </c>
      <c r="BN17" s="177">
        <f>IF('All Fleet'!BK61="","",'All Fleet'!BK61)</f>
        <v>0.95251366120218584</v>
      </c>
      <c r="BO17" s="177">
        <f>IF('All Fleet'!BL61="","",'All Fleet'!BL61)</f>
        <v>0.95327956989247309</v>
      </c>
      <c r="BP17" s="177">
        <f>IF('All Fleet'!BM61="","",'All Fleet'!BM61)</f>
        <v>0.95402116402116399</v>
      </c>
      <c r="BQ17" s="177">
        <f>IF('All Fleet'!BN61="","",'All Fleet'!BN61)</f>
        <v>0.9546223958333333</v>
      </c>
      <c r="BR17" s="177">
        <f>IF('All Fleet'!BO61="","",'All Fleet'!BO61)</f>
        <v>0.95532051282051278</v>
      </c>
      <c r="BS17" s="177">
        <f>IF('All Fleet'!BP61="","",'All Fleet'!BP61)</f>
        <v>0.94749368686868685</v>
      </c>
      <c r="BT17" s="177">
        <f>IF('All Fleet'!BQ61="","",'All Fleet'!BQ61)</f>
        <v>0.94827736318407962</v>
      </c>
      <c r="BU17" s="177">
        <f>IF('All Fleet'!BR61="","",'All Fleet'!BR61)</f>
        <v>0.94303308823529408</v>
      </c>
      <c r="BV17" s="177">
        <f>IF('All Fleet'!BS61="","",'All Fleet'!BS61)</f>
        <v>0.94321859903381644</v>
      </c>
      <c r="BW17" s="177">
        <f>IF('All Fleet'!BT61="","",'All Fleet'!BT61)</f>
        <v>0.94402976190476184</v>
      </c>
      <c r="BX17" s="177">
        <f>IF('All Fleet'!BU61="","",'All Fleet'!BU61)</f>
        <v>0.94481807511737093</v>
      </c>
      <c r="BY17" s="177">
        <f>IF('All Fleet'!BV61="","",'All Fleet'!BV61)</f>
        <v>0.94558449074074069</v>
      </c>
      <c r="BZ17" s="177">
        <f>IF('All Fleet'!BW61="","",'All Fleet'!BW61)</f>
        <v>0.94632990867579903</v>
      </c>
      <c r="CA17" s="177">
        <f>IF('All Fleet'!BX61="","",'All Fleet'!BX61)</f>
        <v>0.9470551801801802</v>
      </c>
      <c r="CB17" s="177">
        <f>IF('All Fleet'!BY61="","",'All Fleet'!BY61)</f>
        <v>0.94776111111111105</v>
      </c>
      <c r="CC17" s="177">
        <f>IF('All Fleet'!BZ61="","",'All Fleet'!BZ61)</f>
        <v>0.94844846491228074</v>
      </c>
      <c r="CD17" s="177">
        <f>IF('All Fleet'!CA61="","",'All Fleet'!CA61)</f>
        <v>0.94897186147186141</v>
      </c>
      <c r="CE17" s="177">
        <f>IF('All Fleet'!CB61="","",'All Fleet'!CB61)</f>
        <v>0.94962606837606833</v>
      </c>
      <c r="CF17" s="177">
        <f>IF('All Fleet'!CC61="","",'All Fleet'!CC61)</f>
        <v>0.94413502109704639</v>
      </c>
      <c r="CG17" s="177">
        <f>IF('All Fleet'!CD61="","",'All Fleet'!CD61)</f>
        <v>0.9448333333333333</v>
      </c>
      <c r="CH17" s="177">
        <f>IF('All Fleet'!CE61="","",'All Fleet'!CE61)</f>
        <v>0.94551440329218106</v>
      </c>
      <c r="CI17" s="177">
        <f>IF('All Fleet'!CF61="","",'All Fleet'!CF61)</f>
        <v>0.94617886178861788</v>
      </c>
      <c r="CJ17" s="177">
        <f>IF('All Fleet'!CG61="","",'All Fleet'!CG61)</f>
        <v>0.9468273092369478</v>
      </c>
      <c r="CK17" s="177">
        <f>IF('All Fleet'!CH61="","",'All Fleet'!CH61)</f>
        <v>0.94746031746031745</v>
      </c>
      <c r="CL17" s="177">
        <f>IF('All Fleet'!CI61="","",'All Fleet'!CI61)</f>
        <v>0.94807843137254899</v>
      </c>
      <c r="CM17" s="177">
        <f>IF('All Fleet'!CJ61="","",'All Fleet'!CJ61)</f>
        <v>0.94124515503875972</v>
      </c>
      <c r="CN17" s="177">
        <f>IF('All Fleet'!CK61="","",'All Fleet'!CK61)</f>
        <v>0.94192049808429124</v>
      </c>
      <c r="CO17" s="177">
        <f>IF('All Fleet'!CL61="","",'All Fleet'!CL61)</f>
        <v>0.94258049242424247</v>
      </c>
      <c r="CP17" s="177">
        <f>IF('All Fleet'!CM61="","",'All Fleet'!CM61)</f>
        <v>0.94322565543071157</v>
      </c>
      <c r="CQ17" s="177">
        <f>IF('All Fleet'!CN61="","",'All Fleet'!CN61)</f>
        <v>0.94385648148148149</v>
      </c>
      <c r="CR17" s="177">
        <f>IF('All Fleet'!CO61="","",'All Fleet'!CO61)</f>
        <v>0.94447344322344318</v>
      </c>
      <c r="CS17" s="177">
        <f>IF('All Fleet'!CP61="","",'All Fleet'!CP61)</f>
        <v>0.94507699275362322</v>
      </c>
      <c r="CT17" s="177">
        <f>IF('All Fleet'!CQ61="","",'All Fleet'!CQ61)</f>
        <v>0.94566756272401431</v>
      </c>
      <c r="CU17" s="177">
        <f>IF('All Fleet'!CR61="","",'All Fleet'!CR61)</f>
        <v>0.9462455673758865</v>
      </c>
      <c r="CV17" s="177">
        <f>IF('All Fleet'!CS61="","",'All Fleet'!CS61)</f>
        <v>0.94681140350877191</v>
      </c>
      <c r="CW17" s="177">
        <f>IF('All Fleet'!CT61="","",'All Fleet'!CT61)</f>
        <v>0.94736545138888884</v>
      </c>
      <c r="CX17" s="177">
        <f>IF('All Fleet'!CU61="","",'All Fleet'!CU61)</f>
        <v>0.94790807560137458</v>
      </c>
      <c r="CY17" s="177">
        <f>IF('All Fleet'!CV61="","",'All Fleet'!CV61)</f>
        <v>0.94843962585034014</v>
      </c>
      <c r="CZ17" s="177">
        <f>IF('All Fleet'!CW61="","",'All Fleet'!CW61)</f>
        <v>0.9489604377104377</v>
      </c>
      <c r="DA17" s="177">
        <f>IF('All Fleet'!CX61="","",'All Fleet'!CX61)</f>
        <v>0.94947083333333337</v>
      </c>
      <c r="DB17" s="177">
        <f>IF('All Fleet'!CY61="","",'All Fleet'!CY61)</f>
        <v>0.94997112211221124</v>
      </c>
      <c r="DC17" s="177">
        <f>IF('All Fleet'!CZ61="","",'All Fleet'!CZ61)</f>
        <v>0.9504616013071896</v>
      </c>
      <c r="DD17" s="177">
        <f>IF('All Fleet'!DA61="","",'All Fleet'!DA61)</f>
        <v>0.95072815533980581</v>
      </c>
      <c r="DE17" s="177">
        <f>IF('All Fleet'!DB61="","",'All Fleet'!DB61)</f>
        <v>0.95120192307692308</v>
      </c>
      <c r="DF17" s="177">
        <f>IF('All Fleet'!DC61="","",'All Fleet'!DC61)</f>
        <v>0.94812698412698415</v>
      </c>
      <c r="DG17" s="177">
        <f>IF('All Fleet'!DD61="","",'All Fleet'!DD61)</f>
        <v>0.94861635220125784</v>
      </c>
      <c r="DH17" s="177">
        <f>IF('All Fleet'!DE61="","",'All Fleet'!DE61)</f>
        <v>0.94909657320872276</v>
      </c>
      <c r="DI17" s="177">
        <f>IF('All Fleet'!DF61="","",'All Fleet'!DF61)</f>
        <v>0.94956790123456791</v>
      </c>
      <c r="DJ17" s="177">
        <f>IF('All Fleet'!DG61="","",'All Fleet'!DG61)</f>
        <v>0.95003058103975535</v>
      </c>
      <c r="DK17" s="177">
        <f>IF('All Fleet'!DH61="","",'All Fleet'!DH61)</f>
        <v>0.95048484848484849</v>
      </c>
      <c r="DL17" s="177">
        <f>IF('All Fleet'!DI61="","",'All Fleet'!DI61)</f>
        <v>0.95093093093093095</v>
      </c>
      <c r="DM17" s="177">
        <f>IF('All Fleet'!DJ61="","",'All Fleet'!DJ61)</f>
        <v>0.95136904761904761</v>
      </c>
      <c r="DN17" s="177">
        <f>IF('All Fleet'!DK61="","",'All Fleet'!DK61)</f>
        <v>0.95179941002949853</v>
      </c>
      <c r="DO17" s="177">
        <f>IF('All Fleet'!DL61="","",'All Fleet'!DL61)</f>
        <v>0.95172880116959069</v>
      </c>
      <c r="DP17" s="177">
        <f>IF('All Fleet'!DM61="","",'All Fleet'!DM61)</f>
        <v>0.94923913043478259</v>
      </c>
      <c r="DQ17" s="177">
        <f>IF('All Fleet'!DN61="","",'All Fleet'!DN61)</f>
        <v>0.94967672413793103</v>
      </c>
      <c r="DR17" s="177">
        <f>IF('All Fleet'!DO61="","",'All Fleet'!DO61)</f>
        <v>0.95010683760683756</v>
      </c>
      <c r="DS17" s="177">
        <f>IF('All Fleet'!DP61="","",'All Fleet'!DP61)</f>
        <v>0.95052966101694913</v>
      </c>
      <c r="DT17" s="177">
        <f>IF('All Fleet'!DQ61="","",'All Fleet'!DQ61)</f>
        <v>0.95094537815126046</v>
      </c>
      <c r="DU17" s="177">
        <f>IF('All Fleet'!DR61="","",'All Fleet'!DR61)</f>
        <v>0.95135416666666672</v>
      </c>
      <c r="DV17" s="177">
        <f>IF('All Fleet'!DS61="","",'All Fleet'!DS61)</f>
        <v>0.95175619834710745</v>
      </c>
      <c r="DW17" s="177">
        <f>IF('All Fleet'!DT61="","",'All Fleet'!DT61)</f>
        <v>0.95215163934426228</v>
      </c>
      <c r="DX17" s="177">
        <f>IF('All Fleet'!DU61="","",'All Fleet'!DU61)</f>
        <v>0.95254065040650404</v>
      </c>
      <c r="DY17" s="177">
        <f>IF('All Fleet'!DV61="","",'All Fleet'!DV61)</f>
        <v>0.95058803763440858</v>
      </c>
      <c r="DZ17" s="177">
        <f>IF('All Fleet'!DW61="","",'All Fleet'!DW61)</f>
        <v>0.95044666666666666</v>
      </c>
      <c r="EA17" s="177">
        <f>IF('All Fleet'!DX61="","",'All Fleet'!DX61)</f>
        <v>0.95083994708994712</v>
      </c>
      <c r="EB17" s="177">
        <f>IF('All Fleet'!DY61="","",'All Fleet'!DY61)</f>
        <v>0.95122703412073495</v>
      </c>
      <c r="EC17" s="177">
        <f>IF('All Fleet'!DZ61="","",'All Fleet'!DZ61)</f>
        <v>0.94814453124999998</v>
      </c>
      <c r="ED17" s="177">
        <f>IF('All Fleet'!EA61="","",'All Fleet'!EA61)</f>
        <v>0.94729328165374671</v>
      </c>
      <c r="EE17" s="177">
        <f>IF('All Fleet'!EB61="","",'All Fleet'!EB61)</f>
        <v>0.94769871794871796</v>
      </c>
      <c r="EF17" s="177">
        <f>IF('All Fleet'!EC61="","",'All Fleet'!EC61)</f>
        <v>0.94421755725190837</v>
      </c>
      <c r="EG17" s="177">
        <f>IF('All Fleet'!ED61="","",'All Fleet'!ED61)</f>
        <v>0.94464015151515146</v>
      </c>
      <c r="EH17" s="177">
        <f>IF('All Fleet'!EE61="","",'All Fleet'!EE61)</f>
        <v>0.94505639097744365</v>
      </c>
      <c r="EI17" s="177">
        <f>IF('All Fleet'!EF61="","",'All Fleet'!EF61)</f>
        <v>0.94546641791044772</v>
      </c>
      <c r="EJ17" s="177">
        <f>IF('All Fleet'!EG61="","",'All Fleet'!EG61)</f>
        <v>0.94587037037037036</v>
      </c>
      <c r="EK17" s="177">
        <f>IF('All Fleet'!EH61="","",'All Fleet'!EH61)</f>
        <v>0.9462683823529412</v>
      </c>
      <c r="EL17" s="177">
        <f>IF('All Fleet'!EI61="","",'All Fleet'!EI61)</f>
        <v>0.94666058394160579</v>
      </c>
      <c r="EM17" s="177">
        <f>IF('All Fleet'!EJ61="","",'All Fleet'!EJ61)</f>
        <v>0.9470471014492754</v>
      </c>
      <c r="EN17" s="177">
        <f>IF('All Fleet'!EK61="","",'All Fleet'!EK61)</f>
        <v>0.94742805755395687</v>
      </c>
      <c r="EO17" s="177">
        <f>IF('All Fleet'!EL61="","",'All Fleet'!EL61)</f>
        <v>0.94780357142857141</v>
      </c>
      <c r="EP17" s="177">
        <f>IF('All Fleet'!EM61="","",'All Fleet'!EM61)</f>
        <v>0.94817375886524824</v>
      </c>
      <c r="EQ17" s="177">
        <f>IF('All Fleet'!EN61="","",'All Fleet'!EN61)</f>
        <v>0.94604460093896714</v>
      </c>
      <c r="ER17" s="177">
        <f>IF('All Fleet'!EO61="","",'All Fleet'!EO61)</f>
        <v>0.94595571095571096</v>
      </c>
      <c r="ES17" s="177">
        <f>IF('All Fleet'!EP61="","",'All Fleet'!EP61)</f>
        <v>0.94633101851851853</v>
      </c>
      <c r="ET17" s="177">
        <f>IF('All Fleet'!EQ61="","",'All Fleet'!EQ61)</f>
        <v>0.94524425287356317</v>
      </c>
      <c r="EU17" s="177">
        <f>IF('All Fleet'!ER61="","",'All Fleet'!ER61)</f>
        <v>0.9456192922374429</v>
      </c>
      <c r="EV17" s="177">
        <f>IF('All Fleet'!ES61="","",'All Fleet'!ES61)</f>
        <v>0.94263605442176868</v>
      </c>
      <c r="EW17" s="177">
        <f>IF('All Fleet'!ET61="","",'All Fleet'!ET61)</f>
        <v>0.94050394144144145</v>
      </c>
      <c r="EX17" s="177">
        <f>IF('All Fleet'!EU61="","",'All Fleet'!EU61)</f>
        <v>0.94090324384787472</v>
      </c>
      <c r="EY17" s="177">
        <f>IF('All Fleet'!EV61="","",'All Fleet'!EV61)</f>
        <v>0.94129722222222223</v>
      </c>
      <c r="EZ17" s="177">
        <f>IF('All Fleet'!EW61="","",'All Fleet'!EW61)</f>
        <v>0.94168598233995582</v>
      </c>
      <c r="FA17" s="177">
        <f>'All Fleet'!EX48</f>
        <v>1</v>
      </c>
      <c r="FB17" s="177">
        <f>'All Fleet'!EY48</f>
        <v>1</v>
      </c>
      <c r="FC17" s="177">
        <f>'All Fleet'!EZ48</f>
        <v>1</v>
      </c>
      <c r="FD17" s="177">
        <f>'All Fleet'!FA48</f>
        <v>1</v>
      </c>
      <c r="FE17" s="177">
        <f>'All Fleet'!FB48</f>
        <v>1</v>
      </c>
      <c r="FF17" s="177">
        <f>'All Fleet'!FC48</f>
        <v>1</v>
      </c>
      <c r="FG17" s="177">
        <f>'All Fleet'!FD48</f>
        <v>0.95345238095238094</v>
      </c>
      <c r="FH17" s="177">
        <f>'All Fleet'!FE48</f>
        <v>0.92906250000000001</v>
      </c>
      <c r="FI17" s="177">
        <f>'All Fleet'!FF48</f>
        <v>0.93694444444444447</v>
      </c>
      <c r="FJ17" s="177">
        <f>'All Fleet'!FG48</f>
        <v>0.93495833333333334</v>
      </c>
      <c r="FK17" s="177">
        <f>'All Fleet'!FH48</f>
        <v>0.94087121212121216</v>
      </c>
      <c r="FL17" s="177">
        <f>'All Fleet'!FI48</f>
        <v>0.94579861111111108</v>
      </c>
      <c r="FM17" s="177">
        <f>'All Fleet'!FJ48</f>
        <v>0.94996794871794876</v>
      </c>
      <c r="FN17" s="177">
        <f>'All Fleet'!FK48</f>
        <v>0.95354166666666662</v>
      </c>
      <c r="FO17" s="177">
        <f>'All Fleet'!FL48</f>
        <v>0.95663888888888893</v>
      </c>
      <c r="FP17" s="177">
        <f>'All Fleet'!FM48</f>
        <v>0.92098958333333336</v>
      </c>
      <c r="FQ17" s="177">
        <f>'All Fleet'!FN48</f>
        <v>0.9256372549019608</v>
      </c>
      <c r="FR17" s="177">
        <f>'All Fleet'!FO48</f>
        <v>0.92976851851851849</v>
      </c>
      <c r="FS17" s="177">
        <f>'All Fleet'!FP48</f>
        <v>0.93346491228070172</v>
      </c>
      <c r="FT17" s="177">
        <f>'All Fleet'!FQ48</f>
        <v>0.93525000000000003</v>
      </c>
      <c r="FU17" s="177">
        <f>'All Fleet'!FR48</f>
        <v>0.93833333333333335</v>
      </c>
      <c r="FV17" s="177">
        <f>'All Fleet'!FS48</f>
        <v>0.94113636363636366</v>
      </c>
      <c r="FW17" s="177">
        <f>'All Fleet'!FT48</f>
        <v>0.93771739130434784</v>
      </c>
      <c r="FX17" s="177">
        <f>'All Fleet'!FU48</f>
        <v>0.9403125</v>
      </c>
      <c r="FY17" s="177">
        <f>'All Fleet'!FV48</f>
        <v>0.94269999999999998</v>
      </c>
      <c r="FZ17" s="177">
        <f>'All Fleet'!FW48</f>
        <v>0.94490384615384615</v>
      </c>
      <c r="GA17" s="177">
        <f>'All Fleet'!FX48</f>
        <v>0.94694444444444448</v>
      </c>
      <c r="GB17" s="177">
        <f>'All Fleet'!FY48</f>
        <v>0.94883928571428566</v>
      </c>
      <c r="GC17" s="177">
        <f>'All Fleet'!FZ48</f>
        <v>0.95060344827586207</v>
      </c>
      <c r="GD17" s="177">
        <f>'All Fleet'!GA48</f>
        <v>0.89558333333333329</v>
      </c>
      <c r="GE17" s="177">
        <f>'All Fleet'!GB48</f>
        <v>0.23749999999999993</v>
      </c>
      <c r="GF17" s="177">
        <f>'All Fleet'!GC48</f>
        <v>0.61874999999999991</v>
      </c>
      <c r="GG17" s="177">
        <f>'All Fleet'!GD48</f>
        <v>0.74583333333333335</v>
      </c>
      <c r="GH17" s="177">
        <f>'All Fleet'!GE48</f>
        <v>0.80333333333333334</v>
      </c>
      <c r="GI17" s="177">
        <f>'All Fleet'!GF48</f>
        <v>0.84266666666666667</v>
      </c>
      <c r="GJ17" s="177">
        <f>'All Fleet'!GG48</f>
        <v>0.86888888888888893</v>
      </c>
      <c r="GK17" s="177">
        <f>'All Fleet'!GH48</f>
        <v>0.88761904761904764</v>
      </c>
      <c r="GL17" s="177">
        <f>'All Fleet'!GI48</f>
        <v>0.8744270833333333</v>
      </c>
      <c r="GM17" s="177">
        <f>'All Fleet'!GJ48</f>
        <v>0.88837962962962957</v>
      </c>
      <c r="GN17" s="177">
        <f>'All Fleet'!GK48</f>
        <v>0.89954166666666668</v>
      </c>
      <c r="GO17" s="177">
        <f>'All Fleet'!GL48</f>
        <v>0.90867424242424244</v>
      </c>
      <c r="GP17" s="177">
        <f>'All Fleet'!GM48</f>
        <v>0.91628472222222224</v>
      </c>
      <c r="GQ17" s="177">
        <f>'All Fleet'!GN48</f>
        <v>0.922724358974359</v>
      </c>
      <c r="GR17" s="177">
        <f>'All Fleet'!GO48</f>
        <v>0.92824404761904766</v>
      </c>
      <c r="GS17" s="177">
        <f>'All Fleet'!GP48</f>
        <v>0.93302777777777779</v>
      </c>
      <c r="GT17" s="177">
        <f>'All Fleet'!GQ48</f>
        <v>0.93505208333333334</v>
      </c>
      <c r="GU17" s="177">
        <f>'All Fleet'!GR48</f>
        <v>0.93887254901960782</v>
      </c>
      <c r="GV17" s="177">
        <f>'All Fleet'!GS48</f>
        <v>0.94226851851851856</v>
      </c>
      <c r="GW17" s="177">
        <f>'All Fleet'!GT48</f>
        <v>0.9453070175438596</v>
      </c>
      <c r="GX17" s="177">
        <f>'All Fleet'!GU48</f>
        <v>0.94804166666666667</v>
      </c>
      <c r="GY17" s="177">
        <f>'All Fleet'!GV48</f>
        <v>0.95051587301587304</v>
      </c>
      <c r="GZ17" s="177">
        <f>'All Fleet'!GW48</f>
        <v>0.95276515151515151</v>
      </c>
      <c r="HA17" s="177">
        <f>'All Fleet'!GX48</f>
        <v>0.95481884057971012</v>
      </c>
      <c r="HB17" s="177">
        <f>'All Fleet'!GY48</f>
        <v>0.95670138888888889</v>
      </c>
      <c r="HC17" s="177">
        <f>'All Fleet'!GZ48</f>
        <v>0.95843333333333336</v>
      </c>
      <c r="HD17" s="177">
        <f>'All Fleet'!HA48</f>
        <v>0.96003205128205127</v>
      </c>
      <c r="HE17" s="177">
        <f>'All Fleet'!HB48</f>
        <v>0.96151234567901234</v>
      </c>
      <c r="HF17" s="177">
        <f>'All Fleet'!HC48</f>
        <v>0.96288690476190475</v>
      </c>
      <c r="HG17" s="177">
        <f>'All Fleet'!HD48</f>
        <v>0.96416666666666662</v>
      </c>
      <c r="HH17" s="177">
        <f>'All Fleet'!HE48</f>
        <v>0.96536111111111111</v>
      </c>
      <c r="HI17" s="177">
        <f>'All Fleet'!HF48</f>
        <v>0.96647849462365587</v>
      </c>
      <c r="HJ17" s="177">
        <f>'All Fleet'!HG48</f>
        <v>1</v>
      </c>
      <c r="HK17" s="177">
        <f>'All Fleet'!HH48</f>
        <v>1</v>
      </c>
      <c r="HL17" s="177">
        <f>'All Fleet'!HI48</f>
        <v>1</v>
      </c>
      <c r="HM17" s="177">
        <f>'All Fleet'!HJ48</f>
        <v>0.9993171296296296</v>
      </c>
      <c r="HN17" s="177">
        <f>'All Fleet'!HK48</f>
        <v>0.99945370370370368</v>
      </c>
      <c r="HO17" s="177">
        <f>'All Fleet'!HL48</f>
        <v>0.99954475308641977</v>
      </c>
      <c r="HP17" s="177">
        <f>'All Fleet'!HM48</f>
        <v>0.99960978835978831</v>
      </c>
      <c r="HQ17" s="177">
        <f>'All Fleet'!HN48</f>
        <v>0.99564959490740745</v>
      </c>
      <c r="HR17" s="177">
        <f>'All Fleet'!HO48</f>
        <v>0.99613297325102879</v>
      </c>
      <c r="HS17" s="177">
        <f>'All Fleet'!HP48</f>
        <v>0.99651967592592594</v>
      </c>
      <c r="HT17" s="177">
        <f>'All Fleet'!HQ48</f>
        <v>0.98155829124579119</v>
      </c>
      <c r="HU17" s="177">
        <f>'All Fleet'!HR48</f>
        <v>0.983095100308642</v>
      </c>
      <c r="HV17" s="177">
        <f>'All Fleet'!HS48</f>
        <v>0.95965900997150999</v>
      </c>
      <c r="HW17" s="177">
        <f>'All Fleet'!HT48</f>
        <v>0.96254050925925927</v>
      </c>
      <c r="HX17" s="177">
        <f>'All Fleet'!HU48</f>
        <v>0.9650378086419753</v>
      </c>
      <c r="HY17" s="177">
        <f>'All Fleet'!HV48</f>
        <v>0.96722294560185185</v>
      </c>
      <c r="HZ17" s="177">
        <f>'All Fleet'!HW48</f>
        <v>0.96915100762527229</v>
      </c>
      <c r="IA17" s="177">
        <f>'All Fleet'!HX48</f>
        <v>0.97086484053497946</v>
      </c>
      <c r="IB17" s="177">
        <f>'All Fleet'!HY48</f>
        <v>0.97239826998050682</v>
      </c>
      <c r="IC17" s="177">
        <f>'All Fleet'!HZ48</f>
        <v>0.97377835648148148</v>
      </c>
      <c r="ID17" s="177">
        <f>'All Fleet'!IA48</f>
        <v>0.97502700617283955</v>
      </c>
      <c r="IE17" s="177">
        <f>'All Fleet'!IB48</f>
        <v>0.97616214225589226</v>
      </c>
      <c r="IF17" s="177">
        <f>'All Fleet'!IC48</f>
        <v>0.97719857085346218</v>
      </c>
      <c r="IG17" s="177">
        <f>'All Fleet'!ID48</f>
        <v>0.97814863040123456</v>
      </c>
      <c r="IH17" s="177">
        <f>'All Fleet'!IE48</f>
        <v>0.97338935185185183</v>
      </c>
      <c r="II17" s="177">
        <f>'All Fleet'!IF48</f>
        <v>0.97441283831908831</v>
      </c>
      <c r="IJ17" s="177">
        <f>'All Fleet'!IG48</f>
        <v>0.97471236282578877</v>
      </c>
      <c r="IK17" s="177">
        <f>'All Fleet'!IH48</f>
        <v>0.97561549272486769</v>
      </c>
      <c r="IL17" s="177">
        <f>'All Fleet'!II48</f>
        <v>0.97645633780332053</v>
      </c>
      <c r="IM17" s="177">
        <f>'All Fleet'!IJ48</f>
        <v>0.97724112654320983</v>
      </c>
      <c r="IN17" s="177">
        <f>'All Fleet'!IK48</f>
        <v>0.97797528375149345</v>
      </c>
      <c r="IO17" s="177">
        <f>'All Fleet'!IL48</f>
        <v>0.46184027777777781</v>
      </c>
      <c r="IP17" s="177">
        <f>'All Fleet'!IM48</f>
        <v>0.23092013888888896</v>
      </c>
      <c r="IQ17" s="177">
        <f>'All Fleet'!IN48</f>
        <v>0.15394675925925927</v>
      </c>
      <c r="IR17" s="177">
        <f>'All Fleet'!IO48</f>
        <v>0.11546006944444454</v>
      </c>
      <c r="IS17" s="177">
        <f>'All Fleet'!IP48</f>
        <v>9.2368055555555606E-2</v>
      </c>
      <c r="IT17" s="177">
        <f>'All Fleet'!IQ48</f>
        <v>0.21255787037037044</v>
      </c>
      <c r="IU17" s="177">
        <f>'All Fleet'!IR48</f>
        <v>0.20014880952380953</v>
      </c>
      <c r="IV17" s="177">
        <f>'All Fleet'!IS48</f>
        <v>0.17387442129629627</v>
      </c>
      <c r="IW17" s="177">
        <f>'All Fleet'!IT48</f>
        <v>0.16476466049382721</v>
      </c>
      <c r="IX17" s="177">
        <f>'All Fleet'!IU48</f>
        <v>0.2219606481481482</v>
      </c>
      <c r="IY17" s="177">
        <f>'All Fleet'!IV48</f>
        <v>0.29269149831649843</v>
      </c>
      <c r="IZ17" s="177">
        <f>'All Fleet'!IW48</f>
        <v>0.35149498456790129</v>
      </c>
      <c r="JA17" s="177">
        <f>'All Fleet'!IX48</f>
        <v>0.40137998575498579</v>
      </c>
      <c r="JB17" s="177">
        <f>'All Fleet'!IY48</f>
        <v>0.4284540343915344</v>
      </c>
      <c r="JC17" s="177">
        <f>'All Fleet'!IZ48</f>
        <v>0.46579089506172844</v>
      </c>
      <c r="JD17" s="177">
        <f>'All Fleet'!JA48</f>
        <v>0.49917896412037044</v>
      </c>
      <c r="JE17" s="177">
        <f>'All Fleet'!JB48</f>
        <v>0.52863902505446625</v>
      </c>
      <c r="JF17" s="177">
        <f>'All Fleet'!JC48</f>
        <v>0.54667181069958848</v>
      </c>
      <c r="JG17" s="177">
        <f>'All Fleet'!JD48</f>
        <v>0.53782468323586752</v>
      </c>
      <c r="JH17" s="177">
        <f>'All Fleet'!JE48</f>
        <v>0.5475758101851852</v>
      </c>
      <c r="JI17" s="177">
        <f>'All Fleet'!JF48</f>
        <v>0.56466214726631403</v>
      </c>
      <c r="JJ17" s="177">
        <f>'All Fleet'!JG48</f>
        <v>0.58323337542087539</v>
      </c>
      <c r="JK17" s="177">
        <f>'All Fleet'!JH48</f>
        <v>0.60135366344605479</v>
      </c>
      <c r="JL17" s="177">
        <f>'All Fleet'!JI48</f>
        <v>0.61796392746913575</v>
      </c>
      <c r="JM17" s="177">
        <f>'All Fleet'!JJ48</f>
        <v>0.63324537037037043</v>
      </c>
      <c r="JN17" s="177">
        <f>'All Fleet'!JK48</f>
        <v>0.64047097578347578</v>
      </c>
      <c r="JO17" s="177">
        <f>'All Fleet'!JL48</f>
        <v>0.64376543209876547</v>
      </c>
      <c r="JP17" s="177">
        <f>'All Fleet'!JM48</f>
        <v>0.65593625992063498</v>
      </c>
      <c r="JQ17" s="177">
        <f>'All Fleet'!JN48</f>
        <v>0.66636374521072805</v>
      </c>
      <c r="JR17" s="177">
        <f>'All Fleet'!JO48</f>
        <v>0.67609606481481488</v>
      </c>
      <c r="JS17" s="177">
        <f>'All Fleet'!JP48</f>
        <v>0.78874999999999995</v>
      </c>
      <c r="JT17" s="177">
        <f>'All Fleet'!JQ48</f>
        <v>0.87354166666666666</v>
      </c>
      <c r="JU17" s="177">
        <f>'All Fleet'!JR48</f>
        <v>0.90972222222222221</v>
      </c>
      <c r="JV17" s="177">
        <f>'All Fleet'!JS48</f>
        <v>0.921875</v>
      </c>
      <c r="JW17" s="177">
        <f>'All Fleet'!JT48</f>
        <v>0.93399999999999994</v>
      </c>
      <c r="JX17" s="177">
        <f>'All Fleet'!JU48</f>
        <v>0.85472222222222216</v>
      </c>
      <c r="JY17" s="177">
        <f>'All Fleet'!JV48</f>
        <v>0.86952380952380948</v>
      </c>
      <c r="JZ17" s="177">
        <f>'All Fleet'!JW48</f>
        <v>0.88583333333333336</v>
      </c>
      <c r="KA17" s="177">
        <f>'All Fleet'!JX48</f>
        <v>0.89851851851851849</v>
      </c>
      <c r="KB17" s="177">
        <f>'All Fleet'!JY48</f>
        <v>0.90866666666666662</v>
      </c>
      <c r="KC17" s="177">
        <f>'All Fleet'!JZ48</f>
        <v>0.91696969696969699</v>
      </c>
      <c r="KD17" s="177">
        <f>'All Fleet'!KA48</f>
        <v>0.92388888888888887</v>
      </c>
      <c r="KE17" s="177">
        <f>'All Fleet'!KB48</f>
        <v>0.92974358974358973</v>
      </c>
      <c r="KF17" s="177">
        <f>'All Fleet'!KC48</f>
        <v>0.93476190476190479</v>
      </c>
      <c r="KG17" s="177">
        <f>'All Fleet'!KD48</f>
        <v>0.93911111111111112</v>
      </c>
      <c r="KH17" s="177">
        <f>'All Fleet'!KE48</f>
        <v>0.94291666666666663</v>
      </c>
      <c r="KI17" s="177">
        <f>'All Fleet'!KF48</f>
        <v>0.94627450980392158</v>
      </c>
      <c r="KJ17" s="177">
        <f>'All Fleet'!KG48</f>
        <v>0.94925925925925925</v>
      </c>
      <c r="KK17" s="177">
        <f>'All Fleet'!KH48</f>
        <v>0.95192982456140351</v>
      </c>
      <c r="KL17" s="177">
        <f>'All Fleet'!KI48</f>
        <v>0.95433333333333337</v>
      </c>
      <c r="KM17" s="177">
        <f>'All Fleet'!KJ48</f>
        <v>0.95650793650793653</v>
      </c>
      <c r="KN17" s="177">
        <f>'All Fleet'!KK48</f>
        <v>0.9584848484848485</v>
      </c>
      <c r="KO17" s="177">
        <f>'All Fleet'!KL48</f>
        <v>0.96028985507246378</v>
      </c>
      <c r="KP17" s="177">
        <f>'All Fleet'!KM48</f>
        <v>0.96194444444444449</v>
      </c>
      <c r="KQ17" s="177">
        <f>'All Fleet'!KN48</f>
        <v>0.96346666666666669</v>
      </c>
      <c r="KR17" s="177">
        <f>'All Fleet'!KO48</f>
        <v>0.96487179487179486</v>
      </c>
      <c r="KS17" s="177">
        <f>'All Fleet'!KP48</f>
        <v>0.96617283950617283</v>
      </c>
      <c r="KT17" s="177">
        <f>'All Fleet'!KQ48</f>
        <v>0.96738095238095234</v>
      </c>
      <c r="KU17" s="177">
        <f>'All Fleet'!KR48</f>
        <v>0.96850574712643678</v>
      </c>
      <c r="KV17" s="177">
        <f>'All Fleet'!KS48</f>
        <v>0.9695555555555555</v>
      </c>
      <c r="KW17" s="177">
        <f>'All Fleet'!KT48</f>
        <v>0.97053763440860219</v>
      </c>
      <c r="KX17" s="177" t="str">
        <f>'All Fleet'!KU48</f>
        <v/>
      </c>
      <c r="KY17" s="177" t="str">
        <f>'All Fleet'!KV48</f>
        <v/>
      </c>
      <c r="KZ17" s="177" t="str">
        <f>'All Fleet'!KW48</f>
        <v/>
      </c>
      <c r="LA17" s="177" t="str">
        <f>'All Fleet'!KX48</f>
        <v/>
      </c>
      <c r="LB17" s="177" t="str">
        <f>'All Fleet'!KY48</f>
        <v/>
      </c>
      <c r="LC17" s="177" t="str">
        <f>'All Fleet'!KZ48</f>
        <v/>
      </c>
      <c r="LD17" s="177" t="str">
        <f>'All Fleet'!LA48</f>
        <v/>
      </c>
      <c r="LE17" s="177" t="str">
        <f>'All Fleet'!LB48</f>
        <v/>
      </c>
      <c r="LF17" s="177" t="str">
        <f>'All Fleet'!LC48</f>
        <v/>
      </c>
      <c r="LG17" s="177" t="str">
        <f>'All Fleet'!LD48</f>
        <v/>
      </c>
      <c r="LH17" s="177" t="str">
        <f>'All Fleet'!LE48</f>
        <v/>
      </c>
      <c r="LI17" s="177" t="str">
        <f>'All Fleet'!LF48</f>
        <v/>
      </c>
      <c r="LJ17" s="177" t="str">
        <f>'All Fleet'!LG48</f>
        <v/>
      </c>
      <c r="LK17" s="177" t="str">
        <f>'All Fleet'!LH48</f>
        <v/>
      </c>
      <c r="LL17" s="177" t="str">
        <f>'All Fleet'!LI48</f>
        <v/>
      </c>
      <c r="LM17" s="177" t="str">
        <f>'All Fleet'!LJ48</f>
        <v/>
      </c>
      <c r="LN17" s="177" t="str">
        <f>'All Fleet'!LK48</f>
        <v/>
      </c>
      <c r="LO17" s="177" t="str">
        <f>'All Fleet'!LL48</f>
        <v/>
      </c>
      <c r="LP17" s="177" t="str">
        <f>'All Fleet'!LM48</f>
        <v/>
      </c>
      <c r="LQ17" s="177" t="str">
        <f>'All Fleet'!LN48</f>
        <v/>
      </c>
      <c r="LR17" s="177" t="str">
        <f>'All Fleet'!LO48</f>
        <v/>
      </c>
      <c r="LS17" s="177" t="str">
        <f>'All Fleet'!LP48</f>
        <v/>
      </c>
      <c r="LT17" s="177" t="str">
        <f>'All Fleet'!LQ48</f>
        <v/>
      </c>
      <c r="LU17" s="177" t="str">
        <f>'All Fleet'!LR48</f>
        <v/>
      </c>
      <c r="LV17" s="177" t="str">
        <f>'All Fleet'!LS48</f>
        <v/>
      </c>
      <c r="LW17" s="177" t="str">
        <f>'All Fleet'!LT48</f>
        <v/>
      </c>
      <c r="LX17" s="177" t="str">
        <f>'All Fleet'!LU48</f>
        <v/>
      </c>
      <c r="LY17" s="177" t="str">
        <f>'All Fleet'!LV48</f>
        <v/>
      </c>
      <c r="LZ17" s="177" t="str">
        <f>'All Fleet'!LW48</f>
        <v/>
      </c>
      <c r="MA17" s="177" t="str">
        <f>'All Fleet'!LX48</f>
        <v/>
      </c>
      <c r="MB17" s="177" t="str">
        <f>'All Fleet'!LY48</f>
        <v/>
      </c>
      <c r="MC17" s="177" t="str">
        <f>'All Fleet'!LZ48</f>
        <v/>
      </c>
      <c r="MD17" s="177" t="str">
        <f>'All Fleet'!MA48</f>
        <v/>
      </c>
      <c r="ME17" s="177" t="str">
        <f>'All Fleet'!MB48</f>
        <v/>
      </c>
      <c r="MF17" s="177" t="str">
        <f>'All Fleet'!MC48</f>
        <v/>
      </c>
      <c r="MG17" s="177" t="str">
        <f>'All Fleet'!MD48</f>
        <v/>
      </c>
      <c r="MH17" s="177" t="str">
        <f>'All Fleet'!ME48</f>
        <v/>
      </c>
      <c r="MI17" s="177" t="str">
        <f>'All Fleet'!MF48</f>
        <v/>
      </c>
      <c r="MJ17" s="177" t="str">
        <f>'All Fleet'!MG48</f>
        <v/>
      </c>
      <c r="MK17" s="177" t="str">
        <f>'All Fleet'!MH48</f>
        <v/>
      </c>
      <c r="ML17" s="177" t="str">
        <f>'All Fleet'!MI48</f>
        <v/>
      </c>
      <c r="MM17" s="177" t="str">
        <f>'All Fleet'!MJ48</f>
        <v/>
      </c>
      <c r="MN17" s="177" t="str">
        <f>'All Fleet'!MK48</f>
        <v/>
      </c>
      <c r="MO17" s="177" t="str">
        <f>'All Fleet'!ML48</f>
        <v/>
      </c>
      <c r="MP17" s="177" t="str">
        <f>'All Fleet'!MM48</f>
        <v/>
      </c>
      <c r="MQ17" s="177" t="str">
        <f>'All Fleet'!MN48</f>
        <v/>
      </c>
      <c r="MR17" s="177" t="str">
        <f>'All Fleet'!MO48</f>
        <v/>
      </c>
      <c r="MS17" s="177" t="str">
        <f>'All Fleet'!MP48</f>
        <v/>
      </c>
      <c r="MT17" s="177" t="str">
        <f>'All Fleet'!MQ48</f>
        <v/>
      </c>
      <c r="MU17" s="177" t="str">
        <f>'All Fleet'!MR48</f>
        <v/>
      </c>
      <c r="MV17" s="177" t="str">
        <f>'All Fleet'!MS48</f>
        <v/>
      </c>
      <c r="MW17" s="177" t="str">
        <f>'All Fleet'!MT48</f>
        <v/>
      </c>
      <c r="MX17" s="177" t="str">
        <f>'All Fleet'!MU48</f>
        <v/>
      </c>
      <c r="MY17" s="177" t="str">
        <f>'All Fleet'!MV48</f>
        <v/>
      </c>
      <c r="MZ17" s="177" t="str">
        <f>'All Fleet'!MW48</f>
        <v/>
      </c>
      <c r="NA17" s="177" t="str">
        <f>'All Fleet'!MX48</f>
        <v/>
      </c>
      <c r="NB17" s="177" t="str">
        <f>'All Fleet'!MY48</f>
        <v/>
      </c>
      <c r="NC17" s="177" t="str">
        <f>'All Fleet'!MZ48</f>
        <v/>
      </c>
      <c r="ND17" s="177" t="str">
        <f>'All Fleet'!NA48</f>
        <v/>
      </c>
      <c r="NE17" s="177" t="str">
        <f>'All Fleet'!NB48</f>
        <v/>
      </c>
      <c r="NF17" s="177" t="str">
        <f>'All Fleet'!NC48</f>
        <v/>
      </c>
      <c r="NG17" s="177" t="str">
        <f>'All Fleet'!ND48</f>
        <v/>
      </c>
      <c r="NH17" s="177" t="str">
        <f>'All Fleet'!NE48</f>
        <v/>
      </c>
      <c r="NI17" s="177" t="str">
        <f>'All Fleet'!NF48</f>
        <v/>
      </c>
      <c r="NJ17" s="177" t="str">
        <f>'All Fleet'!NG48</f>
        <v/>
      </c>
      <c r="NK17" s="177" t="str">
        <f>'All Fleet'!NH48</f>
        <v/>
      </c>
      <c r="NL17" s="177" t="str">
        <f>'All Fleet'!NI48</f>
        <v/>
      </c>
      <c r="NM17" s="177" t="str">
        <f>'All Fleet'!NJ48</f>
        <v/>
      </c>
      <c r="NN17" s="177" t="str">
        <f>'All Fleet'!NK48</f>
        <v/>
      </c>
      <c r="NO17" s="177" t="str">
        <f>'All Fleet'!NL48</f>
        <v/>
      </c>
      <c r="NP17" s="177" t="str">
        <f>'All Fleet'!NM48</f>
        <v/>
      </c>
      <c r="NQ17" s="177" t="str">
        <f>'All Fleet'!NN48</f>
        <v/>
      </c>
      <c r="NR17" s="177" t="str">
        <f>'All Fleet'!NO48</f>
        <v/>
      </c>
      <c r="NS17" s="177" t="str">
        <f>'All Fleet'!NP48</f>
        <v/>
      </c>
      <c r="NT17" s="177" t="str">
        <f>'All Fleet'!NQ48</f>
        <v/>
      </c>
      <c r="NU17" s="177" t="str">
        <f>'All Fleet'!NR48</f>
        <v/>
      </c>
      <c r="NV17" s="177" t="str">
        <f>'All Fleet'!NS48</f>
        <v/>
      </c>
      <c r="NW17" s="177" t="str">
        <f>'All Fleet'!NT48</f>
        <v/>
      </c>
      <c r="NX17" s="177" t="str">
        <f>'All Fleet'!NU48</f>
        <v/>
      </c>
      <c r="NY17" s="177" t="str">
        <f>'All Fleet'!NV48</f>
        <v/>
      </c>
      <c r="NZ17" s="177" t="str">
        <f>'All Fleet'!NW48</f>
        <v/>
      </c>
      <c r="OA17" s="177" t="str">
        <f>'All Fleet'!NX48</f>
        <v/>
      </c>
      <c r="OB17" s="177" t="str">
        <f>'All Fleet'!NY48</f>
        <v/>
      </c>
      <c r="OC17" s="177" t="str">
        <f>'All Fleet'!NZ48</f>
        <v/>
      </c>
      <c r="OD17" s="177" t="str">
        <f>'All Fleet'!OA48</f>
        <v/>
      </c>
      <c r="OE17" s="177" t="str">
        <f>'All Fleet'!OB48</f>
        <v/>
      </c>
      <c r="OF17" s="177" t="str">
        <f>'All Fleet'!OC48</f>
        <v/>
      </c>
      <c r="OG17" s="177" t="str">
        <f>'All Fleet'!OD48</f>
        <v/>
      </c>
      <c r="OH17" s="177" t="str">
        <f>'All Fleet'!OE48</f>
        <v/>
      </c>
      <c r="OI17" s="177" t="str">
        <f>'All Fleet'!OF48</f>
        <v/>
      </c>
      <c r="OJ17" s="177" t="str">
        <f>'All Fleet'!OG48</f>
        <v/>
      </c>
      <c r="OK17" s="177" t="str">
        <f>'All Fleet'!OH48</f>
        <v/>
      </c>
      <c r="OL17" s="177" t="str">
        <f>'All Fleet'!OI48</f>
        <v/>
      </c>
      <c r="OM17" s="177" t="str">
        <f>'All Fleet'!OJ48</f>
        <v/>
      </c>
      <c r="ON17" s="177" t="str">
        <f>'All Fleet'!OK48</f>
        <v/>
      </c>
      <c r="OO17" s="177" t="str">
        <f>'All Fleet'!OL48</f>
        <v/>
      </c>
      <c r="OP17" s="177" t="str">
        <f>'All Fleet'!OM48</f>
        <v/>
      </c>
      <c r="OQ17" s="177" t="str">
        <f>'All Fleet'!ON48</f>
        <v/>
      </c>
      <c r="OR17" s="177" t="str">
        <f>'All Fleet'!OO48</f>
        <v/>
      </c>
      <c r="OS17" s="177" t="str">
        <f>'All Fleet'!OP48</f>
        <v/>
      </c>
      <c r="OT17" s="177" t="str">
        <f>'All Fleet'!OQ48</f>
        <v/>
      </c>
      <c r="OU17" s="177" t="str">
        <f>'All Fleet'!OR48</f>
        <v/>
      </c>
      <c r="OV17" s="177" t="str">
        <f>'All Fleet'!OS48</f>
        <v/>
      </c>
      <c r="OW17" s="177" t="str">
        <f>'All Fleet'!OT48</f>
        <v/>
      </c>
      <c r="OX17" s="177" t="str">
        <f>'All Fleet'!OU48</f>
        <v/>
      </c>
      <c r="OY17" s="177" t="str">
        <f>'All Fleet'!OV48</f>
        <v/>
      </c>
      <c r="OZ17" s="178" t="str">
        <f>'All Fleet'!OW48</f>
        <v/>
      </c>
    </row>
    <row r="18" spans="1:416" s="85" customFormat="1" x14ac:dyDescent="0.2">
      <c r="A18" s="138" t="b">
        <f t="shared" si="376"/>
        <v>1</v>
      </c>
      <c r="B18" s="139">
        <v>15</v>
      </c>
      <c r="C18" s="93"/>
      <c r="D18" s="204"/>
      <c r="E18" s="205" t="s">
        <v>93</v>
      </c>
      <c r="F18" s="206">
        <f>IF(F17="","",AVERAGE($F$14:$H$17))</f>
        <v>0.83871527777777777</v>
      </c>
      <c r="G18" s="206">
        <f t="shared" ref="G18:H18" si="382">IF(G17="","",AVERAGE($F$14:$H$17))</f>
        <v>0.83871527777777777</v>
      </c>
      <c r="H18" s="206">
        <f t="shared" si="382"/>
        <v>0.83871527777777777</v>
      </c>
      <c r="I18" s="206">
        <f>IF(I17="","",AVERAGE($I14:I17))</f>
        <v>0.84851562499999988</v>
      </c>
      <c r="J18" s="206">
        <f>IF(J17="","",AVERAGE($I14:J17))</f>
        <v>0.83166406249999991</v>
      </c>
      <c r="K18" s="206">
        <f>IF(K17="","",AVERAGE($I14:K17))</f>
        <v>0.82975520833333327</v>
      </c>
      <c r="L18" s="206">
        <f>IF(L17="","",AVERAGE($I14:L17))</f>
        <v>0.83136402529761899</v>
      </c>
      <c r="M18" s="206">
        <f>IF(M17="","",AVERAGE($I14:M17))</f>
        <v>0.82864851190476185</v>
      </c>
      <c r="N18" s="206">
        <f>IF(N17="","",AVERAGE($I14:N17))</f>
        <v>0.82952769510582003</v>
      </c>
      <c r="O18" s="206">
        <f>IF(O17="","",AVERAGE($I14:O17))</f>
        <v>0.83042998866213147</v>
      </c>
      <c r="P18" s="206">
        <f>IF(P17="","",AVERAGE($I14:P17))</f>
        <v>0.82611487644300141</v>
      </c>
      <c r="Q18" s="206">
        <f>IF(Q17="","",AVERAGE($I14:Q17))</f>
        <v>0.824434288319705</v>
      </c>
      <c r="R18" s="206">
        <f>IF(R17="","",AVERAGE($I14:R17))</f>
        <v>0.82454374410311893</v>
      </c>
      <c r="S18" s="206">
        <f>IF(S17="","",AVERAGE($I14:S17))</f>
        <v>0.82406574139244571</v>
      </c>
      <c r="T18" s="206">
        <f>IF(T17="","",AVERAGE($I14:T17))</f>
        <v>0.82378479998011234</v>
      </c>
      <c r="U18" s="206">
        <f>IF(U17="","",AVERAGE($I14:U17))</f>
        <v>0.82428142193677045</v>
      </c>
      <c r="V18" s="206">
        <f>IF(V17="","",AVERAGE($I14:V17))</f>
        <v>0.82542037149030634</v>
      </c>
      <c r="W18" s="206">
        <f>IF(W17="","",AVERAGE($I14:W17))</f>
        <v>0.82668941462552026</v>
      </c>
      <c r="X18" s="206">
        <f>IF(X17="","",AVERAGE($I14:X17))</f>
        <v>0.82775295998335519</v>
      </c>
      <c r="Y18" s="206">
        <f>IF(Y17="","",AVERAGE($I14:Y17))</f>
        <v>0.82879720988629491</v>
      </c>
      <c r="Z18" s="206">
        <f>IF(Z17="","",AVERAGE($I14:Z17))</f>
        <v>0.8300735223000193</v>
      </c>
      <c r="AA18" s="206">
        <f>IF(AA17="","",AVERAGE($I14:AA17))</f>
        <v>0.83154468260958758</v>
      </c>
      <c r="AB18" s="206">
        <f>IF(AB17="","",AVERAGE($I14:AB17))</f>
        <v>0.83313773833418081</v>
      </c>
      <c r="AC18" s="206">
        <f>IF(AC17="","",AVERAGE($I14:AC17))</f>
        <v>0.83478023690556902</v>
      </c>
      <c r="AD18" s="206">
        <f>IF(AD17="","",AVERAGE($I14:AD17))</f>
        <v>0.83608511250077067</v>
      </c>
      <c r="AE18" s="206">
        <f>IF(AE17="","",AVERAGE($I14:AE17))</f>
        <v>0.83750480242548631</v>
      </c>
      <c r="AF18" s="206">
        <f>IF(AF17="","",AVERAGE($I14:AF17))</f>
        <v>0.8385023839602268</v>
      </c>
      <c r="AG18" s="206">
        <f>IF(AG17="","",AVERAGE($I14:AG17))</f>
        <v>0.83961809217324646</v>
      </c>
      <c r="AH18" s="206">
        <f>IF(AH17="","",AVERAGE($I14:AH17))</f>
        <v>0.84079063349991645</v>
      </c>
      <c r="AI18" s="206">
        <f>IF(AI17="","",AVERAGE($I14:AI17))</f>
        <v>0.84203668513983743</v>
      </c>
      <c r="AJ18" s="206">
        <f>IF(AJ17="","",AVERAGE($I14:AJ17))</f>
        <v>0.84332291335872944</v>
      </c>
      <c r="AK18" s="206">
        <f>IF(AK17="","",AVERAGE($I14:AK17))</f>
        <v>0.84458023207911781</v>
      </c>
      <c r="AL18" s="206">
        <f>IF(AL17="","",AVERAGE($I14:AL17))</f>
        <v>0.84585821845089137</v>
      </c>
      <c r="AM18" s="206">
        <f>IF(AM17="","",AVERAGE($I14:AM17))</f>
        <v>0.84716483585064128</v>
      </c>
      <c r="AN18" s="206">
        <f>IF(AN17="","",AVERAGE($I14:AN17))</f>
        <v>0.84849125095054678</v>
      </c>
      <c r="AO18" s="206">
        <f>IF(AO17="","",AVERAGE($I14:AO17))</f>
        <v>0.84978092053453691</v>
      </c>
      <c r="AP18" s="206">
        <f>IF(AP17="","",AVERAGE($I14:AP17))</f>
        <v>0.8510689121404369</v>
      </c>
      <c r="AQ18" s="206">
        <f>IF(AQ17="","",AVERAGE($I14:AQ17))</f>
        <v>0.8523489137735174</v>
      </c>
      <c r="AR18" s="206">
        <f>IF(AR17="","",AVERAGE($I14:AR17))</f>
        <v>0.85363197160554449</v>
      </c>
      <c r="AS18" s="206">
        <f>IF(AS17="","",AVERAGE($I14:AS17))</f>
        <v>0.85491422969278208</v>
      </c>
      <c r="AT18" s="206">
        <f>IF(AT17="","",AVERAGE($I14:AT17))</f>
        <v>0.8561561904860614</v>
      </c>
      <c r="AU18" s="206">
        <f>IF(AU17="","",AVERAGE($I14:AU17))</f>
        <v>0.85737959707921507</v>
      </c>
      <c r="AV18" s="206">
        <f>IF(AV17="","",AVERAGE($I14:AV17))</f>
        <v>0.85852940947781597</v>
      </c>
      <c r="AW18" s="206">
        <f>IF(AW17="","",AVERAGE($I14:AW17))</f>
        <v>0.85951675111656856</v>
      </c>
      <c r="AX18" s="206">
        <f>IF(AX17="","",AVERAGE($I14:AX17))</f>
        <v>0.86051051012878399</v>
      </c>
      <c r="AY18" s="206">
        <f>IF(AY17="","",AVERAGE($I14:AY17))</f>
        <v>0.86150796961685727</v>
      </c>
      <c r="AZ18" s="206">
        <f>IF(AZ17="","",AVERAGE($I14:AZ17))</f>
        <v>0.86250680122292145</v>
      </c>
      <c r="BA18" s="206">
        <f>IF(BA17="","",AVERAGE($I14:BA17))</f>
        <v>0.86347568943648612</v>
      </c>
      <c r="BB18" s="206">
        <f>IF(BB17="","",AVERAGE($I14:BB17))</f>
        <v>0.86444410834403362</v>
      </c>
      <c r="BC18" s="206">
        <f>IF(BC17="","",AVERAGE($I14:BC17))</f>
        <v>0.86540513795373508</v>
      </c>
      <c r="BD18" s="206">
        <f>IF(BD17="","",AVERAGE($I14:BD17))</f>
        <v>0.86631496419189957</v>
      </c>
      <c r="BE18" s="206">
        <f>IF(BE17="","",AVERAGE($I14:BE17))</f>
        <v>0.8672011809090715</v>
      </c>
      <c r="BF18" s="206">
        <f>IF(BF17="","",AVERAGE($I14:BF17))</f>
        <v>0.86791120603302863</v>
      </c>
      <c r="BG18" s="206">
        <f>IF(BG17="","",AVERAGE($I14:BG17))</f>
        <v>0.86852708410403434</v>
      </c>
      <c r="BH18" s="206">
        <f>IF(BH17="","",AVERAGE($I14:BH17))</f>
        <v>0.86915036133280266</v>
      </c>
      <c r="BI18" s="206">
        <f>IF(BI17="","",AVERAGE($I14:BI17))</f>
        <v>0.86970365078654133</v>
      </c>
      <c r="BJ18" s="206">
        <f>IF(BJ17="","",AVERAGE($I14:BJ17))</f>
        <v>0.87026943221555375</v>
      </c>
      <c r="BK18" s="206">
        <f>IF(BK17="","",AVERAGE($I14:BK17))</f>
        <v>0.87084590753368263</v>
      </c>
      <c r="BL18" s="206">
        <f>IF(BL17="","",AVERAGE($I14:BL17))</f>
        <v>0.8714151631699355</v>
      </c>
      <c r="BM18" s="206">
        <f>IF(BM17="","",AVERAGE($I14:BM17))</f>
        <v>0.87194360694473194</v>
      </c>
      <c r="BN18" s="206">
        <f>IF(BN17="","",AVERAGE($I14:BN17))</f>
        <v>0.87245907660076327</v>
      </c>
      <c r="BO18" s="206">
        <f>IF(BO17="","",AVERAGE($I14:BO17))</f>
        <v>0.87293316187069758</v>
      </c>
      <c r="BP18" s="206">
        <f>IF(BP17="","",AVERAGE($I14:BP17))</f>
        <v>0.87338300820283499</v>
      </c>
      <c r="BQ18" s="206">
        <f>IF(BQ17="","",AVERAGE($I14:BQ17))</f>
        <v>0.87382372818448262</v>
      </c>
      <c r="BR18" s="206">
        <f>IF(BR17="","",AVERAGE($I14:BR17))</f>
        <v>0.87418471850739632</v>
      </c>
      <c r="BS18" s="206">
        <f>IF(BS17="","",AVERAGE($I14:BS17))</f>
        <v>0.87451076073407052</v>
      </c>
      <c r="BT18" s="206">
        <f>IF(BT17="","",AVERAGE($I14:BT17))</f>
        <v>0.87484905166942928</v>
      </c>
      <c r="BU18" s="206">
        <f>IF(BU17="","",AVERAGE($I14:BU17))</f>
        <v>0.87514443107813489</v>
      </c>
      <c r="BV18" s="206">
        <f>IF(BV17="","",AVERAGE($I14:BV17))</f>
        <v>0.87543619218681779</v>
      </c>
      <c r="BW18" s="206">
        <f>IF(BW17="","",AVERAGE($I14:BW17))</f>
        <v>0.87569816088907559</v>
      </c>
      <c r="BX18" s="206">
        <f>IF(BX17="","",AVERAGE($I14:BX17))</f>
        <v>0.87597458948135865</v>
      </c>
      <c r="BY18" s="206">
        <f>IF(BY17="","",AVERAGE($I14:BY17))</f>
        <v>0.87626424250551516</v>
      </c>
      <c r="BZ18" s="206">
        <f>IF(BZ17="","",AVERAGE($I14:BZ17))</f>
        <v>0.87656597968041994</v>
      </c>
      <c r="CA18" s="206">
        <f>IF(CA17="","",AVERAGE($I14:CA17))</f>
        <v>0.87682947987144566</v>
      </c>
      <c r="CB18" s="206">
        <f>IF(CB17="","",AVERAGE($I14:CB17))</f>
        <v>0.87707386209545324</v>
      </c>
      <c r="CC18" s="206">
        <f>IF(CC17="","",AVERAGE($I14:CC17))</f>
        <v>0.87733057829602012</v>
      </c>
      <c r="CD18" s="206">
        <f>IF(CD17="","",AVERAGE($I14:CD17))</f>
        <v>0.87759814726253604</v>
      </c>
      <c r="CE18" s="206">
        <f>IF(CE17="","",AVERAGE($I14:CE17))</f>
        <v>0.87787404660957669</v>
      </c>
      <c r="CF18" s="206">
        <f>IF(CF17="","",AVERAGE($I14:CF17))</f>
        <v>0.87813304621836685</v>
      </c>
      <c r="CG18" s="206">
        <f>IF(CG17="","",AVERAGE($I14:CG17))</f>
        <v>0.87840194875665678</v>
      </c>
      <c r="CH18" s="206">
        <f>IF(CH17="","",AVERAGE($I14:CH17))</f>
        <v>0.87867996798490033</v>
      </c>
      <c r="CI18" s="206">
        <f>IF(CI17="","",AVERAGE($I14:CI17))</f>
        <v>0.87893967920625016</v>
      </c>
      <c r="CJ18" s="206">
        <f>IF(CJ17="","",AVERAGE($I14:CJ17))</f>
        <v>0.87920807879850127</v>
      </c>
      <c r="CK18" s="206">
        <f>IF(CK17="","",AVERAGE($I14:CK17))</f>
        <v>0.87948032375944485</v>
      </c>
      <c r="CL18" s="206">
        <f>IF(CL17="","",AVERAGE($I14:CL17))</f>
        <v>0.87972718614305712</v>
      </c>
      <c r="CM18" s="206">
        <f>IF(CM17="","",AVERAGE($I14:CM17))</f>
        <v>0.87995974771376262</v>
      </c>
      <c r="CN18" s="206">
        <f>IF(CN17="","",AVERAGE($I14:CN17))</f>
        <v>0.88019916311910451</v>
      </c>
      <c r="CO18" s="206">
        <f>IF(CO17="","",AVERAGE($I14:CO17))</f>
        <v>0.88044429941306901</v>
      </c>
      <c r="CP18" s="206">
        <f>IF(CP17="","",AVERAGE($I14:CP17))</f>
        <v>0.88068954686785117</v>
      </c>
      <c r="CQ18" s="206">
        <f>IF(CQ17="","",AVERAGE($I14:CQ17))</f>
        <v>0.88094173172718215</v>
      </c>
      <c r="CR18" s="206">
        <f>IF(CR17="","",AVERAGE($I14:CR17))</f>
        <v>0.88118015610440825</v>
      </c>
      <c r="CS18" s="206">
        <f>IF(CS17="","",AVERAGE($I14:CS17))</f>
        <v>0.8814236995792164</v>
      </c>
      <c r="CT18" s="206">
        <f>IF(CT17="","",AVERAGE($I14:CT17))</f>
        <v>0.88166886984275283</v>
      </c>
      <c r="CU18" s="206">
        <f>IF(CU17="","",AVERAGE($I14:CU17))</f>
        <v>0.88191993430399329</v>
      </c>
      <c r="CV18" s="206">
        <f>IF(CV17="","",AVERAGE($I14:CV17))</f>
        <v>0.88216225910274848</v>
      </c>
      <c r="CW18" s="206">
        <f>IF(CW17="","",AVERAGE($I14:CW17))</f>
        <v>0.88240564440286839</v>
      </c>
      <c r="CX18" s="206">
        <f>IF(CX17="","",AVERAGE($I14:CX17))</f>
        <v>0.88265429249743477</v>
      </c>
      <c r="CY18" s="206">
        <f>IF(CY17="","",AVERAGE($I14:CY17))</f>
        <v>0.88290307115857891</v>
      </c>
      <c r="CZ18" s="206">
        <f>IF(CZ17="","",AVERAGE($I14:CZ17))</f>
        <v>0.88315113470606421</v>
      </c>
      <c r="DA18" s="206">
        <f>IF(DA17="","",AVERAGE($I14:DA17))</f>
        <v>0.88336441768160312</v>
      </c>
      <c r="DB18" s="206">
        <f>IF(DB17="","",AVERAGE($I14:DB17))</f>
        <v>0.88358306307940981</v>
      </c>
      <c r="DC18" s="206">
        <f>IF(DC17="","",AVERAGE($I14:DC17))</f>
        <v>0.88380517249704049</v>
      </c>
      <c r="DD18" s="206">
        <f>IF(DD17="","",AVERAGE($I14:DD17))</f>
        <v>0.88403046017336451</v>
      </c>
      <c r="DE18" s="206">
        <f>IF(DE17="","",AVERAGE($I14:DE17))</f>
        <v>0.88425053495204931</v>
      </c>
      <c r="DF18" s="206">
        <f>IF(DF17="","",AVERAGE($I14:DF17))</f>
        <v>0.88446471816058037</v>
      </c>
      <c r="DG18" s="206">
        <f>IF(DG17="","",AVERAGE($I14:DG17))</f>
        <v>0.88468047141590611</v>
      </c>
      <c r="DH18" s="206">
        <f>IF(DH17="","",AVERAGE($I14:DH17))</f>
        <v>0.88488059740966041</v>
      </c>
      <c r="DI18" s="206">
        <f>IF(DI17="","",AVERAGE($I14:DI17))</f>
        <v>0.88505273692874553</v>
      </c>
      <c r="DJ18" s="206">
        <f>IF(DJ17="","",AVERAGE($I14:DJ17))</f>
        <v>0.8852300277666747</v>
      </c>
      <c r="DK18" s="206">
        <f>IF(DK17="","",AVERAGE($I14:DK17))</f>
        <v>0.88541009441456464</v>
      </c>
      <c r="DL18" s="206">
        <f>IF(DL17="","",AVERAGE($I14:DL17))</f>
        <v>0.88559133471208318</v>
      </c>
      <c r="DM18" s="206">
        <f>IF(DM17="","",AVERAGE($I14:DM17))</f>
        <v>0.88562381168174087</v>
      </c>
      <c r="DN18" s="206">
        <f>IF(DN17="","",AVERAGE($I14:DN17))</f>
        <v>0.88566461760396908</v>
      </c>
      <c r="DO18" s="206">
        <f>IF(DO17="","",AVERAGE($I14:DO17))</f>
        <v>0.88571226099155242</v>
      </c>
      <c r="DP18" s="206">
        <f>IF(DP17="","",AVERAGE($I14:DP17))</f>
        <v>0.88576102574201598</v>
      </c>
      <c r="DQ18" s="206">
        <f>IF(DQ17="","",AVERAGE($I14:DQ17))</f>
        <v>0.88581382843354728</v>
      </c>
      <c r="DR18" s="206">
        <f>IF(DR17="","",AVERAGE($I14:DR17))</f>
        <v>0.88587382234117518</v>
      </c>
      <c r="DS18" s="206">
        <f>IF(DS17="","",AVERAGE($I14:DS17))</f>
        <v>0.8859390637902349</v>
      </c>
      <c r="DT18" s="206">
        <f>IF(DT17="","",AVERAGE($I14:DT17))</f>
        <v>0.8860083765311525</v>
      </c>
      <c r="DU18" s="206">
        <f>IF(DU17="","",AVERAGE($I14:DU17))</f>
        <v>0.88608378125453302</v>
      </c>
      <c r="DV18" s="206">
        <f>IF(DV17="","",AVERAGE($I14:DV17))</f>
        <v>0.88616365413366194</v>
      </c>
      <c r="DW18" s="206">
        <f>IF(DW17="","",AVERAGE($I14:DW17))</f>
        <v>0.88624322581679249</v>
      </c>
      <c r="DX18" s="206">
        <f>IF(DX17="","",AVERAGE($I14:DX17))</f>
        <v>0.88631854197924964</v>
      </c>
      <c r="DY18" s="206">
        <f>IF(DY17="","",AVERAGE($I14:DY17))</f>
        <v>0.88639199744409713</v>
      </c>
      <c r="DZ18" s="206">
        <f>IF(DZ17="","",AVERAGE($I14:DZ17))</f>
        <v>0.88644254801149536</v>
      </c>
      <c r="EA18" s="206">
        <f>IF(EA17="","",AVERAGE($I14:EA17))</f>
        <v>0.88649920917963865</v>
      </c>
      <c r="EB18" s="206">
        <f>IF(EB17="","",AVERAGE($I14:EB17))</f>
        <v>0.88656172481765738</v>
      </c>
      <c r="EC18" s="206">
        <f>IF(EC17="","",AVERAGE($I14:EC17))</f>
        <v>0.88662292242536622</v>
      </c>
      <c r="ED18" s="206">
        <f>IF(ED17="","",AVERAGE($I14:ED17))</f>
        <v>0.8866864335410175</v>
      </c>
      <c r="EE18" s="206">
        <f>IF(EE17="","",AVERAGE($I14:EE17))</f>
        <v>0.88675032998598025</v>
      </c>
      <c r="EF18" s="206">
        <f>IF(EF17="","",AVERAGE($I14:EF17))</f>
        <v>0.88681192290732846</v>
      </c>
      <c r="EG18" s="206">
        <f>IF(EG17="","",AVERAGE($I14:EG17))</f>
        <v>0.88687874869482974</v>
      </c>
      <c r="EH18" s="206">
        <f>IF(EH17="","",AVERAGE($I14:EH17))</f>
        <v>0.88694318390344284</v>
      </c>
      <c r="EI18" s="206">
        <f>IF(EI17="","",AVERAGE($I14:EI17))</f>
        <v>0.88700794412088257</v>
      </c>
      <c r="EJ18" s="206">
        <f>IF(EJ17="","",AVERAGE($I14:EJ17))</f>
        <v>0.8870513802437977</v>
      </c>
      <c r="EK18" s="206">
        <f>IF(EK17="","",AVERAGE($I14:EK17))</f>
        <v>0.88709424198197639</v>
      </c>
      <c r="EL18" s="206">
        <f>IF(EL17="","",AVERAGE($I14:EL17))</f>
        <v>0.88713179743546422</v>
      </c>
      <c r="EM18" s="206">
        <f>IF(EM17="","",AVERAGE($I14:EM17))</f>
        <v>0.88717458681391703</v>
      </c>
      <c r="EN18" s="206">
        <f>IF(EN17="","",AVERAGE($I14:EN17))</f>
        <v>0.88722241196200891</v>
      </c>
      <c r="EO18" s="206">
        <f>IF(EO17="","",AVERAGE($I14:EO17))</f>
        <v>0.8872620478583586</v>
      </c>
      <c r="EP18" s="206">
        <f>IF(EP17="","",AVERAGE($I14:EP17))</f>
        <v>0.88729214522629485</v>
      </c>
      <c r="EQ18" s="206">
        <f>IF(EQ17="","",AVERAGE($I14:EQ17))</f>
        <v>0.88731015905973964</v>
      </c>
      <c r="ER18" s="206">
        <f>IF(ER17="","",AVERAGE($I14:ER17))</f>
        <v>0.88732634398753485</v>
      </c>
      <c r="ES18" s="206">
        <f>IF(ES17="","",AVERAGE($I14:ES17))</f>
        <v>0.88734413123630984</v>
      </c>
      <c r="ET18" s="206">
        <f>IF(ET17="","",AVERAGE($I14:ET17))</f>
        <v>0.88736399812820244</v>
      </c>
      <c r="EU18" s="206">
        <f>IF(EU17="","",AVERAGE($I14:EU17))</f>
        <v>0.88738884795129946</v>
      </c>
      <c r="EV18" s="206">
        <f>IF(EV17="","",AVERAGE($I14:EV17))</f>
        <v>0.88740984002350709</v>
      </c>
      <c r="EW18" s="206">
        <f>IF(EW17="","",AVERAGE($I14:EW17))</f>
        <v>0.88742708188479258</v>
      </c>
      <c r="EX18" s="206">
        <f>IF(EX17="","",AVERAGE($I14:EX17))</f>
        <v>0.88744771172141268</v>
      </c>
      <c r="EY18" s="206">
        <f>IF(EY17="","",AVERAGE($I14:EY17))</f>
        <v>0.88747302963109298</v>
      </c>
      <c r="EZ18" s="206">
        <f>IF(EZ17="","",AVERAGE($I14:EZ17))</f>
        <v>0.88750287521872384</v>
      </c>
      <c r="FA18" s="206">
        <f>IF(FA17="","",AVERAGE($I14:FA17))</f>
        <v>0.88825788947900086</v>
      </c>
      <c r="FB18" s="206">
        <f>IF(FB17="","",AVERAGE($I14:FB17))</f>
        <v>0.88900283688247406</v>
      </c>
      <c r="FC18" s="206">
        <f>IF(FC17="","",AVERAGE($I14:FC17))</f>
        <v>0.88973791743292119</v>
      </c>
      <c r="FD18" s="206">
        <f>IF(FD17="","",AVERAGE($I14:FD17))</f>
        <v>0.89046332587086274</v>
      </c>
      <c r="FE18" s="206">
        <f>IF(FE17="","",AVERAGE($I14:FE17))</f>
        <v>0.89117925184556301</v>
      </c>
      <c r="FF18" s="206">
        <f>IF(FF17="","",AVERAGE($I14:FF17))</f>
        <v>0.89188588008033198</v>
      </c>
      <c r="FG18" s="206">
        <f>IF(FG17="","",AVERAGE($FG14:FG17))</f>
        <v>0.95797619047619054</v>
      </c>
      <c r="FH18" s="206">
        <f>IF(FH17="","",AVERAGE($FG14:FH17))</f>
        <v>0.93960658482142867</v>
      </c>
      <c r="FI18" s="206">
        <f>IF(FI17="","",AVERAGE($FG14:FI17))</f>
        <v>0.9362076306216931</v>
      </c>
      <c r="FJ18" s="206">
        <f>IF(FJ17="","",AVERAGE($FG14:FJ17))</f>
        <v>0.93326509796627</v>
      </c>
      <c r="FK18" s="206">
        <f>IF(FK17="","",AVERAGE($FG14:FK17))</f>
        <v>0.93153442685786447</v>
      </c>
      <c r="FL18" s="206">
        <f>IF(FL17="","",AVERAGE($FG14:FL17))</f>
        <v>0.93122805247414631</v>
      </c>
      <c r="FM18" s="206">
        <f>IF(FM17="","",AVERAGE($FG14:FM17))</f>
        <v>0.93147844058223528</v>
      </c>
      <c r="FN18" s="206">
        <f>IF(FN17="","",AVERAGE(FN14:FN17))</f>
        <v>0.93776785714285715</v>
      </c>
      <c r="FO18" s="206">
        <f>IF(FO17="","",AVERAGE(FN14:FO17))</f>
        <v>0.93825545634920637</v>
      </c>
      <c r="FP18" s="206">
        <f>IF(FP17="","",AVERAGE(FN14:FP17))</f>
        <v>0.93649756117724881</v>
      </c>
      <c r="FQ18" s="206">
        <f>IF(FQ17="","",AVERAGE(FN14:FQ17))</f>
        <v>0.93660417578489741</v>
      </c>
      <c r="FR18" s="206">
        <f>IF(FR17="","",AVERAGE(FN14:FR17))</f>
        <v>0.93672431285014002</v>
      </c>
      <c r="FS18" s="206">
        <f>IF(FS17="","",AVERAGE(FN14:FS17))</f>
        <v>0.93735523877862559</v>
      </c>
      <c r="FT18" s="206">
        <f>IF(FT17="","",AVERAGE(FN14:FT17))</f>
        <v>0.93817428204834574</v>
      </c>
      <c r="FU18" s="206">
        <f>IF(FU17="","",AVERAGE(FU14:FU17))</f>
        <v>0.94579861111111119</v>
      </c>
      <c r="FV18" s="206">
        <f>IF(FV17="","",AVERAGE(FU14:FV17))</f>
        <v>0.94274542297979802</v>
      </c>
      <c r="FW18" s="206">
        <f>IF(FW17="","",AVERAGE(FU14:FW17))</f>
        <v>0.93676234720392326</v>
      </c>
      <c r="FX18" s="206">
        <f>IF(FX17="","",AVERAGE(FU14:FX17))</f>
        <v>0.93455418227794229</v>
      </c>
      <c r="FY18" s="206">
        <f>IF(FY17="","",AVERAGE(FU14:FY17))</f>
        <v>0.93337834582235379</v>
      </c>
      <c r="FZ18" s="206">
        <f>IF(FZ17="","",AVERAGE(FU14:FZ17))</f>
        <v>0.93216892066392731</v>
      </c>
      <c r="GA18" s="206">
        <f>IF(GA17="","",AVERAGE(FU14:GA17))</f>
        <v>0.93153555192710524</v>
      </c>
      <c r="GB18" s="206">
        <f>IF(GB17="","",AVERAGE(GB14:GB17))</f>
        <v>0.93031622023809524</v>
      </c>
      <c r="GC18" s="206">
        <f>IF(GC17="","",AVERAGE(GB14:GC17))</f>
        <v>0.93148533713054182</v>
      </c>
      <c r="GD18" s="206">
        <f>IF(GD17="","",AVERAGE(GB14:GD17))</f>
        <v>0.92790110438332418</v>
      </c>
      <c r="GE18" s="206">
        <f>IF(GE17="","",AVERAGE(GB14:GE17))</f>
        <v>0.88777478662082654</v>
      </c>
      <c r="GF18" s="206">
        <f>IF(GF17="","",AVERAGE(GB14:GF17))</f>
        <v>0.88695941262999445</v>
      </c>
      <c r="GG18" s="206">
        <f>IF(GG17="","",AVERAGE(GB14:GG17))</f>
        <v>0.8928770568212917</v>
      </c>
      <c r="GH18" s="206">
        <f>IF(GH17="","",AVERAGE(GB14:GH17))</f>
        <v>0.89896158441825003</v>
      </c>
      <c r="GI18" s="206">
        <f>IF(GI17="","",AVERAGE(GI14:GI17))</f>
        <v>0.92331249999999998</v>
      </c>
      <c r="GJ18" s="206">
        <f>IF(GJ17="","",AVERAGE(GI14:GJ17))</f>
        <v>0.92826215277777779</v>
      </c>
      <c r="GK18" s="206">
        <f>IF(GK17="","",AVERAGE(GI14:GK17))</f>
        <v>0.93309242724867725</v>
      </c>
      <c r="GL18" s="206">
        <f>IF(GL17="","",AVERAGE(GI14:GL17))</f>
        <v>0.93559406001984136</v>
      </c>
      <c r="GM18" s="206">
        <f>IF(GM17="","",AVERAGE(GI14:GM17))</f>
        <v>0.93734561838624342</v>
      </c>
      <c r="GN18" s="206">
        <f>IF(GN17="","",AVERAGE(GI14:GN17))</f>
        <v>0.93834357087742515</v>
      </c>
      <c r="GO18" s="206">
        <f>IF(GO17="","",AVERAGE(GI14:GO17))</f>
        <v>0.93979232482134278</v>
      </c>
      <c r="GP18" s="206">
        <f>IF(GP17="","",AVERAGE(GP14:GP17))</f>
        <v>0.95277777777777772</v>
      </c>
      <c r="GQ18" s="206">
        <f>IF(GQ17="","",AVERAGE(GP14:GQ17))</f>
        <v>0.95459401709401714</v>
      </c>
      <c r="GR18" s="206">
        <f>IF(GR17="","",AVERAGE(GP14:GR17))</f>
        <v>0.95623728123728124</v>
      </c>
      <c r="GS18" s="206">
        <f>IF(GS17="","",AVERAGE(GP14:GS17))</f>
        <v>0.95773351648351646</v>
      </c>
      <c r="GT18" s="206">
        <f>IF(GT17="","",AVERAGE(GP14:GT17))</f>
        <v>0.95868681318681315</v>
      </c>
      <c r="GU18" s="206">
        <f>IF(GU17="","",AVERAGE(GP14:GU17))</f>
        <v>0.95885972177332457</v>
      </c>
      <c r="GV18" s="206">
        <f>IF(GV17="","",AVERAGE(GP14:GV17))</f>
        <v>0.95930287659935753</v>
      </c>
      <c r="GW18" s="206">
        <f>IF(GW17="","",AVERAGE(GW14:GW17))</f>
        <v>0.95987938596491218</v>
      </c>
      <c r="GX18" s="206">
        <f>IF(GX17="","",AVERAGE(GW14:GX17))</f>
        <v>0.9608824013157895</v>
      </c>
      <c r="GY18" s="206">
        <f>IF(GY17="","",AVERAGE(GW14:GY17))</f>
        <v>0.93646624373433573</v>
      </c>
      <c r="GZ18" s="206">
        <f>IF(GZ17="","",AVERAGE(GW14:GZ17))</f>
        <v>0.92463306348257013</v>
      </c>
      <c r="HA18" s="206">
        <f>IF(HA17="","",AVERAGE(GW14:HA17))</f>
        <v>0.91849721165562115</v>
      </c>
      <c r="HB18" s="206">
        <f>IF(HB17="","",AVERAGE(GW14:HB17))</f>
        <v>0.91514307568524</v>
      </c>
      <c r="HC18" s="206">
        <f>IF(HC17="","",AVERAGE(GW14:HC17))</f>
        <v>0.91332799344449145</v>
      </c>
      <c r="HD18" s="206">
        <f>IF(HD17="","",AVERAGE(HD14:HD17))</f>
        <v>0.90618990384615383</v>
      </c>
      <c r="HE18" s="206">
        <f>IF(HE17="","",AVERAGE(HD14:HE17))</f>
        <v>0.87993715871320044</v>
      </c>
      <c r="HF18" s="206">
        <f>IF(HF17="","",AVERAGE(HD14:HF17))</f>
        <v>0.87292809588816533</v>
      </c>
      <c r="HG18" s="206">
        <f>IF(HG17="","",AVERAGE(HD14:HG17))</f>
        <v>0.87063985783566433</v>
      </c>
      <c r="HH18" s="206">
        <f>IF(HH17="","",AVERAGE(HD14:HH17))</f>
        <v>0.87017508071297578</v>
      </c>
      <c r="HI18" s="206">
        <f>IF(HI17="","",AVERAGE(HD14:HI17))</f>
        <v>0.87057320794181681</v>
      </c>
      <c r="HJ18" s="206">
        <f>IF(HJ17="","",AVERAGE(HD14:HJ17))</f>
        <v>0.88906274966441445</v>
      </c>
      <c r="HK18" s="206">
        <f>IF(HK17="","",AVERAGE($I14:HK17))</f>
        <v>0.90124111922705996</v>
      </c>
      <c r="HL18" s="206">
        <f>IF(HL17="","",AVERAGE($I14:HL17))</f>
        <v>0.90170696300429087</v>
      </c>
      <c r="HM18" s="206">
        <f>IF(HM17="","",AVERAGE($I14:HM17))</f>
        <v>0.90216763117050269</v>
      </c>
      <c r="HN18" s="206">
        <f>IF(HN17="","",AVERAGE($I14:HN17))</f>
        <v>0.902416115002866</v>
      </c>
      <c r="HO18" s="206">
        <f>IF(HO17="","",AVERAGE($I14:HO17))</f>
        <v>0.9025031066047764</v>
      </c>
      <c r="HP18" s="206">
        <f>IF(HP17="","",AVERAGE($I14:HP17))</f>
        <v>0.90244547446073609</v>
      </c>
      <c r="HQ18" s="206">
        <f>IF(HQ17="","",AVERAGE($I14:HQ17))</f>
        <v>0.90243759521014888</v>
      </c>
      <c r="HR18" s="206">
        <f>IF(HR17="","",AVERAGE($I14:HR17))</f>
        <v>0.90248038168302103</v>
      </c>
      <c r="HS18" s="206">
        <f>IF(HS17="","",AVERAGE($I14:HS17))</f>
        <v>0.90256306734504665</v>
      </c>
      <c r="HT18" s="206">
        <f>IF(HT17="","",AVERAGE($I14:HT17))</f>
        <v>0.90266045486032864</v>
      </c>
      <c r="HU18" s="206">
        <f>IF(HU17="","",AVERAGE($I14:HU17))</f>
        <v>0.90278562306148025</v>
      </c>
      <c r="HV18" s="206">
        <f>IF(HV17="","",AVERAGE($I14:HV17))</f>
        <v>0.90278039121977216</v>
      </c>
      <c r="HW18" s="206">
        <f>IF(HW17="","",AVERAGE($I14:HW17))</f>
        <v>0.90272663994736746</v>
      </c>
      <c r="HX18" s="206">
        <f>IF(HX17="","",AVERAGE($I14:HX17))</f>
        <v>0.90263146566326602</v>
      </c>
      <c r="HY18" s="206">
        <f>IF(HY17="","",AVERAGE($I14:HY17))</f>
        <v>0.90250495062297242</v>
      </c>
      <c r="HZ18" s="206">
        <f>IF(HZ17="","",AVERAGE($I14:HZ17))</f>
        <v>0.90240224872594776</v>
      </c>
      <c r="IA18" s="206">
        <f>IF(IA17="","",AVERAGE($I14:IA17))</f>
        <v>0.90228410174138618</v>
      </c>
      <c r="IB18" s="206">
        <f>IF(IB17="","",AVERAGE($I14:IB17))</f>
        <v>0.90212937309245711</v>
      </c>
      <c r="IC18" s="206">
        <f>IF(IC17="","",AVERAGE($I14:IC17))</f>
        <v>0.9019803453735511</v>
      </c>
      <c r="ID18" s="206">
        <f>IF(ID17="","",AVERAGE($I14:ID17))</f>
        <v>0.90185994232104894</v>
      </c>
      <c r="IE18" s="206">
        <f>IF(IE17="","",AVERAGE($I14:IE17))</f>
        <v>0.9017591750470193</v>
      </c>
      <c r="IF18" s="206">
        <f>IF(IF17="","",AVERAGE($I14:IF17))</f>
        <v>0.90168203082257437</v>
      </c>
      <c r="IG18" s="206">
        <f>IF(IG17="","",AVERAGE($I14:IG17))</f>
        <v>0.90146276533104541</v>
      </c>
      <c r="IH18" s="206">
        <f>IF(IH17="","",AVERAGE($I14:IH17))</f>
        <v>0.90123239857511972</v>
      </c>
      <c r="II18" s="206">
        <f>IF(II17="","",AVERAGE($I14:II17))</f>
        <v>0.9010203667281188</v>
      </c>
      <c r="IJ18" s="206">
        <f>IF(IJ17="","",AVERAGE($I14:IJ17))</f>
        <v>0.90083276517069866</v>
      </c>
      <c r="IK18" s="206">
        <f>IF(IK17="","",AVERAGE($I14:IK17))</f>
        <v>0.90066437839447777</v>
      </c>
      <c r="IL18" s="206">
        <f>IF(IL17="","",AVERAGE($I14:IL17))</f>
        <v>0.90051755657534382</v>
      </c>
      <c r="IM18" s="206">
        <f>IF(IM17="","",AVERAGE($I14:IM17))</f>
        <v>0.90036202732111559</v>
      </c>
      <c r="IN18" s="206">
        <f>IF(IN17="","",AVERAGE($I14:IN17))</f>
        <v>0.90021800141949393</v>
      </c>
      <c r="IO18" s="206">
        <f>IF(IO17="","",AVERAGE($I14:IO17))</f>
        <v>0.89966857698606417</v>
      </c>
      <c r="IP18" s="206">
        <f>IF(IP17="","",AVERAGE($I14:IP17))</f>
        <v>0.89904892807978565</v>
      </c>
      <c r="IQ18" s="206">
        <f>IF(IQ17="","",AVERAGE($I14:IQ17))</f>
        <v>0.89837893792079249</v>
      </c>
      <c r="IR18" s="206">
        <f>IF(IR17="","",AVERAGE($I14:IR17))</f>
        <v>0.89759252926412725</v>
      </c>
      <c r="IS18" s="206">
        <f>IF(IS17="","",AVERAGE($I14:IS17))</f>
        <v>0.89679004463976886</v>
      </c>
      <c r="IT18" s="206">
        <f>IF(IT17="","",AVERAGE($I14:IT17))</f>
        <v>0.89602107084970439</v>
      </c>
      <c r="IU18" s="206">
        <f>IF(IU17="","",AVERAGE($I14:IU17))</f>
        <v>0.89515641559745851</v>
      </c>
      <c r="IV18" s="206">
        <f>IF(IV17="","",AVERAGE($I14:IV17))</f>
        <v>0.89413713219563185</v>
      </c>
      <c r="IW18" s="206">
        <f>IF(IW17="","",AVERAGE($I14:IW17))</f>
        <v>0.89298862466760143</v>
      </c>
      <c r="IX18" s="206">
        <f>IF(IX17="","",AVERAGE($I14:IX17))</f>
        <v>0.89186101044670862</v>
      </c>
      <c r="IY18" s="206">
        <f>IF(IY17="","",AVERAGE($I14:IY17))</f>
        <v>0.89087003346939653</v>
      </c>
      <c r="IZ18" s="206">
        <f>IF(IZ17="","",AVERAGE($I14:IZ17))</f>
        <v>0.89000447223128809</v>
      </c>
      <c r="JA18" s="206">
        <f>IF(JA17="","",AVERAGE($I14:JA17))</f>
        <v>0.88923395429689178</v>
      </c>
      <c r="JB18" s="206">
        <f>IF(JB17="","",AVERAGE($I14:JB17))</f>
        <v>0.88852894430752349</v>
      </c>
      <c r="JC18" s="206">
        <f>IF(JC17="","",AVERAGE($I14:JC17))</f>
        <v>0.88790434444725197</v>
      </c>
      <c r="JD18" s="206">
        <f>IF(JD17="","",AVERAGE($I14:JD17))</f>
        <v>0.88734606147989259</v>
      </c>
      <c r="JE18" s="206">
        <f>IF(JE17="","",AVERAGE($I14:JE17))</f>
        <v>0.88683638525964326</v>
      </c>
      <c r="JF18" s="206">
        <f>IF(JF17="","",AVERAGE($I14:JF17))</f>
        <v>0.88637266353598387</v>
      </c>
      <c r="JG18" s="206">
        <f>IF(JG17="","",AVERAGE($I14:JG17))</f>
        <v>0.88592784932689528</v>
      </c>
      <c r="JH18" s="206">
        <f>IF(JH17="","",AVERAGE($I14:JH17))</f>
        <v>0.88551761946214103</v>
      </c>
      <c r="JI18" s="206">
        <f>IF(JI17="","",AVERAGE($I14:JI17))</f>
        <v>0.88514653551821332</v>
      </c>
      <c r="JJ18" s="206">
        <f>IF(JJ17="","",AVERAGE($I14:JJ17))</f>
        <v>0.88480919054592155</v>
      </c>
      <c r="JK18" s="206">
        <f>IF(JK17="","",AVERAGE($I14:JK17))</f>
        <v>0.88448189466702509</v>
      </c>
      <c r="JL18" s="206">
        <f>IF(JL17="","",AVERAGE($I14:JL17))</f>
        <v>0.88418266684412461</v>
      </c>
      <c r="JM18" s="206">
        <f>IF(JM17="","",AVERAGE($I14:JM17))</f>
        <v>0.88390539865687223</v>
      </c>
      <c r="JN18" s="206">
        <f>IF(JN17="","",AVERAGE($I14:JN17))</f>
        <v>0.88363409516854596</v>
      </c>
      <c r="JO18" s="206">
        <f>IF(JO17="","",AVERAGE($I14:JO17))</f>
        <v>0.88336132878147899</v>
      </c>
      <c r="JP18" s="206">
        <f>IF(JP17="","",AVERAGE($I14:JP17))</f>
        <v>0.88309498938380571</v>
      </c>
      <c r="JQ18" s="206">
        <f>IF(JQ17="","",AVERAGE($I14:JQ17))</f>
        <v>0.88283115056061345</v>
      </c>
      <c r="JR18" s="206">
        <f>IF(JR17="","",AVERAGE($I14:JR17))</f>
        <v>0.88258731683825831</v>
      </c>
      <c r="JS18" s="206">
        <f>IF(JS17="","",AVERAGE($I14:JS17))</f>
        <v>0.88271038024475923</v>
      </c>
      <c r="JT18" s="206">
        <f>IF(JT17="","",AVERAGE($I14:JT17))</f>
        <v>0.88290683411640847</v>
      </c>
      <c r="JU18" s="206">
        <f>IF(JU17="","",AVERAGE($I14:JU17))</f>
        <v>0.88313618942489525</v>
      </c>
      <c r="JV18" s="206">
        <f>IF(JV17="","",AVERAGE($I14:JV17))</f>
        <v>0.88321969101458553</v>
      </c>
      <c r="JW18" s="206">
        <f>IF(JW17="","",AVERAGE($I14:JW17))</f>
        <v>0.88328442244119909</v>
      </c>
      <c r="JX18" s="206">
        <f>IF(JX17="","",AVERAGE($I14:JX17))</f>
        <v>0.88332378795972943</v>
      </c>
      <c r="JY18" s="206">
        <f>IF(JY17="","",AVERAGE($I14:JY17))</f>
        <v>0.88339597086377708</v>
      </c>
      <c r="JZ18" s="206">
        <f>IF(JZ17="","",AVERAGE($I14:JZ17))</f>
        <v>0.88351110638525054</v>
      </c>
      <c r="KA18" s="206">
        <f>IF(KA17="","",AVERAGE($I14:KA17))</f>
        <v>0.88365910686681126</v>
      </c>
      <c r="KB18" s="206">
        <f>IF(KB17="","",AVERAGE($I14:KB17))</f>
        <v>0.88383290618752508</v>
      </c>
      <c r="KC18" s="206">
        <f>IF(KC17="","",AVERAGE($I14:KC17))</f>
        <v>0.88402736338539112</v>
      </c>
      <c r="KD18" s="206">
        <f>IF(KD17="","",AVERAGE($I14:KD17))</f>
        <v>0.88423862248883145</v>
      </c>
      <c r="KE18" s="206">
        <f>IF(KE17="","",AVERAGE($I14:KE17))</f>
        <v>0.88446371818720382</v>
      </c>
      <c r="KF18" s="206">
        <f>IF(KF17="","",AVERAGE($I14:KF17))</f>
        <v>0.88470032208862381</v>
      </c>
      <c r="KG18" s="206">
        <f>IF(KG17="","",AVERAGE($I14:KG17))</f>
        <v>0.88494657339513549</v>
      </c>
      <c r="KH18" s="206">
        <f>IF(KH17="","",AVERAGE($I14:KH17))</f>
        <v>0.88520096237947643</v>
      </c>
      <c r="KI18" s="206">
        <f>IF(KI17="","",AVERAGE($I14:KI17))</f>
        <v>0.88546224805404405</v>
      </c>
      <c r="KJ18" s="206">
        <f>IF(KJ17="","",AVERAGE($I14:KJ17))</f>
        <v>0.88572939865236466</v>
      </c>
      <c r="KK18" s="206">
        <f>IF(KK17="","",AVERAGE($I14:KK17))</f>
        <v>0.88600154773127038</v>
      </c>
      <c r="KL18" s="206">
        <f>IF(KL17="","",AVERAGE($I14:KL17))</f>
        <v>0.88627796121610525</v>
      </c>
      <c r="KM18" s="206">
        <f>IF(KM17="","",AVERAGE($I14:KM17))</f>
        <v>0.88655801226849074</v>
      </c>
      <c r="KN18" s="206">
        <f>IF(KN17="","",AVERAGE($I14:KN17))</f>
        <v>0.88684116184768769</v>
      </c>
      <c r="KO18" s="206">
        <f>IF(KO17="","",AVERAGE($I14:KO17))</f>
        <v>0.88712694348356402</v>
      </c>
      <c r="KP18" s="206">
        <f>IF(KP17="","",AVERAGE($I14:KP17))</f>
        <v>0.8874149512107552</v>
      </c>
      <c r="KQ18" s="206">
        <f>IF(KQ17="","",AVERAGE($I14:KQ17))</f>
        <v>0.88770482990721555</v>
      </c>
      <c r="KR18" s="206">
        <f>IF(KR17="","",AVERAGE($I14:KR17))</f>
        <v>0.88799626748375948</v>
      </c>
      <c r="KS18" s="206">
        <f>IF(KS17="","",AVERAGE($I14:KS17))</f>
        <v>0.88828898851438731</v>
      </c>
      <c r="KT18" s="206">
        <f>IF(KT17="","",AVERAGE($I14:KT17))</f>
        <v>0.88858274899955814</v>
      </c>
      <c r="KU18" s="206">
        <f>IF(KU17="","",AVERAGE($I14:KU17))</f>
        <v>0.88887733202869901</v>
      </c>
      <c r="KV18" s="206">
        <f>IF(KV17="","",AVERAGE($I14:KV17))</f>
        <v>0.88917254416267766</v>
      </c>
      <c r="KW18" s="206">
        <f>IF(KW17="","",AVERAGE($I14:KW17))</f>
        <v>0.88946821239733875</v>
      </c>
      <c r="KX18" s="206" t="str">
        <f>IF(KX17="","",AVERAGE($I14:KX17))</f>
        <v/>
      </c>
      <c r="KY18" s="206" t="str">
        <f>IF(KY17="","",AVERAGE($I14:KY17))</f>
        <v/>
      </c>
      <c r="KZ18" s="206" t="str">
        <f>IF(KZ17="","",AVERAGE($I14:KZ17))</f>
        <v/>
      </c>
      <c r="LA18" s="206" t="str">
        <f>IF(LA17="","",AVERAGE($I14:LA17))</f>
        <v/>
      </c>
      <c r="LB18" s="206" t="str">
        <f>IF(LB17="","",AVERAGE($I14:LB17))</f>
        <v/>
      </c>
      <c r="LC18" s="206" t="str">
        <f>IF(LC17="","",AVERAGE($I14:LC17))</f>
        <v/>
      </c>
      <c r="LD18" s="206" t="str">
        <f>IF(LD17="","",AVERAGE($I14:LD17))</f>
        <v/>
      </c>
      <c r="LE18" s="206" t="str">
        <f>IF(LE17="","",AVERAGE($I14:LE17))</f>
        <v/>
      </c>
      <c r="LF18" s="206" t="str">
        <f>IF(LF17="","",AVERAGE($I14:LF17))</f>
        <v/>
      </c>
      <c r="LG18" s="206" t="str">
        <f>IF(LG17="","",AVERAGE($I14:LG17))</f>
        <v/>
      </c>
      <c r="LH18" s="206" t="str">
        <f>IF(LH17="","",AVERAGE($I14:LH17))</f>
        <v/>
      </c>
      <c r="LI18" s="206" t="str">
        <f>IF(LI17="","",AVERAGE($I14:LI17))</f>
        <v/>
      </c>
      <c r="LJ18" s="206" t="str">
        <f>IF(LJ17="","",AVERAGE($I14:LJ17))</f>
        <v/>
      </c>
      <c r="LK18" s="206" t="str">
        <f>IF(LK17="","",AVERAGE($I14:LK17))</f>
        <v/>
      </c>
      <c r="LL18" s="206" t="str">
        <f>IF(LL17="","",AVERAGE($I14:LL17))</f>
        <v/>
      </c>
      <c r="LM18" s="206" t="str">
        <f>IF(LM17="","",AVERAGE($I14:LM17))</f>
        <v/>
      </c>
      <c r="LN18" s="206" t="str">
        <f>IF(LN17="","",AVERAGE($I14:LN17))</f>
        <v/>
      </c>
      <c r="LO18" s="206" t="str">
        <f>IF(LO17="","",AVERAGE($I14:LO17))</f>
        <v/>
      </c>
      <c r="LP18" s="206" t="str">
        <f>IF(LP17="","",AVERAGE($I14:LP17))</f>
        <v/>
      </c>
      <c r="LQ18" s="206" t="str">
        <f>IF(LQ17="","",AVERAGE($I14:LQ17))</f>
        <v/>
      </c>
      <c r="LR18" s="206" t="str">
        <f>IF(LR17="","",AVERAGE($I14:LR17))</f>
        <v/>
      </c>
      <c r="LS18" s="206" t="str">
        <f>IF(LS17="","",AVERAGE($I14:LS17))</f>
        <v/>
      </c>
      <c r="LT18" s="206" t="str">
        <f>IF(LT17="","",AVERAGE($I14:LT17))</f>
        <v/>
      </c>
      <c r="LU18" s="206" t="str">
        <f>IF(LU17="","",AVERAGE($I14:LU17))</f>
        <v/>
      </c>
      <c r="LV18" s="206" t="str">
        <f>IF(LV17="","",AVERAGE($I14:LV17))</f>
        <v/>
      </c>
      <c r="LW18" s="206" t="str">
        <f>IF(LW17="","",AVERAGE($I14:LW17))</f>
        <v/>
      </c>
      <c r="LX18" s="206" t="str">
        <f>IF(LX17="","",AVERAGE($I14:LX17))</f>
        <v/>
      </c>
      <c r="LY18" s="206" t="str">
        <f>IF(LY17="","",AVERAGE($I14:LY17))</f>
        <v/>
      </c>
      <c r="LZ18" s="206" t="str">
        <f>IF(LZ17="","",AVERAGE($I14:LZ17))</f>
        <v/>
      </c>
      <c r="MA18" s="206" t="str">
        <f>IF(MA17="","",AVERAGE($I14:MA17))</f>
        <v/>
      </c>
      <c r="MB18" s="206" t="str">
        <f>IF(MB17="","",AVERAGE($I14:MB17))</f>
        <v/>
      </c>
      <c r="MC18" s="206" t="str">
        <f>IF(MC17="","",AVERAGE($I14:MC17))</f>
        <v/>
      </c>
      <c r="MD18" s="206" t="str">
        <f>IF(MD17="","",AVERAGE($I14:MD17))</f>
        <v/>
      </c>
      <c r="ME18" s="206" t="str">
        <f>IF(ME17="","",AVERAGE($I14:ME17))</f>
        <v/>
      </c>
      <c r="MF18" s="206" t="str">
        <f>IF(MF17="","",AVERAGE($I14:MF17))</f>
        <v/>
      </c>
      <c r="MG18" s="206" t="str">
        <f>IF(MG17="","",AVERAGE($I14:MG17))</f>
        <v/>
      </c>
      <c r="MH18" s="206" t="str">
        <f>IF(MH17="","",AVERAGE($I14:MH17))</f>
        <v/>
      </c>
      <c r="MI18" s="206" t="str">
        <f>IF(MI17="","",AVERAGE($I14:MI17))</f>
        <v/>
      </c>
      <c r="MJ18" s="206" t="str">
        <f>IF(MJ17="","",AVERAGE($I14:MJ17))</f>
        <v/>
      </c>
      <c r="MK18" s="206" t="str">
        <f>IF(MK17="","",AVERAGE($I14:MK17))</f>
        <v/>
      </c>
      <c r="ML18" s="206" t="str">
        <f>IF(ML17="","",AVERAGE($I14:ML17))</f>
        <v/>
      </c>
      <c r="MM18" s="206" t="str">
        <f>IF(MM17="","",AVERAGE($I14:MM17))</f>
        <v/>
      </c>
      <c r="MN18" s="206" t="str">
        <f>IF(MN17="","",AVERAGE($I14:MN17))</f>
        <v/>
      </c>
      <c r="MO18" s="206" t="str">
        <f>IF(MO17="","",AVERAGE($I14:MO17))</f>
        <v/>
      </c>
      <c r="MP18" s="206" t="str">
        <f>IF(MP17="","",AVERAGE($I14:MP17))</f>
        <v/>
      </c>
      <c r="MQ18" s="206" t="str">
        <f>IF(MQ17="","",AVERAGE($I14:MQ17))</f>
        <v/>
      </c>
      <c r="MR18" s="206" t="str">
        <f>IF(MR17="","",AVERAGE($I14:MR17))</f>
        <v/>
      </c>
      <c r="MS18" s="206" t="str">
        <f>IF(MS17="","",AVERAGE($I14:MS17))</f>
        <v/>
      </c>
      <c r="MT18" s="206" t="str">
        <f>IF(MT17="","",AVERAGE($I14:MT17))</f>
        <v/>
      </c>
      <c r="MU18" s="206" t="str">
        <f>IF(MU17="","",AVERAGE($I14:MU17))</f>
        <v/>
      </c>
      <c r="MV18" s="206" t="str">
        <f>IF(MV17="","",AVERAGE($I14:MV17))</f>
        <v/>
      </c>
      <c r="MW18" s="206" t="str">
        <f>IF(MW17="","",AVERAGE($I14:MW17))</f>
        <v/>
      </c>
      <c r="MX18" s="206" t="str">
        <f>IF(MX17="","",AVERAGE($I14:MX17))</f>
        <v/>
      </c>
      <c r="MY18" s="206" t="str">
        <f>IF(MY17="","",AVERAGE($I14:MY17))</f>
        <v/>
      </c>
      <c r="MZ18" s="206" t="str">
        <f>IF(MZ17="","",AVERAGE($I14:MZ17))</f>
        <v/>
      </c>
      <c r="NA18" s="206" t="str">
        <f>IF(NA17="","",AVERAGE($I14:NA17))</f>
        <v/>
      </c>
      <c r="NB18" s="206" t="str">
        <f>IF(NB17="","",AVERAGE($I14:NB17))</f>
        <v/>
      </c>
      <c r="NC18" s="206" t="str">
        <f>IF(NC17="","",AVERAGE($I14:NC17))</f>
        <v/>
      </c>
      <c r="ND18" s="206" t="str">
        <f>IF(ND17="","",AVERAGE($I14:ND17))</f>
        <v/>
      </c>
      <c r="NE18" s="206" t="str">
        <f>IF(NE17="","",AVERAGE($I14:NE17))</f>
        <v/>
      </c>
      <c r="NF18" s="206" t="str">
        <f>IF(NF17="","",AVERAGE($I14:NF17))</f>
        <v/>
      </c>
      <c r="NG18" s="206" t="str">
        <f>IF(NG17="","",AVERAGE($I14:NG17))</f>
        <v/>
      </c>
      <c r="NH18" s="206" t="str">
        <f>IF(NH17="","",AVERAGE($I14:NH17))</f>
        <v/>
      </c>
      <c r="NI18" s="206" t="str">
        <f>IF(NI17="","",AVERAGE($I14:NI17))</f>
        <v/>
      </c>
      <c r="NJ18" s="206" t="str">
        <f>IF(NJ17="","",AVERAGE($I14:NJ17))</f>
        <v/>
      </c>
      <c r="NK18" s="206" t="str">
        <f>IF(NK17="","",AVERAGE($I14:NK17))</f>
        <v/>
      </c>
      <c r="NL18" s="206" t="str">
        <f>IF(NL17="","",AVERAGE($I14:NL17))</f>
        <v/>
      </c>
      <c r="NM18" s="206" t="str">
        <f>IF(NM17="","",AVERAGE($I14:NM17))</f>
        <v/>
      </c>
      <c r="NN18" s="206" t="str">
        <f>IF(NN17="","",AVERAGE($I14:NN17))</f>
        <v/>
      </c>
      <c r="NO18" s="206" t="str">
        <f>IF(NO17="","",AVERAGE($I14:NO17))</f>
        <v/>
      </c>
      <c r="NP18" s="206" t="str">
        <f>IF(NP17="","",AVERAGE($I14:NP17))</f>
        <v/>
      </c>
      <c r="NQ18" s="206" t="str">
        <f>IF(NQ17="","",AVERAGE($I14:NQ17))</f>
        <v/>
      </c>
      <c r="NR18" s="206" t="str">
        <f>IF(NR17="","",AVERAGE($I14:NR17))</f>
        <v/>
      </c>
      <c r="NS18" s="206" t="str">
        <f>IF(NS17="","",AVERAGE($I14:NS17))</f>
        <v/>
      </c>
      <c r="NT18" s="206" t="str">
        <f>IF(NT17="","",AVERAGE($I14:NT17))</f>
        <v/>
      </c>
      <c r="NU18" s="206" t="str">
        <f>IF(NU17="","",AVERAGE($I14:NU17))</f>
        <v/>
      </c>
      <c r="NV18" s="206" t="str">
        <f>IF(NV17="","",AVERAGE($I14:NV17))</f>
        <v/>
      </c>
      <c r="NW18" s="206" t="str">
        <f>IF(NW17="","",AVERAGE($I14:NW17))</f>
        <v/>
      </c>
      <c r="NX18" s="206" t="str">
        <f>IF(NX17="","",AVERAGE($I14:NX17))</f>
        <v/>
      </c>
      <c r="NY18" s="206" t="str">
        <f>IF(NY17="","",AVERAGE($I14:NY17))</f>
        <v/>
      </c>
      <c r="NZ18" s="206" t="str">
        <f>IF(NZ17="","",AVERAGE($I14:NZ17))</f>
        <v/>
      </c>
      <c r="OA18" s="206" t="str">
        <f>IF(OA17="","",AVERAGE($I14:OA17))</f>
        <v/>
      </c>
      <c r="OB18" s="206" t="str">
        <f>IF(OB17="","",AVERAGE($I14:OB17))</f>
        <v/>
      </c>
      <c r="OC18" s="206" t="str">
        <f>IF(OC17="","",AVERAGE($I14:OC17))</f>
        <v/>
      </c>
      <c r="OD18" s="206" t="str">
        <f>IF(OD17="","",AVERAGE($I14:OD17))</f>
        <v/>
      </c>
      <c r="OE18" s="206" t="str">
        <f>IF(OE17="","",AVERAGE($I14:OE17))</f>
        <v/>
      </c>
      <c r="OF18" s="206" t="str">
        <f>IF(OF17="","",AVERAGE($I14:OF17))</f>
        <v/>
      </c>
      <c r="OG18" s="206" t="str">
        <f>IF(OG17="","",AVERAGE($I14:OG17))</f>
        <v/>
      </c>
      <c r="OH18" s="206" t="str">
        <f>IF(OH17="","",AVERAGE($I14:OH17))</f>
        <v/>
      </c>
      <c r="OI18" s="206" t="str">
        <f>IF(OI17="","",AVERAGE($I14:OI17))</f>
        <v/>
      </c>
      <c r="OJ18" s="206" t="str">
        <f>IF(OJ17="","",AVERAGE($I14:OJ17))</f>
        <v/>
      </c>
      <c r="OK18" s="206" t="str">
        <f>IF(OK17="","",AVERAGE($I14:OK17))</f>
        <v/>
      </c>
      <c r="OL18" s="206" t="str">
        <f>IF(OL17="","",AVERAGE($I14:OL17))</f>
        <v/>
      </c>
      <c r="OM18" s="206" t="str">
        <f>IF(OM17="","",AVERAGE($I14:OM17))</f>
        <v/>
      </c>
      <c r="ON18" s="206" t="str">
        <f>IF(ON17="","",AVERAGE($I14:ON17))</f>
        <v/>
      </c>
      <c r="OO18" s="206" t="str">
        <f>IF(OO17="","",AVERAGE($I14:OO17))</f>
        <v/>
      </c>
      <c r="OP18" s="206" t="str">
        <f>IF(OP17="","",AVERAGE($I14:OP17))</f>
        <v/>
      </c>
      <c r="OQ18" s="206" t="str">
        <f>IF(OQ17="","",AVERAGE($I14:OQ17))</f>
        <v/>
      </c>
      <c r="OR18" s="206" t="str">
        <f>IF(OR17="","",AVERAGE($I14:OR17))</f>
        <v/>
      </c>
      <c r="OS18" s="206" t="str">
        <f>IF(OS17="","",AVERAGE($I14:OS17))</f>
        <v/>
      </c>
      <c r="OT18" s="206" t="str">
        <f>IF(OT17="","",AVERAGE($I14:OT17))</f>
        <v/>
      </c>
      <c r="OU18" s="206" t="str">
        <f>IF(OU17="","",AVERAGE($I14:OU17))</f>
        <v/>
      </c>
      <c r="OV18" s="206" t="str">
        <f>IF(OV17="","",AVERAGE($I14:OV17))</f>
        <v/>
      </c>
      <c r="OW18" s="206" t="str">
        <f>IF(OW17="","",AVERAGE($I14:OW17))</f>
        <v/>
      </c>
      <c r="OX18" s="206" t="str">
        <f>IF(OX17="","",AVERAGE($I14:OX17))</f>
        <v/>
      </c>
      <c r="OY18" s="206" t="str">
        <f>IF(OY17="","",AVERAGE($I14:OY17))</f>
        <v/>
      </c>
      <c r="OZ18" s="206" t="str">
        <f>IF(OZ17="","",AVERAGE($I14:OZ17))</f>
        <v/>
      </c>
    </row>
    <row r="19" spans="1:416" s="168" customFormat="1" ht="15" customHeight="1" x14ac:dyDescent="0.2">
      <c r="A19" s="138" t="b">
        <f t="shared" si="376"/>
        <v>0</v>
      </c>
      <c r="B19" s="139">
        <v>16</v>
      </c>
      <c r="C19" s="144" t="str">
        <f>C17</f>
        <v>Mechanical Availability</v>
      </c>
      <c r="D19" s="146" t="str">
        <f>D17</f>
        <v>777 Optiload</v>
      </c>
      <c r="E19" s="194" t="s">
        <v>30</v>
      </c>
      <c r="F19" s="179">
        <f>IF('All Fleet'!C50="","",'All Fleet'!C50)</f>
        <v>1</v>
      </c>
      <c r="G19" s="179">
        <f>IF('All Fleet'!D50="","",'All Fleet'!D50)</f>
        <v>0.7181249999999999</v>
      </c>
      <c r="H19" s="179">
        <f>IF('All Fleet'!E50="","",'All Fleet'!E50)</f>
        <v>0.79802083333333329</v>
      </c>
      <c r="I19" s="179">
        <f>IF('All Fleet'!F50="","",'All Fleet'!F50)</f>
        <v>0.848515625</v>
      </c>
      <c r="J19" s="179">
        <f>IF('All Fleet'!G50="","",'All Fleet'!G50)</f>
        <v>0.81481249999999994</v>
      </c>
      <c r="K19" s="179">
        <f>IF('All Fleet'!H50="","",'All Fleet'!H50)</f>
        <v>0.82593749999999999</v>
      </c>
      <c r="L19" s="179">
        <f>IF('All Fleet'!I50="","",'All Fleet'!I50)</f>
        <v>0.83619047619047615</v>
      </c>
      <c r="M19" s="179">
        <f>IF('All Fleet'!J50="","",'All Fleet'!J50)</f>
        <v>0.8177864583333333</v>
      </c>
      <c r="N19" s="179">
        <f>IF('All Fleet'!K50="","",'All Fleet'!K50)</f>
        <v>0.83392361111111113</v>
      </c>
      <c r="O19" s="179">
        <f>IF('All Fleet'!L50="","",'All Fleet'!L50)</f>
        <v>0.83584375</v>
      </c>
      <c r="P19" s="179">
        <f>IF('All Fleet'!M50="","",'All Fleet'!M50)</f>
        <v>0.7959090909090909</v>
      </c>
      <c r="Q19" s="179">
        <f>IF('All Fleet'!N50="","",'All Fleet'!N50)</f>
        <v>0.81098958333333337</v>
      </c>
      <c r="R19" s="179">
        <f>IF('All Fleet'!O50="","",'All Fleet'!O50)</f>
        <v>0.82552884615384614</v>
      </c>
      <c r="S19" s="179">
        <f>IF('All Fleet'!P50="","",'All Fleet'!P50)</f>
        <v>0.81928571428571428</v>
      </c>
      <c r="T19" s="179">
        <f>IF('All Fleet'!Q50="","",'All Fleet'!Q50)</f>
        <v>0.82069444444444439</v>
      </c>
      <c r="U19" s="179">
        <f>IF('All Fleet'!R50="","",'All Fleet'!R50)</f>
        <v>0.83024088541666663</v>
      </c>
      <c r="V19" s="179">
        <f>IF('All Fleet'!S50="","",'All Fleet'!S50)</f>
        <v>0.84022671568627449</v>
      </c>
      <c r="W19" s="179">
        <f>IF('All Fleet'!T50="","",'All Fleet'!T50)</f>
        <v>0.84445601851851848</v>
      </c>
      <c r="X19" s="179">
        <f>IF('All Fleet'!U50="","",'All Fleet'!U50)</f>
        <v>0.84370614035087721</v>
      </c>
      <c r="Y19" s="179">
        <f>IF('All Fleet'!V50="","",'All Fleet'!V50)</f>
        <v>0.84550520833333331</v>
      </c>
      <c r="Z19" s="179">
        <f>IF('All Fleet'!W50="","",'All Fleet'!W50)</f>
        <v>0.85177083333333337</v>
      </c>
      <c r="AA19" s="179">
        <f>IF('All Fleet'!X50="","",'All Fleet'!X50)</f>
        <v>0.85802556818181808</v>
      </c>
      <c r="AB19" s="179">
        <f>IF('All Fleet'!Y50="","",'All Fleet'!Y50)</f>
        <v>0.86340579710144927</v>
      </c>
      <c r="AC19" s="179">
        <f>IF('All Fleet'!Z50="","",'All Fleet'!Z50)</f>
        <v>0.86763020833333326</v>
      </c>
      <c r="AD19" s="179">
        <f>IF('All Fleet'!AA50="","",'All Fleet'!AA50)</f>
        <v>0.86348749999999996</v>
      </c>
      <c r="AE19" s="179">
        <f>IF('All Fleet'!AB50="","",'All Fleet'!AB50)</f>
        <v>0.86873798076923081</v>
      </c>
      <c r="AF19" s="179">
        <f>IF('All Fleet'!AC50="","",'All Fleet'!AC50)</f>
        <v>0.86144675925925918</v>
      </c>
      <c r="AG19" s="179">
        <f>IF('All Fleet'!AD50="","",'All Fleet'!AD50)</f>
        <v>0.86639508928571429</v>
      </c>
      <c r="AH19" s="179">
        <f>IF('All Fleet'!AE50="","",'All Fleet'!AE50)</f>
        <v>0.87010416666666668</v>
      </c>
      <c r="AI19" s="179">
        <f>IF('All Fleet'!AF50="","",'All Fleet'!AF50)</f>
        <v>0.87443402777777779</v>
      </c>
      <c r="AJ19" s="179">
        <f>IF('All Fleet'!AG50="","",'All Fleet'!AG50)</f>
        <v>0.8780510752688172</v>
      </c>
      <c r="AK19" s="179">
        <f>IF('All Fleet'!AH50="","",'All Fleet'!AH50)</f>
        <v>0.93354166666666671</v>
      </c>
      <c r="AL19" s="179">
        <f>IF('All Fleet'!AI50="","",'All Fleet'!AI50)</f>
        <v>0.95838541666666666</v>
      </c>
      <c r="AM19" s="179">
        <f>IF('All Fleet'!AJ50="","",'All Fleet'!AJ50)</f>
        <v>0.97225694444444444</v>
      </c>
      <c r="AN19" s="179">
        <f>IF('All Fleet'!AK50="","",'All Fleet'!AK50)</f>
        <v>0.97919270833333338</v>
      </c>
      <c r="AO19" s="179">
        <f>IF('All Fleet'!AL50="","",'All Fleet'!AL50)</f>
        <v>0.97164583333333332</v>
      </c>
      <c r="AP19" s="179">
        <f>IF('All Fleet'!AM50="","",'All Fleet'!AM50)</f>
        <v>0.97376736111111106</v>
      </c>
      <c r="AQ19" s="179">
        <f>IF('All Fleet'!AN50="","",'All Fleet'!AN50)</f>
        <v>0.97477678571428572</v>
      </c>
      <c r="AR19" s="179">
        <f>IF('All Fleet'!AO50="","",'All Fleet'!AO50)</f>
        <v>0.97792968749999998</v>
      </c>
      <c r="AS19" s="179">
        <f>IF('All Fleet'!AP50="","",'All Fleet'!AP50)</f>
        <v>0.98038194444444449</v>
      </c>
      <c r="AT19" s="179">
        <f>IF('All Fleet'!AQ50="","",'All Fleet'!AQ50)</f>
        <v>0.97668750000000004</v>
      </c>
      <c r="AU19" s="179">
        <f>IF('All Fleet'!AR50="","",'All Fleet'!AR50)</f>
        <v>0.97662878787878793</v>
      </c>
      <c r="AV19" s="179">
        <f>IF('All Fleet'!AS50="","",'All Fleet'!AS50)</f>
        <v>0.96878472222222223</v>
      </c>
      <c r="AW19" s="179">
        <f>IF('All Fleet'!AT50="","",'All Fleet'!AT50)</f>
        <v>0.94899038461538465</v>
      </c>
      <c r="AX19" s="179">
        <f>IF('All Fleet'!AU50="","",'All Fleet'!AU50)</f>
        <v>0.95263392857142859</v>
      </c>
      <c r="AY19" s="179">
        <f>IF('All Fleet'!AV50="","",'All Fleet'!AV50)</f>
        <v>0.95579166666666671</v>
      </c>
      <c r="AZ19" s="179">
        <f>IF('All Fleet'!AW50="","",'All Fleet'!AW50)</f>
        <v>0.95855468749999995</v>
      </c>
      <c r="BA19" s="179">
        <f>IF('All Fleet'!AX50="","",'All Fleet'!AX50)</f>
        <v>0.95726715686274511</v>
      </c>
      <c r="BB19" s="179">
        <f>IF('All Fleet'!AY50="","",'All Fleet'!AY50)</f>
        <v>0.95964120370370365</v>
      </c>
      <c r="BC19" s="179">
        <f>IF('All Fleet'!AZ50="","",'All Fleet'!AZ50)</f>
        <v>0.96110745614035087</v>
      </c>
      <c r="BD19" s="179">
        <f>IF('All Fleet'!BA50="","",'All Fleet'!BA50)</f>
        <v>0.95716666666666661</v>
      </c>
      <c r="BE19" s="179">
        <f>IF('All Fleet'!BB50="","",'All Fleet'!BB50)</f>
        <v>0.9565178571428572</v>
      </c>
      <c r="BF19" s="179">
        <f>IF('All Fleet'!BC50="","",'All Fleet'!BC50)</f>
        <v>0.93743844696969703</v>
      </c>
      <c r="BG19" s="179">
        <f>IF('All Fleet'!BD50="","",'All Fleet'!BD50)</f>
        <v>0.92798913043478259</v>
      </c>
      <c r="BH19" s="179">
        <f>IF('All Fleet'!BE50="","",'All Fleet'!BE50)</f>
        <v>0.93049913194444445</v>
      </c>
      <c r="BI19" s="179">
        <f>IF('All Fleet'!BF50="","",'All Fleet'!BF50)</f>
        <v>0.92379999999999995</v>
      </c>
      <c r="BJ19" s="179">
        <f>IF('All Fleet'!BG50="","",'All Fleet'!BG50)</f>
        <v>0.92673076923076925</v>
      </c>
      <c r="BK19" s="179">
        <f>IF('All Fleet'!BH50="","",'All Fleet'!BH50)</f>
        <v>0.92944444444444441</v>
      </c>
      <c r="BL19" s="179">
        <f>IF('All Fleet'!BI50="","",'All Fleet'!BI50)</f>
        <v>0.93004092261904758</v>
      </c>
      <c r="BM19" s="179">
        <f>IF('All Fleet'!BJ50="","",'All Fleet'!BJ50)</f>
        <v>0.8314583333333333</v>
      </c>
      <c r="BN19" s="179">
        <f>IF('All Fleet'!BK50="","",'All Fleet'!BK50)</f>
        <v>0.87578124999999996</v>
      </c>
      <c r="BO19" s="179">
        <f>IF('All Fleet'!BL50="","",'All Fleet'!BL50)</f>
        <v>0.85531250000000003</v>
      </c>
      <c r="BP19" s="179">
        <f>IF('All Fleet'!BM50="","",'All Fleet'!BM50)</f>
        <v>0.85861979166666669</v>
      </c>
      <c r="BQ19" s="179">
        <f>IF('All Fleet'!BN50="","",'All Fleet'!BN50)</f>
        <v>0.87127083333333333</v>
      </c>
      <c r="BR19" s="179">
        <f>IF('All Fleet'!BO50="","",'All Fleet'!BO50)</f>
        <v>0.83210069444444446</v>
      </c>
      <c r="BS19" s="179">
        <f>IF('All Fleet'!BP50="","",'All Fleet'!BP50)</f>
        <v>0.82730654761904754</v>
      </c>
      <c r="BT19" s="179">
        <f>IF('All Fleet'!BQ50="","",'All Fleet'!BQ50)</f>
        <v>0.84776041666666668</v>
      </c>
      <c r="BU19" s="179">
        <f>IF('All Fleet'!BR50="","",'All Fleet'!BR50)</f>
        <v>0.83717592592592593</v>
      </c>
      <c r="BV19" s="179">
        <f>IF('All Fleet'!BS50="","",'All Fleet'!BS50)</f>
        <v>0.84529166666666666</v>
      </c>
      <c r="BW19" s="179">
        <f>IF('All Fleet'!BT50="","",'All Fleet'!BT50)</f>
        <v>0.8407670454545455</v>
      </c>
      <c r="BX19" s="179">
        <f>IF('All Fleet'!BU50="","",'All Fleet'!BU50)</f>
        <v>0.8540364583333333</v>
      </c>
      <c r="BY19" s="179">
        <f>IF('All Fleet'!BV50="","",'All Fleet'!BV50)</f>
        <v>0.86526442307692308</v>
      </c>
      <c r="BZ19" s="179">
        <f>IF('All Fleet'!BW50="","",'All Fleet'!BW50)</f>
        <v>0.87488839285714282</v>
      </c>
      <c r="CA19" s="179">
        <f>IF('All Fleet'!BX50="","",'All Fleet'!BX50)</f>
        <v>0.86597222222222225</v>
      </c>
      <c r="CB19" s="179">
        <f>IF('All Fleet'!BY50="","",'All Fleet'!BY50)</f>
        <v>0.86382161458333329</v>
      </c>
      <c r="CC19" s="179">
        <f>IF('All Fleet'!BZ50="","",'All Fleet'!BZ50)</f>
        <v>0.87183210784313725</v>
      </c>
      <c r="CD19" s="179">
        <f>IF('All Fleet'!CA50="","",'All Fleet'!CA50)</f>
        <v>0.8787962962962963</v>
      </c>
      <c r="CE19" s="179">
        <f>IF('All Fleet'!CB50="","",'All Fleet'!CB50)</f>
        <v>0.8845230263157895</v>
      </c>
      <c r="CF19" s="179">
        <f>IF('All Fleet'!CC50="","",'All Fleet'!CC50)</f>
        <v>0.88231770833333334</v>
      </c>
      <c r="CG19" s="179">
        <f>IF('All Fleet'!CD50="","",'All Fleet'!CD50)</f>
        <v>0.88792162698412702</v>
      </c>
      <c r="CH19" s="179">
        <f>IF('All Fleet'!CE50="","",'All Fleet'!CE50)</f>
        <v>0.89301609848484853</v>
      </c>
      <c r="CI19" s="179">
        <f>IF('All Fleet'!CF50="","",'All Fleet'!CF50)</f>
        <v>0.89014945652173916</v>
      </c>
      <c r="CJ19" s="179">
        <f>IF('All Fleet'!CG50="","",'All Fleet'!CG50)</f>
        <v>0.89472656250000004</v>
      </c>
      <c r="CK19" s="179">
        <f>IF('All Fleet'!CH50="","",'All Fleet'!CH50)</f>
        <v>0.89780416666666663</v>
      </c>
      <c r="CL19" s="179">
        <f>IF('All Fleet'!CI50="","",'All Fleet'!CI50)</f>
        <v>0.89291266025641025</v>
      </c>
      <c r="CM19" s="179">
        <f>IF('All Fleet'!CJ50="","",'All Fleet'!CJ50)</f>
        <v>0.89095679012345674</v>
      </c>
      <c r="CN19" s="179">
        <f>IF('All Fleet'!CK50="","",'All Fleet'!CK50)</f>
        <v>0.8944791666666666</v>
      </c>
      <c r="CO19" s="179">
        <f>IF('All Fleet'!CL50="","",'All Fleet'!CL50)</f>
        <v>0.89760057471264365</v>
      </c>
      <c r="CP19" s="179">
        <f>IF('All Fleet'!CM50="","",'All Fleet'!CM50)</f>
        <v>0.8991979166666666</v>
      </c>
      <c r="CQ19" s="179">
        <f>IF('All Fleet'!CN50="","",'All Fleet'!CN50)</f>
        <v>0.90244959677419356</v>
      </c>
      <c r="CR19" s="179">
        <f>IF('All Fleet'!CO50="","",'All Fleet'!CO50)</f>
        <v>0.83833333333333337</v>
      </c>
      <c r="CS19" s="179">
        <f>IF('All Fleet'!CP50="","",'All Fleet'!CP50)</f>
        <v>0.91302083333333339</v>
      </c>
      <c r="CT19" s="179">
        <f>IF('All Fleet'!CQ50="","",'All Fleet'!CQ50)</f>
        <v>0.92927083333333327</v>
      </c>
      <c r="CU19" s="179">
        <f>IF('All Fleet'!CR50="","",'All Fleet'!CR50)</f>
        <v>0.94695312499999995</v>
      </c>
      <c r="CV19" s="179">
        <f>IF('All Fleet'!CS50="","",'All Fleet'!CS50)</f>
        <v>0.93272916666666661</v>
      </c>
      <c r="CW19" s="179">
        <f>IF('All Fleet'!CT50="","",'All Fleet'!CT50)</f>
        <v>0.9373090277777778</v>
      </c>
      <c r="CX19" s="179">
        <f>IF('All Fleet'!CU50="","",'All Fleet'!CU50)</f>
        <v>0.94626488095238093</v>
      </c>
      <c r="CY19" s="179">
        <f>IF('All Fleet'!CV50="","",'All Fleet'!CV50)</f>
        <v>0.94744791666666672</v>
      </c>
      <c r="CZ19" s="179">
        <f>IF('All Fleet'!CW50="","",'All Fleet'!CW50)</f>
        <v>0.94759259259259254</v>
      </c>
      <c r="DA19" s="179">
        <f>IF('All Fleet'!CX50="","",'All Fleet'!CX50)</f>
        <v>0.9147291666666667</v>
      </c>
      <c r="DB19" s="179">
        <f>IF('All Fleet'!CY50="","",'All Fleet'!CY50)</f>
        <v>0.92248106060606061</v>
      </c>
      <c r="DC19" s="179">
        <f>IF('All Fleet'!CZ50="","",'All Fleet'!CZ50)</f>
        <v>0.9276388888888889</v>
      </c>
      <c r="DD19" s="179">
        <f>IF('All Fleet'!DA50="","",'All Fleet'!DA50)</f>
        <v>0.93197916666666669</v>
      </c>
      <c r="DE19" s="179">
        <f>IF('All Fleet'!DB50="","",'All Fleet'!DB50)</f>
        <v>0.92958333333333332</v>
      </c>
      <c r="DF19" s="179">
        <f>IF('All Fleet'!DC50="","",'All Fleet'!DC50)</f>
        <v>0.92690277777777774</v>
      </c>
      <c r="DG19" s="179">
        <f>IF('All Fleet'!DD50="","",'All Fleet'!DD50)</f>
        <v>0.92951171875000005</v>
      </c>
      <c r="DH19" s="179">
        <f>IF('All Fleet'!DE50="","",'All Fleet'!DE50)</f>
        <v>0.92065563725490196</v>
      </c>
      <c r="DI19" s="179">
        <f>IF('All Fleet'!DF50="","",'All Fleet'!DF50)</f>
        <v>0.90458333333333329</v>
      </c>
      <c r="DJ19" s="179">
        <f>IF('All Fleet'!DG50="","",'All Fleet'!DG50)</f>
        <v>0.90960526315789469</v>
      </c>
      <c r="DK19" s="179">
        <f>IF('All Fleet'!DH50="","",'All Fleet'!DH50)</f>
        <v>0.91290104166666663</v>
      </c>
      <c r="DL19" s="179">
        <f>IF('All Fleet'!DI50="","",'All Fleet'!DI50)</f>
        <v>0.91507440476190482</v>
      </c>
      <c r="DM19" s="179">
        <f>IF('All Fleet'!DJ50="","",'All Fleet'!DJ50)</f>
        <v>0.8339109848484848</v>
      </c>
      <c r="DN19" s="179">
        <f>IF('All Fleet'!DK50="","",'All Fleet'!DK50)</f>
        <v>0.84113224637681161</v>
      </c>
      <c r="DO19" s="179">
        <f>IF('All Fleet'!DL50="","",'All Fleet'!DL50)</f>
        <v>0.84716579861111108</v>
      </c>
      <c r="DP19" s="179">
        <f>IF('All Fleet'!DM50="","",'All Fleet'!DM50)</f>
        <v>0.84993333333333332</v>
      </c>
      <c r="DQ19" s="179">
        <f>IF('All Fleet'!DN50="","",'All Fleet'!DN50)</f>
        <v>0.85399038461538468</v>
      </c>
      <c r="DR19" s="179">
        <f>IF('All Fleet'!DO50="","",'All Fleet'!DO50)</f>
        <v>0.85939814814814819</v>
      </c>
      <c r="DS19" s="179">
        <f>IF('All Fleet'!DP50="","",'All Fleet'!DP50)</f>
        <v>0.86363467261904758</v>
      </c>
      <c r="DT19" s="179">
        <f>IF('All Fleet'!DQ50="","",'All Fleet'!DQ50)</f>
        <v>0.86713362068965516</v>
      </c>
      <c r="DU19" s="179">
        <f>IF('All Fleet'!DR50="","",'All Fleet'!DR50)</f>
        <v>0.87143402777777779</v>
      </c>
      <c r="DV19" s="179">
        <f>IF('All Fleet'!DS50="","",'All Fleet'!DS50)</f>
        <v>0.97687500000000005</v>
      </c>
      <c r="DW19" s="179">
        <f>IF('All Fleet'!DT50="","",'All Fleet'!DT50)</f>
        <v>0.94374999999999998</v>
      </c>
      <c r="DX19" s="179">
        <f>IF('All Fleet'!DU50="","",'All Fleet'!DU50)</f>
        <v>0.9132986111111111</v>
      </c>
      <c r="DY19" s="179">
        <f>IF('All Fleet'!DV50="","",'All Fleet'!DV50)</f>
        <v>0.90648437500000001</v>
      </c>
      <c r="DZ19" s="179">
        <f>IF('All Fleet'!DW50="","",'All Fleet'!DW50)</f>
        <v>0.83804166666666668</v>
      </c>
      <c r="EA19" s="179">
        <f>IF('All Fleet'!DX50="","",'All Fleet'!DX50)</f>
        <v>0.86503472222222222</v>
      </c>
      <c r="EB19" s="179">
        <f>IF('All Fleet'!DY50="","",'All Fleet'!DY50)</f>
        <v>0.88431547619047612</v>
      </c>
      <c r="EC19" s="179">
        <f>IF('All Fleet'!DZ50="","",'All Fleet'!DZ50)</f>
        <v>0.88492187499999997</v>
      </c>
      <c r="ED19" s="179">
        <f>IF('All Fleet'!EA50="","",'All Fleet'!EA50)</f>
        <v>0.89188657407407412</v>
      </c>
      <c r="EE19" s="179">
        <f>IF('All Fleet'!EB50="","",'All Fleet'!EB50)</f>
        <v>0.89444791666666668</v>
      </c>
      <c r="EF19" s="179">
        <f>IF('All Fleet'!EC50="","",'All Fleet'!EC50)</f>
        <v>0.89249053030303027</v>
      </c>
      <c r="EG19" s="179">
        <f>IF('All Fleet'!ED50="","",'All Fleet'!ED50)</f>
        <v>0.90144965277777778</v>
      </c>
      <c r="EH19" s="179">
        <f>IF('All Fleet'!EE50="","",'All Fleet'!EE50)</f>
        <v>0.89917467948717944</v>
      </c>
      <c r="EI19" s="179">
        <f>IF('All Fleet'!EF50="","",'All Fleet'!EF50)</f>
        <v>0.90053571428571433</v>
      </c>
      <c r="EJ19" s="179">
        <f>IF('All Fleet'!EG50="","",'All Fleet'!EG50)</f>
        <v>0.87602777777777774</v>
      </c>
      <c r="EK19" s="179">
        <f>IF('All Fleet'!EH50="","",'All Fleet'!EH50)</f>
        <v>0.87716145833333337</v>
      </c>
      <c r="EL19" s="179">
        <f>IF('All Fleet'!EI50="","",'All Fleet'!EI50)</f>
        <v>0.87303921568627452</v>
      </c>
      <c r="EM19" s="179">
        <f>IF('All Fleet'!EJ50="","",'All Fleet'!EJ50)</f>
        <v>0.88009259259259254</v>
      </c>
      <c r="EN19" s="179">
        <f>IF('All Fleet'!EK50="","",'All Fleet'!EK50)</f>
        <v>0.88640350877192986</v>
      </c>
      <c r="EO19" s="179">
        <f>IF('All Fleet'!EL50="","",'All Fleet'!EL50)</f>
        <v>0.87958333333333338</v>
      </c>
      <c r="EP19" s="179">
        <f>IF('All Fleet'!EM50="","",'All Fleet'!EM50)</f>
        <v>0.87189980158730163</v>
      </c>
      <c r="EQ19" s="179">
        <f>IF('All Fleet'!EN50="","",'All Fleet'!EN50)</f>
        <v>0.86233428030303028</v>
      </c>
      <c r="ER19" s="179">
        <f>IF('All Fleet'!EO50="","",'All Fleet'!EO50)</f>
        <v>0.86216032608695647</v>
      </c>
      <c r="ES19" s="179">
        <f>IF('All Fleet'!EP50="","",'All Fleet'!EP50)</f>
        <v>0.86485243055555561</v>
      </c>
      <c r="ET19" s="179">
        <f>IF('All Fleet'!EQ50="","",'All Fleet'!EQ50)</f>
        <v>0.86777083333333338</v>
      </c>
      <c r="EU19" s="179">
        <f>IF('All Fleet'!ER50="","",'All Fleet'!ER50)</f>
        <v>0.87285657051282051</v>
      </c>
      <c r="EV19" s="179">
        <f>IF('All Fleet'!ES50="","",'All Fleet'!ES50)</f>
        <v>0.87077160493827166</v>
      </c>
      <c r="EW19" s="179">
        <f>IF('All Fleet'!ET50="","",'All Fleet'!ET50)</f>
        <v>0.86882068452380956</v>
      </c>
      <c r="EX19" s="179">
        <f>IF('All Fleet'!EU50="","",'All Fleet'!EU50)</f>
        <v>0.87226652298850571</v>
      </c>
      <c r="EY19" s="179">
        <f>IF('All Fleet'!EV50="","",'All Fleet'!EV50)</f>
        <v>0.87652430555555561</v>
      </c>
      <c r="EZ19" s="179">
        <f>IF('All Fleet'!EW50="","",'All Fleet'!EW50)</f>
        <v>0.88050739247311827</v>
      </c>
      <c r="FA19" s="179">
        <f>IF('All Fleet'!EX50="","",'All Fleet'!EX50)</f>
        <v>1</v>
      </c>
      <c r="FB19" s="179">
        <f>IF('All Fleet'!EY50="","",'All Fleet'!EY50)</f>
        <v>1</v>
      </c>
      <c r="FC19" s="179">
        <f>IF('All Fleet'!EZ50="","",'All Fleet'!EZ50)</f>
        <v>1</v>
      </c>
      <c r="FD19" s="179">
        <f>IF('All Fleet'!FA50="","",'All Fleet'!FA50)</f>
        <v>1</v>
      </c>
      <c r="FE19" s="179">
        <f>IF('All Fleet'!FB50="","",'All Fleet'!FB50)</f>
        <v>1</v>
      </c>
      <c r="FF19" s="179">
        <f>IF('All Fleet'!FC50="","",'All Fleet'!FC50)</f>
        <v>1</v>
      </c>
      <c r="FG19" s="179">
        <f>IF('All Fleet'!FD50="","",'All Fleet'!FD50)</f>
        <v>0.95797619047619043</v>
      </c>
      <c r="FH19" s="179">
        <f>IF('All Fleet'!FE50="","",'All Fleet'!FE50)</f>
        <v>0.92123697916666669</v>
      </c>
      <c r="FI19" s="179">
        <f>IF('All Fleet'!FF50="","",'All Fleet'!FF50)</f>
        <v>0.92940972222222218</v>
      </c>
      <c r="FJ19" s="179">
        <f>IF('All Fleet'!FG50="","",'All Fleet'!FG50)</f>
        <v>0.92443750000000002</v>
      </c>
      <c r="FK19" s="179">
        <f>IF('All Fleet'!FH50="","",'All Fleet'!FH50)</f>
        <v>0.92461174242424238</v>
      </c>
      <c r="FL19" s="179">
        <f>IF('All Fleet'!FI50="","",'All Fleet'!FI50)</f>
        <v>0.92969618055555558</v>
      </c>
      <c r="FM19" s="179">
        <f>IF('All Fleet'!FJ50="","",'All Fleet'!FJ50)</f>
        <v>0.93298076923076922</v>
      </c>
      <c r="FN19" s="179">
        <f>IF('All Fleet'!FK50="","",'All Fleet'!FK50)</f>
        <v>0.93776785714285715</v>
      </c>
      <c r="FO19" s="179">
        <f>IF('All Fleet'!FL50="","",'All Fleet'!FL50)</f>
        <v>0.93874305555555559</v>
      </c>
      <c r="FP19" s="179">
        <f>IF('All Fleet'!FM50="","",'All Fleet'!FM50)</f>
        <v>0.93298177083333333</v>
      </c>
      <c r="FQ19" s="179">
        <f>IF('All Fleet'!FN50="","",'All Fleet'!FN50)</f>
        <v>0.93692401960784311</v>
      </c>
      <c r="FR19" s="179">
        <f>IF('All Fleet'!FO50="","",'All Fleet'!FO50)</f>
        <v>0.93720486111111112</v>
      </c>
      <c r="FS19" s="179">
        <f>IF('All Fleet'!FP50="","",'All Fleet'!FP50)</f>
        <v>0.94050986842105266</v>
      </c>
      <c r="FT19" s="179">
        <f>IF('All Fleet'!FQ50="","",'All Fleet'!FQ50)</f>
        <v>0.94308854166666667</v>
      </c>
      <c r="FU19" s="179">
        <f>IF('All Fleet'!FR50="","",'All Fleet'!FR50)</f>
        <v>0.94579861111111108</v>
      </c>
      <c r="FV19" s="179">
        <f>IF('All Fleet'!FS50="","",'All Fleet'!FS50)</f>
        <v>0.93969223484848485</v>
      </c>
      <c r="FW19" s="179">
        <f>IF('All Fleet'!FT50="","",'All Fleet'!FT50)</f>
        <v>0.92479619565217397</v>
      </c>
      <c r="FX19" s="179">
        <f>IF('All Fleet'!FU50="","",'All Fleet'!FU50)</f>
        <v>0.92792968750000004</v>
      </c>
      <c r="FY19" s="179">
        <f>IF('All Fleet'!FV50="","",'All Fleet'!FV50)</f>
        <v>0.92867500000000003</v>
      </c>
      <c r="FZ19" s="179">
        <f>IF('All Fleet'!FW50="","",'All Fleet'!FW50)</f>
        <v>0.92612179487179491</v>
      </c>
      <c r="GA19" s="179">
        <f>IF('All Fleet'!FX50="","",'All Fleet'!FX50)</f>
        <v>0.92773533950617282</v>
      </c>
      <c r="GB19" s="179">
        <f>IF('All Fleet'!FY50="","",'All Fleet'!FY50)</f>
        <v>0.93031622023809524</v>
      </c>
      <c r="GC19" s="179">
        <f>IF('All Fleet'!FZ50="","",'All Fleet'!FZ50)</f>
        <v>0.93265445402298852</v>
      </c>
      <c r="GD19" s="179">
        <f>IF('All Fleet'!GA50="","",'All Fleet'!GA50)</f>
        <v>0.9207326388888889</v>
      </c>
      <c r="GE19" s="179">
        <f>IF('All Fleet'!GB50="","",'All Fleet'!GB50)</f>
        <v>0.76739583333333339</v>
      </c>
      <c r="GF19" s="179">
        <f>IF('All Fleet'!GC50="","",'All Fleet'!GC50)</f>
        <v>0.88369791666666664</v>
      </c>
      <c r="GG19" s="179">
        <f>IF('All Fleet'!GD50="","",'All Fleet'!GD50)</f>
        <v>0.92246527777777776</v>
      </c>
      <c r="GH19" s="179">
        <f>IF('All Fleet'!GE50="","",'All Fleet'!GE50)</f>
        <v>0.93546874999999996</v>
      </c>
      <c r="GI19" s="179">
        <f>IF('All Fleet'!GF50="","",'All Fleet'!GF50)</f>
        <v>0.92331249999999998</v>
      </c>
      <c r="GJ19" s="179">
        <f>IF('All Fleet'!GG50="","",'All Fleet'!GG50)</f>
        <v>0.93321180555555561</v>
      </c>
      <c r="GK19" s="179">
        <f>IF('All Fleet'!GH50="","",'All Fleet'!GH50)</f>
        <v>0.94275297619047616</v>
      </c>
      <c r="GL19" s="179">
        <f>IF('All Fleet'!GI50="","",'All Fleet'!GI50)</f>
        <v>0.94309895833333335</v>
      </c>
      <c r="GM19" s="179">
        <f>IF('All Fleet'!GJ50="","",'All Fleet'!GJ50)</f>
        <v>0.94435185185185189</v>
      </c>
      <c r="GN19" s="179">
        <f>IF('All Fleet'!GK50="","",'All Fleet'!GK50)</f>
        <v>0.94333333333333336</v>
      </c>
      <c r="GO19" s="179">
        <f>IF('All Fleet'!GL50="","",'All Fleet'!GL50)</f>
        <v>0.94848484848484849</v>
      </c>
      <c r="GP19" s="179">
        <f>IF('All Fleet'!GM50="","",'All Fleet'!GM50)</f>
        <v>0.95277777777777772</v>
      </c>
      <c r="GQ19" s="179">
        <f>IF('All Fleet'!GN50="","",'All Fleet'!GN50)</f>
        <v>0.95641025641025645</v>
      </c>
      <c r="GR19" s="179">
        <f>IF('All Fleet'!GO50="","",'All Fleet'!GO50)</f>
        <v>0.95952380952380956</v>
      </c>
      <c r="GS19" s="179">
        <f>IF('All Fleet'!GP50="","",'All Fleet'!GP50)</f>
        <v>0.9622222222222222</v>
      </c>
      <c r="GT19" s="179">
        <f>IF('All Fleet'!GQ50="","",'All Fleet'!GQ50)</f>
        <v>0.96250000000000002</v>
      </c>
      <c r="GU19" s="179">
        <f>IF('All Fleet'!GR50="","",'All Fleet'!GR50)</f>
        <v>0.95972426470588235</v>
      </c>
      <c r="GV19" s="179">
        <f>IF('All Fleet'!GS50="","",'All Fleet'!GS50)</f>
        <v>0.96196180555555555</v>
      </c>
      <c r="GW19" s="179">
        <f>IF('All Fleet'!GT50="","",'All Fleet'!GT50)</f>
        <v>0.95987938596491229</v>
      </c>
      <c r="GX19" s="179">
        <f>IF('All Fleet'!GU50="","",'All Fleet'!GU50)</f>
        <v>0.96188541666666671</v>
      </c>
      <c r="GY19" s="179">
        <f>IF('All Fleet'!GV50="","",'All Fleet'!GV50)</f>
        <v>0.88763392857142853</v>
      </c>
      <c r="GZ19" s="179">
        <f>IF('All Fleet'!GW50="","",'All Fleet'!GW50)</f>
        <v>0.88913352272727275</v>
      </c>
      <c r="HA19" s="179">
        <f>IF('All Fleet'!GX50="","",'All Fleet'!GX50)</f>
        <v>0.89395380434782612</v>
      </c>
      <c r="HB19" s="179">
        <f>IF('All Fleet'!GY50="","",'All Fleet'!GY50)</f>
        <v>0.89837239583333339</v>
      </c>
      <c r="HC19" s="179">
        <f>IF('All Fleet'!GZ50="","",'All Fleet'!GZ50)</f>
        <v>0.9024375</v>
      </c>
      <c r="HD19" s="179">
        <f>IF('All Fleet'!HA50="","",'All Fleet'!HA50)</f>
        <v>0.90618990384615383</v>
      </c>
      <c r="HE19" s="179">
        <f>IF('All Fleet'!HB50="","",'All Fleet'!HB50)</f>
        <v>0.85368441358024694</v>
      </c>
      <c r="HF19" s="179">
        <f>IF('All Fleet'!HC50="","",'All Fleet'!HC50)</f>
        <v>0.85890997023809523</v>
      </c>
      <c r="HG19" s="179">
        <f>IF('All Fleet'!HD50="","",'All Fleet'!HD50)</f>
        <v>0.86377514367816088</v>
      </c>
      <c r="HH19" s="179">
        <f>IF('All Fleet'!HE50="","",'All Fleet'!HE50)</f>
        <v>0.86831597222222223</v>
      </c>
      <c r="HI19" s="179">
        <f>IF('All Fleet'!HF50="","",'All Fleet'!HF50)</f>
        <v>0.8725638440860215</v>
      </c>
      <c r="HJ19" s="179">
        <f>IF('All Fleet'!HG50="","",'All Fleet'!HG50)</f>
        <v>1</v>
      </c>
      <c r="HK19" s="179">
        <f>IF('All Fleet'!HH50="","",'All Fleet'!HH50)</f>
        <v>1</v>
      </c>
      <c r="HL19" s="179">
        <f>IF('All Fleet'!HI50="","",'All Fleet'!HI50)</f>
        <v>1</v>
      </c>
      <c r="HM19" s="179">
        <f>IF('All Fleet'!HJ50="","",'All Fleet'!HJ50)</f>
        <v>0.99982928240740743</v>
      </c>
      <c r="HN19" s="179">
        <f>IF('All Fleet'!HK50="","",'All Fleet'!HK50)</f>
        <v>0.95534317129629631</v>
      </c>
      <c r="HO19" s="179">
        <f>IF('All Fleet'!HL50="","",'All Fleet'!HL50)</f>
        <v>0.92111930941358022</v>
      </c>
      <c r="HP19" s="179">
        <f>IF('All Fleet'!HM50="","",'All Fleet'!HM50)</f>
        <v>0.89005456349206347</v>
      </c>
      <c r="HQ19" s="179">
        <f>IF('All Fleet'!HN50="","",'All Fleet'!HN50)</f>
        <v>0.90073567708333335</v>
      </c>
      <c r="HR19" s="179">
        <f>IF('All Fleet'!HO50="","",'All Fleet'!HO50)</f>
        <v>0.91176504629629629</v>
      </c>
      <c r="HS19" s="179">
        <f>IF('All Fleet'!HP50="","",'All Fleet'!HP50)</f>
        <v>0.9205885416666667</v>
      </c>
      <c r="HT19" s="179">
        <f>IF('All Fleet'!HQ50="","",'All Fleet'!HQ50)</f>
        <v>0.92398832070707071</v>
      </c>
      <c r="HU19" s="179">
        <f>IF('All Fleet'!HR50="","",'All Fleet'!HR50)</f>
        <v>0.93032262731481485</v>
      </c>
      <c r="HV19" s="179">
        <f>IF('All Fleet'!HS50="","",'All Fleet'!HS50)</f>
        <v>0.90162415420227915</v>
      </c>
      <c r="HW19" s="179">
        <f>IF('All Fleet'!HT50="","",'All Fleet'!HT50)</f>
        <v>0.890793857473545</v>
      </c>
      <c r="HX19" s="179">
        <f>IF('All Fleet'!HU50="","",'All Fleet'!HU50)</f>
        <v>0.88140760030864196</v>
      </c>
      <c r="HY19" s="179">
        <f>IF('All Fleet'!HV50="","",'All Fleet'!HV50)</f>
        <v>0.87416558159722224</v>
      </c>
      <c r="HZ19" s="179">
        <f>IF('All Fleet'!HW50="","",'All Fleet'!HW50)</f>
        <v>0.87929432189542489</v>
      </c>
      <c r="IA19" s="179">
        <f>IF('All Fleet'!HX50="","",'All Fleet'!HX50)</f>
        <v>0.87558288323045264</v>
      </c>
      <c r="IB19" s="179">
        <f>IF('All Fleet'!HY50="","",'All Fleet'!HY50)</f>
        <v>0.86700596978557498</v>
      </c>
      <c r="IC19" s="179">
        <f>IF('All Fleet'!HZ50="","",'All Fleet'!HZ50)</f>
        <v>0.86800202546296301</v>
      </c>
      <c r="ID19" s="179">
        <f>IF('All Fleet'!IA50="","",'All Fleet'!IA50)</f>
        <v>0.87428764329805997</v>
      </c>
      <c r="IE19" s="179">
        <f>IF('All Fleet'!IB50="","",'All Fleet'!IB50)</f>
        <v>0.87858270202020206</v>
      </c>
      <c r="IF19" s="179">
        <f>IF('All Fleet'!IC50="","",'All Fleet'!IC50)</f>
        <v>0.88386171497584543</v>
      </c>
      <c r="IG19" s="179">
        <f>IF('All Fleet'!ID50="","",'All Fleet'!ID50)</f>
        <v>0.8505931712962963</v>
      </c>
      <c r="IH19" s="179">
        <f>IF('All Fleet'!IE50="","",'All Fleet'!IE50)</f>
        <v>0.8475569444444444</v>
      </c>
      <c r="II19" s="179">
        <f>IF('All Fleet'!IF50="","",'All Fleet'!IF50)</f>
        <v>0.85140491452991451</v>
      </c>
      <c r="IJ19" s="179">
        <f>IF('All Fleet'!IG50="","",'All Fleet'!IG50)</f>
        <v>0.85674639917695472</v>
      </c>
      <c r="IK19" s="179">
        <f>IF('All Fleet'!IH50="","",'All Fleet'!IH50)</f>
        <v>0.86092509920634919</v>
      </c>
      <c r="IL19" s="179">
        <f>IF('All Fleet'!II50="","",'All Fleet'!II50)</f>
        <v>0.86572078544061304</v>
      </c>
      <c r="IM19" s="179">
        <f>IF('All Fleet'!IJ50="","",'All Fleet'!IJ50)</f>
        <v>0.8633460648148148</v>
      </c>
      <c r="IN19" s="179">
        <f>IF('All Fleet'!IK50="","",'All Fleet'!IK50)</f>
        <v>0.86579581093189961</v>
      </c>
      <c r="IO19" s="179">
        <f>IF('All Fleet'!IL50="","",'All Fleet'!IL50)</f>
        <v>0.76780671296296299</v>
      </c>
      <c r="IP19" s="179">
        <f>IF('All Fleet'!IM50="","",'All Fleet'!IM50)</f>
        <v>0.74971354166666671</v>
      </c>
      <c r="IQ19" s="179">
        <f>IF('All Fleet'!IN50="","",'All Fleet'!IN50)</f>
        <v>0.73624131944444438</v>
      </c>
      <c r="IR19" s="179">
        <f>IF('All Fleet'!IO50="","",'All Fleet'!IO50)</f>
        <v>0.70649522569444456</v>
      </c>
      <c r="IS19" s="179">
        <f>IF('All Fleet'!IP50="","",'All Fleet'!IP50)</f>
        <v>0.70098379629629637</v>
      </c>
      <c r="IT19" s="179">
        <f>IF('All Fleet'!IQ50="","",'All Fleet'!IQ50)</f>
        <v>0.70762249228395069</v>
      </c>
      <c r="IU19" s="179">
        <f>IF('All Fleet'!IR50="","",'All Fleet'!IR50)</f>
        <v>0.68245122354497356</v>
      </c>
      <c r="IV19" s="179">
        <f>IF('All Fleet'!IS50="","",'All Fleet'!IS50)</f>
        <v>0.64237413194444448</v>
      </c>
      <c r="IW19" s="179">
        <f>IF('All Fleet'!IT50="","",'All Fleet'!IT50)</f>
        <v>0.60815875771604944</v>
      </c>
      <c r="IX19" s="179">
        <f>IF('All Fleet'!IU50="","",'All Fleet'!IU50)</f>
        <v>0.61108506944444441</v>
      </c>
      <c r="IY19" s="179">
        <f>IF('All Fleet'!IV50="","",'All Fleet'!IV50)</f>
        <v>0.64312578914141416</v>
      </c>
      <c r="IZ19" s="179">
        <f>IF('All Fleet'!IW50="","",'All Fleet'!IW50)</f>
        <v>0.67274860146604942</v>
      </c>
      <c r="JA19" s="179">
        <f>IF('All Fleet'!IX50="","",'All Fleet'!IX50)</f>
        <v>0.69506343482905986</v>
      </c>
      <c r="JB19" s="179">
        <f>IF('All Fleet'!IY50="","",'All Fleet'!IY50)</f>
        <v>0.71016141699735447</v>
      </c>
      <c r="JC19" s="179">
        <f>IF('All Fleet'!IZ50="","",'All Fleet'!IZ50)</f>
        <v>0.72925597993827163</v>
      </c>
      <c r="JD19" s="179">
        <f>IF('All Fleet'!JA50="","",'All Fleet'!JA50)</f>
        <v>0.74498390480324073</v>
      </c>
      <c r="JE19" s="179">
        <f>IF('All Fleet'!JB50="","",'All Fleet'!JB50)</f>
        <v>0.75635927287581706</v>
      </c>
      <c r="JF19" s="179">
        <f>IF('All Fleet'!JC50="","",'All Fleet'!JC50)</f>
        <v>0.76719618055555561</v>
      </c>
      <c r="JG19" s="179">
        <f>IF('All Fleet'!JD50="","",'All Fleet'!JD50)</f>
        <v>0.77116578338206632</v>
      </c>
      <c r="JH19" s="179">
        <f>IF('All Fleet'!JE50="","",'All Fleet'!JE50)</f>
        <v>0.7792680844907407</v>
      </c>
      <c r="JI19" s="179">
        <f>IF('All Fleet'!JF50="","",'All Fleet'!JF50)</f>
        <v>0.78866471009700179</v>
      </c>
      <c r="JJ19" s="179">
        <f>IF('All Fleet'!JG50="","",'All Fleet'!JG50)</f>
        <v>0.79676215277777773</v>
      </c>
      <c r="JK19" s="179">
        <f>IF('All Fleet'!JH50="","",'All Fleet'!JH50)</f>
        <v>0.79873037439613526</v>
      </c>
      <c r="JL19" s="179">
        <f>IF('All Fleet'!JI50="","",'All Fleet'!JI50)</f>
        <v>0.80548574942129625</v>
      </c>
      <c r="JM19" s="179">
        <f>IF('All Fleet'!JJ50="","",'All Fleet'!JJ50)</f>
        <v>0.81070659722222227</v>
      </c>
      <c r="JN19" s="179">
        <f>IF('All Fleet'!JK50="","",'All Fleet'!JK50)</f>
        <v>0.81173867076210826</v>
      </c>
      <c r="JO19" s="179">
        <f>IF('All Fleet'!JL50="","",'All Fleet'!JL50)</f>
        <v>0.81080546982167356</v>
      </c>
      <c r="JP19" s="179">
        <f>IF('All Fleet'!JM50="","",'All Fleet'!JM50)</f>
        <v>0.8119823702050265</v>
      </c>
      <c r="JQ19" s="179">
        <f>IF('All Fleet'!JN50="","",'All Fleet'!JN50)</f>
        <v>0.81212234594508304</v>
      </c>
      <c r="JR19" s="179">
        <f>IF('All Fleet'!JO50="","",'All Fleet'!JO50)</f>
        <v>0.81699604552469141</v>
      </c>
      <c r="JS19" s="179">
        <f>IF('All Fleet'!JP50="","",'All Fleet'!JP50)</f>
        <v>0.91593749999999996</v>
      </c>
      <c r="JT19" s="179">
        <f>IF('All Fleet'!JQ50="","",'All Fleet'!JQ50)</f>
        <v>0.93614583333333334</v>
      </c>
      <c r="JU19" s="179">
        <f>IF('All Fleet'!JR50="","",'All Fleet'!JR50)</f>
        <v>0.94552083333333337</v>
      </c>
      <c r="JV19" s="179">
        <f>IF('All Fleet'!JS50="","",'All Fleet'!JS50)</f>
        <v>0.90601562499999999</v>
      </c>
      <c r="JW19" s="179">
        <f>IF('All Fleet'!JT50="","",'All Fleet'!JT50)</f>
        <v>0.90102083333333338</v>
      </c>
      <c r="JX19" s="179">
        <f>IF('All Fleet'!JU50="","",'All Fleet'!JU50)</f>
        <v>0.89414930555555561</v>
      </c>
      <c r="JY19" s="179">
        <f>IF('All Fleet'!JV50="","",'All Fleet'!JV50)</f>
        <v>0.90331845238095243</v>
      </c>
      <c r="JZ19" s="179">
        <f>IF('All Fleet'!JW50="","",'All Fleet'!JW50)</f>
        <v>0.91540364583333333</v>
      </c>
      <c r="KA19" s="179">
        <f>IF('All Fleet'!JX50="","",'All Fleet'!JX50)</f>
        <v>0.92480324074074072</v>
      </c>
      <c r="KB19" s="179">
        <f>IF('All Fleet'!JY50="","",'All Fleet'!JY50)</f>
        <v>0.93232291666666667</v>
      </c>
      <c r="KC19" s="179">
        <f>IF('All Fleet'!JZ50="","",'All Fleet'!JZ50)</f>
        <v>0.93847537878787879</v>
      </c>
      <c r="KD19" s="179">
        <f>IF('All Fleet'!KA50="","",'All Fleet'!KA50)</f>
        <v>0.94360243055555559</v>
      </c>
      <c r="KE19" s="179">
        <f>IF('All Fleet'!KB50="","",'All Fleet'!KB50)</f>
        <v>0.94794070512820516</v>
      </c>
      <c r="KF19" s="179">
        <f>IF('All Fleet'!KC50="","",'All Fleet'!KC50)</f>
        <v>0.95165922619047616</v>
      </c>
      <c r="KG19" s="179">
        <f>IF('All Fleet'!KD50="","",'All Fleet'!KD50)</f>
        <v>0.95488194444444441</v>
      </c>
      <c r="KH19" s="179">
        <f>IF('All Fleet'!KE50="","",'All Fleet'!KE50)</f>
        <v>0.95770182291666672</v>
      </c>
      <c r="KI19" s="179">
        <f>IF('All Fleet'!KF50="","",'All Fleet'!KF50)</f>
        <v>0.96018995098039217</v>
      </c>
      <c r="KJ19" s="179">
        <f>IF('All Fleet'!KG50="","",'All Fleet'!KG50)</f>
        <v>0.96240162037037036</v>
      </c>
      <c r="KK19" s="179">
        <f>IF('All Fleet'!KH50="","",'All Fleet'!KH50)</f>
        <v>0.96438048245614039</v>
      </c>
      <c r="KL19" s="179">
        <f>IF('All Fleet'!KI50="","",'All Fleet'!KI50)</f>
        <v>0.96616145833333333</v>
      </c>
      <c r="KM19" s="179">
        <f>IF('All Fleet'!KJ50="","",'All Fleet'!KJ50)</f>
        <v>0.96777281746031751</v>
      </c>
      <c r="KN19" s="179">
        <f>IF('All Fleet'!KK50="","",'All Fleet'!KK50)</f>
        <v>0.96923768939393939</v>
      </c>
      <c r="KO19" s="179">
        <f>IF('All Fleet'!KL50="","",'All Fleet'!KL50)</f>
        <v>0.97057518115942032</v>
      </c>
      <c r="KP19" s="179">
        <f>IF('All Fleet'!KM50="","",'All Fleet'!KM50)</f>
        <v>0.97180121527777774</v>
      </c>
      <c r="KQ19" s="179">
        <f>IF('All Fleet'!KN50="","",'All Fleet'!KN50)</f>
        <v>0.97292916666666662</v>
      </c>
      <c r="KR19" s="179">
        <f>IF('All Fleet'!KO50="","",'All Fleet'!KO50)</f>
        <v>0.97397035256410258</v>
      </c>
      <c r="KS19" s="179">
        <f>IF('All Fleet'!KP50="","",'All Fleet'!KP50)</f>
        <v>0.97493441358024691</v>
      </c>
      <c r="KT19" s="179">
        <f>IF('All Fleet'!KQ50="","",'All Fleet'!KQ50)</f>
        <v>0.97582961309523808</v>
      </c>
      <c r="KU19" s="179">
        <f>IF('All Fleet'!KR50="","",'All Fleet'!KR50)</f>
        <v>0.97666307471264369</v>
      </c>
      <c r="KV19" s="179">
        <f>IF('All Fleet'!KS50="","",'All Fleet'!KS50)</f>
        <v>0.97744097222222226</v>
      </c>
      <c r="KW19" s="179">
        <f>IF('All Fleet'!KT50="","",'All Fleet'!KT50)</f>
        <v>0.97816868279569891</v>
      </c>
      <c r="KX19" s="179" t="str">
        <f>IF('All Fleet'!KU50="","",'All Fleet'!KU50)</f>
        <v/>
      </c>
      <c r="KY19" s="179" t="str">
        <f>IF('All Fleet'!KV50="","",'All Fleet'!KV50)</f>
        <v/>
      </c>
      <c r="KZ19" s="179" t="str">
        <f>IF('All Fleet'!KW50="","",'All Fleet'!KW50)</f>
        <v/>
      </c>
      <c r="LA19" s="179" t="str">
        <f>IF('All Fleet'!KX50="","",'All Fleet'!KX50)</f>
        <v/>
      </c>
      <c r="LB19" s="179" t="str">
        <f>IF('All Fleet'!KY50="","",'All Fleet'!KY50)</f>
        <v/>
      </c>
      <c r="LC19" s="179" t="str">
        <f>IF('All Fleet'!KZ50="","",'All Fleet'!KZ50)</f>
        <v/>
      </c>
      <c r="LD19" s="179" t="str">
        <f>IF('All Fleet'!LA50="","",'All Fleet'!LA50)</f>
        <v/>
      </c>
      <c r="LE19" s="179" t="str">
        <f>IF('All Fleet'!LB50="","",'All Fleet'!LB50)</f>
        <v/>
      </c>
      <c r="LF19" s="179" t="str">
        <f>IF('All Fleet'!LC50="","",'All Fleet'!LC50)</f>
        <v/>
      </c>
      <c r="LG19" s="179" t="str">
        <f>IF('All Fleet'!LD50="","",'All Fleet'!LD50)</f>
        <v/>
      </c>
      <c r="LH19" s="179" t="str">
        <f>IF('All Fleet'!LE50="","",'All Fleet'!LE50)</f>
        <v/>
      </c>
      <c r="LI19" s="179" t="str">
        <f>IF('All Fleet'!LF50="","",'All Fleet'!LF50)</f>
        <v/>
      </c>
      <c r="LJ19" s="179" t="str">
        <f>IF('All Fleet'!LG50="","",'All Fleet'!LG50)</f>
        <v/>
      </c>
      <c r="LK19" s="179" t="str">
        <f>IF('All Fleet'!LH50="","",'All Fleet'!LH50)</f>
        <v/>
      </c>
      <c r="LL19" s="179" t="str">
        <f>IF('All Fleet'!LI50="","",'All Fleet'!LI50)</f>
        <v/>
      </c>
      <c r="LM19" s="179" t="str">
        <f>IF('All Fleet'!LJ50="","",'All Fleet'!LJ50)</f>
        <v/>
      </c>
      <c r="LN19" s="179" t="str">
        <f>IF('All Fleet'!LK50="","",'All Fleet'!LK50)</f>
        <v/>
      </c>
      <c r="LO19" s="179" t="str">
        <f>IF('All Fleet'!LL50="","",'All Fleet'!LL50)</f>
        <v/>
      </c>
      <c r="LP19" s="179" t="str">
        <f>IF('All Fleet'!LM50="","",'All Fleet'!LM50)</f>
        <v/>
      </c>
      <c r="LQ19" s="179" t="str">
        <f>IF('All Fleet'!LN50="","",'All Fleet'!LN50)</f>
        <v/>
      </c>
      <c r="LR19" s="179" t="str">
        <f>IF('All Fleet'!LO50="","",'All Fleet'!LO50)</f>
        <v/>
      </c>
      <c r="LS19" s="179" t="str">
        <f>IF('All Fleet'!LP50="","",'All Fleet'!LP50)</f>
        <v/>
      </c>
      <c r="LT19" s="179" t="str">
        <f>IF('All Fleet'!LQ50="","",'All Fleet'!LQ50)</f>
        <v/>
      </c>
      <c r="LU19" s="179" t="str">
        <f>IF('All Fleet'!LR50="","",'All Fleet'!LR50)</f>
        <v/>
      </c>
      <c r="LV19" s="179" t="str">
        <f>IF('All Fleet'!LS50="","",'All Fleet'!LS50)</f>
        <v/>
      </c>
      <c r="LW19" s="179" t="str">
        <f>IF('All Fleet'!LT50="","",'All Fleet'!LT50)</f>
        <v/>
      </c>
      <c r="LX19" s="179" t="str">
        <f>IF('All Fleet'!LU50="","",'All Fleet'!LU50)</f>
        <v/>
      </c>
      <c r="LY19" s="179" t="str">
        <f>IF('All Fleet'!LV50="","",'All Fleet'!LV50)</f>
        <v/>
      </c>
      <c r="LZ19" s="179" t="str">
        <f>IF('All Fleet'!LW50="","",'All Fleet'!LW50)</f>
        <v/>
      </c>
      <c r="MA19" s="179" t="str">
        <f>IF('All Fleet'!LX50="","",'All Fleet'!LX50)</f>
        <v/>
      </c>
      <c r="MB19" s="179" t="str">
        <f>IF('All Fleet'!LY50="","",'All Fleet'!LY50)</f>
        <v/>
      </c>
      <c r="MC19" s="179" t="str">
        <f>IF('All Fleet'!LZ50="","",'All Fleet'!LZ50)</f>
        <v/>
      </c>
      <c r="MD19" s="179" t="str">
        <f>IF('All Fleet'!MA50="","",'All Fleet'!MA50)</f>
        <v/>
      </c>
      <c r="ME19" s="179" t="str">
        <f>IF('All Fleet'!MB50="","",'All Fleet'!MB50)</f>
        <v/>
      </c>
      <c r="MF19" s="179" t="str">
        <f>IF('All Fleet'!MC50="","",'All Fleet'!MC50)</f>
        <v/>
      </c>
      <c r="MG19" s="179" t="str">
        <f>IF('All Fleet'!MD50="","",'All Fleet'!MD50)</f>
        <v/>
      </c>
      <c r="MH19" s="179" t="str">
        <f>IF('All Fleet'!ME50="","",'All Fleet'!ME50)</f>
        <v/>
      </c>
      <c r="MI19" s="179" t="str">
        <f>IF('All Fleet'!MF50="","",'All Fleet'!MF50)</f>
        <v/>
      </c>
      <c r="MJ19" s="179" t="str">
        <f>IF('All Fleet'!MG50="","",'All Fleet'!MG50)</f>
        <v/>
      </c>
      <c r="MK19" s="179" t="str">
        <f>IF('All Fleet'!MH50="","",'All Fleet'!MH50)</f>
        <v/>
      </c>
      <c r="ML19" s="179" t="str">
        <f>IF('All Fleet'!MI50="","",'All Fleet'!MI50)</f>
        <v/>
      </c>
      <c r="MM19" s="179" t="str">
        <f>IF('All Fleet'!MJ50="","",'All Fleet'!MJ50)</f>
        <v/>
      </c>
      <c r="MN19" s="179" t="str">
        <f>IF('All Fleet'!MK50="","",'All Fleet'!MK50)</f>
        <v/>
      </c>
      <c r="MO19" s="179" t="str">
        <f>IF('All Fleet'!ML50="","",'All Fleet'!ML50)</f>
        <v/>
      </c>
      <c r="MP19" s="179" t="str">
        <f>IF('All Fleet'!MM50="","",'All Fleet'!MM50)</f>
        <v/>
      </c>
      <c r="MQ19" s="179" t="str">
        <f>IF('All Fleet'!MN50="","",'All Fleet'!MN50)</f>
        <v/>
      </c>
      <c r="MR19" s="179" t="str">
        <f>IF('All Fleet'!MO50="","",'All Fleet'!MO50)</f>
        <v/>
      </c>
      <c r="MS19" s="179" t="str">
        <f>IF('All Fleet'!MP50="","",'All Fleet'!MP50)</f>
        <v/>
      </c>
      <c r="MT19" s="179" t="str">
        <f>IF('All Fleet'!MQ50="","",'All Fleet'!MQ50)</f>
        <v/>
      </c>
      <c r="MU19" s="179" t="str">
        <f>IF('All Fleet'!MR50="","",'All Fleet'!MR50)</f>
        <v/>
      </c>
      <c r="MV19" s="179" t="str">
        <f>IF('All Fleet'!MS50="","",'All Fleet'!MS50)</f>
        <v/>
      </c>
      <c r="MW19" s="179" t="str">
        <f>IF('All Fleet'!MT50="","",'All Fleet'!MT50)</f>
        <v/>
      </c>
      <c r="MX19" s="179" t="str">
        <f>IF('All Fleet'!MU50="","",'All Fleet'!MU50)</f>
        <v/>
      </c>
      <c r="MY19" s="179" t="str">
        <f>IF('All Fleet'!MV50="","",'All Fleet'!MV50)</f>
        <v/>
      </c>
      <c r="MZ19" s="179" t="str">
        <f>IF('All Fleet'!MW50="","",'All Fleet'!MW50)</f>
        <v/>
      </c>
      <c r="NA19" s="179" t="str">
        <f>IF('All Fleet'!MX50="","",'All Fleet'!MX50)</f>
        <v/>
      </c>
      <c r="NB19" s="179" t="str">
        <f>IF('All Fleet'!MY50="","",'All Fleet'!MY50)</f>
        <v/>
      </c>
      <c r="NC19" s="179" t="str">
        <f>IF('All Fleet'!MZ50="","",'All Fleet'!MZ50)</f>
        <v/>
      </c>
      <c r="ND19" s="179" t="str">
        <f>IF('All Fleet'!NA50="","",'All Fleet'!NA50)</f>
        <v/>
      </c>
      <c r="NE19" s="179" t="str">
        <f>IF('All Fleet'!NB50="","",'All Fleet'!NB50)</f>
        <v/>
      </c>
      <c r="NF19" s="179" t="str">
        <f>IF('All Fleet'!NC50="","",'All Fleet'!NC50)</f>
        <v/>
      </c>
      <c r="NG19" s="179" t="str">
        <f>IF('All Fleet'!ND50="","",'All Fleet'!ND50)</f>
        <v/>
      </c>
      <c r="NH19" s="179" t="str">
        <f>IF('All Fleet'!NE50="","",'All Fleet'!NE50)</f>
        <v/>
      </c>
      <c r="NI19" s="179" t="str">
        <f>IF('All Fleet'!NF50="","",'All Fleet'!NF50)</f>
        <v/>
      </c>
      <c r="NJ19" s="179" t="str">
        <f>IF('All Fleet'!NG50="","",'All Fleet'!NG50)</f>
        <v/>
      </c>
      <c r="NK19" s="179" t="str">
        <f>IF('All Fleet'!NH50="","",'All Fleet'!NH50)</f>
        <v/>
      </c>
      <c r="NL19" s="179" t="str">
        <f>IF('All Fleet'!NI50="","",'All Fleet'!NI50)</f>
        <v/>
      </c>
      <c r="NM19" s="179" t="str">
        <f>IF('All Fleet'!NJ50="","",'All Fleet'!NJ50)</f>
        <v/>
      </c>
      <c r="NN19" s="179" t="str">
        <f>IF('All Fleet'!NK50="","",'All Fleet'!NK50)</f>
        <v/>
      </c>
      <c r="NO19" s="179" t="str">
        <f>IF('All Fleet'!NL50="","",'All Fleet'!NL50)</f>
        <v/>
      </c>
      <c r="NP19" s="179" t="str">
        <f>IF('All Fleet'!NM50="","",'All Fleet'!NM50)</f>
        <v/>
      </c>
      <c r="NQ19" s="179" t="str">
        <f>IF('All Fleet'!NN50="","",'All Fleet'!NN50)</f>
        <v/>
      </c>
      <c r="NR19" s="179" t="str">
        <f>IF('All Fleet'!NO50="","",'All Fleet'!NO50)</f>
        <v/>
      </c>
      <c r="NS19" s="179" t="str">
        <f>IF('All Fleet'!NP50="","",'All Fleet'!NP50)</f>
        <v/>
      </c>
      <c r="NT19" s="179" t="str">
        <f>IF('All Fleet'!NQ50="","",'All Fleet'!NQ50)</f>
        <v/>
      </c>
      <c r="NU19" s="179" t="str">
        <f>IF('All Fleet'!NR50="","",'All Fleet'!NR50)</f>
        <v/>
      </c>
      <c r="NV19" s="179" t="str">
        <f>IF('All Fleet'!NS50="","",'All Fleet'!NS50)</f>
        <v/>
      </c>
      <c r="NW19" s="179" t="str">
        <f>IF('All Fleet'!NT50="","",'All Fleet'!NT50)</f>
        <v/>
      </c>
      <c r="NX19" s="179" t="str">
        <f>IF('All Fleet'!NU50="","",'All Fleet'!NU50)</f>
        <v/>
      </c>
      <c r="NY19" s="179" t="str">
        <f>IF('All Fleet'!NV50="","",'All Fleet'!NV50)</f>
        <v/>
      </c>
      <c r="NZ19" s="179" t="str">
        <f>IF('All Fleet'!NW50="","",'All Fleet'!NW50)</f>
        <v/>
      </c>
      <c r="OA19" s="179" t="str">
        <f>IF('All Fleet'!NX50="","",'All Fleet'!NX50)</f>
        <v/>
      </c>
      <c r="OB19" s="179" t="str">
        <f>IF('All Fleet'!NY50="","",'All Fleet'!NY50)</f>
        <v/>
      </c>
      <c r="OC19" s="179" t="str">
        <f>IF('All Fleet'!NZ50="","",'All Fleet'!NZ50)</f>
        <v/>
      </c>
      <c r="OD19" s="179" t="str">
        <f>IF('All Fleet'!OA50="","",'All Fleet'!OA50)</f>
        <v/>
      </c>
      <c r="OE19" s="179" t="str">
        <f>IF('All Fleet'!OB50="","",'All Fleet'!OB50)</f>
        <v/>
      </c>
      <c r="OF19" s="179" t="str">
        <f>IF('All Fleet'!OC50="","",'All Fleet'!OC50)</f>
        <v/>
      </c>
      <c r="OG19" s="179" t="str">
        <f>IF('All Fleet'!OD50="","",'All Fleet'!OD50)</f>
        <v/>
      </c>
      <c r="OH19" s="179" t="str">
        <f>IF('All Fleet'!OE50="","",'All Fleet'!OE50)</f>
        <v/>
      </c>
      <c r="OI19" s="179" t="str">
        <f>IF('All Fleet'!OF50="","",'All Fleet'!OF50)</f>
        <v/>
      </c>
      <c r="OJ19" s="179" t="str">
        <f>IF('All Fleet'!OG50="","",'All Fleet'!OG50)</f>
        <v/>
      </c>
      <c r="OK19" s="179" t="str">
        <f>IF('All Fleet'!OH50="","",'All Fleet'!OH50)</f>
        <v/>
      </c>
      <c r="OL19" s="179" t="str">
        <f>IF('All Fleet'!OI50="","",'All Fleet'!OI50)</f>
        <v/>
      </c>
      <c r="OM19" s="179" t="str">
        <f>IF('All Fleet'!OJ50="","",'All Fleet'!OJ50)</f>
        <v/>
      </c>
      <c r="ON19" s="179" t="str">
        <f>IF('All Fleet'!OK50="","",'All Fleet'!OK50)</f>
        <v/>
      </c>
      <c r="OO19" s="179" t="str">
        <f>IF('All Fleet'!OL50="","",'All Fleet'!OL50)</f>
        <v/>
      </c>
      <c r="OP19" s="179" t="str">
        <f>IF('All Fleet'!OM50="","",'All Fleet'!OM50)</f>
        <v/>
      </c>
      <c r="OQ19" s="179" t="str">
        <f>IF('All Fleet'!ON50="","",'All Fleet'!ON50)</f>
        <v/>
      </c>
      <c r="OR19" s="179" t="str">
        <f>IF('All Fleet'!OO50="","",'All Fleet'!OO50)</f>
        <v/>
      </c>
      <c r="OS19" s="179" t="str">
        <f>IF('All Fleet'!OP50="","",'All Fleet'!OP50)</f>
        <v/>
      </c>
      <c r="OT19" s="179" t="str">
        <f>IF('All Fleet'!OQ50="","",'All Fleet'!OQ50)</f>
        <v/>
      </c>
      <c r="OU19" s="179" t="str">
        <f>IF('All Fleet'!OR50="","",'All Fleet'!OR50)</f>
        <v/>
      </c>
      <c r="OV19" s="179" t="str">
        <f>IF('All Fleet'!OS50="","",'All Fleet'!OS50)</f>
        <v/>
      </c>
      <c r="OW19" s="179" t="str">
        <f>IF('All Fleet'!OT50="","",'All Fleet'!OT50)</f>
        <v/>
      </c>
      <c r="OX19" s="179" t="str">
        <f>IF('All Fleet'!OU50="","",'All Fleet'!OU50)</f>
        <v/>
      </c>
      <c r="OY19" s="179" t="str">
        <f>IF('All Fleet'!OV50="","",'All Fleet'!OV50)</f>
        <v/>
      </c>
      <c r="OZ19" s="180" t="str">
        <f>IF('All Fleet'!OW50="","",'All Fleet'!OW50)</f>
        <v/>
      </c>
    </row>
    <row r="20" spans="1:416" s="168" customFormat="1" ht="15" customHeight="1" x14ac:dyDescent="0.2">
      <c r="A20" s="138" t="b">
        <f t="shared" si="376"/>
        <v>1</v>
      </c>
      <c r="B20" s="139">
        <v>17</v>
      </c>
      <c r="C20" s="144" t="str">
        <f t="shared" ref="C20:D22" si="383">C19</f>
        <v>Mechanical Availability</v>
      </c>
      <c r="D20" s="146" t="str">
        <f t="shared" si="383"/>
        <v>777 Optiload</v>
      </c>
      <c r="E20" s="190" t="s">
        <v>31</v>
      </c>
      <c r="F20" s="147">
        <f>IF('All Fleet'!C63="","",'All Fleet'!C63)</f>
        <v>1</v>
      </c>
      <c r="G20" s="147">
        <f>IF('All Fleet'!D63="","",'All Fleet'!D63)</f>
        <v>0.7181249999999999</v>
      </c>
      <c r="H20" s="147">
        <f>IF('All Fleet'!E63="","",'All Fleet'!E63)</f>
        <v>0.79802083333333329</v>
      </c>
      <c r="I20" s="147">
        <f>IF('All Fleet'!F63="","",'All Fleet'!F63)</f>
        <v>0.848515625</v>
      </c>
      <c r="J20" s="147">
        <f>IF('All Fleet'!G63="","",'All Fleet'!G63)</f>
        <v>0.81481249999999994</v>
      </c>
      <c r="K20" s="147">
        <f>IF('All Fleet'!H63="","",'All Fleet'!H63)</f>
        <v>0.82593749999999999</v>
      </c>
      <c r="L20" s="147">
        <f>IF('All Fleet'!I63="","",'All Fleet'!I63)</f>
        <v>0.83619047619047615</v>
      </c>
      <c r="M20" s="147">
        <f>IF('All Fleet'!J63="","",'All Fleet'!J63)</f>
        <v>0.8177864583333333</v>
      </c>
      <c r="N20" s="147">
        <f>IF('All Fleet'!K63="","",'All Fleet'!K63)</f>
        <v>0.83392361111111113</v>
      </c>
      <c r="O20" s="147">
        <f>IF('All Fleet'!L63="","",'All Fleet'!L63)</f>
        <v>0.83584375</v>
      </c>
      <c r="P20" s="147">
        <f>IF('All Fleet'!M63="","",'All Fleet'!M63)</f>
        <v>0.7959090909090909</v>
      </c>
      <c r="Q20" s="147">
        <f>IF('All Fleet'!N63="","",'All Fleet'!N63)</f>
        <v>0.81098958333333337</v>
      </c>
      <c r="R20" s="147">
        <f>IF('All Fleet'!O63="","",'All Fleet'!O63)</f>
        <v>0.82552884615384614</v>
      </c>
      <c r="S20" s="147">
        <f>IF('All Fleet'!P63="","",'All Fleet'!P63)</f>
        <v>0.81928571428571428</v>
      </c>
      <c r="T20" s="147">
        <f>IF('All Fleet'!Q63="","",'All Fleet'!Q63)</f>
        <v>0.82069444444444439</v>
      </c>
      <c r="U20" s="147">
        <f>IF('All Fleet'!R63="","",'All Fleet'!R63)</f>
        <v>0.83024088541666663</v>
      </c>
      <c r="V20" s="147">
        <f>IF('All Fleet'!S63="","",'All Fleet'!S63)</f>
        <v>0.84022671568627449</v>
      </c>
      <c r="W20" s="147">
        <f>IF('All Fleet'!T63="","",'All Fleet'!T63)</f>
        <v>0.84445601851851848</v>
      </c>
      <c r="X20" s="147">
        <f>IF('All Fleet'!U63="","",'All Fleet'!U63)</f>
        <v>0.84370614035087721</v>
      </c>
      <c r="Y20" s="147">
        <f>IF('All Fleet'!V63="","",'All Fleet'!V63)</f>
        <v>0.84550520833333331</v>
      </c>
      <c r="Z20" s="147">
        <f>IF('All Fleet'!W63="","",'All Fleet'!W63)</f>
        <v>0.85177083333333337</v>
      </c>
      <c r="AA20" s="147">
        <f>IF('All Fleet'!X63="","",'All Fleet'!X63)</f>
        <v>0.85802556818181808</v>
      </c>
      <c r="AB20" s="147">
        <f>IF('All Fleet'!Y63="","",'All Fleet'!Y63)</f>
        <v>0.86340579710144927</v>
      </c>
      <c r="AC20" s="147">
        <f>IF('All Fleet'!Z63="","",'All Fleet'!Z63)</f>
        <v>0.86763020833333326</v>
      </c>
      <c r="AD20" s="147">
        <f>IF('All Fleet'!AA63="","",'All Fleet'!AA63)</f>
        <v>0.86348749999999996</v>
      </c>
      <c r="AE20" s="147">
        <f>IF('All Fleet'!AB63="","",'All Fleet'!AB63)</f>
        <v>0.86873798076923081</v>
      </c>
      <c r="AF20" s="147">
        <f>IF('All Fleet'!AC63="","",'All Fleet'!AC63)</f>
        <v>0.86144675925925918</v>
      </c>
      <c r="AG20" s="147">
        <f>IF('All Fleet'!AD63="","",'All Fleet'!AD63)</f>
        <v>0.86639508928571429</v>
      </c>
      <c r="AH20" s="147">
        <f>IF('All Fleet'!AE63="","",'All Fleet'!AE63)</f>
        <v>0.87010416666666668</v>
      </c>
      <c r="AI20" s="147">
        <f>IF('All Fleet'!AF63="","",'All Fleet'!AF63)</f>
        <v>0.87443402777777779</v>
      </c>
      <c r="AJ20" s="147">
        <f>IF('All Fleet'!AG63="","",'All Fleet'!AG63)</f>
        <v>0.8780510752688172</v>
      </c>
      <c r="AK20" s="147">
        <f>IF('All Fleet'!AH63="","",'All Fleet'!AH63)</f>
        <v>0.87978515624999998</v>
      </c>
      <c r="AL20" s="147">
        <f>IF('All Fleet'!AI63="","",'All Fleet'!AI63)</f>
        <v>0.88291982323232321</v>
      </c>
      <c r="AM20" s="147">
        <f>IF('All Fleet'!AJ63="","",'All Fleet'!AJ63)</f>
        <v>0.88636335784313725</v>
      </c>
      <c r="AN20" s="147">
        <f>IF('All Fleet'!AK63="","",'All Fleet'!AK63)</f>
        <v>0.889610119047619</v>
      </c>
      <c r="AO20" s="147">
        <f>IF('All Fleet'!AL63="","",'All Fleet'!AL63)</f>
        <v>0.89105034722222221</v>
      </c>
      <c r="AP20" s="147">
        <f>IF('All Fleet'!AM63="","",'All Fleet'!AM63)</f>
        <v>0.89357263513513518</v>
      </c>
      <c r="AQ20" s="147">
        <f>IF('All Fleet'!AN63="","",'All Fleet'!AN63)</f>
        <v>0.89586896929824555</v>
      </c>
      <c r="AR20" s="147">
        <f>IF('All Fleet'!AO63="","",'All Fleet'!AO63)</f>
        <v>0.89853899572649576</v>
      </c>
      <c r="AS20" s="147">
        <f>IF('All Fleet'!AP63="","",'All Fleet'!AP63)</f>
        <v>0.90107552083333331</v>
      </c>
      <c r="AT20" s="147">
        <f>IF('All Fleet'!AQ63="","",'All Fleet'!AQ63)</f>
        <v>0.90210873983739837</v>
      </c>
      <c r="AU20" s="147">
        <f>IF('All Fleet'!AR63="","",'All Fleet'!AR63)</f>
        <v>0.90386904761904763</v>
      </c>
      <c r="AV20" s="147">
        <f>IF('All Fleet'!AS63="","",'All Fleet'!AS63)</f>
        <v>0.90337209302325583</v>
      </c>
      <c r="AW20" s="147">
        <f>IF('All Fleet'!AT63="","",'All Fleet'!AT63)</f>
        <v>0.8990104166666667</v>
      </c>
      <c r="AX20" s="147">
        <f>IF('All Fleet'!AU63="","",'All Fleet'!AU63)</f>
        <v>0.90125462962962966</v>
      </c>
      <c r="AY20" s="147">
        <f>IF('All Fleet'!AV63="","",'All Fleet'!AV63)</f>
        <v>0.90340126811594201</v>
      </c>
      <c r="AZ20" s="147">
        <f>IF('All Fleet'!AW63="","",'All Fleet'!AW63)</f>
        <v>0.90545656028368793</v>
      </c>
      <c r="BA20" s="147">
        <f>IF('All Fleet'!AX63="","",'All Fleet'!AX63)</f>
        <v>0.90610677083333335</v>
      </c>
      <c r="BB20" s="147">
        <f>IF('All Fleet'!AY63="","",'All Fleet'!AY63)</f>
        <v>0.90802295918367348</v>
      </c>
      <c r="BC20" s="147">
        <f>IF('All Fleet'!AZ63="","",'All Fleet'!AZ63)</f>
        <v>0.90961249999999993</v>
      </c>
      <c r="BD20" s="147">
        <f>IF('All Fleet'!BA63="","",'All Fleet'!BA63)</f>
        <v>0.90907679738562086</v>
      </c>
      <c r="BE20" s="147">
        <f>IF('All Fleet'!BB63="","",'All Fleet'!BB63)</f>
        <v>0.90973958333333327</v>
      </c>
      <c r="BF20" s="147">
        <f>IF('All Fleet'!BC63="","",'All Fleet'!BC63)</f>
        <v>0.90270243710691822</v>
      </c>
      <c r="BG20" s="147">
        <f>IF('All Fleet'!BD63="","",'All Fleet'!BD63)</f>
        <v>0.899320987654321</v>
      </c>
      <c r="BH20" s="147">
        <f>IF('All Fleet'!BE63="","",'All Fleet'!BE63)</f>
        <v>0.90093749999999995</v>
      </c>
      <c r="BI20" s="147">
        <f>IF('All Fleet'!BF63="","",'All Fleet'!BF63)</f>
        <v>0.89847470238095239</v>
      </c>
      <c r="BJ20" s="147">
        <f>IF('All Fleet'!BG63="","",'All Fleet'!BG63)</f>
        <v>0.90025584795321634</v>
      </c>
      <c r="BK20" s="147">
        <f>IF('All Fleet'!BH63="","",'All Fleet'!BH63)</f>
        <v>0.90197557471264367</v>
      </c>
      <c r="BL20" s="147">
        <f>IF('All Fleet'!BI63="","",'All Fleet'!BI63)</f>
        <v>0.90272422316384182</v>
      </c>
      <c r="BM20" s="147">
        <f>IF('All Fleet'!BJ63="","",'All Fleet'!BJ63)</f>
        <v>0.90153645833333329</v>
      </c>
      <c r="BN20" s="147">
        <f>IF('All Fleet'!BK63="","",'All Fleet'!BK63)</f>
        <v>0.90184084699453548</v>
      </c>
      <c r="BO20" s="147">
        <f>IF('All Fleet'!BL63="","",'All Fleet'!BL63)</f>
        <v>0.90043010752688168</v>
      </c>
      <c r="BP20" s="147">
        <f>IF('All Fleet'!BM63="","",'All Fleet'!BM63)</f>
        <v>0.89992394179894175</v>
      </c>
      <c r="BQ20" s="147">
        <f>IF('All Fleet'!BN63="","",'All Fleet'!BN63)</f>
        <v>0.90026692708333333</v>
      </c>
      <c r="BR20" s="147">
        <f>IF('All Fleet'!BO63="","",'All Fleet'!BO63)</f>
        <v>0.89620512820512821</v>
      </c>
      <c r="BS20" s="147">
        <f>IF('All Fleet'!BP63="","",'All Fleet'!BP63)</f>
        <v>0.89472537878787883</v>
      </c>
      <c r="BT20" s="147">
        <f>IF('All Fleet'!BQ63="","",'All Fleet'!BQ63)</f>
        <v>0.89616138059701489</v>
      </c>
      <c r="BU20" s="147">
        <f>IF('All Fleet'!BR63="","",'All Fleet'!BR63)</f>
        <v>0.89404871323529411</v>
      </c>
      <c r="BV20" s="147">
        <f>IF('All Fleet'!BS63="","",'All Fleet'!BS63)</f>
        <v>0.89440066425120768</v>
      </c>
      <c r="BW20" s="147">
        <f>IF('All Fleet'!BT63="","",'All Fleet'!BT63)</f>
        <v>0.89298809523809519</v>
      </c>
      <c r="BX20" s="147">
        <f>IF('All Fleet'!BU63="","",'All Fleet'!BU63)</f>
        <v>0.89449530516431919</v>
      </c>
      <c r="BY20" s="147">
        <f>IF('All Fleet'!BV63="","",'All Fleet'!BV63)</f>
        <v>0.89596064814814813</v>
      </c>
      <c r="BZ20" s="147">
        <f>IF('All Fleet'!BW63="","",'All Fleet'!BW63)</f>
        <v>0.89738584474885841</v>
      </c>
      <c r="CA20" s="147">
        <f>IF('All Fleet'!BX63="","",'All Fleet'!BX63)</f>
        <v>0.89527449324324326</v>
      </c>
      <c r="CB20" s="147">
        <f>IF('All Fleet'!BY63="","",'All Fleet'!BY63)</f>
        <v>0.89442500000000003</v>
      </c>
      <c r="CC20" s="147">
        <f>IF('All Fleet'!BZ63="","",'All Fleet'!BZ63)</f>
        <v>0.89581414473684207</v>
      </c>
      <c r="CD20" s="147">
        <f>IF('All Fleet'!CA63="","",'All Fleet'!CA63)</f>
        <v>0.89713068181818179</v>
      </c>
      <c r="CE20" s="147">
        <f>IF('All Fleet'!CB63="","",'All Fleet'!CB63)</f>
        <v>0.89829059829059832</v>
      </c>
      <c r="CF20" s="147">
        <f>IF('All Fleet'!CC63="","",'All Fleet'!CC63)</f>
        <v>0.89755801687763714</v>
      </c>
      <c r="CG20" s="147">
        <f>IF('All Fleet'!CD63="","",'All Fleet'!CD63)</f>
        <v>0.89883854166666666</v>
      </c>
      <c r="CH20" s="147">
        <f>IF('All Fleet'!CE63="","",'All Fleet'!CE63)</f>
        <v>0.90008744855967082</v>
      </c>
      <c r="CI20" s="147">
        <f>IF('All Fleet'!CF63="","",'All Fleet'!CF63)</f>
        <v>0.89919715447154469</v>
      </c>
      <c r="CJ20" s="147">
        <f>IF('All Fleet'!CG63="","",'All Fleet'!CG63)</f>
        <v>0.90041164658634532</v>
      </c>
      <c r="CK20" s="147">
        <f>IF('All Fleet'!CH63="","",'All Fleet'!CH63)</f>
        <v>0.90125992063492055</v>
      </c>
      <c r="CL20" s="147">
        <f>IF('All Fleet'!CI63="","",'All Fleet'!CI63)</f>
        <v>0.8997230392156863</v>
      </c>
      <c r="CM20" s="147">
        <f>IF('All Fleet'!CJ63="","",'All Fleet'!CJ63)</f>
        <v>0.89902979651162784</v>
      </c>
      <c r="CN20" s="147">
        <f>IF('All Fleet'!CK63="","",'All Fleet'!CK63)</f>
        <v>0.90007064176245211</v>
      </c>
      <c r="CO20" s="147">
        <f>IF('All Fleet'!CL63="","",'All Fleet'!CL63)</f>
        <v>0.90103574810606057</v>
      </c>
      <c r="CP20" s="147">
        <f>IF('All Fleet'!CM63="","",'All Fleet'!CM63)</f>
        <v>0.90153558052434457</v>
      </c>
      <c r="CQ20" s="147">
        <f>IF('All Fleet'!CN63="","",'All Fleet'!CN63)</f>
        <v>0.90262962962962967</v>
      </c>
      <c r="CR20" s="147">
        <f>IF('All Fleet'!CO63="","",'All Fleet'!CO63)</f>
        <v>0.90192307692307694</v>
      </c>
      <c r="CS20" s="147">
        <f>IF('All Fleet'!CP63="","",'All Fleet'!CP63)</f>
        <v>0.90285552536231883</v>
      </c>
      <c r="CT20" s="147">
        <f>IF('All Fleet'!CQ63="","",'All Fleet'!CQ63)</f>
        <v>0.90348902329749103</v>
      </c>
      <c r="CU20" s="147">
        <f>IF('All Fleet'!CR63="","",'All Fleet'!CR63)</f>
        <v>0.90451573581560285</v>
      </c>
      <c r="CV20" s="147">
        <f>IF('All Fleet'!CS63="","",'All Fleet'!CS63)</f>
        <v>0.90421381578947368</v>
      </c>
      <c r="CW20" s="147">
        <f>IF('All Fleet'!CT63="","",'All Fleet'!CT63)</f>
        <v>0.90479709201388892</v>
      </c>
      <c r="CX20" s="147">
        <f>IF('All Fleet'!CU63="","",'All Fleet'!CU63)</f>
        <v>0.90577856529209622</v>
      </c>
      <c r="CY20" s="147">
        <f>IF('All Fleet'!CV63="","",'All Fleet'!CV63)</f>
        <v>0.90628826530612239</v>
      </c>
      <c r="CZ20" s="147">
        <f>IF('All Fleet'!CW63="","",'All Fleet'!CW63)</f>
        <v>0.9067171717171717</v>
      </c>
      <c r="DA20" s="147">
        <f>IF('All Fleet'!CX63="","",'All Fleet'!CX63)</f>
        <v>0.90383958333333336</v>
      </c>
      <c r="DB20" s="147">
        <f>IF('All Fleet'!CY63="","",'All Fleet'!CY63)</f>
        <v>0.90479166666666666</v>
      </c>
      <c r="DC20" s="147">
        <f>IF('All Fleet'!CZ63="","",'All Fleet'!CZ63)</f>
        <v>0.90557189542483663</v>
      </c>
      <c r="DD20" s="147">
        <f>IF('All Fleet'!DA63="","",'All Fleet'!DA63)</f>
        <v>0.90633394012944979</v>
      </c>
      <c r="DE20" s="147">
        <f>IF('All Fleet'!DB63="","",'All Fleet'!DB63)</f>
        <v>0.90625801282051277</v>
      </c>
      <c r="DF20" s="147">
        <f>IF('All Fleet'!DC63="","",'All Fleet'!DC63)</f>
        <v>0.90609722222222222</v>
      </c>
      <c r="DG20" s="147">
        <f>IF('All Fleet'!DD63="","",'All Fleet'!DD63)</f>
        <v>0.90668730345911952</v>
      </c>
      <c r="DH20" s="147">
        <f>IF('All Fleet'!DE63="","",'All Fleet'!DE63)</f>
        <v>0.90549357476635506</v>
      </c>
      <c r="DI20" s="147">
        <f>IF('All Fleet'!DF63="","",'All Fleet'!DF63)</f>
        <v>0.9029552469135802</v>
      </c>
      <c r="DJ20" s="147">
        <f>IF('All Fleet'!DG63="","",'All Fleet'!DG63)</f>
        <v>0.90384556574923547</v>
      </c>
      <c r="DK20" s="147">
        <f>IF('All Fleet'!DH63="","",'All Fleet'!DH63)</f>
        <v>0.90449715909090911</v>
      </c>
      <c r="DL20" s="147">
        <f>IF('All Fleet'!DI63="","",'All Fleet'!DI63)</f>
        <v>0.90498404654654652</v>
      </c>
      <c r="DM20" s="147">
        <f>IF('All Fleet'!DJ63="","",'All Fleet'!DJ63)</f>
        <v>0.88913132440476184</v>
      </c>
      <c r="DN20" s="147">
        <f>IF('All Fleet'!DK63="","",'All Fleet'!DK63)</f>
        <v>0.89011246312684367</v>
      </c>
      <c r="DO20" s="147">
        <f>IF('All Fleet'!DL63="","",'All Fleet'!DL63)</f>
        <v>0.89095303362573097</v>
      </c>
      <c r="DP20" s="147">
        <f>IF('All Fleet'!DM63="","",'All Fleet'!DM63)</f>
        <v>0.89117391304347826</v>
      </c>
      <c r="DQ20" s="147">
        <f>IF('All Fleet'!DN63="","",'All Fleet'!DN63)</f>
        <v>0.89172772988505744</v>
      </c>
      <c r="DR20" s="147">
        <f>IF('All Fleet'!DO63="","",'All Fleet'!DO63)</f>
        <v>0.89265313390313394</v>
      </c>
      <c r="DS20" s="147">
        <f>IF('All Fleet'!DP63="","",'All Fleet'!DP63)</f>
        <v>0.89337658898305083</v>
      </c>
      <c r="DT20" s="147">
        <f>IF('All Fleet'!DQ63="","",'All Fleet'!DQ63)</f>
        <v>0.89397934173669469</v>
      </c>
      <c r="DU20" s="147">
        <f>IF('All Fleet'!DR63="","",'All Fleet'!DR63)</f>
        <v>0.89483072916666662</v>
      </c>
      <c r="DV20" s="147">
        <f>IF('All Fleet'!DS63="","",'All Fleet'!DS63)</f>
        <v>0.89550878099173559</v>
      </c>
      <c r="DW20" s="147">
        <f>IF('All Fleet'!DT63="","",'All Fleet'!DT63)</f>
        <v>0.89563268442622956</v>
      </c>
      <c r="DX20" s="147">
        <f>IF('All Fleet'!DU63="","",'All Fleet'!DU63)</f>
        <v>0.89528116531165314</v>
      </c>
      <c r="DY20" s="147">
        <f>IF('All Fleet'!DV63="","",'All Fleet'!DV63)</f>
        <v>0.8952066532258065</v>
      </c>
      <c r="DZ20" s="147">
        <f>IF('All Fleet'!DW63="","",'All Fleet'!DW63)</f>
        <v>0.89255916666666668</v>
      </c>
      <c r="EA20" s="147">
        <f>IF('All Fleet'!DX63="","",'All Fleet'!DX63)</f>
        <v>0.89341187169312164</v>
      </c>
      <c r="EB20" s="147">
        <f>IF('All Fleet'!DY63="","",'All Fleet'!DY63)</f>
        <v>0.89425114829396324</v>
      </c>
      <c r="EC20" s="147">
        <f>IF('All Fleet'!DZ63="","",'All Fleet'!DZ63)</f>
        <v>0.89421142578125001</v>
      </c>
      <c r="ED20" s="147">
        <f>IF('All Fleet'!EA63="","",'All Fleet'!EA63)</f>
        <v>0.89462532299741604</v>
      </c>
      <c r="EE20" s="147">
        <f>IF('All Fleet'!EB63="","",'All Fleet'!EB63)</f>
        <v>0.89480128205128207</v>
      </c>
      <c r="EF20" s="147">
        <f>IF('All Fleet'!EC63="","",'All Fleet'!EC63)</f>
        <v>0.89463422391857506</v>
      </c>
      <c r="EG20" s="147">
        <f>IF('All Fleet'!ED63="","",'All Fleet'!ED63)</f>
        <v>0.89543244949494949</v>
      </c>
      <c r="EH20" s="147">
        <f>IF('All Fleet'!EE63="","",'All Fleet'!EE63)</f>
        <v>0.89525532581453637</v>
      </c>
      <c r="EI20" s="147">
        <f>IF('All Fleet'!EF63="","",'All Fleet'!EF63)</f>
        <v>0.89542677238805968</v>
      </c>
      <c r="EJ20" s="147">
        <f>IF('All Fleet'!EG63="","",'All Fleet'!EG63)</f>
        <v>0.892741512345679</v>
      </c>
      <c r="EK20" s="147">
        <f>IF('All Fleet'!EH63="","",'All Fleet'!EH63)</f>
        <v>0.89275199142156858</v>
      </c>
      <c r="EL20" s="147">
        <f>IF('All Fleet'!EI63="","",'All Fleet'!EI63)</f>
        <v>0.89212667274939172</v>
      </c>
      <c r="EM20" s="147">
        <f>IF('All Fleet'!EJ63="","",'All Fleet'!EJ63)</f>
        <v>0.89290836352656999</v>
      </c>
      <c r="EN20" s="147">
        <f>IF('All Fleet'!EK63="","",'All Fleet'!EK63)</f>
        <v>0.89367880695443647</v>
      </c>
      <c r="EO20" s="147">
        <f>IF('All Fleet'!EL63="","",'All Fleet'!EL63)</f>
        <v>0.89265252976190479</v>
      </c>
      <c r="EP20" s="147">
        <f>IF('All Fleet'!EM63="","",'All Fleet'!EM63)</f>
        <v>0.89141548463356979</v>
      </c>
      <c r="EQ20" s="147">
        <f>IF('All Fleet'!EN63="","",'All Fleet'!EN63)</f>
        <v>0.88979606807511735</v>
      </c>
      <c r="ER20" s="147">
        <f>IF('All Fleet'!EO63="","",'All Fleet'!EO63)</f>
        <v>0.88957604895104891</v>
      </c>
      <c r="ES20" s="147">
        <f>IF('All Fleet'!EP63="","",'All Fleet'!EP63)</f>
        <v>0.88983434606481482</v>
      </c>
      <c r="ET20" s="147">
        <f>IF('All Fleet'!EQ63="","",'All Fleet'!EQ63)</f>
        <v>0.89016522988505753</v>
      </c>
      <c r="EU20" s="147">
        <f>IF('All Fleet'!ER63="","",'All Fleet'!ER63)</f>
        <v>0.89091752283105019</v>
      </c>
      <c r="EV20" s="147">
        <f>IF('All Fleet'!ES63="","",'All Fleet'!ES63)</f>
        <v>0.8904117063492063</v>
      </c>
      <c r="EW20" s="147">
        <f>IF('All Fleet'!ET63="","",'All Fleet'!ET63)</f>
        <v>0.88990990990990992</v>
      </c>
      <c r="EX20" s="147">
        <f>IF('All Fleet'!EU63="","",'All Fleet'!EU63)</f>
        <v>0.89043903803131996</v>
      </c>
      <c r="EY20" s="147">
        <f>IF('All Fleet'!EV63="","",'All Fleet'!EV63)</f>
        <v>0.89116944444444446</v>
      </c>
      <c r="EZ20" s="147">
        <f>IF('All Fleet'!EW63="","",'All Fleet'!EW63)</f>
        <v>0.89189017660044145</v>
      </c>
      <c r="FA20" s="147">
        <f>IF('All Fleet'!EX63="","",'All Fleet'!EX63)</f>
        <v>0.89260142543859655</v>
      </c>
      <c r="FB20" s="147">
        <f>IF('All Fleet'!EY63="","",'All Fleet'!EY63)</f>
        <v>0.89330337690631811</v>
      </c>
      <c r="FC20" s="147">
        <f>IF('All Fleet'!EZ63="","",'All Fleet'!EZ63)</f>
        <v>0.89399621212121216</v>
      </c>
      <c r="FD20" s="147">
        <f>IF('All Fleet'!FA63="","",'All Fleet'!FA63)</f>
        <v>0.89468010752688176</v>
      </c>
      <c r="FE20" s="147">
        <f>IF('All Fleet'!FB63="","",'All Fleet'!FB63)</f>
        <v>0.89535523504273506</v>
      </c>
      <c r="FF20" s="147">
        <f>IF('All Fleet'!FC63="","",'All Fleet'!FC63)</f>
        <v>0.89602176220806795</v>
      </c>
      <c r="FG20" s="147">
        <f>IF('All Fleet'!FD63="","",'All Fleet'!FD63)</f>
        <v>0.89481803797468351</v>
      </c>
      <c r="FH20" s="147">
        <f>IF('All Fleet'!FE63="","",'All Fleet'!FE63)</f>
        <v>0.89336674528301885</v>
      </c>
      <c r="FI20" s="147">
        <f>IF('All Fleet'!FF63="","",'All Fleet'!FF63)</f>
        <v>0.89400065104166671</v>
      </c>
      <c r="FJ20" s="147">
        <f>IF('All Fleet'!FG63="","",'All Fleet'!FG63)</f>
        <v>0.8939117494824016</v>
      </c>
      <c r="FK20" s="147">
        <f>IF('All Fleet'!FH63="","",'All Fleet'!FH63)</f>
        <v>0.89411201131687246</v>
      </c>
      <c r="FL20" s="147">
        <f>IF('All Fleet'!FI63="","",'All Fleet'!FI63)</f>
        <v>0.89467344069529653</v>
      </c>
      <c r="FM20" s="147">
        <f>IF('All Fleet'!FJ63="","",'All Fleet'!FJ63)</f>
        <v>0.89514735772357723</v>
      </c>
      <c r="FN20" s="147">
        <f>IF('All Fleet'!FK63="","",'All Fleet'!FK63)</f>
        <v>0.89578282828282829</v>
      </c>
      <c r="FO20" s="147">
        <f>IF('All Fleet'!FL63="","",'All Fleet'!FL63)</f>
        <v>0.89612387048192776</v>
      </c>
      <c r="FP20" s="147">
        <f>IF('All Fleet'!FM63="","",'All Fleet'!FM63)</f>
        <v>0.89582709580838327</v>
      </c>
      <c r="FQ20" s="147">
        <f>IF('All Fleet'!FN63="","",'All Fleet'!FN63)</f>
        <v>0.89644717261904761</v>
      </c>
      <c r="FR20" s="147">
        <f>IF('All Fleet'!FO63="","",'All Fleet'!FO63)</f>
        <v>0.89671659270216963</v>
      </c>
      <c r="FS20" s="147">
        <f>IF('All Fleet'!FP63="","",'All Fleet'!FP63)</f>
        <v>0.89732414215686274</v>
      </c>
      <c r="FT20" s="147">
        <f>IF('All Fleet'!FQ63="","",'All Fleet'!FQ63)</f>
        <v>0.8978782894736842</v>
      </c>
      <c r="FU20" s="147">
        <f>IF('All Fleet'!FR63="","",'All Fleet'!FR63)</f>
        <v>0.89847202034883722</v>
      </c>
      <c r="FV20" s="147">
        <f>IF('All Fleet'!FS63="","",'All Fleet'!FS63)</f>
        <v>0.89796905105973024</v>
      </c>
      <c r="FW20" s="147">
        <f>IF('All Fleet'!FT63="","",'All Fleet'!FT63)</f>
        <v>0.89623982279693482</v>
      </c>
      <c r="FX20" s="147">
        <f>IF('All Fleet'!FU63="","",'All Fleet'!FU63)</f>
        <v>0.89683273809523811</v>
      </c>
      <c r="FY20" s="147">
        <f>IF('All Fleet'!FV63="","",'All Fleet'!FV63)</f>
        <v>0.89711529356060604</v>
      </c>
      <c r="FZ20" s="147">
        <f>IF('All Fleet'!FW63="","",'All Fleet'!FW63)</f>
        <v>0.89691854990583808</v>
      </c>
      <c r="GA20" s="147">
        <f>IF('All Fleet'!FX63="","",'All Fleet'!FX63)</f>
        <v>0.89732736423220971</v>
      </c>
      <c r="GB20" s="147">
        <f>IF('All Fleet'!FY63="","",'All Fleet'!FY63)</f>
        <v>0.89790095437616391</v>
      </c>
      <c r="GC20" s="147">
        <f>IF('All Fleet'!FZ63="","",'All Fleet'!FZ63)</f>
        <v>0.89845775462962962</v>
      </c>
      <c r="GD20" s="147">
        <f>IF('All Fleet'!GA63="","",'All Fleet'!GA63)</f>
        <v>0.89667069521178633</v>
      </c>
      <c r="GE20" s="147">
        <f>IF('All Fleet'!GB63="","",'All Fleet'!GB63)</f>
        <v>0.89596039377289383</v>
      </c>
      <c r="GF20" s="147">
        <f>IF('All Fleet'!GC63="","",'All Fleet'!GC63)</f>
        <v>0.89652891621129327</v>
      </c>
      <c r="GG20" s="147">
        <f>IF('All Fleet'!GD63="","",'All Fleet'!GD63)</f>
        <v>0.89709125905797105</v>
      </c>
      <c r="GH20" s="147">
        <f>IF('All Fleet'!GE63="","",'All Fleet'!GE63)</f>
        <v>0.89750957207207205</v>
      </c>
      <c r="GI20" s="147">
        <f>IF('All Fleet'!GF63="","",'All Fleet'!GF63)</f>
        <v>0.89738687275985662</v>
      </c>
      <c r="GJ20" s="147">
        <f>IF('All Fleet'!GG63="","",'All Fleet'!GG63)</f>
        <v>0.89784313725490195</v>
      </c>
      <c r="GK20" s="147">
        <f>IF('All Fleet'!GH63="","",'All Fleet'!GH63)</f>
        <v>0.8983865248226951</v>
      </c>
      <c r="GL20" s="147">
        <f>IF('All Fleet'!GI63="","",'All Fleet'!GI63)</f>
        <v>0.8986359126984127</v>
      </c>
      <c r="GM20" s="147">
        <f>IF('All Fleet'!GJ63="","",'All Fleet'!GJ63)</f>
        <v>0.89892927631578945</v>
      </c>
      <c r="GN20" s="147">
        <f>IF('All Fleet'!GK63="","",'All Fleet'!GK63)</f>
        <v>0.89911376527050613</v>
      </c>
      <c r="GO20" s="147">
        <f>IF('All Fleet'!GL63="","",'All Fleet'!GL63)</f>
        <v>0.89963921440972228</v>
      </c>
      <c r="GP20" s="147">
        <f>IF('All Fleet'!GM63="","",'All Fleet'!GM63)</f>
        <v>0.90015921848013813</v>
      </c>
      <c r="GQ20" s="147">
        <f>IF('All Fleet'!GN63="","",'All Fleet'!GN63)</f>
        <v>0.90067386168384878</v>
      </c>
      <c r="GR20" s="147">
        <f>IF('All Fleet'!GO63="","",'All Fleet'!GO63)</f>
        <v>0.90118322649572646</v>
      </c>
      <c r="GS20" s="147">
        <f>IF('All Fleet'!GP63="","",'All Fleet'!GP63)</f>
        <v>0.90168739370748296</v>
      </c>
      <c r="GT20" s="147">
        <f>IF('All Fleet'!GQ63="","",'All Fleet'!GQ63)</f>
        <v>0.90201723773265652</v>
      </c>
      <c r="GU20" s="147">
        <f>IF('All Fleet'!GR63="","",'All Fleet'!GR63)</f>
        <v>0.90208438552188552</v>
      </c>
      <c r="GV20" s="147">
        <f>IF('All Fleet'!GS63="","",'All Fleet'!GS63)</f>
        <v>0.90257642378559466</v>
      </c>
      <c r="GW20" s="147">
        <f>IF('All Fleet'!GT63="","",'All Fleet'!GT63)</f>
        <v>0.90267552083333336</v>
      </c>
      <c r="GX20" s="147">
        <f>IF('All Fleet'!GU63="","",'All Fleet'!GU63)</f>
        <v>0.90315972222222218</v>
      </c>
      <c r="GY20" s="147">
        <f>IF('All Fleet'!GV63="","",'All Fleet'!GV63)</f>
        <v>0.89573122937293725</v>
      </c>
      <c r="GZ20" s="147">
        <f>IF('All Fleet'!GW63="","",'All Fleet'!GW63)</f>
        <v>0.89585385878489321</v>
      </c>
      <c r="HA20" s="147">
        <f>IF('All Fleet'!GX63="","",'All Fleet'!GX63)</f>
        <v>0.89636437908496736</v>
      </c>
      <c r="HB20" s="147">
        <f>IF('All Fleet'!GY63="","",'All Fleet'!GY63)</f>
        <v>0.89686991869918697</v>
      </c>
      <c r="HC20" s="147">
        <f>IF('All Fleet'!GZ63="","",'All Fleet'!GZ63)</f>
        <v>0.89737055016181233</v>
      </c>
      <c r="HD20" s="147">
        <f>IF('All Fleet'!HA63="","",'All Fleet'!HA63)</f>
        <v>0.89786634460547499</v>
      </c>
      <c r="HE20" s="147">
        <f>IF('All Fleet'!HB63="","",'All Fleet'!HB63)</f>
        <v>0.89109074519230769</v>
      </c>
      <c r="HF20" s="147">
        <f>IF('All Fleet'!HC63="","",'All Fleet'!HC63)</f>
        <v>0.89161184210526312</v>
      </c>
      <c r="HG20" s="147">
        <f>IF('All Fleet'!HD63="","",'All Fleet'!HD63)</f>
        <v>0.89212797619047624</v>
      </c>
      <c r="HH20" s="147">
        <f>IF('All Fleet'!HE63="","",'All Fleet'!HE63)</f>
        <v>0.89263921800947865</v>
      </c>
      <c r="HI20" s="147">
        <f>IF('All Fleet'!HF63="","",'All Fleet'!HF63)</f>
        <v>0.89314563679245285</v>
      </c>
      <c r="HJ20" s="147">
        <f>IF('All Fleet'!HG63="","",'All Fleet'!HG63)</f>
        <v>0.8936473004694836</v>
      </c>
      <c r="HK20" s="147">
        <f>IF('All Fleet'!HH63="","",'All Fleet'!HH63)</f>
        <v>0.89414427570093458</v>
      </c>
      <c r="HL20" s="147">
        <f>IF('All Fleet'!HI63="","",'All Fleet'!HI63)</f>
        <v>0.89463662790697673</v>
      </c>
      <c r="HM20" s="147">
        <f>IF('All Fleet'!HJ63="","",'All Fleet'!HJ63)</f>
        <v>0.89512125985939639</v>
      </c>
      <c r="HN20" s="147">
        <f>IF('All Fleet'!HK63="","",'All Fleet'!HK63)</f>
        <v>0.89457875970728795</v>
      </c>
      <c r="HO20" s="147">
        <f>IF('All Fleet'!HL63="","",'All Fleet'!HL63)</f>
        <v>0.89391555438752968</v>
      </c>
      <c r="HP20" s="147">
        <f>IF('All Fleet'!HM63="","",'All Fleet'!HM63)</f>
        <v>0.89304683536275997</v>
      </c>
      <c r="HQ20" s="147">
        <f>IF('All Fleet'!HN63="","",'All Fleet'!HN63)</f>
        <v>0.8934216382575757</v>
      </c>
      <c r="HR20" s="147">
        <f>IF('All Fleet'!HO63="","",'All Fleet'!HO63)</f>
        <v>0.89390389328808451</v>
      </c>
      <c r="HS20" s="147">
        <f>IF('All Fleet'!HP63="","",'All Fleet'!HP63)</f>
        <v>0.8943818036786787</v>
      </c>
      <c r="HT20" s="147">
        <f>IF('All Fleet'!HQ63="","",'All Fleet'!HQ63)</f>
        <v>0.89466702478824112</v>
      </c>
      <c r="HU20" s="147">
        <f>IF('All Fleet'!HR63="","",'All Fleet'!HR63)</f>
        <v>0.89513726128472226</v>
      </c>
      <c r="HV20" s="147">
        <f>IF('All Fleet'!HS63="","",'All Fleet'!HS63)</f>
        <v>0.89363550668724279</v>
      </c>
      <c r="HW20" s="147">
        <f>IF('All Fleet'!HT63="","",'All Fleet'!HT63)</f>
        <v>0.89299995134791876</v>
      </c>
      <c r="HX20" s="147">
        <f>IF('All Fleet'!HU63="","",'All Fleet'!HU63)</f>
        <v>0.89236999561510855</v>
      </c>
      <c r="HY20" s="147">
        <f>IF('All Fleet'!HV63="","",'All Fleet'!HV63)</f>
        <v>0.89181370309454189</v>
      </c>
      <c r="HZ20" s="147">
        <f>IF('All Fleet'!HW63="","",'All Fleet'!HW63)</f>
        <v>0.89211737324114504</v>
      </c>
      <c r="IA20" s="147">
        <f>IF('All Fleet'!HX63="","",'All Fleet'!HX63)</f>
        <v>0.8917711604267311</v>
      </c>
      <c r="IB20" s="147">
        <f>IF('All Fleet'!HY63="","",'All Fleet'!HY63)</f>
        <v>0.89099562089145423</v>
      </c>
      <c r="IC20" s="147">
        <f>IF('All Fleet'!HZ63="","",'All Fleet'!HZ63)</f>
        <v>0.8909780840916347</v>
      </c>
      <c r="ID20" s="147">
        <f>IF('All Fleet'!IA63="","",'All Fleet'!IA63)</f>
        <v>0.89144598931012564</v>
      </c>
      <c r="IE20" s="147">
        <f>IF('All Fleet'!IB63="","",'All Fleet'!IB63)</f>
        <v>0.89177647198480536</v>
      </c>
      <c r="IF20" s="147">
        <f>IF('All Fleet'!IC63="","",'All Fleet'!IC63)</f>
        <v>0.89223699763593378</v>
      </c>
      <c r="IG20" s="147">
        <f>IF('All Fleet'!ID63="","",'All Fleet'!ID63)</f>
        <v>0.88881826741996228</v>
      </c>
      <c r="IH20" s="147">
        <f>IF('All Fleet'!IE63="","",'All Fleet'!IE63)</f>
        <v>0.88833670300046885</v>
      </c>
      <c r="II20" s="147">
        <f>IF('All Fleet'!IF63="","",'All Fleet'!IF63)</f>
        <v>0.88858572595704954</v>
      </c>
      <c r="IJ20" s="147">
        <f>IF('All Fleet'!IG63="","",'All Fleet'!IG63)</f>
        <v>0.88903358902835894</v>
      </c>
      <c r="IK20" s="147">
        <f>IF('All Fleet'!IH63="","",'All Fleet'!IH63)</f>
        <v>0.88938657407407407</v>
      </c>
      <c r="IL20" s="147">
        <f>IF('All Fleet'!II63="","",'All Fleet'!II63)</f>
        <v>0.88984555094513595</v>
      </c>
      <c r="IM20" s="147">
        <f>IF('All Fleet'!IJ63="","",'All Fleet'!IJ63)</f>
        <v>0.88945147497704313</v>
      </c>
      <c r="IN20" s="147">
        <f>IF('All Fleet'!IK63="","",'All Fleet'!IK63)</f>
        <v>0.88965656435756746</v>
      </c>
      <c r="IO20" s="147">
        <f>IF('All Fleet'!IL63="","",'All Fleet'!IL63)</f>
        <v>0.88915717972070429</v>
      </c>
      <c r="IP20" s="147">
        <f>IF('All Fleet'!IM63="","",'All Fleet'!IM63)</f>
        <v>0.88851417233560093</v>
      </c>
      <c r="IQ20" s="147">
        <f>IF('All Fleet'!IN63="","",'All Fleet'!IN63)</f>
        <v>0.8877856467366757</v>
      </c>
      <c r="IR20" s="147">
        <f>IF('All Fleet'!IO63="","",'All Fleet'!IO63)</f>
        <v>0.88669038883265849</v>
      </c>
      <c r="IS20" s="147">
        <f>IF('All Fleet'!IP63="","",'All Fleet'!IP63)</f>
        <v>0.88585267790471922</v>
      </c>
      <c r="IT20" s="147">
        <f>IF('All Fleet'!IQ63="","",'All Fleet'!IQ63)</f>
        <v>0.8852702011750706</v>
      </c>
      <c r="IU20" s="147">
        <f>IF('All Fleet'!IR63="","",'All Fleet'!IR63)</f>
        <v>0.88385481481481487</v>
      </c>
      <c r="IV20" s="147">
        <f>IF('All Fleet'!IS63="","",'All Fleet'!IS63)</f>
        <v>0.88177505256750777</v>
      </c>
      <c r="IW20" s="147">
        <f>IF('All Fleet'!IT63="","",'All Fleet'!IT63)</f>
        <v>0.87960307126322745</v>
      </c>
      <c r="IX20" s="147">
        <f>IF('All Fleet'!IU63="","",'All Fleet'!IU63)</f>
        <v>0.87864583333333335</v>
      </c>
      <c r="IY20" s="147">
        <f>IF('All Fleet'!IV63="","",'All Fleet'!IV63)</f>
        <v>0.87898003472222219</v>
      </c>
      <c r="IZ20" s="147">
        <f>IF('All Fleet'!IW63="","",'All Fleet'!IW63)</f>
        <v>0.87944913080973131</v>
      </c>
      <c r="JA20" s="147">
        <f>IF('All Fleet'!IX63="","",'All Fleet'!IX63)</f>
        <v>0.87977488199869791</v>
      </c>
      <c r="JB20" s="147">
        <f>IF('All Fleet'!IY63="","",'All Fleet'!IY63)</f>
        <v>0.87987861858697225</v>
      </c>
      <c r="JC20" s="147">
        <f>IF('All Fleet'!IZ63="","",'All Fleet'!IZ63)</f>
        <v>0.8803309489843526</v>
      </c>
      <c r="JD20" s="147">
        <f>IF('All Fleet'!JA63="","",'All Fleet'!JA63)</f>
        <v>0.8807192572036322</v>
      </c>
      <c r="JE20" s="147">
        <f>IF('All Fleet'!JB63="","",'All Fleet'!JB63)</f>
        <v>0.88094097222222223</v>
      </c>
      <c r="JF20" s="147">
        <f>IF('All Fleet'!JC63="","",'All Fleet'!JC63)</f>
        <v>0.8812110206470839</v>
      </c>
      <c r="JG20" s="147">
        <f>IF('All Fleet'!JD63="","",'All Fleet'!JD63)</f>
        <v>0.88106372146239753</v>
      </c>
      <c r="JH20" s="147">
        <f>IF('All Fleet'!JE63="","",'All Fleet'!JE63)</f>
        <v>0.8812620031509647</v>
      </c>
      <c r="JI20" s="147">
        <f>IF('All Fleet'!JF63="","",'All Fleet'!JF63)</f>
        <v>0.88162312140502241</v>
      </c>
      <c r="JJ20" s="147">
        <f>IF('All Fleet'!JG63="","",'All Fleet'!JG63)</f>
        <v>0.88194457547169813</v>
      </c>
      <c r="JK20" s="147">
        <f>IF('All Fleet'!JH63="","",'All Fleet'!JH63)</f>
        <v>0.88179452537593983</v>
      </c>
      <c r="JL20" s="147">
        <f>IF('All Fleet'!JI63="","",'All Fleet'!JI63)</f>
        <v>0.8820906484082397</v>
      </c>
      <c r="JM20" s="147">
        <f>IF('All Fleet'!JJ63="","",'All Fleet'!JJ63)</f>
        <v>0.88229182861733002</v>
      </c>
      <c r="JN20" s="147">
        <f>IF('All Fleet'!JK63="","",'All Fleet'!JK63)</f>
        <v>0.88212546683532977</v>
      </c>
      <c r="JO20" s="147">
        <f>IF('All Fleet'!JL63="","",'All Fleet'!JL63)</f>
        <v>0.88177145490397801</v>
      </c>
      <c r="JP20" s="147">
        <f>IF('All Fleet'!JM63="","",'All Fleet'!JM63)</f>
        <v>0.88163118636394699</v>
      </c>
      <c r="JQ20" s="147">
        <f>IF('All Fleet'!JN63="","",'All Fleet'!JN63)</f>
        <v>0.88139004842388347</v>
      </c>
      <c r="JR20" s="147">
        <f>IF('All Fleet'!JO63="","",'All Fleet'!JO63)</f>
        <v>0.88167189195835027</v>
      </c>
      <c r="JS20" s="147">
        <f>IF('All Fleet'!JP63="","",'All Fleet'!JP63)</f>
        <v>0.88179694892200589</v>
      </c>
      <c r="JT20" s="147">
        <f>IF('All Fleet'!JQ63="","",'All Fleet'!JQ63)</f>
        <v>0.88206806607744104</v>
      </c>
      <c r="JU20" s="147">
        <f>IF('All Fleet'!JR63="","",'All Fleet'!JR63)</f>
        <v>0.88236590219068711</v>
      </c>
      <c r="JV20" s="147">
        <f>IF('All Fleet'!JS63="","",'All Fleet'!JS63)</f>
        <v>0.88202342600949324</v>
      </c>
      <c r="JW20" s="147">
        <f>IF('All Fleet'!JT63="","",'All Fleet'!JT63)</f>
        <v>0.88201989450106577</v>
      </c>
      <c r="JX20" s="147">
        <f>IF('All Fleet'!JU63="","",'All Fleet'!JU63)</f>
        <v>0.88194022343355905</v>
      </c>
      <c r="JY20" s="147">
        <f>IF('All Fleet'!JV63="","",'All Fleet'!JV63)</f>
        <v>0.88221305596891531</v>
      </c>
      <c r="JZ20" s="147">
        <f>IF('All Fleet'!JW63="","",'All Fleet'!JW63)</f>
        <v>0.88263222658824303</v>
      </c>
      <c r="KA20" s="147">
        <f>IF('All Fleet'!JX63="","",'All Fleet'!JX63)</f>
        <v>0.88304842436629893</v>
      </c>
      <c r="KB20" s="147">
        <f>IF('All Fleet'!JY63="","",'All Fleet'!JY63)</f>
        <v>0.88346168081730136</v>
      </c>
      <c r="KC20" s="147">
        <f>IF('All Fleet'!JZ63="","",'All Fleet'!JZ63)</f>
        <v>0.88387202701160672</v>
      </c>
      <c r="KD20" s="147">
        <f>IF('All Fleet'!KA63="","",'All Fleet'!KA63)</f>
        <v>0.88427949358349578</v>
      </c>
      <c r="KE20" s="147">
        <f>IF('All Fleet'!KB63="","",'All Fleet'!KB63)</f>
        <v>0.88468411073879827</v>
      </c>
      <c r="KF20" s="147">
        <f>IF('All Fleet'!KC63="","",'All Fleet'!KC63)</f>
        <v>0.88508590826235645</v>
      </c>
      <c r="KG20" s="147">
        <f>IF('All Fleet'!KD63="","",'All Fleet'!KD63)</f>
        <v>0.88548491552533437</v>
      </c>
      <c r="KH20" s="147">
        <f>IF('All Fleet'!KE63="","",'All Fleet'!KE63)</f>
        <v>0.88588116149237472</v>
      </c>
      <c r="KI20" s="147">
        <f>IF('All Fleet'!KF63="","",'All Fleet'!KF63)</f>
        <v>0.88627467472860788</v>
      </c>
      <c r="KJ20" s="147">
        <f>IF('All Fleet'!KG63="","",'All Fleet'!KG63)</f>
        <v>0.88666548340651652</v>
      </c>
      <c r="KK20" s="147">
        <f>IF('All Fleet'!KH63="","",'All Fleet'!KH63)</f>
        <v>0.88705361531265858</v>
      </c>
      <c r="KL20" s="147">
        <f>IF('All Fleet'!KI63="","",'All Fleet'!KI63)</f>
        <v>0.88743909785425357</v>
      </c>
      <c r="KM20" s="147">
        <f>IF('All Fleet'!KJ63="","",'All Fleet'!KJ63)</f>
        <v>0.88782195806563369</v>
      </c>
      <c r="KN20" s="147">
        <f>IF('All Fleet'!KK63="","",'All Fleet'!KK63)</f>
        <v>0.88820222261456372</v>
      </c>
      <c r="KO20" s="147">
        <f>IF('All Fleet'!KL63="","",'All Fleet'!KL63)</f>
        <v>0.88857991780843348</v>
      </c>
      <c r="KP20" s="147">
        <f>IF('All Fleet'!KM63="","",'All Fleet'!KM63)</f>
        <v>0.88895506960032422</v>
      </c>
      <c r="KQ20" s="147">
        <f>IF('All Fleet'!KN63="","",'All Fleet'!KN63)</f>
        <v>0.88932770359495406</v>
      </c>
      <c r="KR20" s="147">
        <f>IF('All Fleet'!KO63="","",'All Fleet'!KO63)</f>
        <v>0.88969784505450267</v>
      </c>
      <c r="KS20" s="147">
        <f>IF('All Fleet'!KP63="","",'All Fleet'!KP63)</f>
        <v>0.89006551890432095</v>
      </c>
      <c r="KT20" s="147">
        <f>IF('All Fleet'!KQ63="","",'All Fleet'!KQ63)</f>
        <v>0.89043074973852587</v>
      </c>
      <c r="KU20" s="147">
        <f>IF('All Fleet'!KR63="","",'All Fleet'!KR63)</f>
        <v>0.89079356182548441</v>
      </c>
      <c r="KV20" s="147">
        <f>IF('All Fleet'!KS63="","",'All Fleet'!KS63)</f>
        <v>0.89115397911318905</v>
      </c>
      <c r="KW20" s="147">
        <f>IF('All Fleet'!KT63="","",'All Fleet'!KT63)</f>
        <v>0.89151202523452733</v>
      </c>
      <c r="KX20" s="147" t="str">
        <f>IF('All Fleet'!KU63="","",'All Fleet'!KU63)</f>
        <v/>
      </c>
      <c r="KY20" s="147" t="str">
        <f>IF('All Fleet'!KV63="","",'All Fleet'!KV63)</f>
        <v/>
      </c>
      <c r="KZ20" s="147" t="str">
        <f>IF('All Fleet'!KW63="","",'All Fleet'!KW63)</f>
        <v/>
      </c>
      <c r="LA20" s="147" t="str">
        <f>IF('All Fleet'!KX63="","",'All Fleet'!KX63)</f>
        <v/>
      </c>
      <c r="LB20" s="147" t="str">
        <f>IF('All Fleet'!KY63="","",'All Fleet'!KY63)</f>
        <v/>
      </c>
      <c r="LC20" s="147" t="str">
        <f>IF('All Fleet'!KZ63="","",'All Fleet'!KZ63)</f>
        <v/>
      </c>
      <c r="LD20" s="147" t="str">
        <f>IF('All Fleet'!LA63="","",'All Fleet'!LA63)</f>
        <v/>
      </c>
      <c r="LE20" s="147" t="str">
        <f>IF('All Fleet'!LB63="","",'All Fleet'!LB63)</f>
        <v/>
      </c>
      <c r="LF20" s="147" t="str">
        <f>IF('All Fleet'!LC63="","",'All Fleet'!LC63)</f>
        <v/>
      </c>
      <c r="LG20" s="147" t="str">
        <f>IF('All Fleet'!LD63="","",'All Fleet'!LD63)</f>
        <v/>
      </c>
      <c r="LH20" s="147" t="str">
        <f>IF('All Fleet'!LE63="","",'All Fleet'!LE63)</f>
        <v/>
      </c>
      <c r="LI20" s="147" t="str">
        <f>IF('All Fleet'!LF63="","",'All Fleet'!LF63)</f>
        <v/>
      </c>
      <c r="LJ20" s="147" t="str">
        <f>IF('All Fleet'!LG63="","",'All Fleet'!LG63)</f>
        <v/>
      </c>
      <c r="LK20" s="147" t="str">
        <f>IF('All Fleet'!LH63="","",'All Fleet'!LH63)</f>
        <v/>
      </c>
      <c r="LL20" s="147" t="str">
        <f>IF('All Fleet'!LI63="","",'All Fleet'!LI63)</f>
        <v/>
      </c>
      <c r="LM20" s="147" t="str">
        <f>IF('All Fleet'!LJ63="","",'All Fleet'!LJ63)</f>
        <v/>
      </c>
      <c r="LN20" s="147" t="str">
        <f>IF('All Fleet'!LK63="","",'All Fleet'!LK63)</f>
        <v/>
      </c>
      <c r="LO20" s="147" t="str">
        <f>IF('All Fleet'!LL63="","",'All Fleet'!LL63)</f>
        <v/>
      </c>
      <c r="LP20" s="147" t="str">
        <f>IF('All Fleet'!LM63="","",'All Fleet'!LM63)</f>
        <v/>
      </c>
      <c r="LQ20" s="147" t="str">
        <f>IF('All Fleet'!LN63="","",'All Fleet'!LN63)</f>
        <v/>
      </c>
      <c r="LR20" s="147" t="str">
        <f>IF('All Fleet'!LO63="","",'All Fleet'!LO63)</f>
        <v/>
      </c>
      <c r="LS20" s="147" t="str">
        <f>IF('All Fleet'!LP63="","",'All Fleet'!LP63)</f>
        <v/>
      </c>
      <c r="LT20" s="147" t="str">
        <f>IF('All Fleet'!LQ63="","",'All Fleet'!LQ63)</f>
        <v/>
      </c>
      <c r="LU20" s="147" t="str">
        <f>IF('All Fleet'!LR63="","",'All Fleet'!LR63)</f>
        <v/>
      </c>
      <c r="LV20" s="147" t="str">
        <f>IF('All Fleet'!LS63="","",'All Fleet'!LS63)</f>
        <v/>
      </c>
      <c r="LW20" s="147" t="str">
        <f>IF('All Fleet'!LT63="","",'All Fleet'!LT63)</f>
        <v/>
      </c>
      <c r="LX20" s="147" t="str">
        <f>IF('All Fleet'!LU63="","",'All Fleet'!LU63)</f>
        <v/>
      </c>
      <c r="LY20" s="147" t="str">
        <f>IF('All Fleet'!LV63="","",'All Fleet'!LV63)</f>
        <v/>
      </c>
      <c r="LZ20" s="147" t="str">
        <f>IF('All Fleet'!LW63="","",'All Fleet'!LW63)</f>
        <v/>
      </c>
      <c r="MA20" s="147" t="str">
        <f>IF('All Fleet'!LX63="","",'All Fleet'!LX63)</f>
        <v/>
      </c>
      <c r="MB20" s="147" t="str">
        <f>IF('All Fleet'!LY63="","",'All Fleet'!LY63)</f>
        <v/>
      </c>
      <c r="MC20" s="147" t="str">
        <f>IF('All Fleet'!LZ63="","",'All Fleet'!LZ63)</f>
        <v/>
      </c>
      <c r="MD20" s="147" t="str">
        <f>IF('All Fleet'!MA63="","",'All Fleet'!MA63)</f>
        <v/>
      </c>
      <c r="ME20" s="147" t="str">
        <f>IF('All Fleet'!MB63="","",'All Fleet'!MB63)</f>
        <v/>
      </c>
      <c r="MF20" s="147" t="str">
        <f>IF('All Fleet'!MC63="","",'All Fleet'!MC63)</f>
        <v/>
      </c>
      <c r="MG20" s="147" t="str">
        <f>IF('All Fleet'!MD63="","",'All Fleet'!MD63)</f>
        <v/>
      </c>
      <c r="MH20" s="147" t="str">
        <f>IF('All Fleet'!ME63="","",'All Fleet'!ME63)</f>
        <v/>
      </c>
      <c r="MI20" s="147" t="str">
        <f>IF('All Fleet'!MF63="","",'All Fleet'!MF63)</f>
        <v/>
      </c>
      <c r="MJ20" s="147" t="str">
        <f>IF('All Fleet'!MG63="","",'All Fleet'!MG63)</f>
        <v/>
      </c>
      <c r="MK20" s="147" t="str">
        <f>IF('All Fleet'!MH63="","",'All Fleet'!MH63)</f>
        <v/>
      </c>
      <c r="ML20" s="147" t="str">
        <f>IF('All Fleet'!MI63="","",'All Fleet'!MI63)</f>
        <v/>
      </c>
      <c r="MM20" s="147" t="str">
        <f>IF('All Fleet'!MJ63="","",'All Fleet'!MJ63)</f>
        <v/>
      </c>
      <c r="MN20" s="147" t="str">
        <f>IF('All Fleet'!MK63="","",'All Fleet'!MK63)</f>
        <v/>
      </c>
      <c r="MO20" s="147" t="str">
        <f>IF('All Fleet'!ML63="","",'All Fleet'!ML63)</f>
        <v/>
      </c>
      <c r="MP20" s="147" t="str">
        <f>IF('All Fleet'!MM63="","",'All Fleet'!MM63)</f>
        <v/>
      </c>
      <c r="MQ20" s="147" t="str">
        <f>IF('All Fleet'!MN63="","",'All Fleet'!MN63)</f>
        <v/>
      </c>
      <c r="MR20" s="147" t="str">
        <f>IF('All Fleet'!MO63="","",'All Fleet'!MO63)</f>
        <v/>
      </c>
      <c r="MS20" s="147" t="str">
        <f>IF('All Fleet'!MP63="","",'All Fleet'!MP63)</f>
        <v/>
      </c>
      <c r="MT20" s="147" t="str">
        <f>IF('All Fleet'!MQ63="","",'All Fleet'!MQ63)</f>
        <v/>
      </c>
      <c r="MU20" s="147" t="str">
        <f>IF('All Fleet'!MR63="","",'All Fleet'!MR63)</f>
        <v/>
      </c>
      <c r="MV20" s="147" t="str">
        <f>IF('All Fleet'!MS63="","",'All Fleet'!MS63)</f>
        <v/>
      </c>
      <c r="MW20" s="147" t="str">
        <f>IF('All Fleet'!MT63="","",'All Fleet'!MT63)</f>
        <v/>
      </c>
      <c r="MX20" s="147" t="str">
        <f>IF('All Fleet'!MU63="","",'All Fleet'!MU63)</f>
        <v/>
      </c>
      <c r="MY20" s="147" t="str">
        <f>IF('All Fleet'!MV63="","",'All Fleet'!MV63)</f>
        <v/>
      </c>
      <c r="MZ20" s="147" t="str">
        <f>IF('All Fleet'!MW63="","",'All Fleet'!MW63)</f>
        <v/>
      </c>
      <c r="NA20" s="147" t="str">
        <f>IF('All Fleet'!MX63="","",'All Fleet'!MX63)</f>
        <v/>
      </c>
      <c r="NB20" s="147" t="str">
        <f>IF('All Fleet'!MY63="","",'All Fleet'!MY63)</f>
        <v/>
      </c>
      <c r="NC20" s="147" t="str">
        <f>IF('All Fleet'!MZ63="","",'All Fleet'!MZ63)</f>
        <v/>
      </c>
      <c r="ND20" s="147" t="str">
        <f>IF('All Fleet'!NA63="","",'All Fleet'!NA63)</f>
        <v/>
      </c>
      <c r="NE20" s="147" t="str">
        <f>IF('All Fleet'!NB63="","",'All Fleet'!NB63)</f>
        <v/>
      </c>
      <c r="NF20" s="147" t="str">
        <f>IF('All Fleet'!NC63="","",'All Fleet'!NC63)</f>
        <v/>
      </c>
      <c r="NG20" s="147" t="str">
        <f>IF('All Fleet'!ND63="","",'All Fleet'!ND63)</f>
        <v/>
      </c>
      <c r="NH20" s="147" t="str">
        <f>IF('All Fleet'!NE63="","",'All Fleet'!NE63)</f>
        <v/>
      </c>
      <c r="NI20" s="147" t="str">
        <f>IF('All Fleet'!NF63="","",'All Fleet'!NF63)</f>
        <v/>
      </c>
      <c r="NJ20" s="147" t="str">
        <f>IF('All Fleet'!NG63="","",'All Fleet'!NG63)</f>
        <v/>
      </c>
      <c r="NK20" s="147" t="str">
        <f>IF('All Fleet'!NH63="","",'All Fleet'!NH63)</f>
        <v/>
      </c>
      <c r="NL20" s="147" t="str">
        <f>IF('All Fleet'!NI63="","",'All Fleet'!NI63)</f>
        <v/>
      </c>
      <c r="NM20" s="147" t="str">
        <f>IF('All Fleet'!NJ63="","",'All Fleet'!NJ63)</f>
        <v/>
      </c>
      <c r="NN20" s="147" t="str">
        <f>IF('All Fleet'!NK63="","",'All Fleet'!NK63)</f>
        <v/>
      </c>
      <c r="NO20" s="147" t="str">
        <f>IF('All Fleet'!NL63="","",'All Fleet'!NL63)</f>
        <v/>
      </c>
      <c r="NP20" s="147" t="str">
        <f>IF('All Fleet'!NM63="","",'All Fleet'!NM63)</f>
        <v/>
      </c>
      <c r="NQ20" s="147" t="str">
        <f>IF('All Fleet'!NN63="","",'All Fleet'!NN63)</f>
        <v/>
      </c>
      <c r="NR20" s="147" t="str">
        <f>IF('All Fleet'!NO63="","",'All Fleet'!NO63)</f>
        <v/>
      </c>
      <c r="NS20" s="147" t="str">
        <f>IF('All Fleet'!NP63="","",'All Fleet'!NP63)</f>
        <v/>
      </c>
      <c r="NT20" s="147" t="str">
        <f>IF('All Fleet'!NQ63="","",'All Fleet'!NQ63)</f>
        <v/>
      </c>
      <c r="NU20" s="147" t="str">
        <f>IF('All Fleet'!NR63="","",'All Fleet'!NR63)</f>
        <v/>
      </c>
      <c r="NV20" s="147" t="str">
        <f>IF('All Fleet'!NS63="","",'All Fleet'!NS63)</f>
        <v/>
      </c>
      <c r="NW20" s="147" t="str">
        <f>IF('All Fleet'!NT63="","",'All Fleet'!NT63)</f>
        <v/>
      </c>
      <c r="NX20" s="147" t="str">
        <f>IF('All Fleet'!NU63="","",'All Fleet'!NU63)</f>
        <v/>
      </c>
      <c r="NY20" s="147" t="str">
        <f>IF('All Fleet'!NV63="","",'All Fleet'!NV63)</f>
        <v/>
      </c>
      <c r="NZ20" s="147" t="str">
        <f>IF('All Fleet'!NW63="","",'All Fleet'!NW63)</f>
        <v/>
      </c>
      <c r="OA20" s="147" t="str">
        <f>IF('All Fleet'!NX63="","",'All Fleet'!NX63)</f>
        <v/>
      </c>
      <c r="OB20" s="147" t="str">
        <f>IF('All Fleet'!NY63="","",'All Fleet'!NY63)</f>
        <v/>
      </c>
      <c r="OC20" s="147" t="str">
        <f>IF('All Fleet'!NZ63="","",'All Fleet'!NZ63)</f>
        <v/>
      </c>
      <c r="OD20" s="147" t="str">
        <f>IF('All Fleet'!OA63="","",'All Fleet'!OA63)</f>
        <v/>
      </c>
      <c r="OE20" s="147" t="str">
        <f>IF('All Fleet'!OB63="","",'All Fleet'!OB63)</f>
        <v/>
      </c>
      <c r="OF20" s="147" t="str">
        <f>IF('All Fleet'!OC63="","",'All Fleet'!OC63)</f>
        <v/>
      </c>
      <c r="OG20" s="147" t="str">
        <f>IF('All Fleet'!OD63="","",'All Fleet'!OD63)</f>
        <v/>
      </c>
      <c r="OH20" s="147" t="str">
        <f>IF('All Fleet'!OE63="","",'All Fleet'!OE63)</f>
        <v/>
      </c>
      <c r="OI20" s="147" t="str">
        <f>IF('All Fleet'!OF63="","",'All Fleet'!OF63)</f>
        <v/>
      </c>
      <c r="OJ20" s="147" t="str">
        <f>IF('All Fleet'!OG63="","",'All Fleet'!OG63)</f>
        <v/>
      </c>
      <c r="OK20" s="147" t="str">
        <f>IF('All Fleet'!OH63="","",'All Fleet'!OH63)</f>
        <v/>
      </c>
      <c r="OL20" s="147" t="str">
        <f>IF('All Fleet'!OI63="","",'All Fleet'!OI63)</f>
        <v/>
      </c>
      <c r="OM20" s="147" t="str">
        <f>IF('All Fleet'!OJ63="","",'All Fleet'!OJ63)</f>
        <v/>
      </c>
      <c r="ON20" s="147" t="str">
        <f>IF('All Fleet'!OK63="","",'All Fleet'!OK63)</f>
        <v/>
      </c>
      <c r="OO20" s="147" t="str">
        <f>IF('All Fleet'!OL63="","",'All Fleet'!OL63)</f>
        <v/>
      </c>
      <c r="OP20" s="147" t="str">
        <f>IF('All Fleet'!OM63="","",'All Fleet'!OM63)</f>
        <v/>
      </c>
      <c r="OQ20" s="147" t="str">
        <f>IF('All Fleet'!ON63="","",'All Fleet'!ON63)</f>
        <v/>
      </c>
      <c r="OR20" s="147" t="str">
        <f>IF('All Fleet'!OO63="","",'All Fleet'!OO63)</f>
        <v/>
      </c>
      <c r="OS20" s="147" t="str">
        <f>IF('All Fleet'!OP63="","",'All Fleet'!OP63)</f>
        <v/>
      </c>
      <c r="OT20" s="147" t="str">
        <f>IF('All Fleet'!OQ63="","",'All Fleet'!OQ63)</f>
        <v/>
      </c>
      <c r="OU20" s="147" t="str">
        <f>IF('All Fleet'!OR63="","",'All Fleet'!OR63)</f>
        <v/>
      </c>
      <c r="OV20" s="147" t="str">
        <f>IF('All Fleet'!OS63="","",'All Fleet'!OS63)</f>
        <v/>
      </c>
      <c r="OW20" s="147" t="str">
        <f>IF('All Fleet'!OT63="","",'All Fleet'!OT63)</f>
        <v/>
      </c>
      <c r="OX20" s="147" t="str">
        <f>IF('All Fleet'!OU63="","",'All Fleet'!OU63)</f>
        <v/>
      </c>
      <c r="OY20" s="147" t="str">
        <f>IF('All Fleet'!OV63="","",'All Fleet'!OV63)</f>
        <v/>
      </c>
      <c r="OZ20" s="148" t="str">
        <f>IF('All Fleet'!OW63="","",'All Fleet'!OW63)</f>
        <v/>
      </c>
    </row>
    <row r="21" spans="1:416" s="85" customFormat="1" ht="14.1" customHeight="1" x14ac:dyDescent="0.2">
      <c r="A21" s="138" t="b">
        <f t="shared" si="376"/>
        <v>0</v>
      </c>
      <c r="B21" s="139">
        <v>18</v>
      </c>
      <c r="C21" s="139" t="str">
        <f t="shared" si="383"/>
        <v>Mechanical Availability</v>
      </c>
      <c r="D21" s="159" t="str">
        <f t="shared" si="383"/>
        <v>777 Optiload</v>
      </c>
      <c r="E21" s="195" t="s">
        <v>72</v>
      </c>
      <c r="F21" s="181">
        <f>IF('All Fleet'!C76="","",(((COUNTIFS('All Fleet'!$A$66:$A$74,"777")*'All Fleet'!C$5)*11.8%))-'All Fleet'!C76)</f>
        <v>11.328000000000001</v>
      </c>
      <c r="G21" s="181">
        <f>IF('All Fleet'!D76="","",(((COUNTIFS('All Fleet'!$A$66:$A$74,"777")*'All Fleet'!D$5)*11.8%))-'All Fleet'!D76)</f>
        <v>-31.464000000000002</v>
      </c>
      <c r="H21" s="181">
        <f>IF('All Fleet'!E76="","",(((COUNTIFS('All Fleet'!$A$66:$A$74,"777")*'All Fleet'!E$5)*11.8%))-'All Fleet'!E76)</f>
        <v>-24.186</v>
      </c>
      <c r="I21" s="181">
        <f>IF('All Fleet'!F76="","",(((COUNTIFS('All Fleet'!$A$66:$A$74,"777")*'All Fleet'!F$5)*11.8%))-'All Fleet'!F76)</f>
        <v>-12.857999999999997</v>
      </c>
      <c r="J21" s="181">
        <f>IF('All Fleet'!G76="","",(((COUNTIFS('All Fleet'!$A$66:$A$74,"777")*'All Fleet'!G$5)*11.8%))-'All Fleet'!G76)</f>
        <v>-32.25</v>
      </c>
      <c r="K21" s="181">
        <f>IF('All Fleet'!H76="","",(((COUNTIFS('All Fleet'!$A$66:$A$74,"777")*'All Fleet'!H$5)*11.8%))-'All Fleet'!H76)</f>
        <v>-32.292000000000002</v>
      </c>
      <c r="L21" s="181">
        <f>IF('All Fleet'!I76="","",(((COUNTIFS('All Fleet'!$A$66:$A$74,"777")*'All Fleet'!I$5)*11.8%))-'All Fleet'!I76)</f>
        <v>-30.784000000000006</v>
      </c>
      <c r="M21" s="181">
        <f>IF('All Fleet'!J76="","",(((COUNTIFS('All Fleet'!$A$66:$A$74,"777")*'All Fleet'!J$5)*11.8%))-'All Fleet'!J76)</f>
        <v>-49.315999999999988</v>
      </c>
      <c r="N21" s="181">
        <f>IF('All Fleet'!K76="","",(((COUNTIFS('All Fleet'!$A$66:$A$74,"777")*'All Fleet'!K$5)*11.8%))-'All Fleet'!K76)</f>
        <v>-41.537999999999997</v>
      </c>
      <c r="O21" s="181">
        <f>IF('All Fleet'!L76="","",(((COUNTIFS('All Fleet'!$A$66:$A$74,"777")*'All Fleet'!L$5)*11.8%))-'All Fleet'!L76)</f>
        <v>-44.31</v>
      </c>
      <c r="P21" s="181">
        <f>IF('All Fleet'!M76="","",(((COUNTIFS('All Fleet'!$A$66:$A$74,"777")*'All Fleet'!M$5)*11.8%))-'All Fleet'!M76)</f>
        <v>-90.911999999999978</v>
      </c>
      <c r="Q21" s="181">
        <f>IF('All Fleet'!N76="","",(((COUNTIFS('All Fleet'!$A$66:$A$74,"777")*'All Fleet'!N$5)*11.8%))-'All Fleet'!N76)</f>
        <v>-81.804000000000002</v>
      </c>
      <c r="R21" s="181">
        <f>IF('All Fleet'!O76="","",(((COUNTIFS('All Fleet'!$A$66:$A$74,"777")*'All Fleet'!O$5)*11.8%))-'All Fleet'!O76)</f>
        <v>-70.475999999999999</v>
      </c>
      <c r="S21" s="181">
        <f>IF('All Fleet'!P76="","",(((COUNTIFS('All Fleet'!$A$66:$A$74,"777")*'All Fleet'!P$5)*11.8%))-'All Fleet'!P76)</f>
        <v>-84.287999999999982</v>
      </c>
      <c r="T21" s="181">
        <f>IF('All Fleet'!Q76="","",(((COUNTIFS('All Fleet'!$A$66:$A$74,"777")*'All Fleet'!Q$5)*11.8%))-'All Fleet'!Q76)</f>
        <v>-88.279999999999973</v>
      </c>
      <c r="U21" s="181">
        <f>IF('All Fleet'!R76="","",(((COUNTIFS('All Fleet'!$A$66:$A$74,"777")*'All Fleet'!R$5)*11.8%))-'All Fleet'!R76)</f>
        <v>-79.501999999999981</v>
      </c>
      <c r="V21" s="181">
        <f>IF('All Fleet'!S76="","",(((COUNTIFS('All Fleet'!$A$66:$A$74,"777")*'All Fleet'!S$5)*11.8%))-'All Fleet'!S76)</f>
        <v>-68.173999999999978</v>
      </c>
      <c r="W21" s="181">
        <f>IF('All Fleet'!T76="","",(((COUNTIFS('All Fleet'!$A$66:$A$74,"777")*'All Fleet'!T$5)*11.8%))-'All Fleet'!T76)</f>
        <v>-64.876000000000005</v>
      </c>
      <c r="X21" s="181">
        <f>IF('All Fleet'!U76="","",(((COUNTIFS('All Fleet'!$A$66:$A$74,"777")*'All Fleet'!U$5)*11.8%))-'All Fleet'!U76)</f>
        <v>-69.848000000000013</v>
      </c>
      <c r="Y21" s="181">
        <f>IF('All Fleet'!V76="","",(((COUNTIFS('All Fleet'!$A$66:$A$74,"777")*'All Fleet'!V$5)*11.8%))-'All Fleet'!V76)</f>
        <v>-70.07000000000005</v>
      </c>
      <c r="Z21" s="181">
        <f>IF('All Fleet'!W76="","",(((COUNTIFS('All Fleet'!$A$66:$A$74,"777")*'All Fleet'!W$5)*11.8%))-'All Fleet'!W76)</f>
        <v>-60.942000000000036</v>
      </c>
      <c r="AA21" s="181">
        <f>IF('All Fleet'!X76="","",(((COUNTIFS('All Fleet'!$A$66:$A$74,"777")*'All Fleet'!X$5)*11.8%))-'All Fleet'!X76)</f>
        <v>-50.634000000000071</v>
      </c>
      <c r="AB21" s="181">
        <f>IF('All Fleet'!Y76="","",(((COUNTIFS('All Fleet'!$A$66:$A$74,"777")*'All Fleet'!Y$5)*11.8%))-'All Fleet'!Y76)</f>
        <v>-41.05600000000004</v>
      </c>
      <c r="AC21" s="181">
        <f>IF('All Fleet'!Z76="","",(((COUNTIFS('All Fleet'!$A$66:$A$74,"777")*'All Fleet'!Z$5)*11.8%))-'All Fleet'!Z76)</f>
        <v>-33.108000000000061</v>
      </c>
      <c r="AD21" s="181">
        <f>IF('All Fleet'!AA76="","",(((COUNTIFS('All Fleet'!$A$66:$A$74,"777")*'All Fleet'!AA$5)*11.8%))-'All Fleet'!AA76)</f>
        <v>-44.430000000000007</v>
      </c>
      <c r="AE21" s="181">
        <f>IF('All Fleet'!AB76="","",(((COUNTIFS('All Fleet'!$A$66:$A$74,"777")*'All Fleet'!AB$5)*11.8%))-'All Fleet'!AB76)</f>
        <v>-33.102000000000032</v>
      </c>
      <c r="AF21" s="181">
        <f>IF('All Fleet'!AC76="","",(((COUNTIFS('All Fleet'!$A$66:$A$74,"777")*'All Fleet'!AC$5)*11.8%))-'All Fleet'!AC76)</f>
        <v>-53.274000000000058</v>
      </c>
      <c r="AG21" s="181">
        <f>IF('All Fleet'!AD76="","",(((COUNTIFS('All Fleet'!$A$66:$A$74,"777")*'All Fleet'!AD$5)*11.8%))-'All Fleet'!AD76)</f>
        <v>-41.946000000000026</v>
      </c>
      <c r="AH21" s="181">
        <f>IF('All Fleet'!AE76="","",(((COUNTIFS('All Fleet'!$A$66:$A$74,"777")*'All Fleet'!AE$5)*11.8%))-'All Fleet'!AE76)</f>
        <v>-33.118000000000052</v>
      </c>
      <c r="AI21" s="181">
        <f>IF('All Fleet'!AF76="","",(((COUNTIFS('All Fleet'!$A$66:$A$74,"777")*'All Fleet'!AF$5)*11.8%))-'All Fleet'!AF76)</f>
        <v>-21.79000000000002</v>
      </c>
      <c r="AJ21" s="181">
        <f>IF('All Fleet'!AG76="","",(((COUNTIFS('All Fleet'!$A$66:$A$74,"777")*'All Fleet'!AG$5)*11.8%))-'All Fleet'!AG76)</f>
        <v>-11.75200000000001</v>
      </c>
      <c r="AK21" s="181">
        <f>IF('All Fleet'!AH76="","",(((COUNTIFS('All Fleet'!$A$66:$A$74,"777")*'All Fleet'!AH$5)*11.8%))-'All Fleet'!AH76)</f>
        <v>4.9480000000000013</v>
      </c>
      <c r="AL21" s="181">
        <f>IF('All Fleet'!AI76="","",(((COUNTIFS('All Fleet'!$A$66:$A$74,"777")*'All Fleet'!AI$5)*11.8%))-'All Fleet'!AI76)</f>
        <v>14.666000000000002</v>
      </c>
      <c r="AM21" s="181">
        <f>IF('All Fleet'!AJ76="","",(((COUNTIFS('All Fleet'!$A$66:$A$74,"777")*'All Fleet'!AJ$5)*11.8%))-'All Fleet'!AJ76)</f>
        <v>25.994</v>
      </c>
      <c r="AN21" s="181">
        <f>IF('All Fleet'!AK76="","",(((COUNTIFS('All Fleet'!$A$66:$A$74,"777")*'All Fleet'!AK$5)*11.8%))-'All Fleet'!AK76)</f>
        <v>37.322000000000003</v>
      </c>
      <c r="AO21" s="181">
        <f>IF('All Fleet'!AL76="","",(((COUNTIFS('All Fleet'!$A$66:$A$74,"777")*'All Fleet'!AL$5)*11.8%))-'All Fleet'!AL76)</f>
        <v>43.03</v>
      </c>
      <c r="AP21" s="181">
        <f>IF('All Fleet'!AM76="","",(((COUNTIFS('All Fleet'!$A$66:$A$74,"777")*'All Fleet'!AM$5)*11.8%))-'All Fleet'!AM76)</f>
        <v>52.858000000000004</v>
      </c>
      <c r="AQ21" s="181">
        <f>IF('All Fleet'!AN76="","",(((COUNTIFS('All Fleet'!$A$66:$A$74,"777")*'All Fleet'!AN$5)*11.8%))-'All Fleet'!AN76)</f>
        <v>62.346000000000004</v>
      </c>
      <c r="AR21" s="181">
        <f>IF('All Fleet'!AO76="","",(((COUNTIFS('All Fleet'!$A$66:$A$74,"777")*'All Fleet'!AO$5)*11.8%))-'All Fleet'!AO76)</f>
        <v>73.674000000000007</v>
      </c>
      <c r="AS21" s="181">
        <f>IF('All Fleet'!AP76="","",(((COUNTIFS('All Fleet'!$A$66:$A$74,"777")*'All Fleet'!AP$5)*11.8%))-'All Fleet'!AP76)</f>
        <v>85.00200000000001</v>
      </c>
      <c r="AT21" s="181">
        <f>IF('All Fleet'!AQ76="","",(((COUNTIFS('All Fleet'!$A$66:$A$74,"777")*'All Fleet'!AQ$5)*11.8%))-'All Fleet'!AQ76)</f>
        <v>90.9</v>
      </c>
      <c r="AU21" s="181">
        <f>IF('All Fleet'!AR76="","",(((COUNTIFS('All Fleet'!$A$66:$A$74,"777")*'All Fleet'!AR$5)*11.8%))-'All Fleet'!AR76)</f>
        <v>99.927999999999997</v>
      </c>
      <c r="AV21" s="181">
        <f>IF('All Fleet'!AS76="","",(((COUNTIFS('All Fleet'!$A$66:$A$74,"777")*'All Fleet'!AS$5)*11.8%))-'All Fleet'!AS76)</f>
        <v>99.975999999999999</v>
      </c>
      <c r="AW21" s="181">
        <f>IF('All Fleet'!AT76="","",(((COUNTIFS('All Fleet'!$A$66:$A$74,"777")*'All Fleet'!AT$5)*11.8%))-'All Fleet'!AT76)</f>
        <v>83.604000000000013</v>
      </c>
      <c r="AX21" s="181">
        <f>IF('All Fleet'!AU76="","",(((COUNTIFS('All Fleet'!$A$66:$A$74,"777")*'All Fleet'!AU$5)*11.8%))-'All Fleet'!AU76)</f>
        <v>94.932000000000016</v>
      </c>
      <c r="AY21" s="181">
        <f>IF('All Fleet'!AV76="","",(((COUNTIFS('All Fleet'!$A$66:$A$74,"777")*'All Fleet'!AV$5)*11.8%))-'All Fleet'!AV76)</f>
        <v>106.26000000000002</v>
      </c>
      <c r="AZ21" s="181">
        <f>IF('All Fleet'!AW76="","",(((COUNTIFS('All Fleet'!$A$66:$A$74,"777")*'All Fleet'!AW$5)*11.8%))-'All Fleet'!AW76)</f>
        <v>117.58800000000002</v>
      </c>
      <c r="BA21" s="181">
        <f>IF('All Fleet'!AX76="","",(((COUNTIFS('All Fleet'!$A$66:$A$74,"777")*'All Fleet'!AX$5)*11.8%))-'All Fleet'!AX76)</f>
        <v>122.83600000000003</v>
      </c>
      <c r="BB21" s="181">
        <f>IF('All Fleet'!AY76="","",(((COUNTIFS('All Fleet'!$A$66:$A$74,"777")*'All Fleet'!AY$5)*11.8%))-'All Fleet'!AY76)</f>
        <v>134.16400000000004</v>
      </c>
      <c r="BC21" s="181">
        <f>IF('All Fleet'!AZ76="","",(((COUNTIFS('All Fleet'!$A$66:$A$74,"777")*'All Fleet'!AZ$5)*11.8%))-'All Fleet'!AZ76)</f>
        <v>144.29200000000003</v>
      </c>
      <c r="BD21" s="181">
        <f>IF('All Fleet'!BA76="","",(((COUNTIFS('All Fleet'!$A$66:$A$74,"777")*'All Fleet'!BA$5)*11.8%))-'All Fleet'!BA76)</f>
        <v>144.32</v>
      </c>
      <c r="BE21" s="181">
        <f>IF('All Fleet'!BB76="","",(((COUNTIFS('All Fleet'!$A$66:$A$74,"777")*'All Fleet'!BB$5)*11.8%))-'All Fleet'!BB76)</f>
        <v>150.22800000000001</v>
      </c>
      <c r="BF21" s="181">
        <f>IF('All Fleet'!BC76="","",(((COUNTIFS('All Fleet'!$A$66:$A$74,"777")*'All Fleet'!BC$5)*11.8%))-'All Fleet'!BC76)</f>
        <v>117.08600000000001</v>
      </c>
      <c r="BG21" s="181">
        <f>IF('All Fleet'!BD76="","",(((COUNTIFS('All Fleet'!$A$66:$A$74,"777")*'All Fleet'!BD$5)*11.8%))-'All Fleet'!BD76)</f>
        <v>101.54400000000004</v>
      </c>
      <c r="BH21" s="181">
        <f>IF('All Fleet'!BE76="","",(((COUNTIFS('All Fleet'!$A$66:$A$74,"777")*'All Fleet'!BE$5)*11.8%))-'All Fleet'!BE76)</f>
        <v>111.74200000000002</v>
      </c>
      <c r="BI21" s="181">
        <f>IF('All Fleet'!BF76="","",(((COUNTIFS('All Fleet'!$A$66:$A$74,"777")*'All Fleet'!BF$5)*11.8%))-'All Fleet'!BF76)</f>
        <v>100.32000000000005</v>
      </c>
      <c r="BJ21" s="181">
        <f>IF('All Fleet'!BG76="","",(((COUNTIFS('All Fleet'!$A$66:$A$74,"777")*'All Fleet'!BG$5)*11.8%))-'All Fleet'!BG76)</f>
        <v>111.64800000000002</v>
      </c>
      <c r="BK21" s="181">
        <f>IF('All Fleet'!BH76="","",(((COUNTIFS('All Fleet'!$A$66:$A$74,"777")*'All Fleet'!BH$5)*11.8%))-'All Fleet'!BH76)</f>
        <v>122.976</v>
      </c>
      <c r="BL21" s="181">
        <f>IF('All Fleet'!BI76="","",(((COUNTIFS('All Fleet'!$A$66:$A$74,"777")*'All Fleet'!BI$5)*11.8%))-'All Fleet'!BI76)</f>
        <v>129.13400000000007</v>
      </c>
      <c r="BM21" s="181">
        <f>IF('All Fleet'!BJ76="","",(((COUNTIFS('All Fleet'!$A$66:$A$74,"777")*'All Fleet'!BJ$5)*11.8%))-'All Fleet'!BJ76)</f>
        <v>-4.8519999999999985</v>
      </c>
      <c r="BN21" s="181">
        <f>IF('All Fleet'!BK76="","",(((COUNTIFS('All Fleet'!$A$66:$A$74,"777")*'All Fleet'!BK$5)*11.8%))-'All Fleet'!BK76)</f>
        <v>-1.1939999999999991</v>
      </c>
      <c r="BO21" s="181">
        <f>IF('All Fleet'!BL76="","",(((COUNTIFS('All Fleet'!$A$66:$A$74,"777")*'All Fleet'!BL$5)*11.8%))-'All Fleet'!BL76)</f>
        <v>-7.6859999999999999</v>
      </c>
      <c r="BP21" s="181">
        <f>IF('All Fleet'!BM76="","",(((COUNTIFS('All Fleet'!$A$66:$A$74,"777")*'All Fleet'!BM$5)*11.8%))-'All Fleet'!BM76)</f>
        <v>-8.9780000000000015</v>
      </c>
      <c r="BQ21" s="181">
        <f>IF('All Fleet'!BN76="","",(((COUNTIFS('All Fleet'!$A$66:$A$74,"777")*'All Fleet'!BN$5)*11.8%))-'All Fleet'!BN76)</f>
        <v>-5.1499999999999986</v>
      </c>
      <c r="BR21" s="181">
        <f>IF('All Fleet'!BO76="","",(((COUNTIFS('All Fleet'!$A$66:$A$74,"777")*'All Fleet'!BO$5)*11.8%))-'All Fleet'!BO76)</f>
        <v>-28.742000000000019</v>
      </c>
      <c r="BS21" s="181">
        <f>IF('All Fleet'!BP76="","",(((COUNTIFS('All Fleet'!$A$66:$A$74,"777")*'All Fleet'!BP$5)*11.8%))-'All Fleet'!BP76)</f>
        <v>-36.754000000000005</v>
      </c>
      <c r="BT21" s="181">
        <f>IF('All Fleet'!BQ76="","",(((COUNTIFS('All Fleet'!$A$66:$A$74,"777")*'All Fleet'!BQ$5)*11.8%))-'All Fleet'!BQ76)</f>
        <v>-26.296000000000006</v>
      </c>
      <c r="BU21" s="181">
        <f>IF('All Fleet'!BR76="","",(((COUNTIFS('All Fleet'!$A$66:$A$74,"777")*'All Fleet'!BR$5)*11.8%))-'All Fleet'!BR76)</f>
        <v>-38.727999999999994</v>
      </c>
      <c r="BV21" s="181">
        <f>IF('All Fleet'!BS76="","",(((COUNTIFS('All Fleet'!$A$66:$A$74,"777")*'All Fleet'!BS$5)*11.8%))-'All Fleet'!BS76)</f>
        <v>-35.240000000000009</v>
      </c>
      <c r="BW21" s="181">
        <f>IF('All Fleet'!BT76="","",(((COUNTIFS('All Fleet'!$A$66:$A$74,"777")*'All Fleet'!BT$5)*11.8%))-'All Fleet'!BT76)</f>
        <v>-43.542000000000002</v>
      </c>
      <c r="BX21" s="181">
        <f>IF('All Fleet'!BU76="","",(((COUNTIFS('All Fleet'!$A$66:$A$74,"777")*'All Fleet'!BU$5)*11.8%))-'All Fleet'!BU76)</f>
        <v>-32.213999999999999</v>
      </c>
      <c r="BY21" s="181">
        <f>IF('All Fleet'!BV76="","",(((COUNTIFS('All Fleet'!$A$66:$A$74,"777")*'All Fleet'!BV$5)*11.8%))-'All Fleet'!BV76)</f>
        <v>-20.885999999999996</v>
      </c>
      <c r="BZ21" s="181">
        <f>IF('All Fleet'!BW76="","",(((COUNTIFS('All Fleet'!$A$66:$A$74,"777")*'All Fleet'!BW$5)*11.8%))-'All Fleet'!BW76)</f>
        <v>-9.5579999999999927</v>
      </c>
      <c r="CA21" s="181">
        <f>IF('All Fleet'!BX76="","",(((COUNTIFS('All Fleet'!$A$66:$A$74,"777")*'All Fleet'!BX$5)*11.8%))-'All Fleet'!BX76)</f>
        <v>-23.079999999999984</v>
      </c>
      <c r="CB21" s="181">
        <f>IF('All Fleet'!BY76="","",(((COUNTIFS('All Fleet'!$A$66:$A$74,"777")*'All Fleet'!BY$5)*11.8%))-'All Fleet'!BY76)</f>
        <v>-27.921999999999997</v>
      </c>
      <c r="CC21" s="181">
        <f>IF('All Fleet'!BZ76="","",(((COUNTIFS('All Fleet'!$A$66:$A$74,"777")*'All Fleet'!BZ$5)*11.8%))-'All Fleet'!BZ76)</f>
        <v>-16.593999999999994</v>
      </c>
      <c r="CD21" s="181">
        <f>IF('All Fleet'!CA76="","",(((COUNTIFS('All Fleet'!$A$66:$A$74,"777")*'All Fleet'!CA$5)*11.8%))-'All Fleet'!CA76)</f>
        <v>-5.5360000000000014</v>
      </c>
      <c r="CE21" s="181">
        <f>IF('All Fleet'!CB76="","",(((COUNTIFS('All Fleet'!$A$66:$A$74,"777")*'All Fleet'!CB$5)*11.8%))-'All Fleet'!CB76)</f>
        <v>4.6020000000000039</v>
      </c>
      <c r="CF21" s="181">
        <f>IF('All Fleet'!CC76="","",(((COUNTIFS('All Fleet'!$A$66:$A$74,"777")*'All Fleet'!CC$5)*11.8%))-'All Fleet'!CC76)</f>
        <v>0.60999999999998522</v>
      </c>
      <c r="CG21" s="181">
        <f>IF('All Fleet'!CD76="","",(((COUNTIFS('All Fleet'!$A$66:$A$74,"777")*'All Fleet'!CD$5)*11.8%))-'All Fleet'!CD76)</f>
        <v>11.937999999999988</v>
      </c>
      <c r="CH21" s="181">
        <f>IF('All Fleet'!CE76="","",(((COUNTIFS('All Fleet'!$A$66:$A$74,"777")*'All Fleet'!CE$5)*11.8%))-'All Fleet'!CE76)</f>
        <v>23.265999999999991</v>
      </c>
      <c r="CI21" s="181">
        <f>IF('All Fleet'!CF76="","",(((COUNTIFS('All Fleet'!$A$66:$A$74,"777")*'All Fleet'!CF$5)*11.8%))-'All Fleet'!CF76)</f>
        <v>17.994</v>
      </c>
      <c r="CJ21" s="181">
        <f>IF('All Fleet'!CG76="","",(((COUNTIFS('All Fleet'!$A$66:$A$74,"777")*'All Fleet'!CG$5)*11.8%))-'All Fleet'!CG76)</f>
        <v>29.321999999999974</v>
      </c>
      <c r="CK21" s="181">
        <f>IF('All Fleet'!CH76="","",(((COUNTIFS('All Fleet'!$A$66:$A$74,"777")*'All Fleet'!CH$5)*11.8%))-'All Fleet'!CH76)</f>
        <v>37.930000000000035</v>
      </c>
      <c r="CL21" s="181">
        <f>IF('All Fleet'!CI76="","",(((COUNTIFS('All Fleet'!$A$66:$A$74,"777")*'All Fleet'!CI$5)*11.8%))-'All Fleet'!CI76)</f>
        <v>27.238</v>
      </c>
      <c r="CM21" s="181">
        <f>IF('All Fleet'!CJ76="","",(((COUNTIFS('All Fleet'!$A$66:$A$74,"777")*'All Fleet'!CJ$5)*11.8%))-'All Fleet'!CJ76)</f>
        <v>23.215999999999951</v>
      </c>
      <c r="CN21" s="181">
        <f>IF('All Fleet'!CK76="","",(((COUNTIFS('All Fleet'!$A$66:$A$74,"777")*'All Fleet'!CK$5)*11.8%))-'All Fleet'!CK76)</f>
        <v>33.543999999999983</v>
      </c>
      <c r="CO21" s="181">
        <f>IF('All Fleet'!CL76="","",(((COUNTIFS('All Fleet'!$A$66:$A$74,"777")*'All Fleet'!CL$5)*11.8%))-'All Fleet'!CL76)</f>
        <v>43.43199999999996</v>
      </c>
      <c r="CP21" s="181">
        <f>IF('All Fleet'!CM76="","",(((COUNTIFS('All Fleet'!$A$66:$A$74,"777")*'All Fleet'!CM$5)*11.8%))-'All Fleet'!CM76)</f>
        <v>49.529999999999973</v>
      </c>
      <c r="CQ21" s="181">
        <f>IF('All Fleet'!CN76="","",(((COUNTIFS('All Fleet'!$A$66:$A$74,"777")*'All Fleet'!CN$5)*11.8%))-'All Fleet'!CN76)</f>
        <v>60.857999999999947</v>
      </c>
      <c r="CR21" s="181">
        <f>IF('All Fleet'!CO76="","",(((COUNTIFS('All Fleet'!$A$66:$A$74,"777")*'All Fleet'!CO$5)*11.8%))-'All Fleet'!CO76)</f>
        <v>-4.1919999999999984</v>
      </c>
      <c r="CS21" s="181">
        <f>IF('All Fleet'!CP76="","",(((COUNTIFS('All Fleet'!$A$66:$A$74,"777")*'All Fleet'!CP$5)*11.8%))-'All Fleet'!CP76)</f>
        <v>5.9560000000000031</v>
      </c>
      <c r="CT21" s="181">
        <f>IF('All Fleet'!CQ76="","",(((COUNTIFS('All Fleet'!$A$66:$A$74,"777")*'All Fleet'!CQ$5)*11.8%))-'All Fleet'!CQ76)</f>
        <v>13.614000000000001</v>
      </c>
      <c r="CU21" s="181">
        <f>IF('All Fleet'!CR76="","",(((COUNTIFS('All Fleet'!$A$66:$A$74,"777")*'All Fleet'!CR$5)*11.8%))-'All Fleet'!CR76)</f>
        <v>24.942000000000004</v>
      </c>
      <c r="CV21" s="181">
        <f>IF('All Fleet'!CS76="","",(((COUNTIFS('All Fleet'!$A$66:$A$74,"777")*'All Fleet'!CS$5)*11.8%))-'All Fleet'!CS76)</f>
        <v>24.349999999999994</v>
      </c>
      <c r="CW21" s="181">
        <f>IF('All Fleet'!CT76="","",(((COUNTIFS('All Fleet'!$A$66:$A$74,"777")*'All Fleet'!CT$5)*11.8%))-'All Fleet'!CT76)</f>
        <v>31.857999999999997</v>
      </c>
      <c r="CX21" s="181">
        <f>IF('All Fleet'!CU76="","",(((COUNTIFS('All Fleet'!$A$66:$A$74,"777")*'All Fleet'!CU$5)*11.8%))-'All Fleet'!CU76)</f>
        <v>43.186</v>
      </c>
      <c r="CY21" s="181">
        <f>IF('All Fleet'!CV76="","",(((COUNTIFS('All Fleet'!$A$66:$A$74,"777")*'All Fleet'!CV$5)*11.8%))-'All Fleet'!CV76)</f>
        <v>50.26400000000001</v>
      </c>
      <c r="CZ21" s="181">
        <f>IF('All Fleet'!CW76="","",(((COUNTIFS('All Fleet'!$A$66:$A$74,"777")*'All Fleet'!CW$5)*11.8%))-'All Fleet'!CW76)</f>
        <v>56.672000000000011</v>
      </c>
      <c r="DA21" s="181">
        <f>IF('All Fleet'!CX76="","",(((COUNTIFS('All Fleet'!$A$66:$A$74,"777")*'All Fleet'!CX$5)*11.8%))-'All Fleet'!CX76)</f>
        <v>31.42</v>
      </c>
      <c r="DB21" s="181">
        <f>IF('All Fleet'!CY76="","",(((COUNTIFS('All Fleet'!$A$66:$A$74,"777")*'All Fleet'!CY$5)*11.8%))-'All Fleet'!CY76)</f>
        <v>42.748000000000005</v>
      </c>
      <c r="DC21" s="181">
        <f>IF('All Fleet'!CZ76="","",(((COUNTIFS('All Fleet'!$A$66:$A$74,"777")*'All Fleet'!CZ$5)*11.8%))-'All Fleet'!CZ76)</f>
        <v>52.576000000000008</v>
      </c>
      <c r="DD21" s="181">
        <f>IF('All Fleet'!DA76="","",(((COUNTIFS('All Fleet'!$A$66:$A$74,"777")*'All Fleet'!DA$5)*11.8%))-'All Fleet'!DA76)</f>
        <v>62.374000000000009</v>
      </c>
      <c r="DE21" s="181">
        <f>IF('All Fleet'!DB76="","",(((COUNTIFS('All Fleet'!$A$66:$A$74,"777")*'All Fleet'!DB$5)*11.8%))-'All Fleet'!DB76)</f>
        <v>63.952000000000012</v>
      </c>
      <c r="DF21" s="181">
        <f>IF('All Fleet'!DC76="","",(((COUNTIFS('All Fleet'!$A$66:$A$74,"777")*'All Fleet'!DC$5)*11.8%))-'All Fleet'!DC76)</f>
        <v>64.660000000000011</v>
      </c>
      <c r="DG21" s="181">
        <f>IF('All Fleet'!DD76="","",(((COUNTIFS('All Fleet'!$A$66:$A$74,"777")*'All Fleet'!DD$5)*11.8%))-'All Fleet'!DD76)</f>
        <v>72.978000000000023</v>
      </c>
      <c r="DH21" s="181">
        <f>IF('All Fleet'!DE76="","",(((COUNTIFS('All Fleet'!$A$66:$A$74,"777")*'All Fleet'!DE$5)*11.8%))-'All Fleet'!DE76)</f>
        <v>63.086000000000041</v>
      </c>
      <c r="DI21" s="181">
        <f>IF('All Fleet'!DF76="","",(((COUNTIFS('All Fleet'!$A$66:$A$74,"777")*'All Fleet'!DF$5)*11.8%))-'All Fleet'!DF76)</f>
        <v>39.024000000000029</v>
      </c>
      <c r="DJ21" s="181">
        <f>IF('All Fleet'!DG76="","",(((COUNTIFS('All Fleet'!$A$66:$A$74,"777")*'All Fleet'!DG$5)*11.8%))-'All Fleet'!DG76)</f>
        <v>50.352000000000032</v>
      </c>
      <c r="DK21" s="181">
        <f>IF('All Fleet'!DH76="","",(((COUNTIFS('All Fleet'!$A$66:$A$74,"777")*'All Fleet'!DH$5)*11.8%))-'All Fleet'!DH76)</f>
        <v>59.330000000000013</v>
      </c>
      <c r="DL21" s="181">
        <f>IF('All Fleet'!DI76="","",(((COUNTIFS('All Fleet'!$A$66:$A$74,"777")*'All Fleet'!DI$5)*11.8%))-'All Fleet'!DI76)</f>
        <v>66.678000000000026</v>
      </c>
      <c r="DM21" s="181">
        <f>IF('All Fleet'!DJ76="","",(((COUNTIFS('All Fleet'!$A$66:$A$74,"777")*'All Fleet'!DJ$5)*11.8%))-'All Fleet'!DJ76)</f>
        <v>-101.56400000000002</v>
      </c>
      <c r="DN21" s="181">
        <f>IF('All Fleet'!DK76="","",(((COUNTIFS('All Fleet'!$A$66:$A$74,"777")*'All Fleet'!DK$5)*11.8%))-'All Fleet'!DK76)</f>
        <v>-90.23599999999999</v>
      </c>
      <c r="DO21" s="181">
        <f>IF('All Fleet'!DL76="","",(((COUNTIFS('All Fleet'!$A$66:$A$74,"777")*'All Fleet'!DL$5)*11.8%))-'All Fleet'!DL76)</f>
        <v>-80.258000000000038</v>
      </c>
      <c r="DP21" s="181">
        <f>IF('All Fleet'!DM76="","",(((COUNTIFS('All Fleet'!$A$66:$A$74,"777")*'All Fleet'!DM$5)*11.8%))-'All Fleet'!DM76)</f>
        <v>-76.95999999999998</v>
      </c>
      <c r="DQ21" s="181">
        <f>IF('All Fleet'!DN76="","",(((COUNTIFS('All Fleet'!$A$66:$A$74,"777")*'All Fleet'!DN$5)*11.8%))-'All Fleet'!DN76)</f>
        <v>-69.911999999999978</v>
      </c>
      <c r="DR21" s="181">
        <f>IF('All Fleet'!DO76="","",(((COUNTIFS('All Fleet'!$A$66:$A$74,"777")*'All Fleet'!DO$5)*11.8%))-'All Fleet'!DO76)</f>
        <v>-58.584000000000003</v>
      </c>
      <c r="DS21" s="181">
        <f>IF('All Fleet'!DP76="","",(((COUNTIFS('All Fleet'!$A$66:$A$74,"777")*'All Fleet'!DP$5)*11.8%))-'All Fleet'!DP76)</f>
        <v>-49.365999999999929</v>
      </c>
      <c r="DT21" s="181">
        <f>IF('All Fleet'!DQ76="","",(((COUNTIFS('All Fleet'!$A$66:$A$74,"777")*'All Fleet'!DQ$5)*11.8%))-'All Fleet'!DQ76)</f>
        <v>-41.387999999999977</v>
      </c>
      <c r="DU21" s="181">
        <f>IF('All Fleet'!DR76="","",(((COUNTIFS('All Fleet'!$A$66:$A$74,"777")*'All Fleet'!DR$5)*11.8%))-'All Fleet'!DR76)</f>
        <v>-30.42999999999995</v>
      </c>
      <c r="DV21" s="181">
        <f>IF('All Fleet'!DS76="","",(((COUNTIFS('All Fleet'!$A$66:$A$74,"777")*'All Fleet'!DS$5)*11.8%))-'All Fleet'!DS76)</f>
        <v>9.1080000000000005</v>
      </c>
      <c r="DW21" s="181">
        <f>IF('All Fleet'!DT76="","",(((COUNTIFS('All Fleet'!$A$66:$A$74,"777")*'All Fleet'!DT$5)*11.8%))-'All Fleet'!DT76)</f>
        <v>11.856000000000003</v>
      </c>
      <c r="DX21" s="181">
        <f>IF('All Fleet'!DU76="","",(((COUNTIFS('All Fleet'!$A$66:$A$74,"777")*'All Fleet'!DU$5)*11.8%))-'All Fleet'!DU76)</f>
        <v>9.0140000000000029</v>
      </c>
      <c r="DY21" s="181">
        <f>IF('All Fleet'!DV76="","",(((COUNTIFS('All Fleet'!$A$66:$A$74,"777")*'All Fleet'!DV$5)*11.8%))-'All Fleet'!DV76)</f>
        <v>9.402000000000001</v>
      </c>
      <c r="DZ21" s="181">
        <f>IF('All Fleet'!DW76="","",(((COUNTIFS('All Fleet'!$A$66:$A$74,"777")*'All Fleet'!DW$5)*11.8%))-'All Fleet'!DW76)</f>
        <v>-21.100000000000009</v>
      </c>
      <c r="EA21" s="181">
        <f>IF('All Fleet'!DX76="","",(((COUNTIFS('All Fleet'!$A$66:$A$74,"777")*'All Fleet'!DX$5)*11.8%))-'All Fleet'!DX76)</f>
        <v>-9.7720000000000056</v>
      </c>
      <c r="EB21" s="181">
        <f>IF('All Fleet'!DY76="","",(((COUNTIFS('All Fleet'!$A$66:$A$74,"777")*'All Fleet'!DY$5)*11.8%))-'All Fleet'!DY76)</f>
        <v>1.5559999999999974</v>
      </c>
      <c r="EC21" s="181">
        <f>IF('All Fleet'!DZ76="","",(((COUNTIFS('All Fleet'!$A$66:$A$74,"777")*'All Fleet'!DZ$5)*11.8%))-'All Fleet'!DZ76)</f>
        <v>2.2439999999999998</v>
      </c>
      <c r="ED21" s="181">
        <f>IF('All Fleet'!EA76="","",(((COUNTIFS('All Fleet'!$A$66:$A$74,"777")*'All Fleet'!EA$5)*11.8%))-'All Fleet'!EA76)</f>
        <v>8.54200000000003</v>
      </c>
      <c r="EE21" s="181">
        <f>IF('All Fleet'!EB76="","",(((COUNTIFS('All Fleet'!$A$66:$A$74,"777")*'All Fleet'!EB$5)*11.8%))-'All Fleet'!EB76)</f>
        <v>11.950000000000017</v>
      </c>
      <c r="EF21" s="181">
        <f>IF('All Fleet'!EC76="","",(((COUNTIFS('All Fleet'!$A$66:$A$74,"777")*'All Fleet'!EC$5)*11.8%))-'All Fleet'!EC76)</f>
        <v>11.078000000000017</v>
      </c>
      <c r="EG21" s="181">
        <f>IF('All Fleet'!ED76="","",(((COUNTIFS('All Fleet'!$A$66:$A$74,"777")*'All Fleet'!ED$5)*11.8%))-'All Fleet'!ED76)</f>
        <v>22.40600000000002</v>
      </c>
      <c r="EH21" s="181">
        <f>IF('All Fleet'!EE76="","",(((COUNTIFS('All Fleet'!$A$66:$A$74,"777")*'All Fleet'!EE$5)*11.8%))-'All Fleet'!EE76)</f>
        <v>21.434000000000012</v>
      </c>
      <c r="EI21" s="181">
        <f>IF('All Fleet'!EF76="","",(((COUNTIFS('All Fleet'!$A$66:$A$74,"777")*'All Fleet'!EF$5)*11.8%))-'All Fleet'!EF76)</f>
        <v>24.912000000000006</v>
      </c>
      <c r="EJ21" s="181">
        <f>IF('All Fleet'!EG76="","",(((COUNTIFS('All Fleet'!$A$66:$A$74,"777")*'All Fleet'!EG$5)*11.8%))-'All Fleet'!EG76)</f>
        <v>-8.5999999999999943</v>
      </c>
      <c r="EK21" s="181">
        <f>IF('All Fleet'!EH76="","",(((COUNTIFS('All Fleet'!$A$66:$A$74,"777")*'All Fleet'!EH$5)*11.8%))-'All Fleet'!EH76)</f>
        <v>-7.4319999999999595</v>
      </c>
      <c r="EL21" s="181">
        <f>IF('All Fleet'!EI76="","",(((COUNTIFS('All Fleet'!$A$66:$A$74,"777")*'All Fleet'!EI$5)*11.8%))-'All Fleet'!EI76)</f>
        <v>-14.623999999999995</v>
      </c>
      <c r="EM21" s="181">
        <f>IF('All Fleet'!EJ76="","",(((COUNTIFS('All Fleet'!$A$66:$A$74,"777")*'All Fleet'!EJ$5)*11.8%))-'All Fleet'!EJ76)</f>
        <v>-3.2959999999999923</v>
      </c>
      <c r="EN21" s="181">
        <f>IF('All Fleet'!EK76="","",(((COUNTIFS('All Fleet'!$A$66:$A$74,"777")*'All Fleet'!EK$5)*11.8%))-'All Fleet'!EK76)</f>
        <v>8.0320000000000107</v>
      </c>
      <c r="EO21" s="181">
        <f>IF('All Fleet'!EL76="","",(((COUNTIFS('All Fleet'!$A$66:$A$74,"777")*'All Fleet'!EL$5)*11.8%))-'All Fleet'!EL76)</f>
        <v>-4.6400000000000148</v>
      </c>
      <c r="EP21" s="181">
        <f>IF('All Fleet'!EM76="","",(((COUNTIFS('All Fleet'!$A$66:$A$74,"777")*'All Fleet'!EM$5)*11.8%))-'All Fleet'!EM76)</f>
        <v>-20.361999999999995</v>
      </c>
      <c r="EQ21" s="181">
        <f>IF('All Fleet'!EN76="","",(((COUNTIFS('All Fleet'!$A$66:$A$74,"777")*'All Fleet'!EN$5)*11.8%))-'All Fleet'!EN76)</f>
        <v>-41.533999999999992</v>
      </c>
      <c r="ER21" s="181">
        <f>IF('All Fleet'!EO76="","",(((COUNTIFS('All Fleet'!$A$66:$A$74,"777")*'All Fleet'!EO$5)*11.8%))-'All Fleet'!EO76)</f>
        <v>-43.805999999999983</v>
      </c>
      <c r="ES21" s="181">
        <f>IF('All Fleet'!EP76="","",(((COUNTIFS('All Fleet'!$A$66:$A$74,"777")*'All Fleet'!EP$5)*11.8%))-'All Fleet'!EP76)</f>
        <v>-39.507999999999981</v>
      </c>
      <c r="ET21" s="181">
        <f>IF('All Fleet'!EQ76="","",(((COUNTIFS('All Fleet'!$A$66:$A$74,"777")*'All Fleet'!EQ$5)*11.8%))-'All Fleet'!EQ76)</f>
        <v>-34.149999999999977</v>
      </c>
      <c r="EU21" s="181">
        <f>IF('All Fleet'!ER76="","",(((COUNTIFS('All Fleet'!$A$66:$A$74,"777")*'All Fleet'!ER$5)*11.8%))-'All Fleet'!ER76)</f>
        <v>-22.822000000000003</v>
      </c>
      <c r="EV21" s="181">
        <f>IF('All Fleet'!ES76="","",(((COUNTIFS('All Fleet'!$A$66:$A$74,"777")*'All Fleet'!ES$5)*11.8%))-'All Fleet'!ES76)</f>
        <v>-29.104000000000042</v>
      </c>
      <c r="EW21" s="181">
        <f>IF('All Fleet'!ET76="","",(((COUNTIFS('All Fleet'!$A$66:$A$74,"777")*'All Fleet'!ET$5)*11.8%))-'All Fleet'!ET76)</f>
        <v>-35.425999999999988</v>
      </c>
      <c r="EX21" s="181">
        <f>IF('All Fleet'!EU76="","",(((COUNTIFS('All Fleet'!$A$66:$A$74,"777")*'All Fleet'!EU$5)*11.8%))-'All Fleet'!EU76)</f>
        <v>-27.098000000000013</v>
      </c>
      <c r="EY21" s="181">
        <f>IF('All Fleet'!EV76="","",(((COUNTIFS('All Fleet'!$A$66:$A$74,"777")*'All Fleet'!EV$5)*11.8%))-'All Fleet'!EV76)</f>
        <v>-15.769999999999982</v>
      </c>
      <c r="EZ21" s="181">
        <f>IF('All Fleet'!EW76="","",(((COUNTIFS('All Fleet'!$A$66:$A$74,"777")*'All Fleet'!EW$5)*11.8%))-'All Fleet'!EW76)</f>
        <v>-4.4420000000000073</v>
      </c>
      <c r="FA21" s="181">
        <f>IF('All Fleet'!EX76="","",(((COUNTIFS('All Fleet'!$A$66:$A$74,"777")*'All Fleet'!EX$5)*11.8%))-'All Fleet'!EX76)</f>
        <v>11.328000000000001</v>
      </c>
      <c r="FB21" s="181">
        <f>IF('All Fleet'!EY76="","",(((COUNTIFS('All Fleet'!$A$66:$A$74,"777")*'All Fleet'!EY$5)*11.8%))-'All Fleet'!EY76)</f>
        <v>22.656000000000002</v>
      </c>
      <c r="FC21" s="181">
        <f>IF('All Fleet'!EZ76="","",(((COUNTIFS('All Fleet'!$A$66:$A$74,"777")*'All Fleet'!EZ$5)*11.8%))-'All Fleet'!EZ76)</f>
        <v>33.984000000000002</v>
      </c>
      <c r="FD21" s="181">
        <f>IF('All Fleet'!FA76="","",(((COUNTIFS('All Fleet'!$A$66:$A$74,"777")*'All Fleet'!FA$5)*11.8%))-'All Fleet'!FA76)</f>
        <v>45.312000000000005</v>
      </c>
      <c r="FE21" s="181">
        <f>IF('All Fleet'!FB76="","",(((COUNTIFS('All Fleet'!$A$66:$A$74,"777")*'All Fleet'!FB$5)*11.8%))-'All Fleet'!FB76)</f>
        <v>56.64</v>
      </c>
      <c r="FF21" s="181">
        <f>IF('All Fleet'!FC76="","",(((COUNTIFS('All Fleet'!$A$66:$A$74,"777")*'All Fleet'!FC$5)*11.8%))-'All Fleet'!FC76)</f>
        <v>67.968000000000004</v>
      </c>
      <c r="FG21" s="181">
        <f>IF('All Fleet'!FD76="","",(((COUNTIFS('All Fleet'!$A$66:$A$74,"777")*'All Fleet'!FD$5)*11.8%))-'All Fleet'!FD76)</f>
        <v>51.056000000000004</v>
      </c>
      <c r="FH21" s="181">
        <f>IF('All Fleet'!FE76="","",(((COUNTIFS('All Fleet'!$A$66:$A$74,"777")*'All Fleet'!FE$5)*11.8%))-'All Fleet'!FE76)</f>
        <v>30.134</v>
      </c>
      <c r="FI21" s="181">
        <f>IF('All Fleet'!FF76="","",(((COUNTIFS('All Fleet'!$A$66:$A$74,"777")*'All Fleet'!FF$5)*11.8%))-'All Fleet'!FF76)</f>
        <v>40.962000000000003</v>
      </c>
      <c r="FJ21" s="181">
        <f>IF('All Fleet'!FG76="","",(((COUNTIFS('All Fleet'!$A$66:$A$74,"777")*'All Fleet'!FG$5)*11.8%))-'All Fleet'!FG76)</f>
        <v>40.740000000000009</v>
      </c>
      <c r="FK21" s="181">
        <f>IF('All Fleet'!FH76="","",(((COUNTIFS('All Fleet'!$A$66:$A$74,"777")*'All Fleet'!FH$5)*11.8%))-'All Fleet'!FH76)</f>
        <v>44.998000000000005</v>
      </c>
      <c r="FL21" s="181">
        <f>IF('All Fleet'!FI76="","",(((COUNTIFS('All Fleet'!$A$66:$A$74,"777")*'All Fleet'!FI$5)*11.8%))-'All Fleet'!FI76)</f>
        <v>54.946000000000012</v>
      </c>
      <c r="FM21" s="181">
        <f>IF('All Fleet'!FJ76="","",(((COUNTIFS('All Fleet'!$A$66:$A$74,"777")*'All Fleet'!FJ$5)*11.8%))-'All Fleet'!FJ76)</f>
        <v>63.624000000000009</v>
      </c>
      <c r="FN21" s="181">
        <f>IF('All Fleet'!FK76="","",(((COUNTIFS('All Fleet'!$A$66:$A$74,"777")*'All Fleet'!FK$5)*11.8%))-'All Fleet'!FK76)</f>
        <v>74.952000000000012</v>
      </c>
      <c r="FO21" s="181">
        <f>IF('All Fleet'!FL76="","",(((COUNTIFS('All Fleet'!$A$66:$A$74,"777")*'All Fleet'!FL$5)*11.8%))-'All Fleet'!FL76)</f>
        <v>81.710000000000022</v>
      </c>
      <c r="FP21" s="181">
        <f>IF('All Fleet'!FM76="","",(((COUNTIFS('All Fleet'!$A$66:$A$74,"777")*'All Fleet'!FM$5)*11.8%))-'All Fleet'!FM76)</f>
        <v>78.308000000000021</v>
      </c>
      <c r="FQ21" s="181">
        <f>IF('All Fleet'!FN76="","",(((COUNTIFS('All Fleet'!$A$66:$A$74,"777")*'All Fleet'!FN$5)*11.8%))-'All Fleet'!FN76)</f>
        <v>89.636000000000024</v>
      </c>
      <c r="FR21" s="181">
        <f>IF('All Fleet'!FO76="","",(((COUNTIFS('All Fleet'!$A$66:$A$74,"777")*'All Fleet'!FO$5)*11.8%))-'All Fleet'!FO76)</f>
        <v>95.39400000000002</v>
      </c>
      <c r="FS21" s="181">
        <f>IF('All Fleet'!FP76="","",(((COUNTIFS('All Fleet'!$A$66:$A$74,"777")*'All Fleet'!FP$5)*11.8%))-'All Fleet'!FP76)</f>
        <v>106.72200000000002</v>
      </c>
      <c r="FT21" s="181">
        <f>IF('All Fleet'!FQ76="","",(((COUNTIFS('All Fleet'!$A$66:$A$74,"777")*'All Fleet'!FQ$5)*11.8%))-'All Fleet'!FQ76)</f>
        <v>117.29</v>
      </c>
      <c r="FU21" s="181">
        <f>IF('All Fleet'!FR76="","",(((COUNTIFS('All Fleet'!$A$66:$A$74,"777")*'All Fleet'!FR$5)*11.8%))-'All Fleet'!FR76)</f>
        <v>128.61799999999999</v>
      </c>
      <c r="FV21" s="181">
        <f>IF('All Fleet'!FS76="","",(((COUNTIFS('All Fleet'!$A$66:$A$74,"777")*'All Fleet'!FS$5)*11.8%))-'All Fleet'!FS76)</f>
        <v>121.846</v>
      </c>
      <c r="FW21" s="181">
        <f>IF('All Fleet'!FT76="","",(((COUNTIFS('All Fleet'!$A$66:$A$74,"777")*'All Fleet'!FT$5)*11.8%))-'All Fleet'!FT76)</f>
        <v>94.494000000000028</v>
      </c>
      <c r="FX21" s="181">
        <f>IF('All Fleet'!FU76="","",(((COUNTIFS('All Fleet'!$A$66:$A$74,"777")*'All Fleet'!FU$5)*11.8%))-'All Fleet'!FU76)</f>
        <v>105.822</v>
      </c>
      <c r="FY21" s="181">
        <f>IF('All Fleet'!FV76="","",(((COUNTIFS('All Fleet'!$A$66:$A$74,"777")*'All Fleet'!FV$5)*11.8%))-'All Fleet'!FV76)</f>
        <v>112.02000000000004</v>
      </c>
      <c r="FZ21" s="181">
        <f>IF('All Fleet'!FW76="","",(((COUNTIFS('All Fleet'!$A$66:$A$74,"777")*'All Fleet'!FW$5)*11.8%))-'All Fleet'!FW76)</f>
        <v>110.12800000000001</v>
      </c>
      <c r="GA21" s="181">
        <f>IF('All Fleet'!FX76="","",(((COUNTIFS('All Fleet'!$A$66:$A$74,"777")*'All Fleet'!FX$5)*11.8%))-'All Fleet'!FX76)</f>
        <v>118.54599999999999</v>
      </c>
      <c r="GB21" s="181">
        <f>IF('All Fleet'!FY76="","",(((COUNTIFS('All Fleet'!$A$66:$A$74,"777")*'All Fleet'!FY$5)*11.8%))-'All Fleet'!FY76)</f>
        <v>129.87400000000002</v>
      </c>
      <c r="GC21" s="181">
        <f>IF('All Fleet'!FZ76="","",(((COUNTIFS('All Fleet'!$A$66:$A$74,"777")*'All Fleet'!FZ$5)*11.8%))-'All Fleet'!FZ76)</f>
        <v>141.02199999999999</v>
      </c>
      <c r="GD21" s="181">
        <f>IF('All Fleet'!GA76="","",(((COUNTIFS('All Fleet'!$A$66:$A$74,"777")*'All Fleet'!GA$5)*11.8%))-'All Fleet'!GA76)</f>
        <v>111.55000000000001</v>
      </c>
      <c r="GE21" s="181">
        <f>IF('All Fleet'!GB76="","",(((COUNTIFS('All Fleet'!$A$66:$A$74,"777")*'All Fleet'!GB$5)*11.8%))-'All Fleet'!GB76)</f>
        <v>-11.001999999999997</v>
      </c>
      <c r="GF21" s="181">
        <f>IF('All Fleet'!GC76="","",(((COUNTIFS('All Fleet'!$A$66:$A$74,"777")*'All Fleet'!GC$5)*11.8%))-'All Fleet'!GC76)</f>
        <v>0.32600000000000406</v>
      </c>
      <c r="GG21" s="181">
        <f>IF('All Fleet'!GD76="","",(((COUNTIFS('All Fleet'!$A$66:$A$74,"777")*'All Fleet'!GD$5)*11.8%))-'All Fleet'!GD76)</f>
        <v>11.654000000000003</v>
      </c>
      <c r="GH21" s="181">
        <f>IF('All Fleet'!GE76="","",(((COUNTIFS('All Fleet'!$A$66:$A$74,"777")*'All Fleet'!GE$5)*11.8%))-'All Fleet'!GE76)</f>
        <v>20.532000000000007</v>
      </c>
      <c r="GI21" s="181">
        <f>IF('All Fleet'!GF76="","",(((COUNTIFS('All Fleet'!$A$66:$A$74,"777")*'All Fleet'!GF$5)*11.8%))-'All Fleet'!GF76)</f>
        <v>19.829999999999998</v>
      </c>
      <c r="GJ21" s="181">
        <f>IF('All Fleet'!GG76="","",(((COUNTIFS('All Fleet'!$A$66:$A$74,"777")*'All Fleet'!GG$5)*11.8%))-'All Fleet'!GG76)</f>
        <v>29.498000000000005</v>
      </c>
      <c r="GK21" s="181">
        <f>IF('All Fleet'!GH76="","",(((COUNTIFS('All Fleet'!$A$66:$A$74,"777")*'All Fleet'!GH$5)*11.8%))-'All Fleet'!GH76)</f>
        <v>40.826000000000008</v>
      </c>
      <c r="GL21" s="181">
        <f>IF('All Fleet'!GI76="","",(((COUNTIFS('All Fleet'!$A$66:$A$74,"777")*'All Fleet'!GI$5)*11.8%))-'All Fleet'!GI76)</f>
        <v>46.924000000000007</v>
      </c>
      <c r="GM21" s="181">
        <f>IF('All Fleet'!GJ76="","",(((COUNTIFS('All Fleet'!$A$66:$A$74,"777")*'All Fleet'!GJ$5)*11.8%))-'All Fleet'!GJ76)</f>
        <v>53.872000000000014</v>
      </c>
      <c r="GN21" s="181">
        <f>IF('All Fleet'!GK76="","",(((COUNTIFS('All Fleet'!$A$66:$A$74,"777")*'All Fleet'!GK$5)*11.8%))-'All Fleet'!GK76)</f>
        <v>58.88</v>
      </c>
      <c r="GO21" s="181">
        <f>IF('All Fleet'!GL76="","",(((COUNTIFS('All Fleet'!$A$66:$A$74,"777")*'All Fleet'!GL$5)*11.8%))-'All Fleet'!GL76)</f>
        <v>70.207999999999998</v>
      </c>
      <c r="GP21" s="181">
        <f>IF('All Fleet'!GM76="","",(((COUNTIFS('All Fleet'!$A$66:$A$74,"777")*'All Fleet'!GM$5)*11.8%))-'All Fleet'!GM76)</f>
        <v>81.536000000000001</v>
      </c>
      <c r="GQ21" s="181">
        <f>IF('All Fleet'!GN76="","",(((COUNTIFS('All Fleet'!$A$66:$A$74,"777")*'All Fleet'!GN$5)*11.8%))-'All Fleet'!GN76)</f>
        <v>92.864000000000004</v>
      </c>
      <c r="GR21" s="181">
        <f>IF('All Fleet'!GO76="","",(((COUNTIFS('All Fleet'!$A$66:$A$74,"777")*'All Fleet'!GO$5)*11.8%))-'All Fleet'!GO76)</f>
        <v>104.19200000000001</v>
      </c>
      <c r="GS21" s="181">
        <f>IF('All Fleet'!GP76="","",(((COUNTIFS('All Fleet'!$A$66:$A$74,"777")*'All Fleet'!GP$5)*11.8%))-'All Fleet'!GP76)</f>
        <v>115.52000000000001</v>
      </c>
      <c r="GT21" s="181">
        <f>IF('All Fleet'!GQ76="","",(((COUNTIFS('All Fleet'!$A$66:$A$74,"777")*'All Fleet'!GQ$5)*11.8%))-'All Fleet'!GQ76)</f>
        <v>123.64800000000002</v>
      </c>
      <c r="GU21" s="181">
        <f>IF('All Fleet'!GR76="","",(((COUNTIFS('All Fleet'!$A$66:$A$74,"777")*'All Fleet'!GR$5)*11.8%))-'All Fleet'!GR76)</f>
        <v>126.84600000000003</v>
      </c>
      <c r="GV21" s="181">
        <f>IF('All Fleet'!GS76="","",(((COUNTIFS('All Fleet'!$A$66:$A$74,"777")*'All Fleet'!GS$5)*11.8%))-'All Fleet'!GS76)</f>
        <v>138.17400000000004</v>
      </c>
      <c r="GW21" s="181">
        <f>IF('All Fleet'!GT76="","",(((COUNTIFS('All Fleet'!$A$66:$A$74,"777")*'All Fleet'!GT$5)*11.8%))-'All Fleet'!GT76)</f>
        <v>142.05200000000002</v>
      </c>
      <c r="GX21" s="181">
        <f>IF('All Fleet'!GU76="","",(((COUNTIFS('All Fleet'!$A$66:$A$74,"777")*'All Fleet'!GU$5)*11.8%))-'All Fleet'!GU76)</f>
        <v>153.38</v>
      </c>
      <c r="GY21" s="181">
        <f>IF('All Fleet'!GV76="","",(((COUNTIFS('All Fleet'!$A$66:$A$74,"777")*'All Fleet'!GV$5)*11.8%))-'All Fleet'!GV76)</f>
        <v>11.358000000000033</v>
      </c>
      <c r="GZ21" s="181">
        <f>IF('All Fleet'!GW76="","",(((COUNTIFS('All Fleet'!$A$66:$A$74,"777")*'All Fleet'!GW$5)*11.8%))-'All Fleet'!GW76)</f>
        <v>15.066000000000031</v>
      </c>
      <c r="HA21" s="181">
        <f>IF('All Fleet'!GX76="","",(((COUNTIFS('All Fleet'!$A$66:$A$74,"777")*'All Fleet'!GX$5)*11.8%))-'All Fleet'!GX76)</f>
        <v>26.394000000000062</v>
      </c>
      <c r="HB21" s="181">
        <f>IF('All Fleet'!GY76="","",(((COUNTIFS('All Fleet'!$A$66:$A$74,"777")*'All Fleet'!GY$5)*11.8%))-'All Fleet'!GY76)</f>
        <v>37.722000000000037</v>
      </c>
      <c r="HC21" s="181">
        <f>IF('All Fleet'!GZ76="","",(((COUNTIFS('All Fleet'!$A$66:$A$74,"777")*'All Fleet'!GZ$5)*11.8%))-'All Fleet'!GZ76)</f>
        <v>49.050000000000068</v>
      </c>
      <c r="HD21" s="181">
        <f>IF('All Fleet'!HA76="","",(((COUNTIFS('All Fleet'!$A$66:$A$74,"777")*'All Fleet'!HA$5)*11.8%))-'All Fleet'!HA76)</f>
        <v>60.378000000000043</v>
      </c>
      <c r="HE21" s="181">
        <f>IF('All Fleet'!HB76="","",(((COUNTIFS('All Fleet'!$A$66:$A$74,"777")*'All Fleet'!HB$5)*11.8%))-'All Fleet'!HB76)</f>
        <v>-73.394000000000005</v>
      </c>
      <c r="HF21" s="181">
        <f>IF('All Fleet'!HC76="","",(((COUNTIFS('All Fleet'!$A$66:$A$74,"777")*'All Fleet'!HC$5)*11.8%))-'All Fleet'!HC76)</f>
        <v>-62.065999999999974</v>
      </c>
      <c r="HG21" s="181">
        <f>IF('All Fleet'!HD76="","",(((COUNTIFS('All Fleet'!$A$66:$A$74,"777")*'All Fleet'!HD$5)*11.8%))-'All Fleet'!HD76)</f>
        <v>-50.738</v>
      </c>
      <c r="HH21" s="181">
        <f>IF('All Fleet'!HE76="","",(((COUNTIFS('All Fleet'!$A$66:$A$74,"777")*'All Fleet'!HE$5)*11.8%))-'All Fleet'!HE76)</f>
        <v>-39.409999999999968</v>
      </c>
      <c r="HI21" s="181">
        <f>IF('All Fleet'!HF76="","",(((COUNTIFS('All Fleet'!$A$66:$A$74,"777")*'All Fleet'!HF$5)*11.8%))-'All Fleet'!HF76)</f>
        <v>-28.081999999999994</v>
      </c>
      <c r="HJ21" s="181">
        <f>IF('All Fleet'!HG76="","",(((COUNTIFS('All Fleet'!$A$66:$A$74,"777")*'All Fleet'!HG$5)*11.8%))-'All Fleet'!HG76)</f>
        <v>11.328000000000001</v>
      </c>
      <c r="HK21" s="181">
        <f>IF('All Fleet'!HH76="","",(((COUNTIFS('All Fleet'!$A$66:$A$74,"777")*'All Fleet'!HH$5)*11.8%))-'All Fleet'!HH76)</f>
        <v>22.656000000000002</v>
      </c>
      <c r="HL21" s="181">
        <f>IF('All Fleet'!HI76="","",(((COUNTIFS('All Fleet'!$A$66:$A$74,"777")*'All Fleet'!HI$5)*11.8%))-'All Fleet'!HI76)</f>
        <v>33.984000000000002</v>
      </c>
      <c r="HM21" s="181">
        <f>IF('All Fleet'!HJ76="","",(((COUNTIFS('All Fleet'!$A$66:$A$74,"777")*'All Fleet'!HJ$5)*11.8%))-'All Fleet'!HJ76)</f>
        <v>45.24644444444445</v>
      </c>
      <c r="HN21" s="181">
        <f>IF('All Fleet'!HK76="","",(((COUNTIFS('All Fleet'!$A$66:$A$74,"777")*'All Fleet'!HK$5)*11.8%))-'All Fleet'!HK76)</f>
        <v>35.204722222222223</v>
      </c>
      <c r="HO21" s="181">
        <f>IF('All Fleet'!HL76="","",(((COUNTIFS('All Fleet'!$A$66:$A$74,"777")*'All Fleet'!HL$5)*11.8%))-'All Fleet'!HL76)</f>
        <v>22.532722222222226</v>
      </c>
      <c r="HP21" s="181">
        <f>IF('All Fleet'!HM76="","",(((COUNTIFS('All Fleet'!$A$66:$A$74,"777")*'All Fleet'!HM$5)*11.8%))-'All Fleet'!HM76)</f>
        <v>5.4126666666666665</v>
      </c>
      <c r="HQ21" s="181">
        <f>IF('All Fleet'!HN76="","",(((COUNTIFS('All Fleet'!$A$66:$A$74,"777")*'All Fleet'!HN$5)*11.8%))-'All Fleet'!HN76)</f>
        <v>14.38900000000001</v>
      </c>
      <c r="HR21" s="181">
        <f>IF('All Fleet'!HO76="","",(((COUNTIFS('All Fleet'!$A$66:$A$74,"777")*'All Fleet'!HO$5)*11.8%))-'All Fleet'!HO76)</f>
        <v>25.717000000000013</v>
      </c>
      <c r="HS21" s="181">
        <f>IF('All Fleet'!HP76="","",(((COUNTIFS('All Fleet'!$A$66:$A$74,"777")*'All Fleet'!HP$5)*11.8%))-'All Fleet'!HP76)</f>
        <v>37.045000000000002</v>
      </c>
      <c r="HT21" s="181">
        <f>IF('All Fleet'!HQ76="","",(((COUNTIFS('All Fleet'!$A$66:$A$74,"777")*'All Fleet'!HQ$5)*11.8%))-'All Fleet'!HQ76)</f>
        <v>44.339666666666673</v>
      </c>
      <c r="HU21" s="181">
        <f>IF('All Fleet'!HR76="","",(((COUNTIFS('All Fleet'!$A$66:$A$74,"777")*'All Fleet'!HR$5)*11.8%))-'All Fleet'!HR76)</f>
        <v>55.667666666666676</v>
      </c>
      <c r="HV21" s="181">
        <f>IF('All Fleet'!HS76="","",(((COUNTIFS('All Fleet'!$A$66:$A$74,"777")*'All Fleet'!HS$5)*11.8%))-'All Fleet'!HS76)</f>
        <v>24.490944444444452</v>
      </c>
      <c r="HW21" s="181">
        <f>IF('All Fleet'!HT76="","",(((COUNTIFS('All Fleet'!$A$66:$A$74,"777")*'All Fleet'!HT$5)*11.8%))-'All Fleet'!HT76)</f>
        <v>11.818944444444469</v>
      </c>
      <c r="HX21" s="181">
        <f>IF('All Fleet'!HU76="","",(((COUNTIFS('All Fleet'!$A$66:$A$74,"777")*'All Fleet'!HU$5)*11.8%))-'All Fleet'!HU76)</f>
        <v>-0.85305555555552814</v>
      </c>
      <c r="HY21" s="181">
        <f>IF('All Fleet'!HV76="","",(((COUNTIFS('All Fleet'!$A$66:$A$74,"777")*'All Fleet'!HV$5)*11.8%))-'All Fleet'!HV76)</f>
        <v>-12.033666666666647</v>
      </c>
      <c r="HZ21" s="181">
        <f>IF('All Fleet'!HW76="","",(((COUNTIFS('All Fleet'!$A$66:$A$74,"777")*'All Fleet'!HW$5)*11.8%))-'All Fleet'!HW76)</f>
        <v>-4.415666666666624</v>
      </c>
      <c r="IA21" s="181">
        <f>IF('All Fleet'!HX76="","",(((COUNTIFS('All Fleet'!$A$66:$A$74,"777")*'All Fleet'!HX$5)*11.8%))-'All Fleet'!HX76)</f>
        <v>-11.088777777777722</v>
      </c>
      <c r="IB21" s="181">
        <f>IF('All Fleet'!HY76="","",(((COUNTIFS('All Fleet'!$A$66:$A$74,"777")*'All Fleet'!HY$5)*11.8%))-'All Fleet'!HY76)</f>
        <v>-27.349111111111085</v>
      </c>
      <c r="IC21" s="181">
        <f>IF('All Fleet'!HZ76="","",(((COUNTIFS('All Fleet'!$A$66:$A$74,"777")*'All Fleet'!HZ$5)*11.8%))-'All Fleet'!HZ76)</f>
        <v>-26.876111111111101</v>
      </c>
      <c r="ID21" s="181">
        <f>IF('All Fleet'!IA76="","",(((COUNTIFS('All Fleet'!$A$66:$A$74,"777")*'All Fleet'!IA$5)*11.8%))-'All Fleet'!IA76)</f>
        <v>-15.548111111111098</v>
      </c>
      <c r="IE21" s="181">
        <f>IF('All Fleet'!IB76="","",(((COUNTIFS('All Fleet'!$A$66:$A$74,"777")*'All Fleet'!IB$5)*11.8%))-'All Fleet'!IB76)</f>
        <v>-7.2173333333333289</v>
      </c>
      <c r="IF21" s="181">
        <f>IF('All Fleet'!IC76="","",(((COUNTIFS('All Fleet'!$A$66:$A$74,"777")*'All Fleet'!IC$5)*11.8%))-'All Fleet'!IC76)</f>
        <v>4.1106666666667024</v>
      </c>
      <c r="IG21" s="181">
        <f>IF('All Fleet'!ID76="","",(((COUNTIFS('All Fleet'!$A$66:$A$74,"777")*'All Fleet'!ID$5)*11.8%))-'All Fleet'!ID76)</f>
        <v>-72.361333333333334</v>
      </c>
      <c r="IH21" s="181">
        <f>IF('All Fleet'!IE76="","",(((COUNTIFS('All Fleet'!$A$66:$A$74,"777")*'All Fleet'!IE$5)*11.8%))-'All Fleet'!IE76)</f>
        <v>-82.663333333333298</v>
      </c>
      <c r="II21" s="181">
        <f>IF('All Fleet'!IF76="","",(((COUNTIFS('All Fleet'!$A$66:$A$74,"777")*'All Fleet'!IF$5)*11.8%))-'All Fleet'!IF76)</f>
        <v>-76.365333333333297</v>
      </c>
      <c r="IJ21" s="181">
        <f>IF('All Fleet'!IG76="","",(((COUNTIFS('All Fleet'!$A$66:$A$74,"777")*'All Fleet'!IG$5)*11.8%))-'All Fleet'!IG76)</f>
        <v>-65.457333333333281</v>
      </c>
      <c r="IK21" s="181">
        <f>IF('All Fleet'!IH76="","",(((COUNTIFS('All Fleet'!$A$66:$A$74,"777")*'All Fleet'!IH$5)*11.8%))-'All Fleet'!IH76)</f>
        <v>-56.649333333333345</v>
      </c>
      <c r="IL21" s="181">
        <f>IF('All Fleet'!II76="","",(((COUNTIFS('All Fleet'!$A$66:$A$74,"777")*'All Fleet'!II$5)*11.8%))-'All Fleet'!II76)</f>
        <v>-45.321333333333371</v>
      </c>
      <c r="IM21" s="181">
        <f>IF('All Fleet'!IJ76="","",(((COUNTIFS('All Fleet'!$A$66:$A$74,"777")*'All Fleet'!IJ$5)*11.8%))-'All Fleet'!IJ76)</f>
        <v>-53.723333333333358</v>
      </c>
      <c r="IN21" s="181">
        <f>IF('All Fleet'!IK76="","",(((COUNTIFS('All Fleet'!$A$66:$A$74,"777")*'All Fleet'!IK$5)*11.8%))-'All Fleet'!IK76)</f>
        <v>-48.223666666666645</v>
      </c>
      <c r="IO21" s="181">
        <f>IF('All Fleet'!IL76="","",(((COUNTIFS('All Fleet'!$A$66:$A$74,"777")*'All Fleet'!IL$5)*11.8%))-'All Fleet'!IL76)</f>
        <v>-10.962555555555555</v>
      </c>
      <c r="IP21" s="181">
        <f>IF('All Fleet'!IM76="","",(((COUNTIFS('All Fleet'!$A$66:$A$74,"777")*'All Fleet'!IM$5)*11.8%))-'All Fleet'!IM76)</f>
        <v>-25.398999999999997</v>
      </c>
      <c r="IQ21" s="181">
        <f>IF('All Fleet'!IN76="","",(((COUNTIFS('All Fleet'!$A$66:$A$74,"777")*'All Fleet'!IN$5)*11.8%))-'All Fleet'!IN76)</f>
        <v>-41.978500000000004</v>
      </c>
      <c r="IR21" s="181">
        <f>IF('All Fleet'!IO76="","",(((COUNTIFS('All Fleet'!$A$66:$A$74,"777")*'All Fleet'!IO$5)*11.8%))-'All Fleet'!IO76)</f>
        <v>-67.393833333333305</v>
      </c>
      <c r="IS21" s="181">
        <f>IF('All Fleet'!IP76="","",(((COUNTIFS('All Fleet'!$A$66:$A$74,"777")*'All Fleet'!IP$5)*11.8%))-'All Fleet'!IP76)</f>
        <v>-86.887777777777771</v>
      </c>
      <c r="IT21" s="181">
        <f>IF('All Fleet'!IQ76="","",(((COUNTIFS('All Fleet'!$A$66:$A$74,"777")*'All Fleet'!IQ$5)*11.8%))-'All Fleet'!IQ76)</f>
        <v>-100.44144444444443</v>
      </c>
      <c r="IU21" s="181">
        <f>IF('All Fleet'!IR76="","",(((COUNTIFS('All Fleet'!$A$66:$A$74,"777")*'All Fleet'!IR$5)*11.8%))-'All Fleet'!IR76)</f>
        <v>-134.09677777777779</v>
      </c>
      <c r="IV21" s="181">
        <f>IF('All Fleet'!IS76="","",(((COUNTIFS('All Fleet'!$A$66:$A$74,"777")*'All Fleet'!IS$5)*11.8%))-'All Fleet'!IS76)</f>
        <v>-184.03266666666661</v>
      </c>
      <c r="IW21" s="181">
        <f>IF('All Fleet'!IT76="","",(((COUNTIFS('All Fleet'!$A$66:$A$74,"777")*'All Fleet'!IT$5)*11.8%))-'All Fleet'!IT76)</f>
        <v>-236.59883333333335</v>
      </c>
      <c r="IX21" s="181">
        <f>IF('All Fleet'!IU76="","",(((COUNTIFS('All Fleet'!$A$66:$A$74,"777")*'All Fleet'!IU$5)*11.8%))-'All Fleet'!IU76)</f>
        <v>-260.07833333333338</v>
      </c>
      <c r="IY21" s="181">
        <f>IF('All Fleet'!IV76="","",(((COUNTIFS('All Fleet'!$A$66:$A$74,"777")*'All Fleet'!IV$5)*11.8%))-'All Fleet'!IV76)</f>
        <v>-252.25116666666662</v>
      </c>
      <c r="IZ21" s="181">
        <f>IF('All Fleet'!IW76="","",(((COUNTIFS('All Fleet'!$A$66:$A$74,"777")*'All Fleet'!IW$5)*11.8%))-'All Fleet'!IW76)</f>
        <v>-241.05761111111107</v>
      </c>
      <c r="JA21" s="181">
        <f>IF('All Fleet'!IX76="","",(((COUNTIFS('All Fleet'!$A$66:$A$74,"777")*'All Fleet'!IX$5)*11.8%))-'All Fleet'!IX76)</f>
        <v>-233.29683333333332</v>
      </c>
      <c r="JB21" s="181">
        <f>IF('All Fleet'!IY76="","",(((COUNTIFS('All Fleet'!$A$66:$A$74,"777")*'All Fleet'!IY$5)*11.8%))-'All Fleet'!IY76)</f>
        <v>-230.95105555555554</v>
      </c>
      <c r="JC21" s="181">
        <f>IF('All Fleet'!IZ76="","",(((COUNTIFS('All Fleet'!$A$66:$A$74,"777")*'All Fleet'!IZ$5)*11.8%))-'All Fleet'!IZ76)</f>
        <v>-219.95138888888886</v>
      </c>
      <c r="JD21" s="181">
        <f>IF('All Fleet'!JA76="","",(((COUNTIFS('All Fleet'!$A$66:$A$74,"777")*'All Fleet'!JA$5)*11.8%))-'All Fleet'!JA76)</f>
        <v>-210.45672222222223</v>
      </c>
      <c r="JE21" s="181">
        <f>IF('All Fleet'!JB76="","",(((COUNTIFS('All Fleet'!$A$66:$A$74,"777")*'All Fleet'!JB$5)*11.8%))-'All Fleet'!JB76)</f>
        <v>-205.04566666666665</v>
      </c>
      <c r="JF21" s="181">
        <f>IF('All Fleet'!JC76="","",(((COUNTIFS('All Fleet'!$A$66:$A$74,"777")*'All Fleet'!JC$5)*11.8%))-'All Fleet'!JC76)</f>
        <v>-198.38099999999994</v>
      </c>
      <c r="JG21" s="181">
        <f>IF('All Fleet'!JD76="","",(((COUNTIFS('All Fleet'!$A$66:$A$74,"777")*'All Fleet'!JD$5)*11.8%))-'All Fleet'!JD76)</f>
        <v>-202.16161111111109</v>
      </c>
      <c r="JH21" s="181">
        <f>IF('All Fleet'!JE76="","",(((COUNTIFS('All Fleet'!$A$66:$A$74,"777")*'All Fleet'!JE$5)*11.8%))-'All Fleet'!JE76)</f>
        <v>-197.24527777777774</v>
      </c>
      <c r="JI21" s="181">
        <f>IF('All Fleet'!JF76="","",(((COUNTIFS('All Fleet'!$A$66:$A$74,"777")*'All Fleet'!JF$5)*11.8%))-'All Fleet'!JF76)</f>
        <v>-188.16394444444441</v>
      </c>
      <c r="JJ21" s="181">
        <f>IF('All Fleet'!JG76="","",(((COUNTIFS('All Fleet'!$A$66:$A$74,"777")*'All Fleet'!JG$5)*11.8%))-'All Fleet'!JG76)</f>
        <v>-180.02233333333334</v>
      </c>
      <c r="JK21" s="181">
        <f>IF('All Fleet'!JH76="","",(((COUNTIFS('All Fleet'!$A$66:$A$74,"777")*'All Fleet'!JH$5)*11.8%))-'All Fleet'!JH76)</f>
        <v>-183.85933333333327</v>
      </c>
      <c r="JL21" s="181">
        <f>IF('All Fleet'!JI76="","",(((COUNTIFS('All Fleet'!$A$66:$A$74,"777")*'All Fleet'!JI$5)*11.8%))-'All Fleet'!JI76)</f>
        <v>-176.28883333333334</v>
      </c>
      <c r="JM21" s="181">
        <f>IF('All Fleet'!JJ76="","",(((COUNTIFS('All Fleet'!$A$66:$A$74,"777")*'All Fleet'!JJ$5)*11.8%))-'All Fleet'!JJ76)</f>
        <v>-171.10416666666663</v>
      </c>
      <c r="JN21" s="181">
        <f>IF('All Fleet'!JK76="","",(((COUNTIFS('All Fleet'!$A$66:$A$74,"777")*'All Fleet'!JK$5)*11.8%))-'All Fleet'!JK76)</f>
        <v>-175.37227777777775</v>
      </c>
      <c r="JO21" s="181">
        <f>IF('All Fleet'!JL76="","",(((COUNTIFS('All Fleet'!$A$66:$A$74,"777")*'All Fleet'!JL$5)*11.8%))-'All Fleet'!JL76)</f>
        <v>-184.53622222222219</v>
      </c>
      <c r="JP21" s="181">
        <f>IF('All Fleet'!JM76="","",(((COUNTIFS('All Fleet'!$A$66:$A$74,"777")*'All Fleet'!JM$5)*11.8%))-'All Fleet'!JM76)</f>
        <v>-188.20738888888883</v>
      </c>
      <c r="JQ21" s="181">
        <f>IF('All Fleet'!JN76="","",(((COUNTIFS('All Fleet'!$A$66:$A$74,"777")*'All Fleet'!JN$5)*11.8%))-'All Fleet'!JN76)</f>
        <v>-194.53938888888882</v>
      </c>
      <c r="JR21" s="181">
        <f>IF('All Fleet'!JO76="","",(((COUNTIFS('All Fleet'!$A$66:$A$74,"777")*'All Fleet'!JO$5)*11.8%))-'All Fleet'!JO76)</f>
        <v>-187.21138888888879</v>
      </c>
      <c r="JS21" s="181">
        <f>IF('All Fleet'!JP76="","",(((COUNTIFS('All Fleet'!$A$66:$A$74,"777")*'All Fleet'!JP$5)*11.8%))-'All Fleet'!JP76)</f>
        <v>3.2580000000000009</v>
      </c>
      <c r="JT21" s="181">
        <f>IF('All Fleet'!JQ76="","",(((COUNTIFS('All Fleet'!$A$66:$A$74,"777")*'All Fleet'!JQ$5)*11.8%))-'All Fleet'!JQ76)</f>
        <v>10.396000000000003</v>
      </c>
      <c r="JU21" s="181">
        <f>IF('All Fleet'!JR76="","",(((COUNTIFS('All Fleet'!$A$66:$A$74,"777")*'All Fleet'!JR$5)*11.8%))-'All Fleet'!JR76)</f>
        <v>18.294000000000004</v>
      </c>
      <c r="JV21" s="181">
        <f>IF('All Fleet'!JS76="","",(((COUNTIFS('All Fleet'!$A$66:$A$74,"777")*'All Fleet'!JS$5)*11.8%))-'All Fleet'!JS76)</f>
        <v>9.2220000000000084</v>
      </c>
      <c r="JW21" s="181">
        <f>IF('All Fleet'!JT76="","",(((COUNTIFS('All Fleet'!$A$66:$A$74,"777")*'All Fleet'!JT$5)*11.8%))-'All Fleet'!JT76)</f>
        <v>9.1300000000000026</v>
      </c>
      <c r="JX21" s="181">
        <f>IF('All Fleet'!JU76="","",(((COUNTIFS('All Fleet'!$A$66:$A$74,"777")*'All Fleet'!JU$5)*11.8%))-'All Fleet'!JU76)</f>
        <v>6.9980000000000047</v>
      </c>
      <c r="JY21" s="181">
        <f>IF('All Fleet'!JV76="","",(((COUNTIFS('All Fleet'!$A$66:$A$74,"777")*'All Fleet'!JV$5)*11.8%))-'All Fleet'!JV76)</f>
        <v>14.326000000000008</v>
      </c>
      <c r="JZ21" s="181">
        <f>IF('All Fleet'!JW76="","",(((COUNTIFS('All Fleet'!$A$66:$A$74,"777")*'All Fleet'!JW$5)*11.8%))-'All Fleet'!JW76)</f>
        <v>25.654000000000011</v>
      </c>
      <c r="KA21" s="181">
        <f>IF('All Fleet'!JX76="","",(((COUNTIFS('All Fleet'!$A$66:$A$74,"777")*'All Fleet'!JX$5)*11.8%))-'All Fleet'!JX76)</f>
        <v>36.982000000000014</v>
      </c>
      <c r="KB21" s="181">
        <f>IF('All Fleet'!JY76="","",(((COUNTIFS('All Fleet'!$A$66:$A$74,"777")*'All Fleet'!JY$5)*11.8%))-'All Fleet'!JY76)</f>
        <v>48.31</v>
      </c>
      <c r="KC21" s="181">
        <f>IF('All Fleet'!JZ76="","",(((COUNTIFS('All Fleet'!$A$66:$A$74,"777")*'All Fleet'!JZ$5)*11.8%))-'All Fleet'!JZ76)</f>
        <v>59.638000000000005</v>
      </c>
      <c r="KD21" s="181">
        <f>IF('All Fleet'!KA76="","",(((COUNTIFS('All Fleet'!$A$66:$A$74,"777")*'All Fleet'!KA$5)*11.8%))-'All Fleet'!KA76)</f>
        <v>70.966000000000008</v>
      </c>
      <c r="KE21" s="181">
        <f>IF('All Fleet'!KB76="","",(((COUNTIFS('All Fleet'!$A$66:$A$74,"777")*'All Fleet'!KB$5)*11.8%))-'All Fleet'!KB76)</f>
        <v>82.294000000000011</v>
      </c>
      <c r="KF21" s="181">
        <f>IF('All Fleet'!KC76="","",(((COUNTIFS('All Fleet'!$A$66:$A$74,"777")*'All Fleet'!KC$5)*11.8%))-'All Fleet'!KC76)</f>
        <v>93.622000000000014</v>
      </c>
      <c r="KG21" s="181">
        <f>IF('All Fleet'!KD76="","",(((COUNTIFS('All Fleet'!$A$66:$A$74,"777")*'All Fleet'!KD$5)*11.8%))-'All Fleet'!KD76)</f>
        <v>104.95000000000002</v>
      </c>
      <c r="KH21" s="181">
        <f>IF('All Fleet'!KE76="","",(((COUNTIFS('All Fleet'!$A$66:$A$74,"777")*'All Fleet'!KE$5)*11.8%))-'All Fleet'!KE76)</f>
        <v>116.27800000000002</v>
      </c>
      <c r="KI21" s="181">
        <f>IF('All Fleet'!KF76="","",(((COUNTIFS('All Fleet'!$A$66:$A$74,"777")*'All Fleet'!KF$5)*11.8%))-'All Fleet'!KF76)</f>
        <v>127.60600000000002</v>
      </c>
      <c r="KJ21" s="181">
        <f>IF('All Fleet'!KG76="","",(((COUNTIFS('All Fleet'!$A$66:$A$74,"777")*'All Fleet'!KG$5)*11.8%))-'All Fleet'!KG76)</f>
        <v>138.93400000000003</v>
      </c>
      <c r="KK21" s="181">
        <f>IF('All Fleet'!KH76="","",(((COUNTIFS('All Fleet'!$A$66:$A$74,"777")*'All Fleet'!KH$5)*11.8%))-'All Fleet'!KH76)</f>
        <v>150.26200000000003</v>
      </c>
      <c r="KL21" s="181">
        <f>IF('All Fleet'!KI76="","",(((COUNTIFS('All Fleet'!$A$66:$A$74,"777")*'All Fleet'!KI$5)*11.8%))-'All Fleet'!KI76)</f>
        <v>161.59</v>
      </c>
      <c r="KM21" s="181">
        <f>IF('All Fleet'!KJ76="","",(((COUNTIFS('All Fleet'!$A$66:$A$74,"777")*'All Fleet'!KJ$5)*11.8%))-'All Fleet'!KJ76)</f>
        <v>172.91800000000001</v>
      </c>
      <c r="KN21" s="181">
        <f>IF('All Fleet'!KK76="","",(((COUNTIFS('All Fleet'!$A$66:$A$74,"777")*'All Fleet'!KK$5)*11.8%))-'All Fleet'!KK76)</f>
        <v>184.24600000000001</v>
      </c>
      <c r="KO21" s="181">
        <f>IF('All Fleet'!KL76="","",(((COUNTIFS('All Fleet'!$A$66:$A$74,"777")*'All Fleet'!KL$5)*11.8%))-'All Fleet'!KL76)</f>
        <v>195.57400000000004</v>
      </c>
      <c r="KP21" s="181">
        <f>IF('All Fleet'!KM76="","",(((COUNTIFS('All Fleet'!$A$66:$A$74,"777")*'All Fleet'!KM$5)*11.8%))-'All Fleet'!KM76)</f>
        <v>206.90200000000002</v>
      </c>
      <c r="KQ21" s="181">
        <f>IF('All Fleet'!KN76="","",(((COUNTIFS('All Fleet'!$A$66:$A$74,"777")*'All Fleet'!KN$5)*11.8%))-'All Fleet'!KN76)</f>
        <v>218.23000000000005</v>
      </c>
      <c r="KR21" s="181">
        <f>IF('All Fleet'!KO76="","",(((COUNTIFS('All Fleet'!$A$66:$A$74,"777")*'All Fleet'!KO$5)*11.8%))-'All Fleet'!KO76)</f>
        <v>229.55800000000002</v>
      </c>
      <c r="KS21" s="181">
        <f>IF('All Fleet'!KP76="","",(((COUNTIFS('All Fleet'!$A$66:$A$74,"777")*'All Fleet'!KP$5)*11.8%))-'All Fleet'!KP76)</f>
        <v>240.886</v>
      </c>
      <c r="KT21" s="181">
        <f>IF('All Fleet'!KQ76="","",(((COUNTIFS('All Fleet'!$A$66:$A$74,"777")*'All Fleet'!KQ$5)*11.8%))-'All Fleet'!KQ76)</f>
        <v>252.21400000000003</v>
      </c>
      <c r="KU21" s="181">
        <f>IF('All Fleet'!KR76="","",(((COUNTIFS('All Fleet'!$A$66:$A$74,"777")*'All Fleet'!KR$5)*11.8%))-'All Fleet'!KR76)</f>
        <v>263.54200000000003</v>
      </c>
      <c r="KV21" s="181">
        <f>IF('All Fleet'!KS76="","",(((COUNTIFS('All Fleet'!$A$66:$A$74,"777")*'All Fleet'!KS$5)*11.8%))-'All Fleet'!KS76)</f>
        <v>274.87</v>
      </c>
      <c r="KW21" s="181">
        <f>IF('All Fleet'!KT76="","",(((COUNTIFS('All Fleet'!$A$66:$A$74,"777")*'All Fleet'!KT$5)*11.8%))-'All Fleet'!KT76)</f>
        <v>286.19799999999998</v>
      </c>
      <c r="KX21" s="181" t="str">
        <f>IF('All Fleet'!KU76="","",(((COUNTIFS('All Fleet'!$A$66:$A$74,"777")*'All Fleet'!KU$5)*11.8%))-'All Fleet'!KU76)</f>
        <v/>
      </c>
      <c r="KY21" s="181" t="str">
        <f>IF('All Fleet'!KV76="","",(((COUNTIFS('All Fleet'!$A$66:$A$74,"777")*'All Fleet'!KV$5)*11.8%))-'All Fleet'!KV76)</f>
        <v/>
      </c>
      <c r="KZ21" s="181" t="str">
        <f>IF('All Fleet'!KW76="","",(((COUNTIFS('All Fleet'!$A$66:$A$74,"777")*'All Fleet'!KW$5)*11.8%))-'All Fleet'!KW76)</f>
        <v/>
      </c>
      <c r="LA21" s="181" t="str">
        <f>IF('All Fleet'!KX76="","",(((COUNTIFS('All Fleet'!$A$66:$A$74,"777")*'All Fleet'!KX$5)*11.8%))-'All Fleet'!KX76)</f>
        <v/>
      </c>
      <c r="LB21" s="181" t="str">
        <f>IF('All Fleet'!KY76="","",(((COUNTIFS('All Fleet'!$A$66:$A$74,"777")*'All Fleet'!KY$5)*11.8%))-'All Fleet'!KY76)</f>
        <v/>
      </c>
      <c r="LC21" s="181" t="str">
        <f>IF('All Fleet'!KZ76="","",(((COUNTIFS('All Fleet'!$A$66:$A$74,"777")*'All Fleet'!KZ$5)*11.8%))-'All Fleet'!KZ76)</f>
        <v/>
      </c>
      <c r="LD21" s="181" t="str">
        <f>IF('All Fleet'!LA76="","",(((COUNTIFS('All Fleet'!$A$66:$A$74,"777")*'All Fleet'!LA$5)*11.8%))-'All Fleet'!LA76)</f>
        <v/>
      </c>
      <c r="LE21" s="181" t="str">
        <f>IF('All Fleet'!LB76="","",(((COUNTIFS('All Fleet'!$A$66:$A$74,"777")*'All Fleet'!LB$5)*11.8%))-'All Fleet'!LB76)</f>
        <v/>
      </c>
      <c r="LF21" s="181" t="str">
        <f>IF('All Fleet'!LC76="","",(((COUNTIFS('All Fleet'!$A$66:$A$74,"777")*'All Fleet'!LC$5)*11.8%))-'All Fleet'!LC76)</f>
        <v/>
      </c>
      <c r="LG21" s="181" t="str">
        <f>IF('All Fleet'!LD76="","",(((COUNTIFS('All Fleet'!$A$66:$A$74,"777")*'All Fleet'!LD$5)*11.8%))-'All Fleet'!LD76)</f>
        <v/>
      </c>
      <c r="LH21" s="181" t="str">
        <f>IF('All Fleet'!LE76="","",(((COUNTIFS('All Fleet'!$A$66:$A$74,"777")*'All Fleet'!LE$5)*11.8%))-'All Fleet'!LE76)</f>
        <v/>
      </c>
      <c r="LI21" s="181" t="str">
        <f>IF('All Fleet'!LF76="","",(((COUNTIFS('All Fleet'!$A$66:$A$74,"777")*'All Fleet'!LF$5)*11.8%))-'All Fleet'!LF76)</f>
        <v/>
      </c>
      <c r="LJ21" s="181" t="str">
        <f>IF('All Fleet'!LG76="","",(((COUNTIFS('All Fleet'!$A$66:$A$74,"777")*'All Fleet'!LG$5)*11.8%))-'All Fleet'!LG76)</f>
        <v/>
      </c>
      <c r="LK21" s="181" t="str">
        <f>IF('All Fleet'!LH76="","",(((COUNTIFS('All Fleet'!$A$66:$A$74,"777")*'All Fleet'!LH$5)*11.8%))-'All Fleet'!LH76)</f>
        <v/>
      </c>
      <c r="LL21" s="181" t="str">
        <f>IF('All Fleet'!LI76="","",(((COUNTIFS('All Fleet'!$A$66:$A$74,"777")*'All Fleet'!LI$5)*11.8%))-'All Fleet'!LI76)</f>
        <v/>
      </c>
      <c r="LM21" s="181" t="str">
        <f>IF('All Fleet'!LJ76="","",(((COUNTIFS('All Fleet'!$A$66:$A$74,"777")*'All Fleet'!LJ$5)*11.8%))-'All Fleet'!LJ76)</f>
        <v/>
      </c>
      <c r="LN21" s="181" t="str">
        <f>IF('All Fleet'!LK76="","",(((COUNTIFS('All Fleet'!$A$66:$A$74,"777")*'All Fleet'!LK$5)*11.8%))-'All Fleet'!LK76)</f>
        <v/>
      </c>
      <c r="LO21" s="181" t="str">
        <f>IF('All Fleet'!LL76="","",(((COUNTIFS('All Fleet'!$A$66:$A$74,"777")*'All Fleet'!LL$5)*11.8%))-'All Fleet'!LL76)</f>
        <v/>
      </c>
      <c r="LP21" s="181" t="str">
        <f>IF('All Fleet'!LM76="","",(((COUNTIFS('All Fleet'!$A$66:$A$74,"777")*'All Fleet'!LM$5)*11.8%))-'All Fleet'!LM76)</f>
        <v/>
      </c>
      <c r="LQ21" s="181" t="str">
        <f>IF('All Fleet'!LN76="","",(((COUNTIFS('All Fleet'!$A$66:$A$74,"777")*'All Fleet'!LN$5)*11.8%))-'All Fleet'!LN76)</f>
        <v/>
      </c>
      <c r="LR21" s="181" t="str">
        <f>IF('All Fleet'!LO76="","",(((COUNTIFS('All Fleet'!$A$66:$A$74,"777")*'All Fleet'!LO$5)*11.8%))-'All Fleet'!LO76)</f>
        <v/>
      </c>
      <c r="LS21" s="181" t="str">
        <f>IF('All Fleet'!LP76="","",(((COUNTIFS('All Fleet'!$A$66:$A$74,"777")*'All Fleet'!LP$5)*11.8%))-'All Fleet'!LP76)</f>
        <v/>
      </c>
      <c r="LT21" s="181" t="str">
        <f>IF('All Fleet'!LQ76="","",(((COUNTIFS('All Fleet'!$A$66:$A$74,"777")*'All Fleet'!LQ$5)*11.8%))-'All Fleet'!LQ76)</f>
        <v/>
      </c>
      <c r="LU21" s="181" t="str">
        <f>IF('All Fleet'!LR76="","",(((COUNTIFS('All Fleet'!$A$66:$A$74,"777")*'All Fleet'!LR$5)*11.8%))-'All Fleet'!LR76)</f>
        <v/>
      </c>
      <c r="LV21" s="181" t="str">
        <f>IF('All Fleet'!LS76="","",(((COUNTIFS('All Fleet'!$A$66:$A$74,"777")*'All Fleet'!LS$5)*11.8%))-'All Fleet'!LS76)</f>
        <v/>
      </c>
      <c r="LW21" s="181" t="str">
        <f>IF('All Fleet'!LT76="","",(((COUNTIFS('All Fleet'!$A$66:$A$74,"777")*'All Fleet'!LT$5)*11.8%))-'All Fleet'!LT76)</f>
        <v/>
      </c>
      <c r="LX21" s="181" t="str">
        <f>IF('All Fleet'!LU76="","",(((COUNTIFS('All Fleet'!$A$66:$A$74,"777")*'All Fleet'!LU$5)*11.8%))-'All Fleet'!LU76)</f>
        <v/>
      </c>
      <c r="LY21" s="181" t="str">
        <f>IF('All Fleet'!LV76="","",(((COUNTIFS('All Fleet'!$A$66:$A$74,"777")*'All Fleet'!LV$5)*11.8%))-'All Fleet'!LV76)</f>
        <v/>
      </c>
      <c r="LZ21" s="181" t="str">
        <f>IF('All Fleet'!LW76="","",(((COUNTIFS('All Fleet'!$A$66:$A$74,"777")*'All Fleet'!LW$5)*11.8%))-'All Fleet'!LW76)</f>
        <v/>
      </c>
      <c r="MA21" s="181" t="str">
        <f>IF('All Fleet'!LX76="","",(((COUNTIFS('All Fleet'!$A$66:$A$74,"777")*'All Fleet'!LX$5)*11.8%))-'All Fleet'!LX76)</f>
        <v/>
      </c>
      <c r="MB21" s="181" t="str">
        <f>IF('All Fleet'!LY76="","",(((COUNTIFS('All Fleet'!$A$66:$A$74,"777")*'All Fleet'!LY$5)*11.8%))-'All Fleet'!LY76)</f>
        <v/>
      </c>
      <c r="MC21" s="181" t="str">
        <f>IF('All Fleet'!LZ76="","",(((COUNTIFS('All Fleet'!$A$66:$A$74,"777")*'All Fleet'!LZ$5)*11.8%))-'All Fleet'!LZ76)</f>
        <v/>
      </c>
      <c r="MD21" s="181" t="str">
        <f>IF('All Fleet'!MA76="","",(((COUNTIFS('All Fleet'!$A$66:$A$74,"777")*'All Fleet'!MA$5)*11.8%))-'All Fleet'!MA76)</f>
        <v/>
      </c>
      <c r="ME21" s="181" t="str">
        <f>IF('All Fleet'!MB76="","",(((COUNTIFS('All Fleet'!$A$66:$A$74,"777")*'All Fleet'!MB$5)*11.8%))-'All Fleet'!MB76)</f>
        <v/>
      </c>
      <c r="MF21" s="181" t="str">
        <f>IF('All Fleet'!MC76="","",(((COUNTIFS('All Fleet'!$A$66:$A$74,"777")*'All Fleet'!MC$5)*11.8%))-'All Fleet'!MC76)</f>
        <v/>
      </c>
      <c r="MG21" s="181" t="str">
        <f>IF('All Fleet'!MD76="","",(((COUNTIFS('All Fleet'!$A$66:$A$74,"777")*'All Fleet'!MD$5)*11.8%))-'All Fleet'!MD76)</f>
        <v/>
      </c>
      <c r="MH21" s="181" t="str">
        <f>IF('All Fleet'!ME76="","",(((COUNTIFS('All Fleet'!$A$66:$A$74,"777")*'All Fleet'!ME$5)*11.8%))-'All Fleet'!ME76)</f>
        <v/>
      </c>
      <c r="MI21" s="181" t="str">
        <f>IF('All Fleet'!MF76="","",(((COUNTIFS('All Fleet'!$A$66:$A$74,"777")*'All Fleet'!MF$5)*11.8%))-'All Fleet'!MF76)</f>
        <v/>
      </c>
      <c r="MJ21" s="181" t="str">
        <f>IF('All Fleet'!MG76="","",(((COUNTIFS('All Fleet'!$A$66:$A$74,"777")*'All Fleet'!MG$5)*11.8%))-'All Fleet'!MG76)</f>
        <v/>
      </c>
      <c r="MK21" s="181" t="str">
        <f>IF('All Fleet'!MH76="","",(((COUNTIFS('All Fleet'!$A$66:$A$74,"777")*'All Fleet'!MH$5)*11.8%))-'All Fleet'!MH76)</f>
        <v/>
      </c>
      <c r="ML21" s="181" t="str">
        <f>IF('All Fleet'!MI76="","",(((COUNTIFS('All Fleet'!$A$66:$A$74,"777")*'All Fleet'!MI$5)*11.8%))-'All Fleet'!MI76)</f>
        <v/>
      </c>
      <c r="MM21" s="181" t="str">
        <f>IF('All Fleet'!MJ76="","",(((COUNTIFS('All Fleet'!$A$66:$A$74,"777")*'All Fleet'!MJ$5)*11.8%))-'All Fleet'!MJ76)</f>
        <v/>
      </c>
      <c r="MN21" s="181" t="str">
        <f>IF('All Fleet'!MK76="","",(((COUNTIFS('All Fleet'!$A$66:$A$74,"777")*'All Fleet'!MK$5)*11.8%))-'All Fleet'!MK76)</f>
        <v/>
      </c>
      <c r="MO21" s="181" t="str">
        <f>IF('All Fleet'!ML76="","",(((COUNTIFS('All Fleet'!$A$66:$A$74,"777")*'All Fleet'!ML$5)*11.8%))-'All Fleet'!ML76)</f>
        <v/>
      </c>
      <c r="MP21" s="181" t="str">
        <f>IF('All Fleet'!MM76="","",(((COUNTIFS('All Fleet'!$A$66:$A$74,"777")*'All Fleet'!MM$5)*11.8%))-'All Fleet'!MM76)</f>
        <v/>
      </c>
      <c r="MQ21" s="181" t="str">
        <f>IF('All Fleet'!MN76="","",(((COUNTIFS('All Fleet'!$A$66:$A$74,"777")*'All Fleet'!MN$5)*11.8%))-'All Fleet'!MN76)</f>
        <v/>
      </c>
      <c r="MR21" s="181" t="str">
        <f>IF('All Fleet'!MO76="","",(((COUNTIFS('All Fleet'!$A$66:$A$74,"777")*'All Fleet'!MO$5)*11.8%))-'All Fleet'!MO76)</f>
        <v/>
      </c>
      <c r="MS21" s="181" t="str">
        <f>IF('All Fleet'!MP76="","",(((COUNTIFS('All Fleet'!$A$66:$A$74,"777")*'All Fleet'!MP$5)*11.8%))-'All Fleet'!MP76)</f>
        <v/>
      </c>
      <c r="MT21" s="181" t="str">
        <f>IF('All Fleet'!MQ76="","",(((COUNTIFS('All Fleet'!$A$66:$A$74,"777")*'All Fleet'!MQ$5)*11.8%))-'All Fleet'!MQ76)</f>
        <v/>
      </c>
      <c r="MU21" s="181" t="str">
        <f>IF('All Fleet'!MR76="","",(((COUNTIFS('All Fleet'!$A$66:$A$74,"777")*'All Fleet'!MR$5)*11.8%))-'All Fleet'!MR76)</f>
        <v/>
      </c>
      <c r="MV21" s="181" t="str">
        <f>IF('All Fleet'!MS76="","",(((COUNTIFS('All Fleet'!$A$66:$A$74,"777")*'All Fleet'!MS$5)*11.8%))-'All Fleet'!MS76)</f>
        <v/>
      </c>
      <c r="MW21" s="181" t="str">
        <f>IF('All Fleet'!MT76="","",(((COUNTIFS('All Fleet'!$A$66:$A$74,"777")*'All Fleet'!MT$5)*11.8%))-'All Fleet'!MT76)</f>
        <v/>
      </c>
      <c r="MX21" s="181" t="str">
        <f>IF('All Fleet'!MU76="","",(((COUNTIFS('All Fleet'!$A$66:$A$74,"777")*'All Fleet'!MU$5)*11.8%))-'All Fleet'!MU76)</f>
        <v/>
      </c>
      <c r="MY21" s="181" t="str">
        <f>IF('All Fleet'!MV76="","",(((COUNTIFS('All Fleet'!$A$66:$A$74,"777")*'All Fleet'!MV$5)*11.8%))-'All Fleet'!MV76)</f>
        <v/>
      </c>
      <c r="MZ21" s="181" t="str">
        <f>IF('All Fleet'!MW76="","",(((COUNTIFS('All Fleet'!$A$66:$A$74,"777")*'All Fleet'!MW$5)*11.8%))-'All Fleet'!MW76)</f>
        <v/>
      </c>
      <c r="NA21" s="181" t="str">
        <f>IF('All Fleet'!MX76="","",(((COUNTIFS('All Fleet'!$A$66:$A$74,"777")*'All Fleet'!MX$5)*11.8%))-'All Fleet'!MX76)</f>
        <v/>
      </c>
      <c r="NB21" s="181" t="str">
        <f>IF('All Fleet'!MY76="","",(((COUNTIFS('All Fleet'!$A$66:$A$74,"777")*'All Fleet'!MY$5)*11.8%))-'All Fleet'!MY76)</f>
        <v/>
      </c>
      <c r="NC21" s="181" t="str">
        <f>IF('All Fleet'!MZ76="","",(((COUNTIFS('All Fleet'!$A$66:$A$74,"777")*'All Fleet'!MZ$5)*11.8%))-'All Fleet'!MZ76)</f>
        <v/>
      </c>
      <c r="ND21" s="181" t="str">
        <f>IF('All Fleet'!NA76="","",(((COUNTIFS('All Fleet'!$A$66:$A$74,"777")*'All Fleet'!NA$5)*11.8%))-'All Fleet'!NA76)</f>
        <v/>
      </c>
      <c r="NE21" s="181" t="str">
        <f>IF('All Fleet'!NB76="","",(((COUNTIFS('All Fleet'!$A$66:$A$74,"777")*'All Fleet'!NB$5)*11.8%))-'All Fleet'!NB76)</f>
        <v/>
      </c>
      <c r="NF21" s="181" t="str">
        <f>IF('All Fleet'!NC76="","",(((COUNTIFS('All Fleet'!$A$66:$A$74,"777")*'All Fleet'!NC$5)*11.8%))-'All Fleet'!NC76)</f>
        <v/>
      </c>
      <c r="NG21" s="181" t="str">
        <f>IF('All Fleet'!ND76="","",(((COUNTIFS('All Fleet'!$A$66:$A$74,"777")*'All Fleet'!ND$5)*11.8%))-'All Fleet'!ND76)</f>
        <v/>
      </c>
      <c r="NH21" s="181" t="str">
        <f>IF('All Fleet'!NE76="","",(((COUNTIFS('All Fleet'!$A$66:$A$74,"777")*'All Fleet'!NE$5)*11.8%))-'All Fleet'!NE76)</f>
        <v/>
      </c>
      <c r="NI21" s="181" t="str">
        <f>IF('All Fleet'!NF76="","",(((COUNTIFS('All Fleet'!$A$66:$A$74,"777")*'All Fleet'!NF$5)*11.8%))-'All Fleet'!NF76)</f>
        <v/>
      </c>
      <c r="NJ21" s="181" t="str">
        <f>IF('All Fleet'!NG76="","",(((COUNTIFS('All Fleet'!$A$66:$A$74,"777")*'All Fleet'!NG$5)*11.8%))-'All Fleet'!NG76)</f>
        <v/>
      </c>
      <c r="NK21" s="181" t="str">
        <f>IF('All Fleet'!NH76="","",(((COUNTIFS('All Fleet'!$A$66:$A$74,"777")*'All Fleet'!NH$5)*11.8%))-'All Fleet'!NH76)</f>
        <v/>
      </c>
      <c r="NL21" s="181" t="str">
        <f>IF('All Fleet'!NI76="","",(((COUNTIFS('All Fleet'!$A$66:$A$74,"777")*'All Fleet'!NI$5)*11.8%))-'All Fleet'!NI76)</f>
        <v/>
      </c>
      <c r="NM21" s="181" t="str">
        <f>IF('All Fleet'!NJ76="","",(((COUNTIFS('All Fleet'!$A$66:$A$74,"777")*'All Fleet'!NJ$5)*11.8%))-'All Fleet'!NJ76)</f>
        <v/>
      </c>
      <c r="NN21" s="181" t="str">
        <f>IF('All Fleet'!NK76="","",(((COUNTIFS('All Fleet'!$A$66:$A$74,"777")*'All Fleet'!NK$5)*11.8%))-'All Fleet'!NK76)</f>
        <v/>
      </c>
      <c r="NO21" s="181" t="str">
        <f>IF('All Fleet'!NL76="","",(((COUNTIFS('All Fleet'!$A$66:$A$74,"777")*'All Fleet'!NL$5)*11.8%))-'All Fleet'!NL76)</f>
        <v/>
      </c>
      <c r="NP21" s="181" t="str">
        <f>IF('All Fleet'!NM76="","",(((COUNTIFS('All Fleet'!$A$66:$A$74,"777")*'All Fleet'!NM$5)*11.8%))-'All Fleet'!NM76)</f>
        <v/>
      </c>
      <c r="NQ21" s="181" t="str">
        <f>IF('All Fleet'!NN76="","",(((COUNTIFS('All Fleet'!$A$66:$A$74,"777")*'All Fleet'!NN$5)*11.8%))-'All Fleet'!NN76)</f>
        <v/>
      </c>
      <c r="NR21" s="181" t="str">
        <f>IF('All Fleet'!NO76="","",(((COUNTIFS('All Fleet'!$A$66:$A$74,"777")*'All Fleet'!NO$5)*11.8%))-'All Fleet'!NO76)</f>
        <v/>
      </c>
      <c r="NS21" s="181" t="str">
        <f>IF('All Fleet'!NP76="","",(((COUNTIFS('All Fleet'!$A$66:$A$74,"777")*'All Fleet'!NP$5)*11.8%))-'All Fleet'!NP76)</f>
        <v/>
      </c>
      <c r="NT21" s="181" t="str">
        <f>IF('All Fleet'!NQ76="","",(((COUNTIFS('All Fleet'!$A$66:$A$74,"777")*'All Fleet'!NQ$5)*11.8%))-'All Fleet'!NQ76)</f>
        <v/>
      </c>
      <c r="NU21" s="181" t="str">
        <f>IF('All Fleet'!NR76="","",(((COUNTIFS('All Fleet'!$A$66:$A$74,"777")*'All Fleet'!NR$5)*11.8%))-'All Fleet'!NR76)</f>
        <v/>
      </c>
      <c r="NV21" s="181" t="str">
        <f>IF('All Fleet'!NS76="","",(((COUNTIFS('All Fleet'!$A$66:$A$74,"777")*'All Fleet'!NS$5)*11.8%))-'All Fleet'!NS76)</f>
        <v/>
      </c>
      <c r="NW21" s="181" t="str">
        <f>IF('All Fleet'!NT76="","",(((COUNTIFS('All Fleet'!$A$66:$A$74,"777")*'All Fleet'!NT$5)*11.8%))-'All Fleet'!NT76)</f>
        <v/>
      </c>
      <c r="NX21" s="181" t="str">
        <f>IF('All Fleet'!NU76="","",(((COUNTIFS('All Fleet'!$A$66:$A$74,"777")*'All Fleet'!NU$5)*11.8%))-'All Fleet'!NU76)</f>
        <v/>
      </c>
      <c r="NY21" s="181" t="str">
        <f>IF('All Fleet'!NV76="","",(((COUNTIFS('All Fleet'!$A$66:$A$74,"777")*'All Fleet'!NV$5)*11.8%))-'All Fleet'!NV76)</f>
        <v/>
      </c>
      <c r="NZ21" s="181" t="str">
        <f>IF('All Fleet'!NW76="","",(((COUNTIFS('All Fleet'!$A$66:$A$74,"777")*'All Fleet'!NW$5)*11.8%))-'All Fleet'!NW76)</f>
        <v/>
      </c>
      <c r="OA21" s="181" t="str">
        <f>IF('All Fleet'!NX76="","",(((COUNTIFS('All Fleet'!$A$66:$A$74,"777")*'All Fleet'!NX$5)*11.8%))-'All Fleet'!NX76)</f>
        <v/>
      </c>
      <c r="OB21" s="181" t="str">
        <f>IF('All Fleet'!NY76="","",(((COUNTIFS('All Fleet'!$A$66:$A$74,"777")*'All Fleet'!NY$5)*11.8%))-'All Fleet'!NY76)</f>
        <v/>
      </c>
      <c r="OC21" s="181" t="str">
        <f>IF('All Fleet'!NZ76="","",(((COUNTIFS('All Fleet'!$A$66:$A$74,"777")*'All Fleet'!NZ$5)*11.8%))-'All Fleet'!NZ76)</f>
        <v/>
      </c>
      <c r="OD21" s="181" t="str">
        <f>IF('All Fleet'!OA76="","",(((COUNTIFS('All Fleet'!$A$66:$A$74,"777")*'All Fleet'!OA$5)*11.8%))-'All Fleet'!OA76)</f>
        <v/>
      </c>
      <c r="OE21" s="181" t="str">
        <f>IF('All Fleet'!OB76="","",(((COUNTIFS('All Fleet'!$A$66:$A$74,"777")*'All Fleet'!OB$5)*11.8%))-'All Fleet'!OB76)</f>
        <v/>
      </c>
      <c r="OF21" s="181" t="str">
        <f>IF('All Fleet'!OC76="","",(((COUNTIFS('All Fleet'!$A$66:$A$74,"777")*'All Fleet'!OC$5)*11.8%))-'All Fleet'!OC76)</f>
        <v/>
      </c>
      <c r="OG21" s="181" t="str">
        <f>IF('All Fleet'!OD76="","",(((COUNTIFS('All Fleet'!$A$66:$A$74,"777")*'All Fleet'!OD$5)*11.8%))-'All Fleet'!OD76)</f>
        <v/>
      </c>
      <c r="OH21" s="181" t="str">
        <f>IF('All Fleet'!OE76="","",(((COUNTIFS('All Fleet'!$A$66:$A$74,"777")*'All Fleet'!OE$5)*11.8%))-'All Fleet'!OE76)</f>
        <v/>
      </c>
      <c r="OI21" s="181" t="str">
        <f>IF('All Fleet'!OF76="","",(((COUNTIFS('All Fleet'!$A$66:$A$74,"777")*'All Fleet'!OF$5)*11.8%))-'All Fleet'!OF76)</f>
        <v/>
      </c>
      <c r="OJ21" s="181" t="str">
        <f>IF('All Fleet'!OG76="","",(((COUNTIFS('All Fleet'!$A$66:$A$74,"777")*'All Fleet'!OG$5)*11.8%))-'All Fleet'!OG76)</f>
        <v/>
      </c>
      <c r="OK21" s="181" t="str">
        <f>IF('All Fleet'!OH76="","",(((COUNTIFS('All Fleet'!$A$66:$A$74,"777")*'All Fleet'!OH$5)*11.8%))-'All Fleet'!OH76)</f>
        <v/>
      </c>
      <c r="OL21" s="181" t="str">
        <f>IF('All Fleet'!OI76="","",(((COUNTIFS('All Fleet'!$A$66:$A$74,"777")*'All Fleet'!OI$5)*11.8%))-'All Fleet'!OI76)</f>
        <v/>
      </c>
      <c r="OM21" s="181" t="str">
        <f>IF('All Fleet'!OJ76="","",(((COUNTIFS('All Fleet'!$A$66:$A$74,"777")*'All Fleet'!OJ$5)*11.8%))-'All Fleet'!OJ76)</f>
        <v/>
      </c>
      <c r="ON21" s="181" t="str">
        <f>IF('All Fleet'!OK76="","",(((COUNTIFS('All Fleet'!$A$66:$A$74,"777")*'All Fleet'!OK$5)*11.8%))-'All Fleet'!OK76)</f>
        <v/>
      </c>
      <c r="OO21" s="181" t="str">
        <f>IF('All Fleet'!OL76="","",(((COUNTIFS('All Fleet'!$A$66:$A$74,"777")*'All Fleet'!OL$5)*11.8%))-'All Fleet'!OL76)</f>
        <v/>
      </c>
      <c r="OP21" s="181" t="str">
        <f>IF('All Fleet'!OM76="","",(((COUNTIFS('All Fleet'!$A$66:$A$74,"777")*'All Fleet'!OM$5)*11.8%))-'All Fleet'!OM76)</f>
        <v/>
      </c>
      <c r="OQ21" s="181" t="str">
        <f>IF('All Fleet'!ON76="","",(((COUNTIFS('All Fleet'!$A$66:$A$74,"777")*'All Fleet'!ON$5)*11.8%))-'All Fleet'!ON76)</f>
        <v/>
      </c>
      <c r="OR21" s="181" t="str">
        <f>IF('All Fleet'!OO76="","",(((COUNTIFS('All Fleet'!$A$66:$A$74,"777")*'All Fleet'!OO$5)*11.8%))-'All Fleet'!OO76)</f>
        <v/>
      </c>
      <c r="OS21" s="181" t="str">
        <f>IF('All Fleet'!OP76="","",(((COUNTIFS('All Fleet'!$A$66:$A$74,"777")*'All Fleet'!OP$5)*11.8%))-'All Fleet'!OP76)</f>
        <v/>
      </c>
      <c r="OT21" s="181" t="str">
        <f>IF('All Fleet'!OQ76="","",(((COUNTIFS('All Fleet'!$A$66:$A$74,"777")*'All Fleet'!OQ$5)*11.8%))-'All Fleet'!OQ76)</f>
        <v/>
      </c>
      <c r="OU21" s="181" t="str">
        <f>IF('All Fleet'!OR76="","",(((COUNTIFS('All Fleet'!$A$66:$A$74,"777")*'All Fleet'!OR$5)*11.8%))-'All Fleet'!OR76)</f>
        <v/>
      </c>
      <c r="OV21" s="181" t="str">
        <f>IF('All Fleet'!OS76="","",(((COUNTIFS('All Fleet'!$A$66:$A$74,"777")*'All Fleet'!OS$5)*11.8%))-'All Fleet'!OS76)</f>
        <v/>
      </c>
      <c r="OW21" s="181" t="str">
        <f>IF('All Fleet'!OT76="","",(((COUNTIFS('All Fleet'!$A$66:$A$74,"777")*'All Fleet'!OT$5)*11.8%))-'All Fleet'!OT76)</f>
        <v/>
      </c>
      <c r="OX21" s="181" t="str">
        <f>IF('All Fleet'!OU76="","",(((COUNTIFS('All Fleet'!$A$66:$A$74,"777")*'All Fleet'!OU$5)*11.8%))-'All Fleet'!OU76)</f>
        <v/>
      </c>
      <c r="OY21" s="181" t="str">
        <f>IF('All Fleet'!OV76="","",(((COUNTIFS('All Fleet'!$A$66:$A$74,"777")*'All Fleet'!OV$5)*11.8%))-'All Fleet'!OV76)</f>
        <v/>
      </c>
      <c r="OZ21" s="182" t="str">
        <f>IF('All Fleet'!OW76="","",(((COUNTIFS('All Fleet'!$A$66:$A$74,"777")*'All Fleet'!OW$5)*11.8%))-'All Fleet'!OW76)</f>
        <v/>
      </c>
    </row>
    <row r="22" spans="1:416" s="85" customFormat="1" ht="14.1" customHeight="1" x14ac:dyDescent="0.2">
      <c r="A22" s="138" t="b">
        <f t="shared" si="376"/>
        <v>1</v>
      </c>
      <c r="B22" s="139">
        <v>19</v>
      </c>
      <c r="C22" s="139" t="str">
        <f t="shared" si="383"/>
        <v>Mechanical Availability</v>
      </c>
      <c r="D22" s="159" t="str">
        <f t="shared" si="383"/>
        <v>777 Optiload</v>
      </c>
      <c r="E22" s="196" t="s">
        <v>71</v>
      </c>
      <c r="F22" s="171">
        <f>IF('All Fleet'!C76="","",(5*24*11.8%)-'All Fleet'!C23)</f>
        <v>14.16</v>
      </c>
      <c r="G22" s="171">
        <f>IF('All Fleet'!D76="","",(5*24*11.8%)-'All Fleet'!D23)</f>
        <v>-39.960000000000008</v>
      </c>
      <c r="H22" s="171">
        <f>IF('All Fleet'!E76="","",(5*24*11.8%)-'All Fleet'!E23)</f>
        <v>10.11</v>
      </c>
      <c r="I22" s="171">
        <f>IF('All Fleet'!F76="","",(5*24*11.8%)-'All Fleet'!F23)</f>
        <v>14.16</v>
      </c>
      <c r="J22" s="171">
        <f>IF('All Fleet'!G76="","",(5*24*11.8%)-'All Fleet'!G23)</f>
        <v>-16.560000000000002</v>
      </c>
      <c r="K22" s="171">
        <f>IF('All Fleet'!H76="","",(5*24*11.8%)-'All Fleet'!H23)</f>
        <v>2.7899999999999991</v>
      </c>
      <c r="L22" s="171">
        <f>IF('All Fleet'!I76="","",(5*24*11.8%)-'All Fleet'!I23)</f>
        <v>4.34</v>
      </c>
      <c r="M22" s="171">
        <f>IF('All Fleet'!J76="","",(5*24*11.8%)-'All Fleet'!J23)</f>
        <v>-15.7</v>
      </c>
      <c r="N22" s="171">
        <f>IF('All Fleet'!K76="","",(5*24*11.8%)-'All Fleet'!K23)</f>
        <v>10.61</v>
      </c>
      <c r="O22" s="171">
        <f>IF('All Fleet'!L76="","",(5*24*11.8%)-'All Fleet'!L23)</f>
        <v>5.9999999999998721E-2</v>
      </c>
      <c r="P22" s="171">
        <f>IF('All Fleet'!M76="","",(5*24*11.8%)-'All Fleet'!M23)</f>
        <v>-43.769999999999996</v>
      </c>
      <c r="Q22" s="171">
        <f>IF('All Fleet'!N76="","",(5*24*11.8%)-'All Fleet'!N23)</f>
        <v>11.940000000000001</v>
      </c>
      <c r="R22" s="171">
        <f>IF('All Fleet'!O76="","",(5*24*11.8%)-'All Fleet'!O23)</f>
        <v>14.16</v>
      </c>
      <c r="S22" s="171">
        <f>IF('All Fleet'!P76="","",(5*24*11.8%)-'All Fleet'!P23)</f>
        <v>-10.98</v>
      </c>
      <c r="T22" s="171">
        <f>IF('All Fleet'!Q76="","",(5*24*11.8%)-'All Fleet'!Q23)</f>
        <v>-1.1600000000000001</v>
      </c>
      <c r="U22" s="171">
        <f>IF('All Fleet'!R76="","",(5*24*11.8%)-'All Fleet'!R23)</f>
        <v>11.61</v>
      </c>
      <c r="V22" s="171">
        <f>IF('All Fleet'!S76="","",(5*24*11.8%)-'All Fleet'!S23)</f>
        <v>14.16</v>
      </c>
      <c r="W22" s="171">
        <f>IF('All Fleet'!T76="","",(5*24*11.8%)-'All Fleet'!T23)</f>
        <v>6.129999999999999</v>
      </c>
      <c r="X22" s="171">
        <f>IF('All Fleet'!U76="","",(5*24*11.8%)-'All Fleet'!U23)</f>
        <v>-2.1400000000000006</v>
      </c>
      <c r="Y22" s="171">
        <f>IF('All Fleet'!V76="","",(5*24*11.8%)-'All Fleet'!V23)</f>
        <v>2.6099999999999994</v>
      </c>
      <c r="Z22" s="171">
        <f>IF('All Fleet'!W76="","",(5*24*11.8%)-'All Fleet'!W23)</f>
        <v>11.96</v>
      </c>
      <c r="AA22" s="171">
        <f>IF('All Fleet'!X76="","",(5*24*11.8%)-'All Fleet'!X23)</f>
        <v>13.14</v>
      </c>
      <c r="AB22" s="171">
        <f>IF('All Fleet'!Y76="","",(5*24*11.8%)-'All Fleet'!Y23)</f>
        <v>12.41</v>
      </c>
      <c r="AC22" s="171">
        <f>IF('All Fleet'!Z76="","",(5*24*11.8%)-'All Fleet'!Z23)</f>
        <v>10.780000000000001</v>
      </c>
      <c r="AD22" s="171">
        <f>IF('All Fleet'!AA76="","",(5*24*11.8%)-'All Fleet'!AA23)</f>
        <v>-8.4899999999999984</v>
      </c>
      <c r="AE22" s="171">
        <f>IF('All Fleet'!AB76="","",(5*24*11.8%)-'All Fleet'!AB23)</f>
        <v>14.16</v>
      </c>
      <c r="AF22" s="171">
        <f>IF('All Fleet'!AC76="","",(5*24*11.8%)-'All Fleet'!AC23)</f>
        <v>-17.34</v>
      </c>
      <c r="AG22" s="171">
        <f>IF('All Fleet'!AD76="","",(5*24*11.8%)-'All Fleet'!AD23)</f>
        <v>14.16</v>
      </c>
      <c r="AH22" s="171">
        <f>IF('All Fleet'!AE76="","",(5*24*11.8%)-'All Fleet'!AE23)</f>
        <v>11.66</v>
      </c>
      <c r="AI22" s="171">
        <f>IF('All Fleet'!AF76="","",(5*24*11.8%)-'All Fleet'!AF23)</f>
        <v>14.16</v>
      </c>
      <c r="AJ22" s="171">
        <f>IF('All Fleet'!AG76="","",(5*24*11.8%)-'All Fleet'!AG23)</f>
        <v>12.870000000000001</v>
      </c>
      <c r="AK22" s="171">
        <f>IF('All Fleet'!AH76="","",(5*24*11.8%)-'All Fleet'!AH23)</f>
        <v>7.78</v>
      </c>
      <c r="AL22" s="171">
        <f>IF('All Fleet'!AI76="","",(5*24*11.8%)-'All Fleet'!AI23)</f>
        <v>12.55</v>
      </c>
      <c r="AM22" s="171">
        <f>IF('All Fleet'!AJ76="","",(5*24*11.8%)-'All Fleet'!AJ23)</f>
        <v>14.16</v>
      </c>
      <c r="AN22" s="171">
        <f>IF('All Fleet'!AK76="","",(5*24*11.8%)-'All Fleet'!AK23)</f>
        <v>14.16</v>
      </c>
      <c r="AO22" s="171">
        <f>IF('All Fleet'!AL76="","",(5*24*11.8%)-'All Fleet'!AL23)</f>
        <v>8.5400000000000009</v>
      </c>
      <c r="AP22" s="171">
        <f>IF('All Fleet'!AM76="","",(5*24*11.8%)-'All Fleet'!AM23)</f>
        <v>12.66</v>
      </c>
      <c r="AQ22" s="171">
        <f>IF('All Fleet'!AN76="","",(5*24*11.8%)-'All Fleet'!AN23)</f>
        <v>12.32</v>
      </c>
      <c r="AR22" s="171">
        <f>IF('All Fleet'!AO76="","",(5*24*11.8%)-'All Fleet'!AO23)</f>
        <v>14.16</v>
      </c>
      <c r="AS22" s="171">
        <f>IF('All Fleet'!AP76="","",(5*24*11.8%)-'All Fleet'!AP23)</f>
        <v>14.16</v>
      </c>
      <c r="AT22" s="171">
        <f>IF('All Fleet'!AQ76="","",(5*24*11.8%)-'All Fleet'!AQ23)</f>
        <v>8.73</v>
      </c>
      <c r="AU22" s="171">
        <f>IF('All Fleet'!AR76="","",(5*24*11.8%)-'All Fleet'!AR23)</f>
        <v>11.86</v>
      </c>
      <c r="AV22" s="171">
        <f>IF('All Fleet'!AS76="","",(5*24*11.8%)-'All Fleet'!AS23)</f>
        <v>2.879999999999999</v>
      </c>
      <c r="AW22" s="171">
        <f>IF('All Fleet'!AT76="","",(5*24*11.8%)-'All Fleet'!AT23)</f>
        <v>-13.54</v>
      </c>
      <c r="AX22" s="171">
        <f>IF('All Fleet'!AU76="","",(5*24*11.8%)-'All Fleet'!AU23)</f>
        <v>14.16</v>
      </c>
      <c r="AY22" s="171">
        <f>IF('All Fleet'!AV76="","",(5*24*11.8%)-'All Fleet'!AV23)</f>
        <v>14.16</v>
      </c>
      <c r="AZ22" s="171">
        <f>IF('All Fleet'!AW76="","",(5*24*11.8%)-'All Fleet'!AW23)</f>
        <v>14.16</v>
      </c>
      <c r="BA22" s="171">
        <f>IF('All Fleet'!AX76="","",(5*24*11.8%)-'All Fleet'!AX23)</f>
        <v>8.08</v>
      </c>
      <c r="BB22" s="171">
        <f>IF('All Fleet'!AY76="","",(5*24*11.8%)-'All Fleet'!AY23)</f>
        <v>14.16</v>
      </c>
      <c r="BC22" s="171">
        <f>IF('All Fleet'!AZ76="","",(5*24*11.8%)-'All Fleet'!AZ23)</f>
        <v>12.96</v>
      </c>
      <c r="BD22" s="171">
        <f>IF('All Fleet'!BA76="","",(5*24*11.8%)-'All Fleet'!BA23)</f>
        <v>2.8599999999999994</v>
      </c>
      <c r="BE22" s="171">
        <f>IF('All Fleet'!BB76="","",(5*24*11.8%)-'All Fleet'!BB23)</f>
        <v>8.74</v>
      </c>
      <c r="BF22" s="171">
        <f>IF('All Fleet'!BC76="","",(5*24*11.8%)-'All Fleet'!BC23)</f>
        <v>-30.31</v>
      </c>
      <c r="BG22" s="171">
        <f>IF('All Fleet'!BD76="","",(5*24*11.8%)-'All Fleet'!BD23)</f>
        <v>-12.71</v>
      </c>
      <c r="BH22" s="171">
        <f>IF('All Fleet'!BE76="","",(5*24*11.8%)-'All Fleet'!BE23)</f>
        <v>13.030000000000001</v>
      </c>
      <c r="BI22" s="171">
        <f>IF('All Fleet'!BF76="","",(5*24*11.8%)-'All Fleet'!BF23)</f>
        <v>-8.59</v>
      </c>
      <c r="BJ22" s="171">
        <f>IF('All Fleet'!BG76="","",(5*24*11.8%)-'All Fleet'!BG23)</f>
        <v>14.16</v>
      </c>
      <c r="BK22" s="171">
        <f>IF('All Fleet'!BH76="","",(5*24*11.8%)-'All Fleet'!BH23)</f>
        <v>14.16</v>
      </c>
      <c r="BL22" s="171">
        <f>IF('All Fleet'!BI76="","",(5*24*11.8%)-'All Fleet'!BI23)</f>
        <v>8.99</v>
      </c>
      <c r="BM22" s="171">
        <f>IF('All Fleet'!BJ76="","",(5*24*11.8%)-'All Fleet'!BJ23)</f>
        <v>-2.0199999999999996</v>
      </c>
      <c r="BN22" s="171">
        <f>IF('All Fleet'!BK76="","",(5*24*11.8%)-'All Fleet'!BK23)</f>
        <v>6.49</v>
      </c>
      <c r="BO22" s="171">
        <f>IF('All Fleet'!BL76="","",(5*24*11.8%)-'All Fleet'!BL23)</f>
        <v>-3.66</v>
      </c>
      <c r="BP22" s="171">
        <f>IF('All Fleet'!BM76="","",(5*24*11.8%)-'All Fleet'!BM23)</f>
        <v>1.5399999999999991</v>
      </c>
      <c r="BQ22" s="171">
        <f>IF('All Fleet'!BN76="","",(5*24*11.8%)-'All Fleet'!BN23)</f>
        <v>6.66</v>
      </c>
      <c r="BR22" s="171">
        <f>IF('All Fleet'!BO76="","",(5*24*11.8%)-'All Fleet'!BO23)</f>
        <v>-20.76</v>
      </c>
      <c r="BS22" s="171">
        <f>IF('All Fleet'!BP76="","",(5*24*11.8%)-'All Fleet'!BP23)</f>
        <v>-5.1799999999999962</v>
      </c>
      <c r="BT22" s="171">
        <f>IF('All Fleet'!BQ76="","",(5*24*11.8%)-'All Fleet'!BQ23)</f>
        <v>13.290000000000001</v>
      </c>
      <c r="BU22" s="171">
        <f>IF('All Fleet'!BR76="","",(5*24*11.8%)-'All Fleet'!BR23)</f>
        <v>-9.6000000000000014</v>
      </c>
      <c r="BV22" s="171">
        <f>IF('All Fleet'!BS76="","",(5*24*11.8%)-'All Fleet'!BS23)</f>
        <v>6.32</v>
      </c>
      <c r="BW22" s="171">
        <f>IF('All Fleet'!BT76="","",(5*24*11.8%)-'All Fleet'!BT23)</f>
        <v>-5.4700000000000024</v>
      </c>
      <c r="BX22" s="171">
        <f>IF('All Fleet'!BU76="","",(5*24*11.8%)-'All Fleet'!BU23)</f>
        <v>14.16</v>
      </c>
      <c r="BY22" s="171">
        <f>IF('All Fleet'!BV76="","",(5*24*11.8%)-'All Fleet'!BV23)</f>
        <v>14.16</v>
      </c>
      <c r="BZ22" s="171">
        <f>IF('All Fleet'!BW76="","",(5*24*11.8%)-'All Fleet'!BW23)</f>
        <v>14.16</v>
      </c>
      <c r="CA22" s="171">
        <f>IF('All Fleet'!BX76="","",(5*24*11.8%)-'All Fleet'!BX23)</f>
        <v>-10.690000000000001</v>
      </c>
      <c r="CB22" s="171">
        <f>IF('All Fleet'!BY76="","",(5*24*11.8%)-'All Fleet'!BY23)</f>
        <v>-2.009999999999998</v>
      </c>
      <c r="CC22" s="171">
        <f>IF('All Fleet'!BZ76="","",(5*24*11.8%)-'All Fleet'!BZ23)</f>
        <v>14.16</v>
      </c>
      <c r="CD22" s="171">
        <f>IF('All Fleet'!CA76="","",(5*24*11.8%)-'All Fleet'!CA23)</f>
        <v>13.89</v>
      </c>
      <c r="CE22" s="171">
        <f>IF('All Fleet'!CB76="","",(5*24*11.8%)-'All Fleet'!CB23)</f>
        <v>12.97</v>
      </c>
      <c r="CF22" s="171">
        <f>IF('All Fleet'!CC76="","",(5*24*11.8%)-'All Fleet'!CC23)</f>
        <v>-1.1600000000000001</v>
      </c>
      <c r="CG22" s="171">
        <f>IF('All Fleet'!CD76="","",(5*24*11.8%)-'All Fleet'!CD23)</f>
        <v>14.16</v>
      </c>
      <c r="CH22" s="171">
        <f>IF('All Fleet'!CE76="","",(5*24*11.8%)-'All Fleet'!CE23)</f>
        <v>14.16</v>
      </c>
      <c r="CI22" s="171">
        <f>IF('All Fleet'!CF76="","",(5*24*11.8%)-'All Fleet'!CF23)</f>
        <v>-2.4400000000000013</v>
      </c>
      <c r="CJ22" s="171">
        <f>IF('All Fleet'!CG76="","",(5*24*11.8%)-'All Fleet'!CG23)</f>
        <v>14.16</v>
      </c>
      <c r="CK22" s="171">
        <f>IF('All Fleet'!CH76="","",(5*24*11.8%)-'All Fleet'!CH23)</f>
        <v>11.440000000000001</v>
      </c>
      <c r="CL22" s="171">
        <f>IF('All Fleet'!CI76="","",(5*24*11.8%)-'All Fleet'!CI23)</f>
        <v>-7.8599999999999994</v>
      </c>
      <c r="CM22" s="171">
        <f>IF('All Fleet'!CJ76="","",(5*24*11.8%)-'All Fleet'!CJ23)</f>
        <v>-1.1900000000000013</v>
      </c>
      <c r="CN22" s="171">
        <f>IF('All Fleet'!CK76="","",(5*24*11.8%)-'All Fleet'!CK23)</f>
        <v>13.16</v>
      </c>
      <c r="CO22" s="171">
        <f>IF('All Fleet'!CL76="","",(5*24*11.8%)-'All Fleet'!CL23)</f>
        <v>12.72</v>
      </c>
      <c r="CP22" s="171">
        <f>IF('All Fleet'!CM76="","",(5*24*11.8%)-'All Fleet'!CM23)</f>
        <v>8.93</v>
      </c>
      <c r="CQ22" s="171">
        <f>IF('All Fleet'!CN76="","",(5*24*11.8%)-'All Fleet'!CN23)</f>
        <v>14.16</v>
      </c>
      <c r="CR22" s="171">
        <f>IF('All Fleet'!CO76="","",(5*24*11.8%)-'All Fleet'!CO23)</f>
        <v>-1.3599999999999994</v>
      </c>
      <c r="CS22" s="171">
        <f>IF('All Fleet'!CP76="","",(5*24*11.8%)-'All Fleet'!CP23)</f>
        <v>12.98</v>
      </c>
      <c r="CT22" s="171">
        <f>IF('All Fleet'!CQ76="","",(5*24*11.8%)-'All Fleet'!CQ23)</f>
        <v>10.49</v>
      </c>
      <c r="CU22" s="171">
        <f>IF('All Fleet'!CR76="","",(5*24*11.8%)-'All Fleet'!CR23)</f>
        <v>14.16</v>
      </c>
      <c r="CV22" s="171">
        <f>IF('All Fleet'!CS76="","",(5*24*11.8%)-'All Fleet'!CS23)</f>
        <v>2.2400000000000002</v>
      </c>
      <c r="CW22" s="171">
        <f>IF('All Fleet'!CT76="","",(5*24*11.8%)-'All Fleet'!CT23)</f>
        <v>10.34</v>
      </c>
      <c r="CX22" s="171">
        <f>IF('All Fleet'!CU76="","",(5*24*11.8%)-'All Fleet'!CU23)</f>
        <v>14.16</v>
      </c>
      <c r="CY22" s="171">
        <f>IF('All Fleet'!CV76="","",(5*24*11.8%)-'All Fleet'!CV23)</f>
        <v>9.91</v>
      </c>
      <c r="CZ22" s="171">
        <f>IF('All Fleet'!CW76="","",(5*24*11.8%)-'All Fleet'!CW23)</f>
        <v>9.24</v>
      </c>
      <c r="DA22" s="171">
        <f>IF('All Fleet'!CX76="","",(5*24*11.8%)-'All Fleet'!CX23)</f>
        <v>-22.419999999999998</v>
      </c>
      <c r="DB22" s="171">
        <f>IF('All Fleet'!CY76="","",(5*24*11.8%)-'All Fleet'!CY23)</f>
        <v>14.16</v>
      </c>
      <c r="DC22" s="171">
        <f>IF('All Fleet'!CZ76="","",(5*24*11.8%)-'All Fleet'!CZ23)</f>
        <v>12.66</v>
      </c>
      <c r="DD22" s="171">
        <f>IF('All Fleet'!DA76="","",(5*24*11.8%)-'All Fleet'!DA23)</f>
        <v>12.63</v>
      </c>
      <c r="DE22" s="171">
        <f>IF('All Fleet'!DB76="","",(5*24*11.8%)-'All Fleet'!DB23)</f>
        <v>4.41</v>
      </c>
      <c r="DF22" s="171">
        <f>IF('All Fleet'!DC76="","",(5*24*11.8%)-'All Fleet'!DC23)</f>
        <v>3.5400000000000009</v>
      </c>
      <c r="DG22" s="171">
        <f>IF('All Fleet'!DD76="","",(5*24*11.8%)-'All Fleet'!DD23)</f>
        <v>11.15</v>
      </c>
      <c r="DH22" s="171">
        <f>IF('All Fleet'!DE76="","",(5*24*11.8%)-'All Fleet'!DE23)</f>
        <v>-7.0599999999999987</v>
      </c>
      <c r="DI22" s="171">
        <f>IF('All Fleet'!DF76="","",(5*24*11.8%)-'All Fleet'!DF23)</f>
        <v>-21.23</v>
      </c>
      <c r="DJ22" s="171">
        <f>IF('All Fleet'!DG76="","",(5*24*11.8%)-'All Fleet'!DG23)</f>
        <v>14.16</v>
      </c>
      <c r="DK22" s="171">
        <f>IF('All Fleet'!DH76="","",(5*24*11.8%)-'All Fleet'!DH23)</f>
        <v>11.81</v>
      </c>
      <c r="DL22" s="171">
        <f>IF('All Fleet'!DI76="","",(5*24*11.8%)-'All Fleet'!DI23)</f>
        <v>10.18</v>
      </c>
      <c r="DM22" s="171">
        <f>IF('All Fleet'!DJ76="","",(5*24*11.8%)-'All Fleet'!DJ23)</f>
        <v>-165.41000000000003</v>
      </c>
      <c r="DN22" s="171">
        <f>IF('All Fleet'!DK76="","",(5*24*11.8%)-'All Fleet'!DK23)</f>
        <v>14.16</v>
      </c>
      <c r="DO22" s="171">
        <f>IF('All Fleet'!DL76="","",(5*24*11.8%)-'All Fleet'!DL23)</f>
        <v>12.81</v>
      </c>
      <c r="DP22" s="171">
        <f>IF('All Fleet'!DM76="","",(5*24*11.8%)-'All Fleet'!DM23)</f>
        <v>6.1300000000000008</v>
      </c>
      <c r="DQ22" s="171">
        <f>IF('All Fleet'!DN76="","",(5*24*11.8%)-'All Fleet'!DN23)</f>
        <v>9.879999999999999</v>
      </c>
      <c r="DR22" s="171">
        <f>IF('All Fleet'!DO76="","",(5*24*11.8%)-'All Fleet'!DO23)</f>
        <v>14.16</v>
      </c>
      <c r="DS22" s="171">
        <f>IF('All Fleet'!DP76="","",(5*24*11.8%)-'All Fleet'!DP23)</f>
        <v>12.05</v>
      </c>
      <c r="DT22" s="171">
        <f>IF('All Fleet'!DQ76="","",(5*24*11.8%)-'All Fleet'!DQ23)</f>
        <v>10.81</v>
      </c>
      <c r="DU22" s="171">
        <f>IF('All Fleet'!DR76="","",(5*24*11.8%)-'All Fleet'!DR23)</f>
        <v>13.790000000000001</v>
      </c>
      <c r="DV22" s="171">
        <f>IF('All Fleet'!DS76="","",(5*24*11.8%)-'All Fleet'!DS23)</f>
        <v>11.940000000000001</v>
      </c>
      <c r="DW22" s="171">
        <f>IF('All Fleet'!DT76="","",(5*24*11.8%)-'All Fleet'!DT23)</f>
        <v>5.58</v>
      </c>
      <c r="DX22" s="171">
        <f>IF('All Fleet'!DU76="","",(5*24*11.8%)-'All Fleet'!DU23)</f>
        <v>-9.9999999999997868E-3</v>
      </c>
      <c r="DY22" s="171">
        <f>IF('All Fleet'!DV76="","",(5*24*11.8%)-'All Fleet'!DV23)</f>
        <v>3.2199999999999989</v>
      </c>
      <c r="DZ22" s="171">
        <f>IF('All Fleet'!DW76="","",(5*24*11.8%)-'All Fleet'!DW23)</f>
        <v>-27.669999999999998</v>
      </c>
      <c r="EA22" s="171">
        <f>IF('All Fleet'!DX76="","",(5*24*11.8%)-'All Fleet'!DX23)</f>
        <v>14.16</v>
      </c>
      <c r="EB22" s="171">
        <f>IF('All Fleet'!DY76="","",(5*24*11.8%)-'All Fleet'!DY23)</f>
        <v>14.16</v>
      </c>
      <c r="EC22" s="171">
        <f>IF('All Fleet'!DZ76="","",(5*24*11.8%)-'All Fleet'!DZ23)</f>
        <v>3.5199999999999996</v>
      </c>
      <c r="ED22" s="171">
        <f>IF('All Fleet'!EA76="","",(5*24*11.8%)-'All Fleet'!EA23)</f>
        <v>9.129999999999999</v>
      </c>
      <c r="EE22" s="171">
        <f>IF('All Fleet'!EB76="","",(5*24*11.8%)-'All Fleet'!EB23)</f>
        <v>6.24</v>
      </c>
      <c r="EF22" s="171">
        <f>IF('All Fleet'!EC76="","",(5*24*11.8%)-'All Fleet'!EC23)</f>
        <v>1.9600000000000009</v>
      </c>
      <c r="EG22" s="171">
        <f>IF('All Fleet'!ED76="","",(5*24*11.8%)-'All Fleet'!ED23)</f>
        <v>14.16</v>
      </c>
      <c r="EH22" s="171">
        <f>IF('All Fleet'!EE76="","",(5*24*11.8%)-'All Fleet'!EE23)</f>
        <v>1.8599999999999994</v>
      </c>
      <c r="EI22" s="171">
        <f>IF('All Fleet'!EF76="","",(5*24*11.8%)-'All Fleet'!EF23)</f>
        <v>14.16</v>
      </c>
      <c r="EJ22" s="171">
        <f>IF('All Fleet'!EG76="","",(5*24*11.8%)-'All Fleet'!EG23)</f>
        <v>-30.680000000000003</v>
      </c>
      <c r="EK22" s="171">
        <f>IF('All Fleet'!EH76="","",(5*24*11.8%)-'All Fleet'!EH23)</f>
        <v>4.0000000000000018</v>
      </c>
      <c r="EL22" s="171">
        <f>IF('All Fleet'!EI76="","",(5*24*11.8%)-'All Fleet'!EI23)</f>
        <v>-4.3599999999999994</v>
      </c>
      <c r="EM22" s="171">
        <f>IF('All Fleet'!EJ76="","",(5*24*11.8%)-'All Fleet'!EJ23)</f>
        <v>14.16</v>
      </c>
      <c r="EN22" s="171">
        <f>IF('All Fleet'!EK76="","",(5*24*11.8%)-'All Fleet'!EK23)</f>
        <v>14.16</v>
      </c>
      <c r="EO22" s="171">
        <f>IF('All Fleet'!EL76="","",(5*24*11.8%)-'All Fleet'!EL23)</f>
        <v>-9.84</v>
      </c>
      <c r="EP22" s="171">
        <f>IF('All Fleet'!EM76="","",(5*24*11.8%)-'All Fleet'!EM23)</f>
        <v>-12.89</v>
      </c>
      <c r="EQ22" s="171">
        <f>IF('All Fleet'!EN76="","",(5*24*11.8%)-'All Fleet'!EN23)</f>
        <v>-18.34</v>
      </c>
      <c r="ER22" s="171">
        <f>IF('All Fleet'!EO76="","",(5*24*11.8%)-'All Fleet'!EO23)</f>
        <v>0.5600000000000005</v>
      </c>
      <c r="ES22" s="171">
        <f>IF('All Fleet'!EP76="","",(5*24*11.8%)-'All Fleet'!EP23)</f>
        <v>7.13</v>
      </c>
      <c r="ET22" s="171">
        <f>IF('All Fleet'!EQ76="","",(5*24*11.8%)-'All Fleet'!EQ23)</f>
        <v>8.19</v>
      </c>
      <c r="EU22" s="171">
        <f>IF('All Fleet'!ER76="","",(5*24*11.8%)-'All Fleet'!ER23)</f>
        <v>14.16</v>
      </c>
      <c r="EV22" s="171">
        <f>IF('All Fleet'!ES76="","",(5*24*11.8%)-'All Fleet'!ES23)</f>
        <v>-3.4499999999999993</v>
      </c>
      <c r="EW22" s="171">
        <f>IF('All Fleet'!ET76="","",(5*24*11.8%)-'All Fleet'!ET23)</f>
        <v>-3.4899999999999984</v>
      </c>
      <c r="EX22" s="171">
        <f>IF('All Fleet'!EU76="","",(5*24*11.8%)-'All Fleet'!EU23)</f>
        <v>11.16</v>
      </c>
      <c r="EY22" s="171">
        <f>IF('All Fleet'!EV76="","",(5*24*11.8%)-'All Fleet'!EV23)</f>
        <v>14.16</v>
      </c>
      <c r="EZ22" s="171">
        <f>IF('All Fleet'!EW76="","",(5*24*11.8%)-'All Fleet'!EW23)</f>
        <v>14.16</v>
      </c>
      <c r="FA22" s="171">
        <f>IF('All Fleet'!EX76="","",(5*24*11.8%)-'All Fleet'!EX23)</f>
        <v>14.16</v>
      </c>
      <c r="FB22" s="171">
        <f>IF('All Fleet'!EY76="","",(5*24*11.8%)-'All Fleet'!EY23)</f>
        <v>14.16</v>
      </c>
      <c r="FC22" s="171">
        <f>IF('All Fleet'!EZ76="","",(5*24*11.8%)-'All Fleet'!EZ23)</f>
        <v>14.16</v>
      </c>
      <c r="FD22" s="171">
        <f>IF('All Fleet'!FA76="","",(5*24*11.8%)-'All Fleet'!FA23)</f>
        <v>14.16</v>
      </c>
      <c r="FE22" s="171">
        <f>IF('All Fleet'!FB76="","",(5*24*11.8%)-'All Fleet'!FB23)</f>
        <v>14.16</v>
      </c>
      <c r="FF22" s="171">
        <f>IF('All Fleet'!FC76="","",(5*24*11.8%)-'All Fleet'!FC23)</f>
        <v>14.16</v>
      </c>
      <c r="FG22" s="171">
        <f>IF('All Fleet'!FD76="","",(5*24*11.8%)-'All Fleet'!FD23)</f>
        <v>-14.080000000000002</v>
      </c>
      <c r="FH22" s="171">
        <f>IF('All Fleet'!FE76="","",(5*24*11.8%)-'All Fleet'!FE23)</f>
        <v>-18.09</v>
      </c>
      <c r="FI22" s="171">
        <f>IF('All Fleet'!FF76="","",(5*24*11.8%)-'All Fleet'!FF23)</f>
        <v>13.66</v>
      </c>
      <c r="FJ22" s="171">
        <f>IF('All Fleet'!FG76="","",(5*24*11.8%)-'All Fleet'!FG23)</f>
        <v>2.6100000000000012</v>
      </c>
      <c r="FK22" s="171">
        <f>IF('All Fleet'!FH76="","",(5*24*11.8%)-'All Fleet'!FH23)</f>
        <v>7.09</v>
      </c>
      <c r="FL22" s="171">
        <f>IF('All Fleet'!FI76="","",(5*24*11.8%)-'All Fleet'!FI23)</f>
        <v>12.780000000000001</v>
      </c>
      <c r="FM22" s="171">
        <f>IF('All Fleet'!FJ76="","",(5*24*11.8%)-'All Fleet'!FJ23)</f>
        <v>11.51</v>
      </c>
      <c r="FN22" s="171">
        <f>IF('All Fleet'!FK76="","",(5*24*11.8%)-'All Fleet'!FK23)</f>
        <v>14.16</v>
      </c>
      <c r="FO22" s="171">
        <f>IF('All Fleet'!FL76="","",(5*24*11.8%)-'All Fleet'!FL23)</f>
        <v>9.59</v>
      </c>
      <c r="FP22" s="171">
        <f>IF('All Fleet'!FM76="","",(5*24*11.8%)-'All Fleet'!FM23)</f>
        <v>-0.57000000000000028</v>
      </c>
      <c r="FQ22" s="171">
        <f>IF('All Fleet'!FN76="","",(5*24*11.8%)-'All Fleet'!FN23)</f>
        <v>14.16</v>
      </c>
      <c r="FR22" s="171">
        <f>IF('All Fleet'!FO76="","",(5*24*11.8%)-'All Fleet'!FO23)</f>
        <v>8.59</v>
      </c>
      <c r="FS22" s="171">
        <f>IF('All Fleet'!FP76="","",(5*24*11.8%)-'All Fleet'!FP23)</f>
        <v>14.16</v>
      </c>
      <c r="FT22" s="171">
        <f>IF('All Fleet'!FQ76="","",(5*24*11.8%)-'All Fleet'!FQ23)</f>
        <v>13.4</v>
      </c>
      <c r="FU22" s="171">
        <f>IF('All Fleet'!FR76="","",(5*24*11.8%)-'All Fleet'!FR23)</f>
        <v>14.16</v>
      </c>
      <c r="FV22" s="171">
        <f>IF('All Fleet'!FS76="","",(5*24*11.8%)-'All Fleet'!FS23)</f>
        <v>-3.9400000000000013</v>
      </c>
      <c r="FW22" s="171">
        <f>IF('All Fleet'!FT76="","",(5*24*11.8%)-'All Fleet'!FT23)</f>
        <v>-24.52</v>
      </c>
      <c r="FX22" s="171">
        <f>IF('All Fleet'!FU76="","",(5*24*11.8%)-'All Fleet'!FU23)</f>
        <v>14.16</v>
      </c>
      <c r="FY22" s="171">
        <f>IF('All Fleet'!FV76="","",(5*24*11.8%)-'All Fleet'!FV23)</f>
        <v>9.0300000000000011</v>
      </c>
      <c r="FZ22" s="171">
        <f>IF('All Fleet'!FW76="","",(5*24*11.8%)-'All Fleet'!FW23)</f>
        <v>0.94000000000000128</v>
      </c>
      <c r="GA22" s="171">
        <f>IF('All Fleet'!FX76="","",(5*24*11.8%)-'All Fleet'!FX23)</f>
        <v>11.25</v>
      </c>
      <c r="GB22" s="171">
        <f>IF('All Fleet'!FY76="","",(5*24*11.8%)-'All Fleet'!FY23)</f>
        <v>14.16</v>
      </c>
      <c r="GC22" s="171">
        <f>IF('All Fleet'!FZ76="","",(5*24*11.8%)-'All Fleet'!FZ23)</f>
        <v>13.98</v>
      </c>
      <c r="GD22" s="171">
        <f>IF('All Fleet'!GA76="","",(5*24*11.8%)-'All Fleet'!GA23)</f>
        <v>-26.639999999999997</v>
      </c>
      <c r="GE22" s="171">
        <f>IF('All Fleet'!GB76="","",(5*24*11.8%)-'All Fleet'!GB23)</f>
        <v>-8.1699999999999982</v>
      </c>
      <c r="GF22" s="171">
        <f>IF('All Fleet'!GC76="","",(5*24*11.8%)-'All Fleet'!GC23)</f>
        <v>14.16</v>
      </c>
      <c r="GG22" s="171">
        <f>IF('All Fleet'!GD76="","",(5*24*11.8%)-'All Fleet'!GD23)</f>
        <v>14.16</v>
      </c>
      <c r="GH22" s="171">
        <f>IF('All Fleet'!GE76="","",(5*24*11.8%)-'All Fleet'!GE23)</f>
        <v>11.71</v>
      </c>
      <c r="GI22" s="171">
        <f>IF('All Fleet'!GF76="","",(5*24*11.8%)-'All Fleet'!GF23)</f>
        <v>2.1300000000000008</v>
      </c>
      <c r="GJ22" s="171">
        <f>IF('All Fleet'!GG76="","",(5*24*11.8%)-'All Fleet'!GG23)</f>
        <v>12.5</v>
      </c>
      <c r="GK22" s="171">
        <f>IF('All Fleet'!GH76="","",(5*24*11.8%)-'All Fleet'!GH23)</f>
        <v>14.16</v>
      </c>
      <c r="GL22" s="171">
        <f>IF('All Fleet'!GI76="","",(5*24*11.8%)-'All Fleet'!GI23)</f>
        <v>8.93</v>
      </c>
      <c r="GM22" s="171">
        <f>IF('All Fleet'!GJ76="","",(5*24*11.8%)-'All Fleet'!GJ23)</f>
        <v>9.7800000000000011</v>
      </c>
      <c r="GN22" s="171">
        <f>IF('All Fleet'!GK76="","",(5*24*11.8%)-'All Fleet'!GK23)</f>
        <v>7.84</v>
      </c>
      <c r="GO22" s="171">
        <f>IF('All Fleet'!GL76="","",(5*24*11.8%)-'All Fleet'!GL23)</f>
        <v>14.16</v>
      </c>
      <c r="GP22" s="171">
        <f>IF('All Fleet'!GM76="","",(5*24*11.8%)-'All Fleet'!GM23)</f>
        <v>14.16</v>
      </c>
      <c r="GQ22" s="171">
        <f>IF('All Fleet'!GN76="","",(5*24*11.8%)-'All Fleet'!GN23)</f>
        <v>14.16</v>
      </c>
      <c r="GR22" s="171">
        <f>IF('All Fleet'!GO76="","",(5*24*11.8%)-'All Fleet'!GO23)</f>
        <v>14.16</v>
      </c>
      <c r="GS22" s="171">
        <f>IF('All Fleet'!GP76="","",(5*24*11.8%)-'All Fleet'!GP23)</f>
        <v>14.16</v>
      </c>
      <c r="GT22" s="171">
        <f>IF('All Fleet'!GQ76="","",(5*24*11.8%)-'All Fleet'!GQ23)</f>
        <v>10.96</v>
      </c>
      <c r="GU22" s="171">
        <f>IF('All Fleet'!GR76="","",(5*24*11.8%)-'All Fleet'!GR23)</f>
        <v>6.0300000000000011</v>
      </c>
      <c r="GV22" s="171">
        <f>IF('All Fleet'!GS76="","",(5*24*11.8%)-'All Fleet'!GS23)</f>
        <v>14.16</v>
      </c>
      <c r="GW22" s="171">
        <f>IF('All Fleet'!GT76="","",(5*24*11.8%)-'All Fleet'!GT23)</f>
        <v>6.71</v>
      </c>
      <c r="GX22" s="171">
        <f>IF('All Fleet'!GU76="","",(5*24*11.8%)-'All Fleet'!GU23)</f>
        <v>14.16</v>
      </c>
      <c r="GY22" s="171">
        <f>IF('All Fleet'!GV76="","",(5*24*11.8%)-'All Fleet'!GV23)</f>
        <v>-139.19</v>
      </c>
      <c r="GZ22" s="171">
        <f>IF('All Fleet'!GW76="","",(5*24*11.8%)-'All Fleet'!GW23)</f>
        <v>6.54</v>
      </c>
      <c r="HA22" s="171">
        <f>IF('All Fleet'!GX76="","",(5*24*11.8%)-'All Fleet'!GX23)</f>
        <v>14.16</v>
      </c>
      <c r="HB22" s="171">
        <f>IF('All Fleet'!GY76="","",(5*24*11.8%)-'All Fleet'!GY23)</f>
        <v>14.16</v>
      </c>
      <c r="HC22" s="171">
        <f>IF('All Fleet'!GZ76="","",(5*24*11.8%)-'All Fleet'!GZ23)</f>
        <v>14.16</v>
      </c>
      <c r="HD22" s="171">
        <f>IF('All Fleet'!HA76="","",(5*24*11.8%)-'All Fleet'!HA23)</f>
        <v>14.16</v>
      </c>
      <c r="HE22" s="171">
        <f>IF('All Fleet'!HB76="","",(5*24*11.8%)-'All Fleet'!HB23)</f>
        <v>-130.94</v>
      </c>
      <c r="HF22" s="171">
        <f>IF('All Fleet'!HC76="","",(5*24*11.8%)-'All Fleet'!HC23)</f>
        <v>14.16</v>
      </c>
      <c r="HG22" s="171">
        <f>IF('All Fleet'!HD76="","",(5*24*11.8%)-'All Fleet'!HD23)</f>
        <v>14.16</v>
      </c>
      <c r="HH22" s="171">
        <f>IF('All Fleet'!HE76="","",(5*24*11.8%)-'All Fleet'!HE23)</f>
        <v>14.16</v>
      </c>
      <c r="HI22" s="171">
        <f>IF('All Fleet'!HF76="","",(5*24*11.8%)-'All Fleet'!HF23)</f>
        <v>14.16</v>
      </c>
      <c r="HJ22" s="171">
        <f>IF('All Fleet'!HG76="","",(5*24*11.8%)-'All Fleet'!HG23)</f>
        <v>14.16</v>
      </c>
      <c r="HK22" s="171">
        <f>IF('All Fleet'!HH76="","",(5*24*11.8%)-'All Fleet'!HH23)</f>
        <v>14.16</v>
      </c>
      <c r="HL22" s="171">
        <f>IF('All Fleet'!HI76="","",(5*24*11.8%)-'All Fleet'!HI23)</f>
        <v>14.16</v>
      </c>
      <c r="HM22" s="171">
        <f>IF('All Fleet'!HJ76="","",(5*24*11.8%)-'All Fleet'!HJ23)</f>
        <v>14.094444444444445</v>
      </c>
      <c r="HN22" s="171">
        <f>IF('All Fleet'!HK76="","",(5*24*11.8%)-'All Fleet'!HK23)</f>
        <v>-7.2097222222222221</v>
      </c>
      <c r="HO22" s="171">
        <f>IF('All Fleet'!HL76="","",(5*24*11.8%)-'All Fleet'!HL23)</f>
        <v>-9.84</v>
      </c>
      <c r="HP22" s="171">
        <f>IF('All Fleet'!HM76="","",(5*24*11.8%)-'All Fleet'!HM23)</f>
        <v>-14.288055555555555</v>
      </c>
      <c r="HQ22" s="171">
        <f>IF('All Fleet'!HN76="","",(5*24*11.8%)-'All Fleet'!HN23)</f>
        <v>11.808333333333334</v>
      </c>
      <c r="HR22" s="171">
        <f>IF('All Fleet'!HO76="","",(5*24*11.8%)-'All Fleet'!HO23)</f>
        <v>14.16</v>
      </c>
      <c r="HS22" s="171">
        <f>IF('All Fleet'!HP76="","",(5*24*11.8%)-'All Fleet'!HP23)</f>
        <v>14.16</v>
      </c>
      <c r="HT22" s="171">
        <f>IF('All Fleet'!HQ76="","",(5*24*11.8%)-'All Fleet'!HQ23)</f>
        <v>10.126666666666667</v>
      </c>
      <c r="HU22" s="171">
        <f>IF('All Fleet'!HR76="","",(5*24*11.8%)-'All Fleet'!HR23)</f>
        <v>14.16</v>
      </c>
      <c r="HV22" s="171">
        <f>IF('All Fleet'!HS76="","",(5*24*11.8%)-'All Fleet'!HS23)</f>
        <v>-28.34472222222222</v>
      </c>
      <c r="HW22" s="171">
        <f>IF('All Fleet'!HT76="","",(5*24*11.8%)-'All Fleet'!HT23)</f>
        <v>-9.84</v>
      </c>
      <c r="HX22" s="171">
        <f>IF('All Fleet'!HU76="","",(5*24*11.8%)-'All Fleet'!HU23)</f>
        <v>-9.84</v>
      </c>
      <c r="HY22" s="171">
        <f>IF('All Fleet'!HV76="","",(5*24*11.8%)-'All Fleet'!HV23)</f>
        <v>-8.3486111111111114</v>
      </c>
      <c r="HZ22" s="171">
        <f>IF('All Fleet'!HW76="","",(5*24*11.8%)-'All Fleet'!HW23)</f>
        <v>10.45</v>
      </c>
      <c r="IA22" s="171">
        <f>IF('All Fleet'!HX76="","",(5*24*11.8%)-'All Fleet'!HX23)</f>
        <v>-3.8411111111111111</v>
      </c>
      <c r="IB22" s="171">
        <f>IF('All Fleet'!HY76="","",(5*24*11.8%)-'All Fleet'!HY23)</f>
        <v>-13.428333333333335</v>
      </c>
      <c r="IC22" s="171">
        <f>IF('All Fleet'!HZ76="","",(5*24*11.8%)-'All Fleet'!HZ23)</f>
        <v>3.3050000000000015</v>
      </c>
      <c r="ID22" s="171">
        <f>IF('All Fleet'!IA76="","",(5*24*11.8%)-'All Fleet'!IA23)</f>
        <v>14.16</v>
      </c>
      <c r="IE22" s="171">
        <f>IF('All Fleet'!IB76="","",(5*24*11.8%)-'All Fleet'!IB23)</f>
        <v>11.162777777777778</v>
      </c>
      <c r="IF22" s="171">
        <f>IF('All Fleet'!IC76="","",(5*24*11.8%)-'All Fleet'!IC23)</f>
        <v>14.16</v>
      </c>
      <c r="IG22" s="171">
        <f>IF('All Fleet'!ID76="","",(5*24*11.8%)-'All Fleet'!ID23)</f>
        <v>-73.640000000000015</v>
      </c>
      <c r="IH22" s="171">
        <f>IF('All Fleet'!IE76="","",(5*24*11.8%)-'All Fleet'!IE23)</f>
        <v>-7.4699999999999989</v>
      </c>
      <c r="II22" s="171">
        <f>IF('All Fleet'!IF76="","",(5*24*11.8%)-'All Fleet'!IF23)</f>
        <v>9.129999999999999</v>
      </c>
      <c r="IJ22" s="171">
        <f>IF('All Fleet'!IG76="","",(5*24*11.8%)-'All Fleet'!IG23)</f>
        <v>13.74</v>
      </c>
      <c r="IK22" s="171">
        <f>IF('All Fleet'!IH76="","",(5*24*11.8%)-'All Fleet'!IH23)</f>
        <v>11.64</v>
      </c>
      <c r="IL22" s="171">
        <f>IF('All Fleet'!II76="","",(5*24*11.8%)-'All Fleet'!II23)</f>
        <v>14.16</v>
      </c>
      <c r="IM22" s="171">
        <f>IF('All Fleet'!IJ76="","",(5*24*11.8%)-'All Fleet'!IJ23)</f>
        <v>-5.57</v>
      </c>
      <c r="IN22" s="171">
        <f>IF('All Fleet'!IK76="","",(5*24*11.8%)-'All Fleet'!IK23)</f>
        <v>8.331666666666667</v>
      </c>
      <c r="IO22" s="171">
        <f>IF('All Fleet'!IL76="","",(5*24*11.8%)-'All Fleet'!IL23)</f>
        <v>-8.1305555555555564</v>
      </c>
      <c r="IP22" s="171">
        <f>IF('All Fleet'!IM76="","",(5*24*11.8%)-'All Fleet'!IM23)</f>
        <v>-11.604444444444443</v>
      </c>
      <c r="IQ22" s="171">
        <f>IF('All Fleet'!IN76="","",(5*24*11.8%)-'All Fleet'!IN23)</f>
        <v>-13.747499999999999</v>
      </c>
      <c r="IR22" s="171">
        <f>IF('All Fleet'!IO76="","",(5*24*11.8%)-'All Fleet'!IO23)</f>
        <v>-22.583333333333332</v>
      </c>
      <c r="IS22" s="171">
        <f>IF('All Fleet'!IP76="","",(5*24*11.8%)-'All Fleet'!IP23)</f>
        <v>-16.661944444444444</v>
      </c>
      <c r="IT22" s="171">
        <f>IF('All Fleet'!IQ76="","",(5*24*11.8%)-'All Fleet'!IQ23)</f>
        <v>-10.721666666666668</v>
      </c>
      <c r="IU22" s="171">
        <f>IF('All Fleet'!IR76="","",(5*24*11.8%)-'All Fleet'!IR23)</f>
        <v>-30.823333333333334</v>
      </c>
      <c r="IV22" s="171">
        <f>IF('All Fleet'!IS76="","",(5*24*11.8%)-'All Fleet'!IS23)</f>
        <v>-47.103888888888889</v>
      </c>
      <c r="IW22" s="171">
        <f>IF('All Fleet'!IT76="","",(5*24*11.8%)-'All Fleet'!IT23)</f>
        <v>-49.734166666666667</v>
      </c>
      <c r="IX22" s="171">
        <f>IF('All Fleet'!IU76="","",(5*24*11.8%)-'All Fleet'!IU23)</f>
        <v>-20.647499999999997</v>
      </c>
      <c r="IY22" s="171">
        <f>IF('All Fleet'!IV76="","",(5*24*11.8%)-'All Fleet'!IV23)</f>
        <v>10.659166666666668</v>
      </c>
      <c r="IZ22" s="171">
        <f>IF('All Fleet'!IW76="","",(5*24*11.8%)-'All Fleet'!IW23)</f>
        <v>14.025555555555556</v>
      </c>
      <c r="JA22" s="171">
        <f>IF('All Fleet'!IX76="","",(5*24*11.8%)-'All Fleet'!IX23)</f>
        <v>10.592777777777778</v>
      </c>
      <c r="JB22" s="171">
        <f>IF('All Fleet'!IY76="","",(5*24*11.8%)-'All Fleet'!IY23)</f>
        <v>5.1777777777777771</v>
      </c>
      <c r="JC22" s="171">
        <f>IF('All Fleet'!IZ76="","",(5*24*11.8%)-'All Fleet'!IZ23)</f>
        <v>13.831666666666667</v>
      </c>
      <c r="JD22" s="171">
        <f>IF('All Fleet'!JA76="","",(5*24*11.8%)-'All Fleet'!JA23)</f>
        <v>12.326666666666668</v>
      </c>
      <c r="JE22" s="171">
        <f>IF('All Fleet'!JB76="","",(5*24*11.8%)-'All Fleet'!JB23)</f>
        <v>8.2430555555555554</v>
      </c>
      <c r="JF22" s="171">
        <f>IF('All Fleet'!JC76="","",(5*24*11.8%)-'All Fleet'!JC23)</f>
        <v>9.4966666666666661</v>
      </c>
      <c r="JG22" s="171">
        <f>IF('All Fleet'!JD76="","",(5*24*11.8%)-'All Fleet'!JD23)</f>
        <v>-0.94861111111111107</v>
      </c>
      <c r="JH22" s="171">
        <f>IF('All Fleet'!JE76="","",(5*24*11.8%)-'All Fleet'!JE23)</f>
        <v>7.748333333333334</v>
      </c>
      <c r="JI22" s="171">
        <f>IF('All Fleet'!JF76="","",(5*24*11.8%)-'All Fleet'!JF23)</f>
        <v>11.913333333333334</v>
      </c>
      <c r="JJ22" s="171">
        <f>IF('All Fleet'!JG76="","",(5*24*11.8%)-'All Fleet'!JG23)</f>
        <v>10.973611111111111</v>
      </c>
      <c r="JK22" s="171">
        <f>IF('All Fleet'!JH76="","",(5*24*11.8%)-'All Fleet'!JH23)</f>
        <v>-1.004999999999999</v>
      </c>
      <c r="JL22" s="171">
        <f>IF('All Fleet'!JI76="","",(5*24*11.8%)-'All Fleet'!JI23)</f>
        <v>10.4025</v>
      </c>
      <c r="JM22" s="171">
        <f>IF('All Fleet'!JJ76="","",(5*24*11.8%)-'All Fleet'!JJ23)</f>
        <v>8.0166666666666675</v>
      </c>
      <c r="JN22" s="171">
        <f>IF('All Fleet'!JK76="","",(5*24*11.8%)-'All Fleet'!JK23)</f>
        <v>-1.43611111111111</v>
      </c>
      <c r="JO22" s="171">
        <f>IF('All Fleet'!JL76="","",(5*24*11.8%)-'All Fleet'!JL23)</f>
        <v>-6.3319444444444457</v>
      </c>
      <c r="JP22" s="171">
        <f>IF('All Fleet'!JM76="","",(5*24*11.8%)-'All Fleet'!JM23)</f>
        <v>-0.83916666666666728</v>
      </c>
      <c r="JQ22" s="171">
        <f>IF('All Fleet'!JN76="","",(5*24*11.8%)-'All Fleet'!JN23)</f>
        <v>-3.5</v>
      </c>
      <c r="JR22" s="171">
        <f>IF('All Fleet'!JO76="","",(5*24*11.8%)-'All Fleet'!JO23)</f>
        <v>10.16</v>
      </c>
      <c r="JS22" s="171">
        <f>IF('All Fleet'!JP76="","",(5*24*11.8%)-'All Fleet'!JP23)</f>
        <v>6.09</v>
      </c>
      <c r="JT22" s="171">
        <f>IF('All Fleet'!JQ76="","",(5*24*11.8%)-'All Fleet'!JQ23)</f>
        <v>9.9700000000000006</v>
      </c>
      <c r="JU22" s="171">
        <f>IF('All Fleet'!JR76="","",(5*24*11.8%)-'All Fleet'!JR23)</f>
        <v>10.73</v>
      </c>
      <c r="JV22" s="171">
        <f>IF('All Fleet'!JS76="","",(5*24*11.8%)-'All Fleet'!JS23)</f>
        <v>-6.2399999999999984</v>
      </c>
      <c r="JW22" s="171">
        <f>IF('All Fleet'!JT76="","",(5*24*11.8%)-'All Fleet'!JT23)</f>
        <v>2.74</v>
      </c>
      <c r="JX22" s="171">
        <f>IF('All Fleet'!JU76="","",(5*24*11.8%)-'All Fleet'!JU23)</f>
        <v>0.69999999999999929</v>
      </c>
      <c r="JY22" s="171">
        <f>IF('All Fleet'!JV76="","",(5*24*11.8%)-'All Fleet'!JV23)</f>
        <v>10.16</v>
      </c>
      <c r="JZ22" s="171">
        <f>IF('All Fleet'!JW76="","",(5*24*11.8%)-'All Fleet'!JW23)</f>
        <v>14.16</v>
      </c>
      <c r="KA22" s="171">
        <f>IF('All Fleet'!JX76="","",(5*24*11.8%)-'All Fleet'!JX23)</f>
        <v>14.16</v>
      </c>
      <c r="KB22" s="171">
        <f>IF('All Fleet'!JY76="","",(5*24*11.8%)-'All Fleet'!JY23)</f>
        <v>14.16</v>
      </c>
      <c r="KC22" s="171">
        <f>IF('All Fleet'!JZ76="","",(5*24*11.8%)-'All Fleet'!JZ23)</f>
        <v>14.16</v>
      </c>
      <c r="KD22" s="171">
        <f>IF('All Fleet'!KA76="","",(5*24*11.8%)-'All Fleet'!KA23)</f>
        <v>14.16</v>
      </c>
      <c r="KE22" s="171">
        <f>IF('All Fleet'!KB76="","",(5*24*11.8%)-'All Fleet'!KB23)</f>
        <v>14.16</v>
      </c>
      <c r="KF22" s="171">
        <f>IF('All Fleet'!KC76="","",(5*24*11.8%)-'All Fleet'!KC23)</f>
        <v>14.16</v>
      </c>
      <c r="KG22" s="171">
        <f>IF('All Fleet'!KD76="","",(5*24*11.8%)-'All Fleet'!KD23)</f>
        <v>14.16</v>
      </c>
      <c r="KH22" s="171">
        <f>IF('All Fleet'!KE76="","",(5*24*11.8%)-'All Fleet'!KE23)</f>
        <v>14.16</v>
      </c>
      <c r="KI22" s="171">
        <f>IF('All Fleet'!KF76="","",(5*24*11.8%)-'All Fleet'!KF23)</f>
        <v>14.16</v>
      </c>
      <c r="KJ22" s="171">
        <f>IF('All Fleet'!KG76="","",(5*24*11.8%)-'All Fleet'!KG23)</f>
        <v>14.16</v>
      </c>
      <c r="KK22" s="171">
        <f>IF('All Fleet'!KH76="","",(5*24*11.8%)-'All Fleet'!KH23)</f>
        <v>14.16</v>
      </c>
      <c r="KL22" s="171">
        <f>IF('All Fleet'!KI76="","",(5*24*11.8%)-'All Fleet'!KI23)</f>
        <v>14.16</v>
      </c>
      <c r="KM22" s="171">
        <f>IF('All Fleet'!KJ76="","",(5*24*11.8%)-'All Fleet'!KJ23)</f>
        <v>14.16</v>
      </c>
      <c r="KN22" s="171">
        <f>IF('All Fleet'!KK76="","",(5*24*11.8%)-'All Fleet'!KK23)</f>
        <v>14.16</v>
      </c>
      <c r="KO22" s="171">
        <f>IF('All Fleet'!KL76="","",(5*24*11.8%)-'All Fleet'!KL23)</f>
        <v>14.16</v>
      </c>
      <c r="KP22" s="171">
        <f>IF('All Fleet'!KM76="","",(5*24*11.8%)-'All Fleet'!KM23)</f>
        <v>14.16</v>
      </c>
      <c r="KQ22" s="171">
        <f>IF('All Fleet'!KN76="","",(5*24*11.8%)-'All Fleet'!KN23)</f>
        <v>14.16</v>
      </c>
      <c r="KR22" s="171">
        <f>IF('All Fleet'!KO76="","",(5*24*11.8%)-'All Fleet'!KO23)</f>
        <v>14.16</v>
      </c>
      <c r="KS22" s="171">
        <f>IF('All Fleet'!KP76="","",(5*24*11.8%)-'All Fleet'!KP23)</f>
        <v>14.16</v>
      </c>
      <c r="KT22" s="171">
        <f>IF('All Fleet'!KQ76="","",(5*24*11.8%)-'All Fleet'!KQ23)</f>
        <v>14.16</v>
      </c>
      <c r="KU22" s="171">
        <f>IF('All Fleet'!KR76="","",(5*24*11.8%)-'All Fleet'!KR23)</f>
        <v>14.16</v>
      </c>
      <c r="KV22" s="171">
        <f>IF('All Fleet'!KS76="","",(5*24*11.8%)-'All Fleet'!KS23)</f>
        <v>14.16</v>
      </c>
      <c r="KW22" s="171">
        <f>IF('All Fleet'!KT76="","",(5*24*11.8%)-'All Fleet'!KT23)</f>
        <v>14.16</v>
      </c>
      <c r="KX22" s="171" t="str">
        <f>IF('All Fleet'!KU76="","",(5*24*11.8%)-'All Fleet'!KU23)</f>
        <v/>
      </c>
      <c r="KY22" s="171" t="str">
        <f>IF('All Fleet'!KV76="","",(5*24*11.8%)-'All Fleet'!KV23)</f>
        <v/>
      </c>
      <c r="KZ22" s="171" t="str">
        <f>IF('All Fleet'!KW76="","",(5*24*11.8%)-'All Fleet'!KW23)</f>
        <v/>
      </c>
      <c r="LA22" s="171" t="str">
        <f>IF('All Fleet'!KX76="","",(5*24*11.8%)-'All Fleet'!KX23)</f>
        <v/>
      </c>
      <c r="LB22" s="171" t="str">
        <f>IF('All Fleet'!KY76="","",(5*24*11.8%)-'All Fleet'!KY23)</f>
        <v/>
      </c>
      <c r="LC22" s="171" t="str">
        <f>IF('All Fleet'!KZ76="","",(5*24*11.8%)-'All Fleet'!KZ23)</f>
        <v/>
      </c>
      <c r="LD22" s="171" t="str">
        <f>IF('All Fleet'!LA76="","",(5*24*11.8%)-'All Fleet'!LA23)</f>
        <v/>
      </c>
      <c r="LE22" s="171" t="str">
        <f>IF('All Fleet'!LB76="","",(5*24*11.8%)-'All Fleet'!LB23)</f>
        <v/>
      </c>
      <c r="LF22" s="171" t="str">
        <f>IF('All Fleet'!LC76="","",(5*24*11.8%)-'All Fleet'!LC23)</f>
        <v/>
      </c>
      <c r="LG22" s="171" t="str">
        <f>IF('All Fleet'!LD76="","",(5*24*11.8%)-'All Fleet'!LD23)</f>
        <v/>
      </c>
      <c r="LH22" s="171" t="str">
        <f>IF('All Fleet'!LE76="","",(5*24*11.8%)-'All Fleet'!LE23)</f>
        <v/>
      </c>
      <c r="LI22" s="171" t="str">
        <f>IF('All Fleet'!LF76="","",(5*24*11.8%)-'All Fleet'!LF23)</f>
        <v/>
      </c>
      <c r="LJ22" s="171" t="str">
        <f>IF('All Fleet'!LG76="","",(5*24*11.8%)-'All Fleet'!LG23)</f>
        <v/>
      </c>
      <c r="LK22" s="171" t="str">
        <f>IF('All Fleet'!LH76="","",(5*24*11.8%)-'All Fleet'!LH23)</f>
        <v/>
      </c>
      <c r="LL22" s="171" t="str">
        <f>IF('All Fleet'!LI76="","",(5*24*11.8%)-'All Fleet'!LI23)</f>
        <v/>
      </c>
      <c r="LM22" s="171" t="str">
        <f>IF('All Fleet'!LJ76="","",(5*24*11.8%)-'All Fleet'!LJ23)</f>
        <v/>
      </c>
      <c r="LN22" s="171" t="str">
        <f>IF('All Fleet'!LK76="","",(5*24*11.8%)-'All Fleet'!LK23)</f>
        <v/>
      </c>
      <c r="LO22" s="171" t="str">
        <f>IF('All Fleet'!LL76="","",(5*24*11.8%)-'All Fleet'!LL23)</f>
        <v/>
      </c>
      <c r="LP22" s="171" t="str">
        <f>IF('All Fleet'!LM76="","",(5*24*11.8%)-'All Fleet'!LM23)</f>
        <v/>
      </c>
      <c r="LQ22" s="171" t="str">
        <f>IF('All Fleet'!LN76="","",(5*24*11.8%)-'All Fleet'!LN23)</f>
        <v/>
      </c>
      <c r="LR22" s="171" t="str">
        <f>IF('All Fleet'!LO76="","",(5*24*11.8%)-'All Fleet'!LO23)</f>
        <v/>
      </c>
      <c r="LS22" s="171" t="str">
        <f>IF('All Fleet'!LP76="","",(5*24*11.8%)-'All Fleet'!LP23)</f>
        <v/>
      </c>
      <c r="LT22" s="171" t="str">
        <f>IF('All Fleet'!LQ76="","",(5*24*11.8%)-'All Fleet'!LQ23)</f>
        <v/>
      </c>
      <c r="LU22" s="171" t="str">
        <f>IF('All Fleet'!LR76="","",(5*24*11.8%)-'All Fleet'!LR23)</f>
        <v/>
      </c>
      <c r="LV22" s="171" t="str">
        <f>IF('All Fleet'!LS76="","",(5*24*11.8%)-'All Fleet'!LS23)</f>
        <v/>
      </c>
      <c r="LW22" s="171" t="str">
        <f>IF('All Fleet'!LT76="","",(5*24*11.8%)-'All Fleet'!LT23)</f>
        <v/>
      </c>
      <c r="LX22" s="171" t="str">
        <f>IF('All Fleet'!LU76="","",(5*24*11.8%)-'All Fleet'!LU23)</f>
        <v/>
      </c>
      <c r="LY22" s="171" t="str">
        <f>IF('All Fleet'!LV76="","",(5*24*11.8%)-'All Fleet'!LV23)</f>
        <v/>
      </c>
      <c r="LZ22" s="171" t="str">
        <f>IF('All Fleet'!LW76="","",(5*24*11.8%)-'All Fleet'!LW23)</f>
        <v/>
      </c>
      <c r="MA22" s="171" t="str">
        <f>IF('All Fleet'!LX76="","",(5*24*11.8%)-'All Fleet'!LX23)</f>
        <v/>
      </c>
      <c r="MB22" s="171" t="str">
        <f>IF('All Fleet'!LY76="","",(5*24*11.8%)-'All Fleet'!LY23)</f>
        <v/>
      </c>
      <c r="MC22" s="171" t="str">
        <f>IF('All Fleet'!LZ76="","",(5*24*11.8%)-'All Fleet'!LZ23)</f>
        <v/>
      </c>
      <c r="MD22" s="171" t="str">
        <f>IF('All Fleet'!MA76="","",(5*24*11.8%)-'All Fleet'!MA23)</f>
        <v/>
      </c>
      <c r="ME22" s="171" t="str">
        <f>IF('All Fleet'!MB76="","",(5*24*11.8%)-'All Fleet'!MB23)</f>
        <v/>
      </c>
      <c r="MF22" s="171" t="str">
        <f>IF('All Fleet'!MC76="","",(5*24*11.8%)-'All Fleet'!MC23)</f>
        <v/>
      </c>
      <c r="MG22" s="171" t="str">
        <f>IF('All Fleet'!MD76="","",(5*24*11.8%)-'All Fleet'!MD23)</f>
        <v/>
      </c>
      <c r="MH22" s="171" t="str">
        <f>IF('All Fleet'!ME76="","",(5*24*11.8%)-'All Fleet'!ME23)</f>
        <v/>
      </c>
      <c r="MI22" s="171" t="str">
        <f>IF('All Fleet'!MF76="","",(5*24*11.8%)-'All Fleet'!MF23)</f>
        <v/>
      </c>
      <c r="MJ22" s="171" t="str">
        <f>IF('All Fleet'!MG76="","",(5*24*11.8%)-'All Fleet'!MG23)</f>
        <v/>
      </c>
      <c r="MK22" s="171" t="str">
        <f>IF('All Fleet'!MH76="","",(5*24*11.8%)-'All Fleet'!MH23)</f>
        <v/>
      </c>
      <c r="ML22" s="171" t="str">
        <f>IF('All Fleet'!MI76="","",(5*24*11.8%)-'All Fleet'!MI23)</f>
        <v/>
      </c>
      <c r="MM22" s="171" t="str">
        <f>IF('All Fleet'!MJ76="","",(5*24*11.8%)-'All Fleet'!MJ23)</f>
        <v/>
      </c>
      <c r="MN22" s="171" t="str">
        <f>IF('All Fleet'!MK76="","",(5*24*11.8%)-'All Fleet'!MK23)</f>
        <v/>
      </c>
      <c r="MO22" s="171" t="str">
        <f>IF('All Fleet'!ML76="","",(5*24*11.8%)-'All Fleet'!ML23)</f>
        <v/>
      </c>
      <c r="MP22" s="171" t="str">
        <f>IF('All Fleet'!MM76="","",(5*24*11.8%)-'All Fleet'!MM23)</f>
        <v/>
      </c>
      <c r="MQ22" s="171" t="str">
        <f>IF('All Fleet'!MN76="","",(5*24*11.8%)-'All Fleet'!MN23)</f>
        <v/>
      </c>
      <c r="MR22" s="171" t="str">
        <f>IF('All Fleet'!MO76="","",(5*24*11.8%)-'All Fleet'!MO23)</f>
        <v/>
      </c>
      <c r="MS22" s="171" t="str">
        <f>IF('All Fleet'!MP76="","",(5*24*11.8%)-'All Fleet'!MP23)</f>
        <v/>
      </c>
      <c r="MT22" s="171" t="str">
        <f>IF('All Fleet'!MQ76="","",(5*24*11.8%)-'All Fleet'!MQ23)</f>
        <v/>
      </c>
      <c r="MU22" s="171" t="str">
        <f>IF('All Fleet'!MR76="","",(5*24*11.8%)-'All Fleet'!MR23)</f>
        <v/>
      </c>
      <c r="MV22" s="171" t="str">
        <f>IF('All Fleet'!MS76="","",(5*24*11.8%)-'All Fleet'!MS23)</f>
        <v/>
      </c>
      <c r="MW22" s="171" t="str">
        <f>IF('All Fleet'!MT76="","",(5*24*11.8%)-'All Fleet'!MT23)</f>
        <v/>
      </c>
      <c r="MX22" s="171" t="str">
        <f>IF('All Fleet'!MU76="","",(5*24*11.8%)-'All Fleet'!MU23)</f>
        <v/>
      </c>
      <c r="MY22" s="171" t="str">
        <f>IF('All Fleet'!MV76="","",(5*24*11.8%)-'All Fleet'!MV23)</f>
        <v/>
      </c>
      <c r="MZ22" s="171" t="str">
        <f>IF('All Fleet'!MW76="","",(5*24*11.8%)-'All Fleet'!MW23)</f>
        <v/>
      </c>
      <c r="NA22" s="171" t="str">
        <f>IF('All Fleet'!MX76="","",(5*24*11.8%)-'All Fleet'!MX23)</f>
        <v/>
      </c>
      <c r="NB22" s="171" t="str">
        <f>IF('All Fleet'!MY76="","",(5*24*11.8%)-'All Fleet'!MY23)</f>
        <v/>
      </c>
      <c r="NC22" s="171" t="str">
        <f>IF('All Fleet'!MZ76="","",(5*24*11.8%)-'All Fleet'!MZ23)</f>
        <v/>
      </c>
      <c r="ND22" s="171" t="str">
        <f>IF('All Fleet'!NA76="","",(5*24*11.8%)-'All Fleet'!NA23)</f>
        <v/>
      </c>
      <c r="NE22" s="171" t="str">
        <f>IF('All Fleet'!NB76="","",(5*24*11.8%)-'All Fleet'!NB23)</f>
        <v/>
      </c>
      <c r="NF22" s="171" t="str">
        <f>IF('All Fleet'!NC76="","",(5*24*11.8%)-'All Fleet'!NC23)</f>
        <v/>
      </c>
      <c r="NG22" s="171" t="str">
        <f>IF('All Fleet'!ND76="","",(5*24*11.8%)-'All Fleet'!ND23)</f>
        <v/>
      </c>
      <c r="NH22" s="171" t="str">
        <f>IF('All Fleet'!NE76="","",(5*24*11.8%)-'All Fleet'!NE23)</f>
        <v/>
      </c>
      <c r="NI22" s="171" t="str">
        <f>IF('All Fleet'!NF76="","",(5*24*11.8%)-'All Fleet'!NF23)</f>
        <v/>
      </c>
      <c r="NJ22" s="171" t="str">
        <f>IF('All Fleet'!NG76="","",(5*24*11.8%)-'All Fleet'!NG23)</f>
        <v/>
      </c>
      <c r="NK22" s="171" t="str">
        <f>IF('All Fleet'!NH76="","",(5*24*11.8%)-'All Fleet'!NH23)</f>
        <v/>
      </c>
      <c r="NL22" s="171" t="str">
        <f>IF('All Fleet'!NI76="","",(5*24*11.8%)-'All Fleet'!NI23)</f>
        <v/>
      </c>
      <c r="NM22" s="171" t="str">
        <f>IF('All Fleet'!NJ76="","",(5*24*11.8%)-'All Fleet'!NJ23)</f>
        <v/>
      </c>
      <c r="NN22" s="171" t="str">
        <f>IF('All Fleet'!NK76="","",(5*24*11.8%)-'All Fleet'!NK23)</f>
        <v/>
      </c>
      <c r="NO22" s="171" t="str">
        <f>IF('All Fleet'!NL76="","",(5*24*11.8%)-'All Fleet'!NL23)</f>
        <v/>
      </c>
      <c r="NP22" s="171" t="str">
        <f>IF('All Fleet'!NM76="","",(5*24*11.8%)-'All Fleet'!NM23)</f>
        <v/>
      </c>
      <c r="NQ22" s="171" t="str">
        <f>IF('All Fleet'!NN76="","",(5*24*11.8%)-'All Fleet'!NN23)</f>
        <v/>
      </c>
      <c r="NR22" s="171" t="str">
        <f>IF('All Fleet'!NO76="","",(5*24*11.8%)-'All Fleet'!NO23)</f>
        <v/>
      </c>
      <c r="NS22" s="171" t="str">
        <f>IF('All Fleet'!NP76="","",(5*24*11.8%)-'All Fleet'!NP23)</f>
        <v/>
      </c>
      <c r="NT22" s="171" t="str">
        <f>IF('All Fleet'!NQ76="","",(5*24*11.8%)-'All Fleet'!NQ23)</f>
        <v/>
      </c>
      <c r="NU22" s="171" t="str">
        <f>IF('All Fleet'!NR76="","",(5*24*11.8%)-'All Fleet'!NR23)</f>
        <v/>
      </c>
      <c r="NV22" s="171" t="str">
        <f>IF('All Fleet'!NS76="","",(5*24*11.8%)-'All Fleet'!NS23)</f>
        <v/>
      </c>
      <c r="NW22" s="171" t="str">
        <f>IF('All Fleet'!NT76="","",(5*24*11.8%)-'All Fleet'!NT23)</f>
        <v/>
      </c>
      <c r="NX22" s="171" t="str">
        <f>IF('All Fleet'!NU76="","",(5*24*11.8%)-'All Fleet'!NU23)</f>
        <v/>
      </c>
      <c r="NY22" s="171" t="str">
        <f>IF('All Fleet'!NV76="","",(5*24*11.8%)-'All Fleet'!NV23)</f>
        <v/>
      </c>
      <c r="NZ22" s="171" t="str">
        <f>IF('All Fleet'!NW76="","",(5*24*11.8%)-'All Fleet'!NW23)</f>
        <v/>
      </c>
      <c r="OA22" s="171" t="str">
        <f>IF('All Fleet'!NX76="","",(5*24*11.8%)-'All Fleet'!NX23)</f>
        <v/>
      </c>
      <c r="OB22" s="171" t="str">
        <f>IF('All Fleet'!NY76="","",(5*24*11.8%)-'All Fleet'!NY23)</f>
        <v/>
      </c>
      <c r="OC22" s="171" t="str">
        <f>IF('All Fleet'!NZ76="","",(5*24*11.8%)-'All Fleet'!NZ23)</f>
        <v/>
      </c>
      <c r="OD22" s="171" t="str">
        <f>IF('All Fleet'!OA76="","",(5*24*11.8%)-'All Fleet'!OA23)</f>
        <v/>
      </c>
      <c r="OE22" s="171" t="str">
        <f>IF('All Fleet'!OB76="","",(5*24*11.8%)-'All Fleet'!OB23)</f>
        <v/>
      </c>
      <c r="OF22" s="171" t="str">
        <f>IF('All Fleet'!OC76="","",(5*24*11.8%)-'All Fleet'!OC23)</f>
        <v/>
      </c>
      <c r="OG22" s="171" t="str">
        <f>IF('All Fleet'!OD76="","",(5*24*11.8%)-'All Fleet'!OD23)</f>
        <v/>
      </c>
      <c r="OH22" s="171" t="str">
        <f>IF('All Fleet'!OE76="","",(5*24*11.8%)-'All Fleet'!OE23)</f>
        <v/>
      </c>
      <c r="OI22" s="171" t="str">
        <f>IF('All Fleet'!OF76="","",(5*24*11.8%)-'All Fleet'!OF23)</f>
        <v/>
      </c>
      <c r="OJ22" s="171" t="str">
        <f>IF('All Fleet'!OG76="","",(5*24*11.8%)-'All Fleet'!OG23)</f>
        <v/>
      </c>
      <c r="OK22" s="171" t="str">
        <f>IF('All Fleet'!OH76="","",(5*24*11.8%)-'All Fleet'!OH23)</f>
        <v/>
      </c>
      <c r="OL22" s="171" t="str">
        <f>IF('All Fleet'!OI76="","",(5*24*11.8%)-'All Fleet'!OI23)</f>
        <v/>
      </c>
      <c r="OM22" s="171" t="str">
        <f>IF('All Fleet'!OJ76="","",(5*24*11.8%)-'All Fleet'!OJ23)</f>
        <v/>
      </c>
      <c r="ON22" s="171" t="str">
        <f>IF('All Fleet'!OK76="","",(5*24*11.8%)-'All Fleet'!OK23)</f>
        <v/>
      </c>
      <c r="OO22" s="171" t="str">
        <f>IF('All Fleet'!OL76="","",(5*24*11.8%)-'All Fleet'!OL23)</f>
        <v/>
      </c>
      <c r="OP22" s="171" t="str">
        <f>IF('All Fleet'!OM76="","",(5*24*11.8%)-'All Fleet'!OM23)</f>
        <v/>
      </c>
      <c r="OQ22" s="171" t="str">
        <f>IF('All Fleet'!ON76="","",(5*24*11.8%)-'All Fleet'!ON23)</f>
        <v/>
      </c>
      <c r="OR22" s="171" t="str">
        <f>IF('All Fleet'!OO76="","",(5*24*11.8%)-'All Fleet'!OO23)</f>
        <v/>
      </c>
      <c r="OS22" s="171" t="str">
        <f>IF('All Fleet'!OP76="","",(5*24*11.8%)-'All Fleet'!OP23)</f>
        <v/>
      </c>
      <c r="OT22" s="171" t="str">
        <f>IF('All Fleet'!OQ76="","",(5*24*11.8%)-'All Fleet'!OQ23)</f>
        <v/>
      </c>
      <c r="OU22" s="171" t="str">
        <f>IF('All Fleet'!OR76="","",(5*24*11.8%)-'All Fleet'!OR23)</f>
        <v/>
      </c>
      <c r="OV22" s="171" t="str">
        <f>IF('All Fleet'!OS76="","",(5*24*11.8%)-'All Fleet'!OS23)</f>
        <v/>
      </c>
      <c r="OW22" s="171" t="str">
        <f>IF('All Fleet'!OT76="","",(5*24*11.8%)-'All Fleet'!OT23)</f>
        <v/>
      </c>
      <c r="OX22" s="171" t="str">
        <f>IF('All Fleet'!OU76="","",(5*24*11.8%)-'All Fleet'!OU23)</f>
        <v/>
      </c>
      <c r="OY22" s="171" t="str">
        <f>IF('All Fleet'!OV76="","",(5*24*11.8%)-'All Fleet'!OV23)</f>
        <v/>
      </c>
      <c r="OZ22" s="172" t="str">
        <f>IF('All Fleet'!OW76="","",(5*24*11.8%)-'All Fleet'!OW23)</f>
        <v/>
      </c>
    </row>
    <row r="23" spans="1:416" s="85" customFormat="1" ht="14.1" customHeight="1" x14ac:dyDescent="0.2">
      <c r="A23" s="138" t="b">
        <f t="shared" si="376"/>
        <v>0</v>
      </c>
      <c r="B23" s="139">
        <v>20</v>
      </c>
      <c r="C23" s="165" t="str">
        <f>C21</f>
        <v>Mechanical Availability</v>
      </c>
      <c r="D23" s="145" t="str">
        <f>D21</f>
        <v>777 Optiload</v>
      </c>
      <c r="E23" s="207" t="s">
        <v>93</v>
      </c>
      <c r="F23" s="183">
        <f>AVERAGE(F18,F9)</f>
        <v>0.91824652777777782</v>
      </c>
      <c r="G23" s="183">
        <f t="shared" ref="G23:H23" si="384">AVERAGE(G18,G9)</f>
        <v>0.91824652777777782</v>
      </c>
      <c r="H23" s="183">
        <f t="shared" si="384"/>
        <v>0.91824652777777782</v>
      </c>
      <c r="I23" s="183">
        <f>IF(OR(I18="",I9=""),"",AVERAGE(I18,I9))</f>
        <v>0.92175781249999988</v>
      </c>
      <c r="J23" s="183">
        <f>IF(OR(J18="",J9=""),"",AVERAGE(I18:J18,I9:J9))</f>
        <v>0.91766992187499996</v>
      </c>
      <c r="K23" s="183">
        <f>IF(OR(K18="",K9=""),"",AVERAGE(I18:K18,I9:K9))</f>
        <v>0.91549686535493835</v>
      </c>
      <c r="L23" s="183">
        <f>IF(OR(L18="",L9=""),"",AVERAGE(I18:L18,I9:L9))</f>
        <v>0.91443179305142197</v>
      </c>
      <c r="M23" s="183">
        <f>IF(OR(M18="",M9=""),"",AVERAGE(I18:M18,I9:M9))</f>
        <v>0.91291589079034396</v>
      </c>
      <c r="N23" s="183">
        <f>IF(OR(N18="",N9=""),"",AVERAGE(I18:N18,I9:N9))</f>
        <v>0.91168662379207055</v>
      </c>
      <c r="O23" s="183">
        <f>IF(OR(O18="",O9=""),"",AVERAGE(I18:O18,I9:O9))</f>
        <v>0.91066100626675917</v>
      </c>
      <c r="P23" s="183">
        <f>IF(OR(P18="",P9=""),"",AVERAGE(P18,P9))</f>
        <v>0.88145137761544001</v>
      </c>
      <c r="Q23" s="183">
        <f>IF(OR(Q18="",Q9=""),"",AVERAGE(P18:Q18,P9:Q9))</f>
        <v>0.8809431624027978</v>
      </c>
      <c r="R23" s="183">
        <f>IF(OR(R18="",R9=""),"",AVERAGE(P18:R18,P9:R9))</f>
        <v>0.87952064862863477</v>
      </c>
      <c r="S23" s="183">
        <f>IF(OR(S18="",S9=""),"",AVERAGE(P18:S18,P9:S9))</f>
        <v>0.87846585054080317</v>
      </c>
      <c r="T23" s="183">
        <f>IF(OR(T18="",T9=""),"",AVERAGE(P18:T18,P9:T9))</f>
        <v>0.87770402301251649</v>
      </c>
      <c r="U23" s="183">
        <f>IF(OR(U18="",U9=""),"",AVERAGE(P18:U18,P9:U9))</f>
        <v>0.87703183043701027</v>
      </c>
      <c r="V23" s="183">
        <f>IF(OR(V18="",V9=""),"",AVERAGE(P18:V18,P9:V9))</f>
        <v>0.87655560024968804</v>
      </c>
      <c r="W23" s="183">
        <f t="shared" ref="W23" si="385">IF(OR(W18="",W9=""),"",AVERAGE(W18,W9))</f>
        <v>0.87217109620164912</v>
      </c>
      <c r="X23" s="183">
        <f t="shared" ref="X23" si="386">IF(OR(X18="",X9=""),"",AVERAGE(W18:X18,W9:X9))</f>
        <v>0.87279946426625399</v>
      </c>
      <c r="Y23" s="183">
        <f t="shared" ref="Y23" si="387">IF(OR(Y18="",Y9=""),"",AVERAGE(W18:Y18,W9:Y9))</f>
        <v>0.87316545056725881</v>
      </c>
      <c r="Z23" s="183">
        <f t="shared" ref="Z23" si="388">IF(OR(Z18="",Z9=""),"",AVERAGE(W18:Z18,W9:Z9))</f>
        <v>0.87361953976526474</v>
      </c>
      <c r="AA23" s="183">
        <f t="shared" ref="AA23" si="389">IF(OR(AA18="",AA9=""),"",AVERAGE(W18:AA18,W9:AA9))</f>
        <v>0.87396638322423004</v>
      </c>
      <c r="AB23" s="183">
        <f t="shared" ref="AB23" si="390">IF(OR(AB18="",AB9=""),"",AVERAGE(W18:AB18,W9:AB9))</f>
        <v>0.87406099579102614</v>
      </c>
      <c r="AC23" s="183">
        <f t="shared" ref="AC23" si="391">IF(OR(AC18="",AC9=""),"",AVERAGE(W18:AC18,W9:AC9))</f>
        <v>0.8740902870799564</v>
      </c>
      <c r="AD23" s="183">
        <f t="shared" ref="AD23" si="392">IF(OR(AD18="",AD9=""),"",AVERAGE(AD18,AD9))</f>
        <v>0.86977755625038533</v>
      </c>
      <c r="AE23" s="183">
        <f t="shared" ref="AE23" si="393">IF(OR(AE18="",AE9=""),"",AVERAGE(AD18:AE18,AD9:AE9))</f>
        <v>0.87059656527002582</v>
      </c>
      <c r="AF23" s="183">
        <f t="shared" ref="AF23" si="394">IF(OR(AF18="",AF9=""),"",AVERAGE(AD18:AF18,AD9:AF9))</f>
        <v>0.87131005406153861</v>
      </c>
      <c r="AG23" s="183">
        <f t="shared" ref="AG23" si="395">IF(OR(AG18="",AG9=""),"",AVERAGE(AD18:AG18,AD9:AG9))</f>
        <v>0.87161397364179916</v>
      </c>
      <c r="AH23" s="183">
        <f t="shared" ref="AH23" si="396">IF(OR(AH18="",AH9=""),"",AVERAGE(AD18:AH18,AD9:AH9))</f>
        <v>0.87188968218572671</v>
      </c>
      <c r="AI23" s="183">
        <f t="shared" ref="AI23" si="397">IF(OR(AI18="",AI9=""),"",AVERAGE(AD18:AI18,AD9:AI9))</f>
        <v>0.87214962552913067</v>
      </c>
      <c r="AJ23" s="183">
        <f t="shared" ref="AJ23" si="398">IF(OR(AJ18="",AJ9=""),"",AVERAGE(AD18:AJ18,AD9:AJ9))</f>
        <v>0.87242567334526833</v>
      </c>
      <c r="AK23" s="183">
        <f t="shared" ref="AK23" si="399">IF(OR(AK18="",AK9=""),"",AVERAGE(AK18,AK9))</f>
        <v>0.91408178270622553</v>
      </c>
      <c r="AL23" s="183">
        <f t="shared" ref="AL23" si="400">IF(OR(AL18="",AL9=""),"",AVERAGE(AK18:AL18,AK9:AL9))</f>
        <v>0.90355752929916888</v>
      </c>
      <c r="AM23" s="183">
        <f t="shared" ref="AM23" si="401">IF(OR(AM18="",AM9=""),"",AVERAGE(AK18:AM18,AK9:AM9))</f>
        <v>0.89883897365603438</v>
      </c>
      <c r="AN23" s="183">
        <f t="shared" ref="AN23" si="402">IF(OR(AN18="",AN9=""),"",AVERAGE(AK18:AN18,AK9:AN9))</f>
        <v>0.8962655064025109</v>
      </c>
      <c r="AO23" s="183">
        <f t="shared" ref="AO23" si="403">IF(OR(AO18="",AO9=""),"",AVERAGE(AK18:AO18,AK9:AO9))</f>
        <v>0.89477174717546237</v>
      </c>
      <c r="AP23" s="183">
        <f t="shared" ref="AP23" si="404">IF(OR(AP18="",AP9=""),"",AVERAGE(AK18:AP18,AK9:AP9))</f>
        <v>0.89359031979989689</v>
      </c>
      <c r="AQ23" s="183">
        <f t="shared" ref="AQ23" si="405">IF(OR(AQ18="",AQ9=""),"",AVERAGE(AK18:AQ18,AK9:AQ9))</f>
        <v>0.89273425345888824</v>
      </c>
      <c r="AR23" s="183">
        <f t="shared" ref="AR23" si="406">IF(OR(AR18="",AR9=""),"",AVERAGE(AR18,AR9))</f>
        <v>0.88185765246943892</v>
      </c>
      <c r="AS23" s="183">
        <f t="shared" ref="AS23" si="407">IF(OR(AS18="",AS9=""),"",AVERAGE(AR18:AS18,AR9:AS9))</f>
        <v>0.88137960588013731</v>
      </c>
      <c r="AT23" s="183">
        <f t="shared" ref="AT23" si="408">IF(OR(AT18="",AT9=""),"",AVERAGE(AR18:AT18,AR9:AT9))</f>
        <v>0.88093249739616342</v>
      </c>
      <c r="AU23" s="183">
        <f t="shared" ref="AU23" si="409">IF(OR(AU18="",AU9=""),"",AVERAGE(AR18:AU18,AR9:AU9))</f>
        <v>0.88057292748000426</v>
      </c>
      <c r="AV23" s="183">
        <f t="shared" ref="AV23" si="410">IF(OR(AV18="",AV9=""),"",AVERAGE(AR18:AV18,AR9:AV9))</f>
        <v>0.88024304555804755</v>
      </c>
      <c r="AW23" s="183">
        <f t="shared" ref="AW23" si="411">IF(OR(AW18="",AW9=""),"",AVERAGE(AR18:AW18,AR9:AW9))</f>
        <v>0.88007045352148161</v>
      </c>
      <c r="AX23" s="183">
        <f t="shared" ref="AX23" si="412">IF(OR(AX18="",AX9=""),"",AVERAGE(AR18:AX18,AR9:AX9))</f>
        <v>0.87994794833891032</v>
      </c>
      <c r="AY23" s="183">
        <f t="shared" ref="AY23" si="413">IF(OR(AY18="",AY9=""),"",AVERAGE(AY18,AY9))</f>
        <v>0.87244009591953975</v>
      </c>
      <c r="AZ23" s="183">
        <f t="shared" ref="AZ23" si="414">IF(OR(AZ18="",AZ9=""),"",AVERAGE(AY18:AZ18,AY9:AZ9))</f>
        <v>0.87271228645994459</v>
      </c>
      <c r="BA23" s="183">
        <f t="shared" ref="BA23" si="415">IF(OR(BA18="",BA9=""),"",AVERAGE(AY18:BA18,AY9:BA9))</f>
        <v>0.87326316925991498</v>
      </c>
      <c r="BB23" s="183">
        <f t="shared" ref="BB23" si="416">IF(OR(BB18="",BB9=""),"",AVERAGE(AY18:BB18,AY9:BB9))</f>
        <v>0.87346335183393709</v>
      </c>
      <c r="BC23" s="183">
        <f t="shared" ref="BC23" si="417">IF(OR(BC18="",BC9=""),"",AVERAGE(AY18:BC18,AY9:BC9))</f>
        <v>0.87350317122571552</v>
      </c>
      <c r="BD23" s="183">
        <f t="shared" ref="BD23" si="418">IF(OR(BD18="",BD9=""),"",AVERAGE(AY18:BD18,AY9:BD9))</f>
        <v>0.87344015773408257</v>
      </c>
      <c r="BE23" s="183">
        <f t="shared" ref="BE23" si="419">IF(OR(BE18="",BE9=""),"",AVERAGE(AY18:BE18,AY9:BE9))</f>
        <v>0.87340910225035984</v>
      </c>
      <c r="BF23" s="183">
        <f t="shared" ref="BF23" si="420">IF(OR(BF18="",BF9=""),"",AVERAGE(BF18,BF9))</f>
        <v>0.87213552725893861</v>
      </c>
      <c r="BG23" s="183">
        <f t="shared" ref="BG23" si="421">IF(OR(BG18="",BG9=""),"",AVERAGE(BF18:BG18,BF9:BG9))</f>
        <v>0.87281335629579404</v>
      </c>
      <c r="BH23" s="183">
        <f t="shared" ref="BH23" si="422">IF(OR(BH18="",BH9=""),"",AVERAGE(BF18:BH18,BF9:BH9))</f>
        <v>0.87344523854342115</v>
      </c>
      <c r="BI23" s="183">
        <f t="shared" ref="BI23" si="423">IF(OR(BI18="",BI9=""),"",AVERAGE(BF18:BI18,BF9:BI9))</f>
        <v>0.87404791445068464</v>
      </c>
      <c r="BJ23" s="183">
        <f t="shared" ref="BJ23" si="424">IF(OR(BJ18="",BJ9=""),"",AVERAGE(BF18:BJ18,BF9:BJ9))</f>
        <v>0.87462631808216051</v>
      </c>
      <c r="BK23" s="183">
        <f t="shared" ref="BK23" si="425">IF(OR(BK18="",BK9=""),"",AVERAGE(BF18:BK18,BF9:BK9))</f>
        <v>0.8751892562252922</v>
      </c>
      <c r="BL23" s="183">
        <f t="shared" ref="BL23" si="426">IF(OR(BL18="",BL9=""),"",AVERAGE(BF18:BL18,BF9:BL9))</f>
        <v>0.87572368792384403</v>
      </c>
      <c r="BM23" s="183">
        <f t="shared" ref="BM23" si="427">IF(OR(BM18="",BM9=""),"",AVERAGE(BM18,BM9))</f>
        <v>0.80626347013903266</v>
      </c>
      <c r="BN23" s="183">
        <f t="shared" ref="BN23" si="428">IF(OR(BN18="",BN9=""),"",AVERAGE(BM18:BN18,BM9:BN9))</f>
        <v>0.80770483755304046</v>
      </c>
      <c r="BO23" s="183">
        <f t="shared" ref="BO23" si="429">IF(OR(BO18="",BO9=""),"",AVERAGE(BM18:BO18,BM9:BO9))</f>
        <v>0.80652202361874814</v>
      </c>
      <c r="BP23" s="183">
        <f t="shared" ref="BP23" si="430">IF(OR(BP18="",BP9=""),"",AVERAGE(BM18:BP18,BM9:BP9))</f>
        <v>0.80756417672552661</v>
      </c>
      <c r="BQ23" s="183">
        <f t="shared" ref="BQ23" si="431">IF(OR(BQ18="",BQ9=""),"",AVERAGE(BM18:BQ18,BM9:BQ9))</f>
        <v>0.80902390864331397</v>
      </c>
      <c r="BR23" s="183">
        <f t="shared" ref="BR23" si="432">IF(OR(BR18="",BR9=""),"",AVERAGE(BM18:BR18,BM9:BR9))</f>
        <v>0.81048529778825451</v>
      </c>
      <c r="BS23" s="183">
        <f t="shared" ref="BS23" si="433">IF(OR(BS18="",BS9=""),"",AVERAGE(BM18:BS18,BM9:BS9))</f>
        <v>0.81209160250715395</v>
      </c>
      <c r="BT23" s="183">
        <f t="shared" ref="BT23" si="434">IF(OR(BT18="",BT9=""),"",AVERAGE(BT18,BT9))</f>
        <v>0.85303390083471464</v>
      </c>
      <c r="BU23" s="183">
        <f t="shared" ref="BU23" si="435">IF(OR(BU18="",BU9=""),"",AVERAGE(BT18:BU18,BT9:BU9))</f>
        <v>0.85327253156652061</v>
      </c>
      <c r="BV23" s="183">
        <f t="shared" ref="BV23" si="436">IF(OR(BV18="",BV9=""),"",AVERAGE(BT18:BV18,BT9:BV9))</f>
        <v>0.85330841161457816</v>
      </c>
      <c r="BW23" s="183">
        <f t="shared" ref="BW23" si="437">IF(OR(BW18="",BW9=""),"",AVERAGE(BT18:BW18,BT9:BW9))</f>
        <v>0.85366075777303596</v>
      </c>
      <c r="BX23" s="183">
        <f t="shared" ref="BX23" si="438">IF(OR(BX18="",BX9=""),"",AVERAGE(BT18:BX18,BT9:BX9))</f>
        <v>0.85422936525073978</v>
      </c>
      <c r="BY23" s="183">
        <f t="shared" ref="BY23" si="439">IF(OR(BY18="",BY9=""),"",AVERAGE(BT18:BY18,BT9:BY9))</f>
        <v>0.85481534280525751</v>
      </c>
      <c r="BZ23" s="183">
        <f t="shared" ref="BZ23" si="440">IF(OR(BZ18="",BZ9=""),"",AVERAGE(BT18:BZ18,BT9:BZ9))</f>
        <v>0.85540243793557735</v>
      </c>
      <c r="CA23" s="183">
        <f t="shared" ref="CA23" si="441">IF(OR(CA18="",CA9=""),"",AVERAGE(CA18,CA9))</f>
        <v>0.86940918438016723</v>
      </c>
      <c r="CB23" s="183">
        <f t="shared" ref="CB23" si="442">IF(OR(CB18="",CB9=""),"",AVERAGE(CA18:CB18,CA9:CB9))</f>
        <v>0.87020995007505808</v>
      </c>
      <c r="CC23" s="183">
        <f t="shared" ref="CC23" si="443">IF(OR(CC18="",CC9=""),"",AVERAGE(CA18:CC18,CA9:CC9))</f>
        <v>0.87101957517272321</v>
      </c>
      <c r="CD23" s="183">
        <f t="shared" ref="CD23" si="444">IF(OR(CD18="",CD9=""),"",AVERAGE(CA18:CD18,CA9:CD9))</f>
        <v>0.87167780380083981</v>
      </c>
      <c r="CE23" s="183">
        <f t="shared" ref="CE23" si="445">IF(OR(CE18="",CE9=""),"",AVERAGE(CA18:CE18,CA9:CE9))</f>
        <v>0.87178952760359041</v>
      </c>
      <c r="CF23" s="183">
        <f t="shared" ref="CF23" si="446">IF(OR(CF18="",CF9=""),"",AVERAGE(CA18:CF18,CA9:CF9))</f>
        <v>0.87152721891606932</v>
      </c>
      <c r="CG23" s="183">
        <f t="shared" ref="CG23" si="447">IF(OR(CG18="",CG9=""),"",AVERAGE(CA18:CG18,CA9:CG9))</f>
        <v>0.87118546503023997</v>
      </c>
      <c r="CH23" s="183">
        <f t="shared" ref="CH23" si="448">IF(OR(CH18="",CH9=""),"",AVERAGE(CH18,CH9))</f>
        <v>0.8654990749015411</v>
      </c>
      <c r="CI23" s="183">
        <f t="shared" ref="CI23" si="449">IF(OR(CI18="",CI9=""),"",AVERAGE(CH18:CI18,CH9:CI9))</f>
        <v>0.86556680244337392</v>
      </c>
      <c r="CJ23" s="183">
        <f t="shared" ref="CJ23" si="450">IF(OR(CJ18="",CJ9=""),"",AVERAGE(CH18:CJ18,CH9:CJ9))</f>
        <v>0.8659703650938203</v>
      </c>
      <c r="CK23" s="183">
        <f t="shared" ref="CK23" si="451">IF(OR(CK18="",CK9=""),"",AVERAGE(CH18:CK18,CH9:CK9))</f>
        <v>0.86645825301861157</v>
      </c>
      <c r="CL23" s="183">
        <f t="shared" ref="CL23" si="452">IF(OR(CL18="",CL9=""),"",AVERAGE(CH18:CL18,CH9:CL9))</f>
        <v>0.86692782489224007</v>
      </c>
      <c r="CM23" s="183">
        <f t="shared" ref="CM23" si="453">IF(OR(CM18="",CM9=""),"",AVERAGE(CH18:CM18,CH9:CM9))</f>
        <v>0.8673707745216922</v>
      </c>
      <c r="CN23" s="183">
        <f t="shared" ref="CN23" si="454">IF(OR(CN18="",CN9=""),"",AVERAGE(CH18:CN18,CH9:CN9))</f>
        <v>0.86782082567318508</v>
      </c>
      <c r="CO23" s="183">
        <f t="shared" ref="CO23" si="455">IF(OR(CO18="",CO9=""),"",AVERAGE(CO18,CO9))</f>
        <v>0.87747071292492529</v>
      </c>
      <c r="CP23" s="183">
        <f t="shared" ref="CP23" si="456">IF(OR(CP18="",CP9=""),"",AVERAGE(CO18:CP18,CO9:CP9))</f>
        <v>0.87706849509513429</v>
      </c>
      <c r="CQ23" s="183">
        <f t="shared" ref="CQ23" si="457">IF(OR(CQ18="",CQ9=""),"",AVERAGE(CO18:CQ18,CO9:CQ9))</f>
        <v>0.87694446421943895</v>
      </c>
      <c r="CR23" s="183">
        <f t="shared" ref="CR23" si="458">IF(OR(CR18="",CR9=""),"",AVERAGE(CO18:CR18,CO9:CR9))</f>
        <v>0.8717939891242994</v>
      </c>
      <c r="CS23" s="183">
        <f t="shared" ref="CS23" si="459">IF(OR(CS18="",CS9=""),"",AVERAGE(CO18:CS18,CO9:CS9))</f>
        <v>0.86827962564989603</v>
      </c>
      <c r="CT23" s="183">
        <f t="shared" ref="CT23" si="460">IF(OR(CT18="",CT9=""),"",AVERAGE(CO18:CT18,CO9:CT9))</f>
        <v>0.86590824968995872</v>
      </c>
      <c r="CU23" s="183">
        <f t="shared" ref="CU23" si="461">IF(OR(CU18="",CU9=""),"",AVERAGE(CO18:CU18,CO9:CU9))</f>
        <v>0.86395155510589705</v>
      </c>
      <c r="CV23" s="183">
        <f t="shared" ref="CV23" si="462">IF(OR(CV18="",CV9=""),"",AVERAGE(CV18,CV9))</f>
        <v>0.83466446288470753</v>
      </c>
      <c r="CW23" s="183">
        <f t="shared" ref="CW23" si="463">IF(OR(CW18="",CW9=""),"",AVERAGE(CV18:CW18,CV9:CW9))</f>
        <v>0.83603433698751528</v>
      </c>
      <c r="CX23" s="183">
        <f t="shared" ref="CX23" si="464">IF(OR(CX18="",CX9=""),"",AVERAGE(CV18:CX18,CV9:CX9))</f>
        <v>0.83773687834618749</v>
      </c>
      <c r="CY23" s="183">
        <f t="shared" ref="CY23" si="465">IF(OR(CY18="",CY9=""),"",AVERAGE(CV18:CY18,CV9:CY9))</f>
        <v>0.83975061209890756</v>
      </c>
      <c r="CZ23" s="183">
        <f t="shared" ref="CZ23" si="466">IF(OR(CZ18="",CZ9=""),"",AVERAGE(CV18:CZ18,CV9:CZ9))</f>
        <v>0.84189152907565834</v>
      </c>
      <c r="DA23" s="183">
        <f t="shared" ref="DA23" si="467">IF(OR(DA18="",DA9=""),"",AVERAGE(CV18:DA18,CV9:DA9))</f>
        <v>0.84404362796655674</v>
      </c>
      <c r="DB23" s="183">
        <f t="shared" ref="DB23" si="468">IF(OR(DB18="",DB9=""),"",AVERAGE(CV18:DB18,CV9:DB9))</f>
        <v>0.8460203005789787</v>
      </c>
      <c r="DC23" s="183">
        <f t="shared" ref="DC23" si="469">IF(OR(DC18="",DC9=""),"",AVERAGE(DC18,DC9))</f>
        <v>0.88130189180407581</v>
      </c>
      <c r="DD23" s="183">
        <f t="shared" ref="DD23" si="470">IF(OR(DD18="",DD9=""),"",AVERAGE(DC18:DD18,DC9:DD9))</f>
        <v>0.88113018220606287</v>
      </c>
      <c r="DE23" s="183">
        <f t="shared" ref="DE23" si="471">IF(OR(DE18="",DE9=""),"",AVERAGE(DC18:DE18,DC9:DE9))</f>
        <v>0.88140230685106313</v>
      </c>
      <c r="DF23" s="183">
        <f t="shared" ref="DF23" si="472">IF(OR(DF18="",DF9=""),"",AVERAGE(DC18:DF18,DC9:DF9))</f>
        <v>0.88191832542195336</v>
      </c>
      <c r="DG23" s="183">
        <f t="shared" ref="DG23" si="473">IF(OR(DG18="",DG9=""),"",AVERAGE(DC18:DG18,DC9:DG9))</f>
        <v>0.8824115051745135</v>
      </c>
      <c r="DH23" s="183">
        <f t="shared" ref="DH23" si="474">IF(OR(DH18="",DH9=""),"",AVERAGE(DC18:DH18,DC9:DH9))</f>
        <v>0.88285671371583208</v>
      </c>
      <c r="DI23" s="183">
        <f t="shared" ref="DI23" si="475">IF(OR(DI18="",DI9=""),"",AVERAGE(DC18:DI18,DC9:DI9))</f>
        <v>0.88330027410715839</v>
      </c>
      <c r="DJ23" s="183">
        <f t="shared" ref="DJ23" si="476">IF(OR(DJ18="",DJ9=""),"",AVERAGE(DJ18,DJ9))</f>
        <v>0.89018957528684606</v>
      </c>
      <c r="DK23" s="183">
        <f t="shared" ref="DK23" si="477">IF(OR(DK18="",DK9=""),"",AVERAGE(DJ18:DK18,DJ9:DK9))</f>
        <v>0.8885597015979414</v>
      </c>
      <c r="DL23" s="183">
        <f t="shared" ref="DL23" si="478">IF(OR(DL18="",DL9=""),"",AVERAGE(DJ18:DL18,DJ9:DL9))</f>
        <v>0.88794668554274203</v>
      </c>
      <c r="DM23" s="183">
        <f t="shared" ref="DM23" si="479">IF(OR(DM18="",DM9=""),"",AVERAGE(DJ18:DM18,DJ9:DM9))</f>
        <v>0.88769366982476261</v>
      </c>
      <c r="DN23" s="183">
        <f t="shared" ref="DN23" si="480">IF(OR(DN18="",DN9=""),"",AVERAGE(DJ18:DN18,DJ9:DN9))</f>
        <v>0.88763907579126067</v>
      </c>
      <c r="DO23" s="183">
        <f t="shared" ref="DO23" si="481">IF(OR(DO18="",DO9=""),"",AVERAGE(DJ18:DO18,DJ9:DO9))</f>
        <v>0.88770291195647932</v>
      </c>
      <c r="DP23" s="183">
        <f t="shared" ref="DP23" si="482">IF(OR(DP18="",DP9=""),"",AVERAGE(DJ18:DP18,DJ9:DP9))</f>
        <v>0.88785333331952321</v>
      </c>
      <c r="DQ23" s="183">
        <f t="shared" ref="DQ23" si="483">IF(OR(DQ18="",DQ9=""),"",AVERAGE(DQ18,DQ9))</f>
        <v>0.89495659370395308</v>
      </c>
      <c r="DR23" s="183">
        <f t="shared" ref="DR23" si="484">IF(OR(DR18="",DR9=""),"",AVERAGE(DQ18:DR18,DQ9:DR9))</f>
        <v>0.89507799946955902</v>
      </c>
      <c r="DS23" s="183">
        <f t="shared" ref="DS23" si="485">IF(OR(DS18="",DS9=""),"",AVERAGE(DQ18:DS18,DQ9:DS9))</f>
        <v>0.89520764917073592</v>
      </c>
      <c r="DT23" s="183">
        <f t="shared" ref="DT23" si="486">IF(OR(DT18="",DT9=""),"",AVERAGE(DQ18:DT18,DQ9:DT9))</f>
        <v>0.89540171983018646</v>
      </c>
      <c r="DU23" s="183">
        <f t="shared" ref="DU23" si="487">IF(OR(DU18="",DU9=""),"",AVERAGE(DQ18:DU18,DQ9:DU9))</f>
        <v>0.89544423517869853</v>
      </c>
      <c r="DV23" s="183">
        <f t="shared" ref="DV23" si="488">IF(OR(DV18="",DV9=""),"",AVERAGE(DQ18:DV18,DQ9:DV9))</f>
        <v>0.89490083465248171</v>
      </c>
      <c r="DW23" s="183">
        <f t="shared" ref="DW23" si="489">IF(OR(DW18="",DW9=""),"",AVERAGE(DQ18:DW18,DQ9:DW9))</f>
        <v>0.89464979677871603</v>
      </c>
      <c r="DX23" s="183">
        <f t="shared" ref="DX23" si="490">IF(OR(DX18="",DX9=""),"",AVERAGE(DX18,DX9))</f>
        <v>0.86358982654518046</v>
      </c>
      <c r="DY23" s="183">
        <f t="shared" ref="DY23" si="491">IF(OR(DY18="",DY9=""),"",AVERAGE(DX18:DY18,DX9:DY9))</f>
        <v>0.86705784318917012</v>
      </c>
      <c r="DZ23" s="183">
        <f t="shared" ref="DZ23" si="492">IF(OR(DZ18="",DZ9=""),"",AVERAGE(DX18:DZ18,DX9:DZ9))</f>
        <v>0.87033284481938755</v>
      </c>
      <c r="EA23" s="183">
        <f t="shared" ref="EA23" si="493">IF(OR(EA18="",EA9=""),"",AVERAGE(DX18:EA18,DX9:EA9))</f>
        <v>0.87271819795643979</v>
      </c>
      <c r="EB23" s="183">
        <f t="shared" ref="EB23" si="494">IF(OR(EB18="",EB9=""),"",AVERAGE(DX18:EB18,DX9:EB9))</f>
        <v>0.87471329433898115</v>
      </c>
      <c r="EC23" s="183">
        <f t="shared" ref="EC23" si="495">IF(OR(EC18="",EC9=""),"",AVERAGE(DX18:EC18,DX9:EC9))</f>
        <v>0.87624300976149427</v>
      </c>
      <c r="ED23" s="183">
        <f t="shared" ref="ED23" si="496">IF(OR(ED18="",ED9=""),"",AVERAGE(DX18:ED18,DX9:ED9))</f>
        <v>0.87758081738193749</v>
      </c>
      <c r="EE23" s="183">
        <f t="shared" ref="EE23" si="497">IF(OR(EE18="",EE9=""),"",AVERAGE(EE18,EE9))</f>
        <v>0.8971793316596568</v>
      </c>
      <c r="EF23" s="183">
        <f t="shared" ref="EF23" si="498">IF(OR(EF18="",EF9=""),"",AVERAGE(EE18:EF18,EE9:EF9))</f>
        <v>0.89420675640514546</v>
      </c>
      <c r="EG23" s="183">
        <f t="shared" ref="EG23" si="499">IF(OR(EG18="",EG9=""),"",AVERAGE(EE18:EG18,EE9:EG9))</f>
        <v>0.8925574649111544</v>
      </c>
      <c r="EH23" s="183">
        <f t="shared" ref="EH23" si="500">IF(OR(EH18="",EH9=""),"",AVERAGE(EE18:EH18,EE9:EH9))</f>
        <v>0.89082346844431481</v>
      </c>
      <c r="EI23" s="183">
        <f t="shared" ref="EI23" si="501">IF(OR(EI18="",EI9=""),"",AVERAGE(EE18:EI18,EE9:EI9))</f>
        <v>0.88954593205465304</v>
      </c>
      <c r="EJ23" s="183">
        <f t="shared" ref="EJ23" si="502">IF(OR(EJ18="",EJ9=""),"",AVERAGE(EE18:EJ18,EE9:EJ9))</f>
        <v>0.88837290299672622</v>
      </c>
      <c r="EK23" s="183">
        <f t="shared" ref="EK23" si="503">IF(OR(EK18="",EK9=""),"",AVERAGE(EE18:EK18,EE9:EK9))</f>
        <v>0.88742743008456948</v>
      </c>
      <c r="EL23" s="183">
        <f t="shared" ref="EL23" si="504">IF(OR(EL18="",EL9=""),"",AVERAGE(EL18,EL9))</f>
        <v>0.87395560460008503</v>
      </c>
      <c r="EM23" s="183">
        <f t="shared" ref="EM23" si="505">IF(OR(EM18="",EM9=""),"",AVERAGE(EL18:EM18,EL9:EM9))</f>
        <v>0.87415417640003601</v>
      </c>
      <c r="EN23" s="183">
        <f t="shared" ref="EN23" si="506">IF(OR(EN18="",EN9=""),"",AVERAGE(EL18:EN18,EL9:EN9))</f>
        <v>0.87448027562956987</v>
      </c>
      <c r="EO23" s="183">
        <f t="shared" ref="EO23" si="507">IF(OR(EO18="",EO9=""),"",AVERAGE(EL18:EO18,EL9:EO9))</f>
        <v>0.87462455464131994</v>
      </c>
      <c r="EP23" s="183">
        <f t="shared" ref="EP23" si="508">IF(OR(EP18="",EP9=""),"",AVERAGE(EL18:EP18,EL9:EP9))</f>
        <v>0.87475001358320448</v>
      </c>
      <c r="EQ23" s="183">
        <f t="shared" ref="EQ23" si="509">IF(OR(EQ18="",EQ9=""),"",AVERAGE(EL18:EQ18,EL9:EQ9))</f>
        <v>0.8749294906195203</v>
      </c>
      <c r="ER23" s="183">
        <f t="shared" ref="ER23" si="510">IF(OR(ER18="",ER9=""),"",AVERAGE(EL18:ER18,EL9:ER9))</f>
        <v>0.875071014358074</v>
      </c>
      <c r="ES23" s="183">
        <f t="shared" ref="ES23" si="511">IF(OR(ES18="",ES9=""),"",AVERAGE(ES18,ES9))</f>
        <v>0.87318769061815504</v>
      </c>
      <c r="ET23" s="183">
        <f t="shared" ref="ET23" si="512">IF(OR(ET18="",ET9=""),"",AVERAGE(ES18:ET18,ES9:ET9))</f>
        <v>0.87375666775779481</v>
      </c>
      <c r="EU23" s="183">
        <f t="shared" ref="EU23" si="513">IF(OR(EU18="",EU9=""),"",AVERAGE(ES18:EU18,ES9:EU9))</f>
        <v>0.87419999924636738</v>
      </c>
      <c r="EV23" s="183">
        <f t="shared" ref="EV23" si="514">IF(OR(EV18="",EV9=""),"",AVERAGE(ES18:EV18,ES9:EV9))</f>
        <v>0.87459846238079331</v>
      </c>
      <c r="EW23" s="183">
        <f t="shared" ref="EW23" si="515">IF(OR(EW18="",EW9=""),"",AVERAGE(ES18:EW18,ES9:EW9))</f>
        <v>0.87497802860525609</v>
      </c>
      <c r="EX23" s="183">
        <f t="shared" ref="EX23" si="516">IF(OR(EX18="",EX9=""),"",AVERAGE(ES18:EX18,ES9:EX9))</f>
        <v>0.8753716091260908</v>
      </c>
      <c r="EY23" s="183">
        <f t="shared" ref="EY23" si="517">IF(OR(EY18="",EY9=""),"",AVERAGE(ES18:EY18,ES9:EY9))</f>
        <v>0.87578186303854388</v>
      </c>
      <c r="EZ23" s="183">
        <f t="shared" ref="EZ23" si="518">IF(OR(EZ18="",EZ9=""),"",AVERAGE(EZ18,EZ9))</f>
        <v>0.88554579244807163</v>
      </c>
      <c r="FA23" s="183">
        <f t="shared" ref="FA23" si="519">IF(OR(FA18="",FA9=""),"",AVERAGE(EZ18:FA18,EZ9:FA9))</f>
        <v>0.9002859573034635</v>
      </c>
      <c r="FB23" s="183">
        <f t="shared" ref="FB23" si="520">IF(OR(FB18="",FB9=""),"",AVERAGE(EZ18:FB18,EZ9:FB9))</f>
        <v>0.9085571504425779</v>
      </c>
      <c r="FC23" s="183">
        <f t="shared" ref="FC23" si="521">IF(OR(FC18="",FC9=""),"",AVERAGE(EZ18:FC18,EZ9:FC9))</f>
        <v>0.91399724968846785</v>
      </c>
      <c r="FD23" s="183">
        <f t="shared" ref="FD23" si="522">IF(OR(FD18="",FD9=""),"",AVERAGE(EZ18:FD18,EZ9:FD9))</f>
        <v>0.91791590653140909</v>
      </c>
      <c r="FE23" s="183">
        <f t="shared" ref="FE23" si="523">IF(OR(FE18="",FE9=""),"",AVERAGE(EZ18:FE18,EZ9:FE9))</f>
        <v>0.92091136961993525</v>
      </c>
      <c r="FF23" s="183">
        <f t="shared" ref="FF23" si="524">IF(OR(FF18="",FF9=""),"",AVERAGE(EZ18:FF18,EZ9:FF9))</f>
        <v>0.92329943794198266</v>
      </c>
      <c r="FG23" s="183">
        <f t="shared" ref="FG23" si="525">IF(OR(FG18="",FG9=""),"",AVERAGE(FG18,FG9))</f>
        <v>0.97627976190476184</v>
      </c>
      <c r="FH23" s="183">
        <f t="shared" ref="FH23" si="526">IF(OR(FH18="",FH9=""),"",AVERAGE(FG18:FH18,FG9:FH9))</f>
        <v>0.96823944382440486</v>
      </c>
      <c r="FI23" s="183">
        <f t="shared" ref="FI23" si="527">IF(OR(FI18="",FI9=""),"",AVERAGE(FG18:FI18,FG9:FI9))</f>
        <v>0.96383929604828056</v>
      </c>
      <c r="FJ23" s="183">
        <f t="shared" ref="FJ23" si="528">IF(OR(FJ18="",FJ9=""),"",AVERAGE(FG18:FJ18,FG9:FJ9))</f>
        <v>0.96032233150421631</v>
      </c>
      <c r="FK23" s="183">
        <f t="shared" ref="FK23" si="529">IF(OR(FK18="",FK9=""),"",AVERAGE(FG18:FK18,FG9:FK9))</f>
        <v>0.95751125738410914</v>
      </c>
      <c r="FL23" s="183">
        <f t="shared" ref="FL23" si="530">IF(OR(FL18="",FL9=""),"",AVERAGE(FG18:FL18,FG9:FL9))</f>
        <v>0.95516887900270087</v>
      </c>
      <c r="FM23" s="183">
        <f t="shared" ref="FM23" si="531">IF(OR(FM18="",FM9=""),"",AVERAGE(FG18:FM18,FG9:FM9))</f>
        <v>0.95325251637195607</v>
      </c>
      <c r="FN23" s="183">
        <f t="shared" ref="FN23" si="532">IF(OR(FN18="",FN9=""),"",AVERAGE(FN18,FN9))</f>
        <v>0.92963392857142857</v>
      </c>
      <c r="FO23" s="183">
        <f t="shared" ref="FO23" si="533">IF(OR(FO18="",FO9=""),"",AVERAGE(FN18:FO18,FN9:FO9))</f>
        <v>0.93018777281746035</v>
      </c>
      <c r="FP23" s="183">
        <f t="shared" ref="FP23" si="534">IF(OR(FP18="",FP9=""),"",AVERAGE(FN18:FP18,FN9:FP9))</f>
        <v>0.93028781553130513</v>
      </c>
      <c r="FQ23" s="183">
        <f t="shared" ref="FQ23" si="535">IF(OR(FQ18="",FQ9=""),"",AVERAGE(FN18:FQ18,FN9:FQ9))</f>
        <v>0.93056354712240796</v>
      </c>
      <c r="FR23" s="183">
        <f t="shared" ref="FR23" si="536">IF(OR(FR18="",FR9=""),"",AVERAGE(FN18:FR18,FN9:FR9))</f>
        <v>0.93062615732716714</v>
      </c>
      <c r="FS23" s="183">
        <f t="shared" ref="FS23" si="537">IF(OR(FS18="",FS9=""),"",AVERAGE(FN18:FS18,FN9:FS9))</f>
        <v>0.93032229081438766</v>
      </c>
      <c r="FT23" s="183">
        <f t="shared" ref="FT23" si="538">IF(OR(FT18="",FT9=""),"",AVERAGE(FN18:FT18,FN9:FT9))</f>
        <v>0.92993359492259642</v>
      </c>
      <c r="FU23" s="183">
        <f t="shared" ref="FU23" si="539">IF(OR(FU18="",FU9=""),"",AVERAGE(FU18,FU9))</f>
        <v>0.92668982507842312</v>
      </c>
      <c r="FV23" s="183">
        <f t="shared" ref="FV23" si="540">IF(OR(FV18="",FV9=""),"",AVERAGE(FU18:FV18,FU9:FV9))</f>
        <v>0.90960910017449292</v>
      </c>
      <c r="FW23" s="183">
        <f t="shared" ref="FW23" si="541">IF(OR(FW18="",FW9=""),"",AVERAGE(FU18:FW18,FU9:FW9))</f>
        <v>0.9028060418833781</v>
      </c>
      <c r="FX23" s="183">
        <f t="shared" ref="FX23" si="542">IF(OR(FX18="",FX9=""),"",AVERAGE(FU18:FX18,FU9:FX9))</f>
        <v>0.89905757187698498</v>
      </c>
      <c r="FY23" s="183">
        <f t="shared" ref="FY23" si="543">IF(OR(FY18="",FY9=""),"",AVERAGE(FU18:FY18,FU9:FY9))</f>
        <v>0.8966446367321701</v>
      </c>
      <c r="FZ23" s="183">
        <f t="shared" ref="FZ23" si="544">IF(OR(FZ18="",FZ9=""),"",AVERAGE(FU18:FZ18,FU9:FZ9))</f>
        <v>0.89490569068835946</v>
      </c>
      <c r="GA23" s="183">
        <f t="shared" ref="GA23" si="545">IF(OR(GA18="",GA9=""),"",AVERAGE(FU18:GA18,FU9:GA9))</f>
        <v>0.89360300900979628</v>
      </c>
      <c r="GB23" s="183">
        <f t="shared" ref="GB23" si="546">IF(OR(GB18="",GB9=""),"",AVERAGE(GB18,GB9))</f>
        <v>0.90053908381369396</v>
      </c>
      <c r="GC23" s="183">
        <f t="shared" ref="GC23" si="547">IF(OR(GC18="",GC9=""),"",AVERAGE(GB18:GC18,GB9:GC9))</f>
        <v>0.87424343930524595</v>
      </c>
      <c r="GD23" s="183">
        <f t="shared" ref="GD23" si="548">IF(OR(GD18="",GD9=""),"",AVERAGE(GB18:GD18,GB9:GD9))</f>
        <v>0.86542858523241539</v>
      </c>
      <c r="GE23" s="183">
        <f t="shared" ref="GE23" si="549">IF(OR(GE18="",GE9=""),"",AVERAGE(GB18:GE18,GB9:GE9))</f>
        <v>0.8465591190030779</v>
      </c>
      <c r="GF23" s="183">
        <f t="shared" ref="GF23" si="550">IF(OR(GF18="",GF9=""),"",AVERAGE(GB18:GF18,GB9:GF9))</f>
        <v>0.83472836878620615</v>
      </c>
      <c r="GG23" s="183">
        <f t="shared" ref="GG23" si="551">IF(OR(GG18="",GG9=""),"",AVERAGE(GB18:GG18,GB9:GG9))</f>
        <v>0.82768555518092002</v>
      </c>
      <c r="GH23" s="183">
        <f t="shared" ref="GH23" si="552">IF(OR(GH18="",GH9=""),"",AVERAGE(GB18:GH18,GB9:GH9))</f>
        <v>0.82327959929644012</v>
      </c>
      <c r="GI23" s="183">
        <f t="shared" ref="GI23" si="553">IF(OR(GI18="",GI9=""),"",AVERAGE(GI18,GI9))</f>
        <v>0.86881574029337161</v>
      </c>
      <c r="GJ23" s="183">
        <f t="shared" ref="GJ23" si="554">IF(OR(GJ18="",GJ9=""),"",AVERAGE(GI18:GJ18,GI9:GJ9))</f>
        <v>0.84391368611890805</v>
      </c>
      <c r="GK23" s="183">
        <f t="shared" ref="GK23" si="555">IF(OR(GK18="",GK9=""),"",AVERAGE(GI18:GK18,GI9:GK9))</f>
        <v>0.83513369969655582</v>
      </c>
      <c r="GL23" s="183">
        <f t="shared" ref="GL23" si="556">IF(OR(GL18="",GL9=""),"",AVERAGE(GI18:GL18,GI9:GL9))</f>
        <v>0.8315898472550558</v>
      </c>
      <c r="GM23" s="183">
        <f t="shared" ref="GM23" si="557">IF(OR(GM18="",GM9=""),"",AVERAGE(GI18:GM18,GI9:GM9))</f>
        <v>0.83040057456330385</v>
      </c>
      <c r="GN23" s="183">
        <f t="shared" ref="GN23" si="558">IF(OR(GN18="",GN9=""),"",AVERAGE(GI18:GN18,GI9:GN9))</f>
        <v>0.83046913395964639</v>
      </c>
      <c r="GO23" s="183">
        <f t="shared" ref="GO23" si="559">IF(OR(GO18="",GO9=""),"",AVERAGE(GI18:GO18,GI9:GO9))</f>
        <v>0.82983587321858931</v>
      </c>
      <c r="GP23" s="183">
        <f t="shared" ref="GP23" si="560">IF(OR(GP18="",GP9=""),"",AVERAGE(GP18,GP9))</f>
        <v>0.86975620995734415</v>
      </c>
      <c r="GQ23" s="183">
        <f t="shared" ref="GQ23" si="561">IF(OR(GQ18="",GQ9=""),"",AVERAGE(GP18:GQ18,GP9:GQ9))</f>
        <v>0.84342845220089424</v>
      </c>
      <c r="GR23" s="183">
        <f t="shared" ref="GR23" si="562">IF(OR(GR18="",GR9=""),"",AVERAGE(GP18:GR18,GP9:GR9))</f>
        <v>0.83685893726973204</v>
      </c>
      <c r="GS23" s="183">
        <f t="shared" ref="GS23" si="563">IF(OR(GS18="",GS9=""),"",AVERAGE(GP18:GS18,GP9:GS9))</f>
        <v>0.83508092170229908</v>
      </c>
      <c r="GT23" s="183">
        <f t="shared" ref="GT23" si="564">IF(OR(GT18="",GT9=""),"",AVERAGE(GP18:GT18,GP9:GT9))</f>
        <v>0.83507611236183921</v>
      </c>
      <c r="GU23" s="183">
        <f t="shared" ref="GU23" si="565">IF(OR(GU18="",GU9=""),"",AVERAGE(GP18:GU18,GP9:GU9))</f>
        <v>0.83550227330534532</v>
      </c>
      <c r="GV23" s="183">
        <f t="shared" ref="GV23" si="566">IF(OR(GV18="",GV9=""),"",AVERAGE(GP18:GV18,GP9:GV9))</f>
        <v>0.83623903699392843</v>
      </c>
      <c r="GW23" s="183">
        <f t="shared" ref="GW23" si="567">IF(OR(GW18="",GW9=""),"",AVERAGE(GW18,GW9))</f>
        <v>0.8683575211382214</v>
      </c>
      <c r="GX23" s="183">
        <f t="shared" ref="GX23" si="568">IF(OR(GX18="",GX9=""),"",AVERAGE(GW18:GX18,GW9:GX9))</f>
        <v>0.86425117010858443</v>
      </c>
      <c r="GY23" s="183">
        <f t="shared" ref="GY23" si="569">IF(OR(GY18="",GY9=""),"",AVERAGE(GW18:GY18,GW9:GY9))</f>
        <v>0.85923528792767589</v>
      </c>
      <c r="GZ23" s="183">
        <f t="shared" ref="GZ23" si="570">IF(OR(GZ18="",GZ9=""),"",AVERAGE(GW18:GZ18,GW9:GZ9))</f>
        <v>0.85522164010867374</v>
      </c>
      <c r="HA23" s="183">
        <f t="shared" ref="HA23" si="571">IF(OR(HA18="",HA9=""),"",AVERAGE(GW18:HA18,GW9:HA9))</f>
        <v>0.85239486485555349</v>
      </c>
      <c r="HB23" s="183">
        <f t="shared" ref="HB23" si="572">IF(OR(HB18="",HB9=""),"",AVERAGE(GW18:HB18,GW9:HB9))</f>
        <v>0.85047141563329542</v>
      </c>
      <c r="HC23" s="183">
        <f t="shared" ref="HC23" si="573">IF(OR(HC18="",HC9=""),"",AVERAGE(GW18:HC18,GW9:HC9))</f>
        <v>0.84920455558633545</v>
      </c>
      <c r="HD23" s="183">
        <f t="shared" ref="HD23" si="574">IF(OR(HD18="",HD9=""),"",AVERAGE(HD18,HD9))</f>
        <v>0.84134640797962346</v>
      </c>
      <c r="HE23" s="183">
        <f t="shared" ref="HE23" si="575">IF(OR(HE18="",HE9=""),"",AVERAGE(HD18:HE18,HD9:HE9))</f>
        <v>0.8409519203062884</v>
      </c>
      <c r="HF23" s="183">
        <f t="shared" ref="HF23" si="576">IF(OR(HF18="",HF9=""),"",AVERAGE(HD18:HF18,HD9:HF9))</f>
        <v>0.83989535088188561</v>
      </c>
      <c r="HG23" s="183">
        <f t="shared" ref="HG23" si="577">IF(OR(HG18="",HG9=""),"",AVERAGE(HD18:HG18,HD9:HG9))</f>
        <v>0.83922296868629487</v>
      </c>
      <c r="HH23" s="183">
        <f t="shared" ref="HH23" si="578">IF(OR(HH18="",HH9=""),"",AVERAGE(HD18:HH18,HD9:HH9))</f>
        <v>0.83896973704051503</v>
      </c>
      <c r="HI23" s="183">
        <f t="shared" ref="HI23" si="579">IF(OR(HI18="",HI9=""),"",AVERAGE(HD18:HI18,HD9:HI9))</f>
        <v>0.83896974371437461</v>
      </c>
      <c r="HJ23" s="183">
        <f t="shared" ref="HJ23" si="580">IF(OR(HJ18="",HJ9=""),"",AVERAGE(HD18:HJ18,HD9:HJ9))</f>
        <v>0.84079722657570355</v>
      </c>
      <c r="HK23" s="183">
        <f t="shared" ref="HK23" si="581">IF(OR(HK18="",HK9=""),"",AVERAGE(HK18,HK9))</f>
        <v>0.84260669679797073</v>
      </c>
      <c r="HL23" s="183">
        <f t="shared" ref="HL23" si="582">IF(OR(HL18="",HL9=""),"",AVERAGE(HK18:HL18,HK9:HL9))</f>
        <v>0.86751432911919379</v>
      </c>
      <c r="HM23" s="183">
        <f t="shared" ref="HM23" si="583">IF(OR(HM18="",HM9=""),"",AVERAGE(HK18:HM18,HK9:HM9))</f>
        <v>0.87563713547893585</v>
      </c>
      <c r="HN23" s="183">
        <f t="shared" ref="HN23" si="584">IF(OR(HN18="",HN9=""),"",AVERAGE(HK18:HN18,HK9:HN9))</f>
        <v>0.87932124571064041</v>
      </c>
      <c r="HO23" s="183">
        <f t="shared" ref="HO23" si="585">IF(OR(HO18="",HO9=""),"",AVERAGE(HK18:HO18,HK9:HO9))</f>
        <v>0.88120341216726161</v>
      </c>
      <c r="HP23" s="183">
        <f t="shared" ref="HP23" si="586">IF(OR(HP18="",HP9=""),"",AVERAGE(HK18:HP18,HK9:HP9))</f>
        <v>0.88209174226057374</v>
      </c>
      <c r="HQ23" s="183">
        <f t="shared" ref="HQ23" si="587">IF(OR(HQ18="",HQ9=""),"",AVERAGE(HK18:HQ18,HK9:HQ9))</f>
        <v>0.88253615112817518</v>
      </c>
      <c r="HR23" s="183">
        <f t="shared" ref="HR23" si="588">IF(OR(HR18="",HR9=""),"",AVERAGE(HR18,HR9))</f>
        <v>0.84805536823205918</v>
      </c>
      <c r="HS23" s="183">
        <f t="shared" ref="HS23" si="589">IF(OR(HS18="",HS9=""),"",AVERAGE(HR18:HS18,HR9:HS9))</f>
        <v>0.86465530473315544</v>
      </c>
      <c r="HT23" s="183">
        <f t="shared" ref="HT23" si="590">IF(OR(HT18="",HT9=""),"",AVERAGE(HR18:HT18,HR9:HT9))</f>
        <v>0.87042097800838969</v>
      </c>
      <c r="HU23" s="183">
        <f t="shared" ref="HU23" si="591">IF(OR(HU18="",HU9=""),"",AVERAGE(HR18:HU18,HR9:HU9))</f>
        <v>0.87326331494011378</v>
      </c>
      <c r="HV23" s="183">
        <f t="shared" ref="HV23" si="592">IF(OR(HV18="",HV9=""),"",AVERAGE(HR18:HV18,HR9:HV9))</f>
        <v>0.87494784177984397</v>
      </c>
      <c r="HW23" s="183">
        <f t="shared" ref="HW23" si="593">IF(OR(HW18="",HW9=""),"",AVERAGE(HR18:HW18,HR9:HW9))</f>
        <v>0.87612742804992105</v>
      </c>
      <c r="HX23" s="183">
        <f t="shared" ref="HX23" si="594">IF(OR(HX18="",HX9=""),"",AVERAGE(HR18:HX18,HR9:HX9))</f>
        <v>0.8770254505297822</v>
      </c>
      <c r="HY23" s="183">
        <f t="shared" ref="HY23" si="595">IF(OR(HY18="",HY9=""),"",AVERAGE(HY18,HY9))</f>
        <v>0.85186672863633239</v>
      </c>
      <c r="HZ23" s="183">
        <f t="shared" ref="HZ23" si="596">IF(OR(HZ18="",HZ9=""),"",AVERAGE(HY18:HZ18,HY9:HZ9))</f>
        <v>0.87035580064861828</v>
      </c>
      <c r="IA23" s="183">
        <f t="shared" ref="IA23" si="597">IF(OR(IA18="",IA9=""),"",AVERAGE(HY18:IA18,HY9:IA9))</f>
        <v>0.87641328834166199</v>
      </c>
      <c r="IB23" s="183">
        <f t="shared" ref="IB23" si="598">IF(OR(IB18="",IB9=""),"",AVERAGE(HY18:IB18,HY9:IB9))</f>
        <v>0.87939446380496367</v>
      </c>
      <c r="IC23" s="183">
        <f t="shared" ref="IC23" si="599">IF(OR(IC18="",IC9=""),"",AVERAGE(HY18:IC18,HY9:IC9))</f>
        <v>0.88081245916510853</v>
      </c>
      <c r="ID23" s="183">
        <f t="shared" ref="ID23" si="600">IF(OR(ID18="",ID9=""),"",AVERAGE(HY18:ID18,HY9:ID9))</f>
        <v>0.88159555062398176</v>
      </c>
      <c r="IE23" s="183">
        <f t="shared" ref="IE23" si="601">IF(OR(IE18="",IE9=""),"",AVERAGE(HY18:IE18,HY9:IE9))</f>
        <v>0.88209522841148669</v>
      </c>
      <c r="IF23" s="183">
        <f t="shared" ref="IF23" si="602">IF(OR(IF18="",IF9=""),"",AVERAGE(IF18,IF9))</f>
        <v>0.85467815240237188</v>
      </c>
      <c r="IG23" s="183">
        <f t="shared" ref="IG23" si="603">IF(OR(IG18="",IG9=""),"",AVERAGE(IF18:IG18,IF9:IG9))</f>
        <v>0.86863489902129976</v>
      </c>
      <c r="IH23" s="183">
        <f t="shared" ref="IH23" si="604">IF(OR(IH18="",IH9=""),"",AVERAGE(IF18:IH18,IF9:IH9))</f>
        <v>0.87342597215792983</v>
      </c>
      <c r="II23" s="183">
        <f t="shared" ref="II23" si="605">IF(OR(II18="",II9=""),"",AVERAGE(IF18:II18,IF9:II9))</f>
        <v>0.8759225669792704</v>
      </c>
      <c r="IJ23" s="183">
        <f t="shared" ref="IJ23" si="606">IF(OR(IJ18="",IJ9=""),"",AVERAGE(IF18:IJ18,IF9:IJ9))</f>
        <v>0.87751796951716909</v>
      </c>
      <c r="IK23" s="183">
        <f t="shared" ref="IK23" si="607">IF(OR(IK18="",IK9=""),"",AVERAGE(IF18:IK18,IF9:IK9))</f>
        <v>0.87832251708823383</v>
      </c>
      <c r="IL23" s="183">
        <f t="shared" ref="IL23" si="608">IF(OR(IL18="",IL9=""),"",AVERAGE(IF18:IL18,IF9:IL9))</f>
        <v>0.878789710555545</v>
      </c>
      <c r="IM23" s="183">
        <f t="shared" ref="IM23" si="609">IF(OR(IM18="",IM9=""),"",AVERAGE(IM18,IM9))</f>
        <v>0.85634376394336131</v>
      </c>
      <c r="IN23" s="183">
        <f t="shared" ref="IN23" si="610">IF(OR(IN18="",IN9=""),"",AVERAGE(IM18:IN18,IM9:IN9))</f>
        <v>0.86328630585054866</v>
      </c>
      <c r="IO23" s="183">
        <f t="shared" ref="IO23" si="611">IF(OR(IO18="",IO9=""),"",AVERAGE(IM18:IO18,IM9:IO9))</f>
        <v>0.8701632948819582</v>
      </c>
      <c r="IP23" s="183">
        <f t="shared" ref="IP23" si="612">IF(OR(IP18="",IP9=""),"",AVERAGE(IM18:IP18,IM9:IP9))</f>
        <v>0.87500887476540334</v>
      </c>
      <c r="IQ23" s="183">
        <f t="shared" ref="IQ23" si="613">IF(OR(IQ18="",IQ9=""),"",AVERAGE(IM18:IQ18,IM9:IQ9))</f>
        <v>0.87744635605959898</v>
      </c>
      <c r="IR23" s="183">
        <f t="shared" ref="IR23" si="614">IF(OR(IR18="",IR9=""),"",AVERAGE(IM18:IR18,IM9:IR9))</f>
        <v>0.87879353343459643</v>
      </c>
      <c r="IS23" s="183">
        <f t="shared" ref="IS23" si="615">IF(OR(IS18="",IS9=""),"",AVERAGE(IM18:IS18,IM9:IS9))</f>
        <v>0.8796708407808379</v>
      </c>
      <c r="IT23" s="183">
        <f t="shared" ref="IT23" si="616">IF(OR(IT18="",IT9=""),"",AVERAGE(IT18,IT9))</f>
        <v>0.8568969344729318</v>
      </c>
      <c r="IU23" s="183">
        <f t="shared" ref="IU23" si="617">IF(OR(IU18="",IU9=""),"",AVERAGE(IT18:IU18,IT9:IU9))</f>
        <v>0.87189688688759415</v>
      </c>
      <c r="IV23" s="183">
        <f t="shared" ref="IV23" si="618">IF(OR(IV18="",IV9=""),"",AVERAGE(IT18:IV18,IT9:IV9))</f>
        <v>0.87730695797182656</v>
      </c>
      <c r="IW23" s="183">
        <f t="shared" ref="IW23" si="619">IF(OR(IW18="",IW9=""),"",AVERAGE(IT18:IW18,IT9:IW9))</f>
        <v>0.87989547514178612</v>
      </c>
      <c r="IX23" s="183">
        <f t="shared" ref="IX23" si="620">IF(OR(IX18="",IX9=""),"",AVERAGE(IT18:IX18,IT9:IX9))</f>
        <v>0.88088243322673576</v>
      </c>
      <c r="IY23" s="183">
        <f t="shared" ref="IY23" si="621">IF(OR(IY18="",IY9=""),"",AVERAGE(IT18:IY18,IT9:IY9))</f>
        <v>0.88103145858876475</v>
      </c>
      <c r="IZ23" s="183">
        <f t="shared" ref="IZ23" si="622">IF(OR(IZ18="",IZ9=""),"",AVERAGE(IT18:IZ18,IT9:IZ9))</f>
        <v>0.88070277349265658</v>
      </c>
      <c r="JA23" s="183">
        <f t="shared" ref="JA23" si="623">IF(OR(JA18="",JA9=""),"",AVERAGE(JA18,JA9))</f>
        <v>0.8550485609784847</v>
      </c>
      <c r="JB23" s="183">
        <f t="shared" ref="JB23" si="624">IF(OR(JB18="",JB9=""),"",AVERAGE(JA18:JB18,JA9:JB9))</f>
        <v>0.85158930903407193</v>
      </c>
      <c r="JC23" s="183">
        <f t="shared" ref="JC23" si="625">IF(OR(JC18="",JC9=""),"",AVERAGE(JA18:JC18,JA9:JC9))</f>
        <v>0.85018099355351928</v>
      </c>
      <c r="JD23" s="183">
        <f t="shared" ref="JD23" si="626">IF(OR(JD18="",JD9=""),"",AVERAGE(JA18:JD18,JA9:JD9))</f>
        <v>0.84942111059288483</v>
      </c>
      <c r="JE23" s="183">
        <f t="shared" ref="JE23" si="627">IF(OR(JE18="",JE9=""),"",AVERAGE(JA18:JE18,JA9:JE9))</f>
        <v>0.84913584087938498</v>
      </c>
      <c r="JF23" s="183">
        <f t="shared" ref="JF23" si="628">IF(OR(JF18="",JF9=""),"",AVERAGE(JA18:JF18,JA9:JF9))</f>
        <v>0.84916429995931197</v>
      </c>
      <c r="JG23" s="183">
        <f t="shared" ref="JG23" si="629">IF(OR(JG18="",JG9=""),"",AVERAGE(JA18:JG18,JA9:JG9))</f>
        <v>0.84935919314049912</v>
      </c>
      <c r="JH23" s="183">
        <f t="shared" ref="JH23" si="630">IF(OR(JH18="",JH9=""),"",AVERAGE(JH18,JH9))</f>
        <v>0.85311883676320932</v>
      </c>
      <c r="JI23" s="183">
        <f t="shared" ref="JI23" si="631">IF(OR(JI18="",JI9=""),"",AVERAGE(JH18:JI18,JH9:JI9))</f>
        <v>0.8587509230173308</v>
      </c>
      <c r="JJ23" s="183">
        <f t="shared" ref="JJ23" si="632">IF(OR(JJ18="",JJ9=""),"",AVERAGE(JH18:JJ18,JH9:JJ9))</f>
        <v>0.86116922724033851</v>
      </c>
      <c r="JK23" s="183">
        <f t="shared" ref="JK23" si="633">IF(OR(JK18="",JK9=""),"",AVERAGE(JH18:JK18,JH9:JK9))</f>
        <v>0.86264697996795492</v>
      </c>
      <c r="JL23" s="183">
        <f t="shared" ref="JL23" si="634">IF(OR(JL18="",JL9=""),"",AVERAGE(JH18:JL18,JH9:JL9))</f>
        <v>0.86358432121732065</v>
      </c>
      <c r="JM23" s="183">
        <f t="shared" ref="JM23" si="635">IF(OR(JM18="",JM9=""),"",AVERAGE(JH18:JM18,JH9:JM9))</f>
        <v>0.86417683009696911</v>
      </c>
      <c r="JN23" s="183">
        <f t="shared" ref="JN23" si="636">IF(OR(JN18="",JN9=""),"",AVERAGE(JH18:JN18,JH9:JN9))</f>
        <v>0.86460338173616513</v>
      </c>
      <c r="JO23" s="183">
        <f t="shared" ref="JO23" si="637">IF(OR(JO18="",JO9=""),"",AVERAGE(JO18,JO9))</f>
        <v>0.85310719099189258</v>
      </c>
      <c r="JP23" s="183">
        <f t="shared" ref="JP23" si="638">IF(OR(JP18="",JP9=""),"",AVERAGE(JO18:JP18,JO9:JP9))</f>
        <v>0.86171984020864278</v>
      </c>
      <c r="JQ23" s="183">
        <f t="shared" ref="JQ23" si="639">IF(OR(JQ18="",JQ9=""),"",AVERAGE(JO18:JQ18,JO9:JQ9))</f>
        <v>0.86459943733309075</v>
      </c>
      <c r="JR23" s="183">
        <f t="shared" ref="JR23" si="640">IF(OR(JR18="",JR9=""),"",AVERAGE(JO18:JR18,JO9:JR9))</f>
        <v>0.86613248830777012</v>
      </c>
      <c r="JS23" s="183">
        <f t="shared" ref="JS23" si="641">IF(OR(JS18="",JS9=""),"",AVERAGE(JO18:JS18,JO9:JS9))</f>
        <v>0.86747835592072065</v>
      </c>
      <c r="JT23" s="183">
        <f t="shared" ref="JT23" si="642">IF(OR(JT18="",JT9=""),"",AVERAGE(JO18:JT18,JO9:JT9))</f>
        <v>0.86869546258022867</v>
      </c>
      <c r="JU23" s="183">
        <f t="shared" ref="JU23" si="643">IF(OR(JU18="",JU9=""),"",AVERAGE(JO18:JU18,JO9:JU9))</f>
        <v>0.86835192156870844</v>
      </c>
      <c r="JV23" s="183">
        <f t="shared" ref="JV23" si="644">IF(OR(JV18="",JV9=""),"",AVERAGE(JV18,JV9))</f>
        <v>0.853577399645848</v>
      </c>
      <c r="JW23" s="183">
        <f t="shared" ref="JW23" si="645">IF(OR(JW18="",JW9=""),"",AVERAGE(JV18:JW18,JV9:JW9))</f>
        <v>0.85038701897489044</v>
      </c>
      <c r="JX23" s="183">
        <f t="shared" ref="JX23" si="646">IF(OR(JX18="",JX9=""),"",AVERAGE(JV18:JX18,JV9:JX9))</f>
        <v>0.85160890160686387</v>
      </c>
      <c r="JY23" s="183">
        <f t="shared" ref="JY23" si="647">IF(OR(JY18="",JY9=""),"",AVERAGE(JV18:JY18,JV9:JY9))</f>
        <v>0.85365799117395547</v>
      </c>
      <c r="JZ23" s="183">
        <f t="shared" ref="JZ23" si="648">IF(OR(JZ18="",JZ9=""),"",AVERAGE(JV18:JZ18,JV9:JZ9))</f>
        <v>0.85590865475714273</v>
      </c>
      <c r="KA23" s="183">
        <f t="shared" ref="KA23" si="649">IF(OR(KA18="",KA9=""),"",AVERAGE(JV18:KA18,JV9:KA9))</f>
        <v>0.85810577923532849</v>
      </c>
      <c r="KB23" s="183">
        <f t="shared" ref="KB23" si="650">IF(OR(KB18="",KB9=""),"",AVERAGE(JV18:KB18,JV9:KB9))</f>
        <v>0.86000902178369287</v>
      </c>
      <c r="KC23" s="183">
        <f t="shared" ref="KC23" si="651">IF(OR(KC18="",KC9=""),"",AVERAGE(KC18,KC9))</f>
        <v>0.85536288631141666</v>
      </c>
      <c r="KD23" s="183">
        <f t="shared" ref="KD23" si="652">IF(OR(KD18="",KD9=""),"",AVERAGE(KC18:KD18,KC9:KD9))</f>
        <v>0.86956118987990827</v>
      </c>
      <c r="KE23" s="183">
        <f t="shared" ref="KE23" si="653">IF(OR(KE18="",KE9=""),"",AVERAGE(KC18:KE18,KC9:KE9))</f>
        <v>0.87509051999678589</v>
      </c>
      <c r="KF23" s="183">
        <f t="shared" ref="KF23" si="654">IF(OR(KF18="",KF9=""),"",AVERAGE(KC18:KF18,KC9:KF9))</f>
        <v>0.8779530118425446</v>
      </c>
      <c r="KG23" s="183">
        <f t="shared" ref="KG23" si="655">IF(OR(KG18="",KG9=""),"",AVERAGE(KC18:KG18,KC9:KG9))</f>
        <v>0.87980786779266273</v>
      </c>
      <c r="KH23" s="183">
        <f t="shared" ref="KH23" si="656">IF(OR(KH18="",KH9=""),"",AVERAGE(KC18:KH18,KC9:KH9))</f>
        <v>0.881220267210721</v>
      </c>
      <c r="KI23" s="183">
        <f t="shared" ref="KI23" si="657">IF(OR(KI18="",KI9=""),"",AVERAGE(KC18:KI18,KC9:KI9))</f>
        <v>0.88240209749346665</v>
      </c>
      <c r="KJ23" s="183">
        <f t="shared" ref="KJ23" si="658">IF(OR(KJ18="",KJ9=""),"",AVERAGE(KJ18,KJ9))</f>
        <v>0.8581873453170894</v>
      </c>
      <c r="KK23" s="183">
        <f t="shared" ref="KK23" si="659">IF(OR(KK18="",KK9=""),"",AVERAGE(KJ18:KK18,KJ9:KK9))</f>
        <v>0.87712171976707154</v>
      </c>
      <c r="KL23" s="183">
        <f t="shared" ref="KL23" si="660">IF(OR(KL18="",KL9=""),"",AVERAGE(KJ18:KL18,KJ9:KL9))</f>
        <v>0.88344604894236411</v>
      </c>
      <c r="KM23" s="183">
        <f t="shared" ref="KM23" si="661">IF(OR(KM18="",KM9=""),"",AVERAGE(KJ18:KM18,KJ9:KM9))</f>
        <v>0.88669697147898185</v>
      </c>
      <c r="KN23" s="183">
        <f t="shared" ref="KN23" si="662">IF(OR(KN18="",KN9=""),"",AVERAGE(KJ18:KN18,KJ9:KN9))</f>
        <v>0.88878561207166507</v>
      </c>
      <c r="KO23" s="183">
        <f t="shared" ref="KO23" si="663">IF(OR(KO18="",KO9=""),"",AVERAGE(KJ18:KO18,KJ9:KO9))</f>
        <v>0.89031608148730124</v>
      </c>
      <c r="KP23" s="183">
        <f t="shared" ref="KP23" si="664">IF(OR(KP18="",KP9=""),"",AVERAGE(KJ18:KP18,KJ9:KP9))</f>
        <v>0.89153563827427973</v>
      </c>
      <c r="KQ23" s="183">
        <f t="shared" ref="KQ23" si="665">IF(OR(KQ18="",KQ9=""),"",AVERAGE(KQ18,KQ9))</f>
        <v>0.86129539403407274</v>
      </c>
      <c r="KR23" s="183">
        <f t="shared" ref="KR23" si="666">IF(OR(KR18="",KR9=""),"",AVERAGE(KQ18:KR18,KQ9:KR9))</f>
        <v>0.88362240624908739</v>
      </c>
      <c r="KS23" s="183">
        <f t="shared" ref="KS23" si="667">IF(OR(KS18="",KS9=""),"",AVERAGE(KQ18:KS18,KQ9:KS9))</f>
        <v>0.89134993419432862</v>
      </c>
      <c r="KT23" s="183">
        <f t="shared" ref="KT23" si="668">IF(OR(KT18="",KT9=""),"",AVERAGE(KQ18:KT18,KQ9:KT9))</f>
        <v>0.89541925060229166</v>
      </c>
      <c r="KU23" s="183">
        <f t="shared" ref="KU23" si="669">IF(OR(KU18="",KU9=""),"",AVERAGE(KQ18:KU18,KQ9:KU9))</f>
        <v>0.89801911509835775</v>
      </c>
      <c r="KV23" s="183">
        <f t="shared" ref="KV23" si="670">IF(OR(KV18="",KV9=""),"",AVERAGE(KQ18:KV18,KQ9:KV9))</f>
        <v>0.89987949019485269</v>
      </c>
      <c r="KW23" s="183">
        <f t="shared" ref="KW23" si="671">IF(OR(KW18="",KW9=""),"",AVERAGE(KQ18:KW18,KQ9:KW9))</f>
        <v>0.9013135059082954</v>
      </c>
      <c r="KX23" s="183" t="str">
        <f t="shared" ref="KX23" si="672">IF(OR(KX18="",KX9=""),"",AVERAGE(KX18,KX9))</f>
        <v/>
      </c>
      <c r="KY23" s="183" t="str">
        <f t="shared" ref="KY23" si="673">IF(OR(KY18="",KY9=""),"",AVERAGE(KX18:KY18,KX9:KY9))</f>
        <v/>
      </c>
      <c r="KZ23" s="183" t="str">
        <f t="shared" ref="KZ23" si="674">IF(OR(KZ18="",KZ9=""),"",AVERAGE(KX18:KZ18,KX9:KZ9))</f>
        <v/>
      </c>
      <c r="LA23" s="183" t="str">
        <f t="shared" ref="LA23" si="675">IF(OR(LA18="",LA9=""),"",AVERAGE(KX18:LA18,KX9:LA9))</f>
        <v/>
      </c>
      <c r="LB23" s="183" t="str">
        <f t="shared" ref="LB23" si="676">IF(OR(LB18="",LB9=""),"",AVERAGE(KX18:LB18,KX9:LB9))</f>
        <v/>
      </c>
      <c r="LC23" s="183" t="str">
        <f t="shared" ref="LC23" si="677">IF(OR(LC18="",LC9=""),"",AVERAGE(KX18:LC18,KX9:LC9))</f>
        <v/>
      </c>
      <c r="LD23" s="183" t="str">
        <f t="shared" ref="LD23" si="678">IF(OR(LD18="",LD9=""),"",AVERAGE(KX18:LD18,KX9:LD9))</f>
        <v/>
      </c>
      <c r="LE23" s="183" t="str">
        <f t="shared" ref="LE23" si="679">IF(OR(LE18="",LE9=""),"",AVERAGE(LE18,LE9))</f>
        <v/>
      </c>
      <c r="LF23" s="183" t="str">
        <f t="shared" ref="LF23" si="680">IF(OR(LF18="",LF9=""),"",AVERAGE(LE18:LF18,LE9:LF9))</f>
        <v/>
      </c>
      <c r="LG23" s="183" t="str">
        <f t="shared" ref="LG23" si="681">IF(OR(LG18="",LG9=""),"",AVERAGE(LE18:LG18,LE9:LG9))</f>
        <v/>
      </c>
      <c r="LH23" s="183" t="str">
        <f t="shared" ref="LH23" si="682">IF(OR(LH18="",LH9=""),"",AVERAGE(LE18:LH18,LE9:LH9))</f>
        <v/>
      </c>
      <c r="LI23" s="183" t="str">
        <f t="shared" ref="LI23" si="683">IF(OR(LI18="",LI9=""),"",AVERAGE(LE18:LI18,LE9:LI9))</f>
        <v/>
      </c>
      <c r="LJ23" s="183" t="str">
        <f t="shared" ref="LJ23" si="684">IF(OR(LJ18="",LJ9=""),"",AVERAGE(LE18:LJ18,LE9:LJ9))</f>
        <v/>
      </c>
      <c r="LK23" s="183" t="str">
        <f t="shared" ref="LK23" si="685">IF(OR(LK18="",LK9=""),"",AVERAGE(LE18:LK18,LE9:LK9))</f>
        <v/>
      </c>
      <c r="LL23" s="183" t="str">
        <f t="shared" ref="LL23" si="686">IF(OR(LL18="",LL9=""),"",AVERAGE(LL18,LL9))</f>
        <v/>
      </c>
      <c r="LM23" s="183" t="str">
        <f t="shared" ref="LM23" si="687">IF(OR(LM18="",LM9=""),"",AVERAGE(LL18:LM18,LL9:LM9))</f>
        <v/>
      </c>
      <c r="LN23" s="183" t="str">
        <f t="shared" ref="LN23" si="688">IF(OR(LN18="",LN9=""),"",AVERAGE(LL18:LN18,LL9:LN9))</f>
        <v/>
      </c>
      <c r="LO23" s="183" t="str">
        <f t="shared" ref="LO23" si="689">IF(OR(LO18="",LO9=""),"",AVERAGE(LL18:LO18,LL9:LO9))</f>
        <v/>
      </c>
      <c r="LP23" s="183" t="str">
        <f t="shared" ref="LP23" si="690">IF(OR(LP18="",LP9=""),"",AVERAGE(LL18:LP18,LL9:LP9))</f>
        <v/>
      </c>
      <c r="LQ23" s="183" t="str">
        <f t="shared" ref="LQ23" si="691">IF(OR(LQ18="",LQ9=""),"",AVERAGE(LL18:LQ18,LL9:LQ9))</f>
        <v/>
      </c>
      <c r="LR23" s="183" t="str">
        <f t="shared" ref="LR23" si="692">IF(OR(LR18="",LR9=""),"",AVERAGE(LL18:LR18,LL9:LR9))</f>
        <v/>
      </c>
      <c r="LS23" s="183" t="str">
        <f t="shared" ref="LS23" si="693">IF(OR(LS18="",LS9=""),"",AVERAGE(LS18,LS9))</f>
        <v/>
      </c>
      <c r="LT23" s="183" t="str">
        <f t="shared" ref="LT23" si="694">IF(OR(LT18="",LT9=""),"",AVERAGE(LS18:LT18,LS9:LT9))</f>
        <v/>
      </c>
      <c r="LU23" s="183" t="str">
        <f t="shared" ref="LU23" si="695">IF(OR(LU18="",LU9=""),"",AVERAGE(LS18:LU18,LS9:LU9))</f>
        <v/>
      </c>
      <c r="LV23" s="183" t="str">
        <f t="shared" ref="LV23" si="696">IF(OR(LV18="",LV9=""),"",AVERAGE(LS18:LV18,LS9:LV9))</f>
        <v/>
      </c>
      <c r="LW23" s="183" t="str">
        <f t="shared" ref="LW23" si="697">IF(OR(LW18="",LW9=""),"",AVERAGE(LS18:LW18,LS9:LW9))</f>
        <v/>
      </c>
      <c r="LX23" s="183" t="str">
        <f t="shared" ref="LX23" si="698">IF(OR(LX18="",LX9=""),"",AVERAGE(LS18:LX18,LS9:LX9))</f>
        <v/>
      </c>
      <c r="LY23" s="183" t="str">
        <f t="shared" ref="LY23" si="699">IF(OR(LY18="",LY9=""),"",AVERAGE(LS18:LY18,LS9:LY9))</f>
        <v/>
      </c>
      <c r="LZ23" s="183" t="str">
        <f t="shared" ref="LZ23" si="700">IF(OR(LZ18="",LZ9=""),"",AVERAGE(LZ18,LZ9))</f>
        <v/>
      </c>
      <c r="MA23" s="183" t="str">
        <f t="shared" ref="MA23" si="701">IF(OR(MA18="",MA9=""),"",AVERAGE(LZ18:MA18,LZ9:MA9))</f>
        <v/>
      </c>
      <c r="MB23" s="183" t="str">
        <f t="shared" ref="MB23" si="702">IF(OR(MB18="",MB9=""),"",AVERAGE(LZ18:MB18,LZ9:MB9))</f>
        <v/>
      </c>
      <c r="MC23" s="183" t="str">
        <f t="shared" ref="MC23" si="703">IF(OR(MC18="",MC9=""),"",AVERAGE(LZ18:MC18,LZ9:MC9))</f>
        <v/>
      </c>
      <c r="MD23" s="183" t="str">
        <f t="shared" ref="MD23" si="704">IF(OR(MD18="",MD9=""),"",AVERAGE(LZ18:MD18,LZ9:MD9))</f>
        <v/>
      </c>
      <c r="ME23" s="183" t="str">
        <f t="shared" ref="ME23" si="705">IF(OR(ME18="",ME9=""),"",AVERAGE(LZ18:ME18,LZ9:ME9))</f>
        <v/>
      </c>
      <c r="MF23" s="183" t="str">
        <f t="shared" ref="MF23" si="706">IF(OR(MF18="",MF9=""),"",AVERAGE(LZ18:MF18,LZ9:MF9))</f>
        <v/>
      </c>
      <c r="MG23" s="183" t="str">
        <f t="shared" ref="MG23" si="707">IF(OR(MG18="",MG9=""),"",AVERAGE(MG18,MG9))</f>
        <v/>
      </c>
      <c r="MH23" s="183" t="str">
        <f t="shared" ref="MH23" si="708">IF(OR(MH18="",MH9=""),"",AVERAGE(MG18:MH18,MG9:MH9))</f>
        <v/>
      </c>
      <c r="MI23" s="183" t="str">
        <f t="shared" ref="MI23" si="709">IF(OR(MI18="",MI9=""),"",AVERAGE(MG18:MI18,MG9:MI9))</f>
        <v/>
      </c>
      <c r="MJ23" s="183" t="str">
        <f t="shared" ref="MJ23" si="710">IF(OR(MJ18="",MJ9=""),"",AVERAGE(MG18:MJ18,MG9:MJ9))</f>
        <v/>
      </c>
      <c r="MK23" s="183" t="str">
        <f t="shared" ref="MK23" si="711">IF(OR(MK18="",MK9=""),"",AVERAGE(MG18:MK18,MG9:MK9))</f>
        <v/>
      </c>
      <c r="ML23" s="183" t="str">
        <f t="shared" ref="ML23" si="712">IF(OR(ML18="",ML9=""),"",AVERAGE(MG18:ML18,MG9:ML9))</f>
        <v/>
      </c>
      <c r="MM23" s="183" t="str">
        <f t="shared" ref="MM23" si="713">IF(OR(MM18="",MM9=""),"",AVERAGE(MG18:MM18,MG9:MM9))</f>
        <v/>
      </c>
      <c r="MN23" s="183" t="str">
        <f t="shared" ref="MN23" si="714">IF(OR(MN18="",MN9=""),"",AVERAGE(MN18,MN9))</f>
        <v/>
      </c>
      <c r="MO23" s="183" t="str">
        <f t="shared" ref="MO23" si="715">IF(OR(MO18="",MO9=""),"",AVERAGE(MN18:MO18,MN9:MO9))</f>
        <v/>
      </c>
      <c r="MP23" s="183" t="str">
        <f t="shared" ref="MP23" si="716">IF(OR(MP18="",MP9=""),"",AVERAGE(MN18:MP18,MN9:MP9))</f>
        <v/>
      </c>
      <c r="MQ23" s="183" t="str">
        <f t="shared" ref="MQ23" si="717">IF(OR(MQ18="",MQ9=""),"",AVERAGE(MN18:MQ18,MN9:MQ9))</f>
        <v/>
      </c>
      <c r="MR23" s="183" t="str">
        <f t="shared" ref="MR23" si="718">IF(OR(MR18="",MR9=""),"",AVERAGE(MN18:MR18,MN9:MR9))</f>
        <v/>
      </c>
      <c r="MS23" s="183" t="str">
        <f t="shared" ref="MS23" si="719">IF(OR(MS18="",MS9=""),"",AVERAGE(MN18:MS18,MN9:MS9))</f>
        <v/>
      </c>
      <c r="MT23" s="183" t="str">
        <f t="shared" ref="MT23" si="720">IF(OR(MT18="",MT9=""),"",AVERAGE(MN18:MT18,MN9:MT9))</f>
        <v/>
      </c>
      <c r="MU23" s="183" t="str">
        <f t="shared" ref="MU23" si="721">IF(OR(MU18="",MU9=""),"",AVERAGE(MU18,MU9))</f>
        <v/>
      </c>
      <c r="MV23" s="183" t="str">
        <f t="shared" ref="MV23" si="722">IF(OR(MV18="",MV9=""),"",AVERAGE(MU18:MV18,MU9:MV9))</f>
        <v/>
      </c>
      <c r="MW23" s="183" t="str">
        <f t="shared" ref="MW23" si="723">IF(OR(MW18="",MW9=""),"",AVERAGE(MU18:MW18,MU9:MW9))</f>
        <v/>
      </c>
      <c r="MX23" s="183" t="str">
        <f t="shared" ref="MX23" si="724">IF(OR(MX18="",MX9=""),"",AVERAGE(MU18:MX18,MU9:MX9))</f>
        <v/>
      </c>
      <c r="MY23" s="183" t="str">
        <f t="shared" ref="MY23" si="725">IF(OR(MY18="",MY9=""),"",AVERAGE(MU18:MY18,MU9:MY9))</f>
        <v/>
      </c>
      <c r="MZ23" s="183" t="str">
        <f t="shared" ref="MZ23" si="726">IF(OR(MZ18="",MZ9=""),"",AVERAGE(MU18:MZ18,MU9:MZ9))</f>
        <v/>
      </c>
      <c r="NA23" s="183" t="str">
        <f t="shared" ref="NA23" si="727">IF(OR(NA18="",NA9=""),"",AVERAGE(MU18:NA18,MU9:NA9))</f>
        <v/>
      </c>
      <c r="NB23" s="183" t="str">
        <f t="shared" ref="NB23" si="728">IF(OR(NB18="",NB9=""),"",AVERAGE(NB18,NB9))</f>
        <v/>
      </c>
      <c r="NC23" s="183" t="str">
        <f t="shared" ref="NC23" si="729">IF(OR(NC18="",NC9=""),"",AVERAGE(NB18:NC18,NB9:NC9))</f>
        <v/>
      </c>
      <c r="ND23" s="183" t="str">
        <f t="shared" ref="ND23" si="730">IF(OR(ND18="",ND9=""),"",AVERAGE(NB18:ND18,NB9:ND9))</f>
        <v/>
      </c>
      <c r="NE23" s="183" t="str">
        <f t="shared" ref="NE23" si="731">IF(OR(NE18="",NE9=""),"",AVERAGE(NB18:NE18,NB9:NE9))</f>
        <v/>
      </c>
      <c r="NF23" s="183" t="str">
        <f t="shared" ref="NF23" si="732">IF(OR(NF18="",NF9=""),"",AVERAGE(NB18:NF18,NB9:NF9))</f>
        <v/>
      </c>
      <c r="NG23" s="183" t="str">
        <f t="shared" ref="NG23" si="733">IF(OR(NG18="",NG9=""),"",AVERAGE(NB18:NG18,NB9:NG9))</f>
        <v/>
      </c>
      <c r="NH23" s="183" t="str">
        <f t="shared" ref="NH23" si="734">IF(OR(NH18="",NH9=""),"",AVERAGE(NB18:NH18,NB9:NH9))</f>
        <v/>
      </c>
      <c r="NI23" s="183" t="str">
        <f t="shared" ref="NI23" si="735">IF(OR(NI18="",NI9=""),"",AVERAGE(NI18,NI9))</f>
        <v/>
      </c>
      <c r="NJ23" s="183" t="str">
        <f t="shared" ref="NJ23" si="736">IF(OR(NJ18="",NJ9=""),"",AVERAGE(NI18:NJ18,NI9:NJ9))</f>
        <v/>
      </c>
      <c r="NK23" s="183" t="str">
        <f t="shared" ref="NK23" si="737">IF(OR(NK18="",NK9=""),"",AVERAGE(NI18:NK18,NI9:NK9))</f>
        <v/>
      </c>
      <c r="NL23" s="183" t="str">
        <f t="shared" ref="NL23" si="738">IF(OR(NL18="",NL9=""),"",AVERAGE(NI18:NL18,NI9:NL9))</f>
        <v/>
      </c>
      <c r="NM23" s="183" t="str">
        <f t="shared" ref="NM23" si="739">IF(OR(NM18="",NM9=""),"",AVERAGE(NI18:NM18,NI9:NM9))</f>
        <v/>
      </c>
      <c r="NN23" s="183" t="str">
        <f t="shared" ref="NN23" si="740">IF(OR(NN18="",NN9=""),"",AVERAGE(NI18:NN18,NI9:NN9))</f>
        <v/>
      </c>
      <c r="NO23" s="183" t="str">
        <f t="shared" ref="NO23" si="741">IF(OR(NO18="",NO9=""),"",AVERAGE(NI18:NO18,NI9:NO9))</f>
        <v/>
      </c>
      <c r="NP23" s="183" t="str">
        <f t="shared" ref="NP23" si="742">IF(OR(NP18="",NP9=""),"",AVERAGE(NP18,NP9))</f>
        <v/>
      </c>
      <c r="NQ23" s="183" t="str">
        <f t="shared" ref="NQ23" si="743">IF(OR(NQ18="",NQ9=""),"",AVERAGE(NP18:NQ18,NP9:NQ9))</f>
        <v/>
      </c>
      <c r="NR23" s="183" t="str">
        <f t="shared" ref="NR23" si="744">IF(OR(NR18="",NR9=""),"",AVERAGE(NP18:NR18,NP9:NR9))</f>
        <v/>
      </c>
      <c r="NS23" s="183" t="str">
        <f t="shared" ref="NS23" si="745">IF(OR(NS18="",NS9=""),"",AVERAGE(NP18:NS18,NP9:NS9))</f>
        <v/>
      </c>
      <c r="NT23" s="183" t="str">
        <f t="shared" ref="NT23" si="746">IF(OR(NT18="",NT9=""),"",AVERAGE(NP18:NT18,NP9:NT9))</f>
        <v/>
      </c>
      <c r="NU23" s="183" t="str">
        <f t="shared" ref="NU23" si="747">IF(OR(NU18="",NU9=""),"",AVERAGE(NP18:NU18,NP9:NU9))</f>
        <v/>
      </c>
      <c r="NV23" s="183" t="str">
        <f t="shared" ref="NV23" si="748">IF(OR(NV18="",NV9=""),"",AVERAGE(NP18:NV18,NP9:NV9))</f>
        <v/>
      </c>
      <c r="NW23" s="183" t="str">
        <f t="shared" ref="NW23" si="749">IF(OR(NW18="",NW9=""),"",AVERAGE(NW18,NW9))</f>
        <v/>
      </c>
      <c r="NX23" s="183" t="str">
        <f t="shared" ref="NX23" si="750">IF(OR(NX18="",NX9=""),"",AVERAGE(NW18:NX18,NW9:NX9))</f>
        <v/>
      </c>
      <c r="NY23" s="183" t="str">
        <f t="shared" ref="NY23" si="751">IF(OR(NY18="",NY9=""),"",AVERAGE(NW18:NY18,NW9:NY9))</f>
        <v/>
      </c>
      <c r="NZ23" s="183" t="str">
        <f t="shared" ref="NZ23" si="752">IF(OR(NZ18="",NZ9=""),"",AVERAGE(NW18:NZ18,NW9:NZ9))</f>
        <v/>
      </c>
      <c r="OA23" s="183" t="str">
        <f t="shared" ref="OA23" si="753">IF(OR(OA18="",OA9=""),"",AVERAGE(NW18:OA18,NW9:OA9))</f>
        <v/>
      </c>
      <c r="OB23" s="183" t="str">
        <f t="shared" ref="OB23" si="754">IF(OR(OB18="",OB9=""),"",AVERAGE(NW18:OB18,NW9:OB9))</f>
        <v/>
      </c>
      <c r="OC23" s="183" t="str">
        <f t="shared" ref="OC23" si="755">IF(OR(OC18="",OC9=""),"",AVERAGE(NW18:OC18,NW9:OC9))</f>
        <v/>
      </c>
      <c r="OD23" s="183" t="str">
        <f t="shared" ref="OD23" si="756">IF(OR(OD18="",OD9=""),"",AVERAGE(OD18,OD9))</f>
        <v/>
      </c>
      <c r="OE23" s="183" t="str">
        <f t="shared" ref="OE23" si="757">IF(OR(OE18="",OE9=""),"",AVERAGE(OD18:OE18,OD9:OE9))</f>
        <v/>
      </c>
      <c r="OF23" s="183" t="str">
        <f t="shared" ref="OF23" si="758">IF(OR(OF18="",OF9=""),"",AVERAGE(OD18:OF18,OD9:OF9))</f>
        <v/>
      </c>
      <c r="OG23" s="183" t="str">
        <f t="shared" ref="OG23" si="759">IF(OR(OG18="",OG9=""),"",AVERAGE(OD18:OG18,OD9:OG9))</f>
        <v/>
      </c>
      <c r="OH23" s="183" t="str">
        <f t="shared" ref="OH23" si="760">IF(OR(OH18="",OH9=""),"",AVERAGE(OD18:OH18,OD9:OH9))</f>
        <v/>
      </c>
      <c r="OI23" s="183" t="str">
        <f t="shared" ref="OI23" si="761">IF(OR(OI18="",OI9=""),"",AVERAGE(OD18:OI18,OD9:OI9))</f>
        <v/>
      </c>
      <c r="OJ23" s="183" t="str">
        <f t="shared" ref="OJ23" si="762">IF(OR(OJ18="",OJ9=""),"",AVERAGE(OD18:OJ18,OD9:OJ9))</f>
        <v/>
      </c>
      <c r="OK23" s="183" t="str">
        <f t="shared" ref="OK23" si="763">IF(OR(OK18="",OK9=""),"",AVERAGE(OK18,OK9))</f>
        <v/>
      </c>
      <c r="OL23" s="183" t="str">
        <f t="shared" ref="OL23" si="764">IF(OR(OL18="",OL9=""),"",AVERAGE(OK18:OL18,OK9:OL9))</f>
        <v/>
      </c>
      <c r="OM23" s="183" t="str">
        <f t="shared" ref="OM23" si="765">IF(OR(OM18="",OM9=""),"",AVERAGE(OK18:OM18,OK9:OM9))</f>
        <v/>
      </c>
      <c r="ON23" s="183" t="str">
        <f t="shared" ref="ON23" si="766">IF(OR(ON18="",ON9=""),"",AVERAGE(OK18:ON18,OK9:ON9))</f>
        <v/>
      </c>
      <c r="OO23" s="183" t="str">
        <f t="shared" ref="OO23" si="767">IF(OR(OO18="",OO9=""),"",AVERAGE(OK18:OO18,OK9:OO9))</f>
        <v/>
      </c>
      <c r="OP23" s="183" t="str">
        <f t="shared" ref="OP23" si="768">IF(OR(OP18="",OP9=""),"",AVERAGE(OK18:OP18,OK9:OP9))</f>
        <v/>
      </c>
      <c r="OQ23" s="183" t="str">
        <f t="shared" ref="OQ23" si="769">IF(OR(OQ18="",OQ9=""),"",AVERAGE(OK18:OQ18,OK9:OQ9))</f>
        <v/>
      </c>
      <c r="OR23" s="183" t="str">
        <f t="shared" ref="OR23" si="770">IF(OR(OR18="",OR9=""),"",AVERAGE(OR18,OR9))</f>
        <v/>
      </c>
      <c r="OS23" s="183" t="str">
        <f t="shared" ref="OS23" si="771">IF(OR(OS18="",OS9=""),"",AVERAGE(OR18:OS18,OR9:OS9))</f>
        <v/>
      </c>
      <c r="OT23" s="183" t="str">
        <f t="shared" ref="OT23" si="772">IF(OR(OT18="",OT9=""),"",AVERAGE(OR18:OT18,OR9:OT9))</f>
        <v/>
      </c>
      <c r="OU23" s="183" t="str">
        <f t="shared" ref="OU23" si="773">IF(OR(OU18="",OU9=""),"",AVERAGE(OR18:OU18,OR9:OU9))</f>
        <v/>
      </c>
      <c r="OV23" s="183" t="str">
        <f t="shared" ref="OV23" si="774">IF(OR(OV18="",OV9=""),"",AVERAGE(OR18:OV18,OR9:OV9))</f>
        <v/>
      </c>
      <c r="OW23" s="183" t="str">
        <f t="shared" ref="OW23" si="775">IF(OR(OW18="",OW9=""),"",AVERAGE(OR18:OW18,OR9:OW9))</f>
        <v/>
      </c>
      <c r="OX23" s="183" t="str">
        <f t="shared" ref="OX23" si="776">IF(OR(OX18="",OX9=""),"",AVERAGE(OR18:OX18,OR9:OX9))</f>
        <v/>
      </c>
      <c r="OY23" s="183" t="str">
        <f t="shared" ref="OY23" si="777">IF(OR(OY18="",OY9=""),"",AVERAGE(OT18:OY18,OT9:OY9))</f>
        <v/>
      </c>
      <c r="OZ23" s="200" t="str">
        <f t="shared" ref="OZ23" si="778">IF(OR(OZ18="",OZ9=""),"",AVERAGE(OT18:OZ18,OT9:OZ9))</f>
        <v/>
      </c>
    </row>
    <row r="24" spans="1:416" s="168" customFormat="1" ht="15" customHeight="1" x14ac:dyDescent="0.2">
      <c r="A24" s="138" t="b">
        <f t="shared" si="376"/>
        <v>1</v>
      </c>
      <c r="B24" s="139">
        <v>21</v>
      </c>
      <c r="C24" s="144" t="str">
        <f>C22</f>
        <v>Mechanical Availability</v>
      </c>
      <c r="D24" s="146" t="str">
        <f>D22</f>
        <v>777 Optiload</v>
      </c>
      <c r="E24" s="190" t="s">
        <v>30</v>
      </c>
      <c r="F24" s="147">
        <f t="shared" ref="F24:H25" si="779">IF(OR(F19="",F10=""),"",AVERAGE(F19,F10))</f>
        <v>1</v>
      </c>
      <c r="G24" s="147">
        <f t="shared" si="779"/>
        <v>0.85906249999999995</v>
      </c>
      <c r="H24" s="147">
        <f t="shared" si="779"/>
        <v>0.89567708333333329</v>
      </c>
      <c r="I24" s="147">
        <f>IF(OR(I19="",I10=""),"",AVERAGE(I19,I10))</f>
        <v>0.9217578125</v>
      </c>
      <c r="J24" s="147">
        <f t="shared" ref="J24:O25" si="780">IF(OR(J19="",J10=""),"",AVERAGE(J19,J10))</f>
        <v>0.90540624999999997</v>
      </c>
      <c r="K24" s="147">
        <f t="shared" si="780"/>
        <v>0.90628819444444442</v>
      </c>
      <c r="L24" s="147">
        <f t="shared" si="780"/>
        <v>0.91149404761904762</v>
      </c>
      <c r="M24" s="147">
        <f t="shared" si="780"/>
        <v>0.8893151041666667</v>
      </c>
      <c r="N24" s="147">
        <f t="shared" si="780"/>
        <v>0.89898032407407413</v>
      </c>
      <c r="O24" s="147">
        <f t="shared" si="780"/>
        <v>0.89830937499999997</v>
      </c>
      <c r="P24" s="147">
        <f>IF(OR(P19="",P10=""),"",AVERAGE(P19,P10))</f>
        <v>0.86634848484848481</v>
      </c>
      <c r="Q24" s="147">
        <f t="shared" ref="Q24:CB24" si="781">IF(OR(Q19="",Q10=""),"",AVERAGE(Q19,Q10))</f>
        <v>0.87353645833333338</v>
      </c>
      <c r="R24" s="147">
        <f t="shared" si="781"/>
        <v>0.86954006410256413</v>
      </c>
      <c r="S24" s="147">
        <f t="shared" si="781"/>
        <v>0.8695059523809523</v>
      </c>
      <c r="T24" s="147">
        <f t="shared" si="781"/>
        <v>0.87109444444444439</v>
      </c>
      <c r="U24" s="147">
        <f t="shared" si="781"/>
        <v>0.87047981770833327</v>
      </c>
      <c r="V24" s="147">
        <f t="shared" si="781"/>
        <v>0.87784865196078432</v>
      </c>
      <c r="W24" s="147">
        <f t="shared" si="781"/>
        <v>0.88105439814814812</v>
      </c>
      <c r="X24" s="147">
        <f t="shared" si="781"/>
        <v>0.8821293859649123</v>
      </c>
      <c r="Y24" s="147">
        <f t="shared" si="781"/>
        <v>0.88214635416666665</v>
      </c>
      <c r="Z24" s="147">
        <f t="shared" si="781"/>
        <v>0.88716914682539683</v>
      </c>
      <c r="AA24" s="147">
        <f t="shared" si="781"/>
        <v>0.88713967803030291</v>
      </c>
      <c r="AB24" s="147">
        <f t="shared" si="781"/>
        <v>0.88158695652173913</v>
      </c>
      <c r="AC24" s="147">
        <f t="shared" si="781"/>
        <v>0.88415538194444443</v>
      </c>
      <c r="AD24" s="147">
        <f t="shared" si="781"/>
        <v>0.88347874999999998</v>
      </c>
      <c r="AE24" s="147">
        <f t="shared" si="781"/>
        <v>0.88796033653846163</v>
      </c>
      <c r="AF24" s="147">
        <f t="shared" si="781"/>
        <v>0.88585455246913569</v>
      </c>
      <c r="AG24" s="147">
        <f t="shared" si="781"/>
        <v>0.88360677083333328</v>
      </c>
      <c r="AH24" s="147">
        <f t="shared" si="781"/>
        <v>0.88717133620689659</v>
      </c>
      <c r="AI24" s="147">
        <f t="shared" si="781"/>
        <v>0.8888170138888889</v>
      </c>
      <c r="AJ24" s="147">
        <f t="shared" si="781"/>
        <v>0.89138306451612903</v>
      </c>
      <c r="AK24" s="147">
        <f t="shared" si="781"/>
        <v>0.95856249999999998</v>
      </c>
      <c r="AL24" s="147">
        <f t="shared" si="781"/>
        <v>0.92760937500000007</v>
      </c>
      <c r="AM24" s="147">
        <f t="shared" si="781"/>
        <v>0.94337847222222226</v>
      </c>
      <c r="AN24" s="147">
        <f t="shared" si="781"/>
        <v>0.9493359375</v>
      </c>
      <c r="AO24" s="147">
        <f t="shared" si="781"/>
        <v>0.94815625000000003</v>
      </c>
      <c r="AP24" s="147">
        <f t="shared" si="781"/>
        <v>0.94024479166666663</v>
      </c>
      <c r="AQ24" s="147">
        <f t="shared" si="781"/>
        <v>0.94445982142857143</v>
      </c>
      <c r="AR24" s="147">
        <f t="shared" si="781"/>
        <v>0.94400651041666661</v>
      </c>
      <c r="AS24" s="147">
        <f t="shared" si="781"/>
        <v>0.94203819444444448</v>
      </c>
      <c r="AT24" s="147">
        <f t="shared" si="781"/>
        <v>0.93733541666666675</v>
      </c>
      <c r="AU24" s="147">
        <f t="shared" si="781"/>
        <v>0.93565151515151523</v>
      </c>
      <c r="AV24" s="147">
        <f t="shared" si="781"/>
        <v>0.92946875000000007</v>
      </c>
      <c r="AW24" s="147">
        <f t="shared" si="781"/>
        <v>0.92289583333333336</v>
      </c>
      <c r="AX24" s="147">
        <f t="shared" si="781"/>
        <v>0.92232589285714295</v>
      </c>
      <c r="AY24" s="147">
        <f t="shared" si="781"/>
        <v>0.91958194444444441</v>
      </c>
      <c r="AZ24" s="147">
        <f t="shared" si="781"/>
        <v>0.9210533854166667</v>
      </c>
      <c r="BA24" s="147">
        <f t="shared" si="781"/>
        <v>0.92305269607843132</v>
      </c>
      <c r="BB24" s="147">
        <f t="shared" si="781"/>
        <v>0.91930671296296296</v>
      </c>
      <c r="BC24" s="147">
        <f t="shared" si="781"/>
        <v>0.91798574561403501</v>
      </c>
      <c r="BD24" s="147">
        <f t="shared" si="781"/>
        <v>0.9135895833333334</v>
      </c>
      <c r="BE24" s="147">
        <f t="shared" si="781"/>
        <v>0.91580853174603183</v>
      </c>
      <c r="BF24" s="147">
        <f t="shared" si="781"/>
        <v>0.90689914772727276</v>
      </c>
      <c r="BG24" s="147">
        <f t="shared" si="781"/>
        <v>0.90426992753623181</v>
      </c>
      <c r="BH24" s="147">
        <f t="shared" si="781"/>
        <v>0.90719574652777779</v>
      </c>
      <c r="BI24" s="147">
        <f t="shared" si="781"/>
        <v>0.90551499999999996</v>
      </c>
      <c r="BJ24" s="147">
        <f t="shared" si="781"/>
        <v>0.90837499999999993</v>
      </c>
      <c r="BK24" s="147">
        <f t="shared" si="781"/>
        <v>0.91118209876543199</v>
      </c>
      <c r="BL24" s="147">
        <f t="shared" si="781"/>
        <v>0.91209337797619039</v>
      </c>
      <c r="BM24" s="147">
        <f t="shared" si="781"/>
        <v>0.78602083333333339</v>
      </c>
      <c r="BN24" s="147">
        <f t="shared" si="781"/>
        <v>0.81343229166666664</v>
      </c>
      <c r="BO24" s="147">
        <f t="shared" si="781"/>
        <v>0.78489236111111116</v>
      </c>
      <c r="BP24" s="147">
        <f t="shared" si="781"/>
        <v>0.82223697916666671</v>
      </c>
      <c r="BQ24" s="147">
        <f t="shared" si="781"/>
        <v>0.82939374999999993</v>
      </c>
      <c r="BR24" s="147">
        <f t="shared" si="781"/>
        <v>0.81049479166666671</v>
      </c>
      <c r="BS24" s="147">
        <f t="shared" si="781"/>
        <v>0.82077232142857137</v>
      </c>
      <c r="BT24" s="147">
        <f t="shared" si="781"/>
        <v>0.83948958333333334</v>
      </c>
      <c r="BU24" s="147">
        <f t="shared" si="781"/>
        <v>0.8348564814814815</v>
      </c>
      <c r="BV24" s="147">
        <f t="shared" si="781"/>
        <v>0.83775416666666658</v>
      </c>
      <c r="BW24" s="147">
        <f t="shared" si="781"/>
        <v>0.84087215909090918</v>
      </c>
      <c r="BX24" s="147">
        <f t="shared" si="781"/>
        <v>0.85212586805555557</v>
      </c>
      <c r="BY24" s="147">
        <f t="shared" si="781"/>
        <v>0.85772836538461539</v>
      </c>
      <c r="BZ24" s="147">
        <f t="shared" si="781"/>
        <v>0.86425967261904768</v>
      </c>
      <c r="CA24" s="147">
        <f t="shared" si="781"/>
        <v>0.86398055555555553</v>
      </c>
      <c r="CB24" s="147">
        <f t="shared" si="781"/>
        <v>0.86586393229166658</v>
      </c>
      <c r="CC24" s="147">
        <f t="shared" ref="CC24:EN24" si="782">IF(OR(CC19="",CC10=""),"",AVERAGE(CC19,CC10))</f>
        <v>0.87288909313725493</v>
      </c>
      <c r="CD24" s="147">
        <f t="shared" si="782"/>
        <v>0.87689120370370377</v>
      </c>
      <c r="CE24" s="147">
        <f t="shared" si="782"/>
        <v>0.86934484649122812</v>
      </c>
      <c r="CF24" s="147">
        <f t="shared" si="782"/>
        <v>0.86155677083333337</v>
      </c>
      <c r="CG24" s="147">
        <f t="shared" si="782"/>
        <v>0.86660367063492072</v>
      </c>
      <c r="CH24" s="147">
        <f t="shared" si="782"/>
        <v>0.87266714015151514</v>
      </c>
      <c r="CI24" s="147">
        <f t="shared" si="782"/>
        <v>0.87124501811594202</v>
      </c>
      <c r="CJ24" s="147">
        <f t="shared" si="782"/>
        <v>0.87655425347222227</v>
      </c>
      <c r="CK24" s="147">
        <f t="shared" si="782"/>
        <v>0.88010875</v>
      </c>
      <c r="CL24" s="147">
        <f t="shared" si="782"/>
        <v>0.87844190705128211</v>
      </c>
      <c r="CM24" s="147">
        <f t="shared" si="782"/>
        <v>0.87839969135802465</v>
      </c>
      <c r="CN24" s="147">
        <f t="shared" si="782"/>
        <v>0.88255654761904756</v>
      </c>
      <c r="CO24" s="147">
        <f t="shared" si="782"/>
        <v>0.88604885057471261</v>
      </c>
      <c r="CP24" s="147">
        <f t="shared" si="782"/>
        <v>0.88499340277777772</v>
      </c>
      <c r="CQ24" s="147">
        <f t="shared" si="782"/>
        <v>0.8872584005376345</v>
      </c>
      <c r="CR24" s="147">
        <f t="shared" si="782"/>
        <v>0.77350000000000008</v>
      </c>
      <c r="CS24" s="147">
        <f t="shared" si="782"/>
        <v>0.86105208333333338</v>
      </c>
      <c r="CT24" s="147">
        <f t="shared" si="782"/>
        <v>0.87638541666666669</v>
      </c>
      <c r="CU24" s="147">
        <f t="shared" si="782"/>
        <v>0.87293489583333328</v>
      </c>
      <c r="CV24" s="147">
        <f t="shared" si="782"/>
        <v>0.85994791666666659</v>
      </c>
      <c r="CW24" s="147">
        <f t="shared" si="782"/>
        <v>0.86747395833333329</v>
      </c>
      <c r="CX24" s="147">
        <f t="shared" si="782"/>
        <v>0.88017410714285715</v>
      </c>
      <c r="CY24" s="147">
        <f t="shared" si="782"/>
        <v>0.89164062499999996</v>
      </c>
      <c r="CZ24" s="147">
        <f t="shared" si="782"/>
        <v>0.90083333333333337</v>
      </c>
      <c r="DA24" s="147">
        <f t="shared" si="782"/>
        <v>0.89169791666666676</v>
      </c>
      <c r="DB24" s="147">
        <f t="shared" si="782"/>
        <v>0.89513068181818189</v>
      </c>
      <c r="DC24" s="147">
        <f t="shared" si="782"/>
        <v>0.90321874999999996</v>
      </c>
      <c r="DD24" s="147">
        <f t="shared" si="782"/>
        <v>0.90447676282051281</v>
      </c>
      <c r="DE24" s="147">
        <f t="shared" si="782"/>
        <v>0.90636904761904757</v>
      </c>
      <c r="DF24" s="147">
        <f t="shared" si="782"/>
        <v>0.90892361111111108</v>
      </c>
      <c r="DG24" s="147">
        <f t="shared" si="782"/>
        <v>0.91003971354166668</v>
      </c>
      <c r="DH24" s="147">
        <f t="shared" si="782"/>
        <v>0.9059626225490196</v>
      </c>
      <c r="DI24" s="147">
        <f t="shared" si="782"/>
        <v>0.90048379629629627</v>
      </c>
      <c r="DJ24" s="147">
        <f t="shared" si="782"/>
        <v>0.90237719298245611</v>
      </c>
      <c r="DK24" s="147">
        <f t="shared" si="782"/>
        <v>0.89732552083333328</v>
      </c>
      <c r="DL24" s="147">
        <f t="shared" si="782"/>
        <v>0.90086259920634926</v>
      </c>
      <c r="DM24" s="147">
        <f t="shared" si="782"/>
        <v>0.86167140151515142</v>
      </c>
      <c r="DN24" s="147">
        <f t="shared" si="782"/>
        <v>0.86701721014492761</v>
      </c>
      <c r="DO24" s="147">
        <f t="shared" si="782"/>
        <v>0.87163671875000004</v>
      </c>
      <c r="DP24" s="147">
        <f t="shared" si="782"/>
        <v>0.87509833333333331</v>
      </c>
      <c r="DQ24" s="147">
        <f t="shared" si="782"/>
        <v>0.87904487179487178</v>
      </c>
      <c r="DR24" s="147">
        <f t="shared" si="782"/>
        <v>0.88217438271604942</v>
      </c>
      <c r="DS24" s="147">
        <f t="shared" si="782"/>
        <v>0.88478459821428568</v>
      </c>
      <c r="DT24" s="147">
        <f t="shared" si="782"/>
        <v>0.88799353448275864</v>
      </c>
      <c r="DU24" s="147">
        <f t="shared" si="782"/>
        <v>0.88666006944444442</v>
      </c>
      <c r="DV24" s="147">
        <f t="shared" si="782"/>
        <v>0.92018749999999994</v>
      </c>
      <c r="DW24" s="147">
        <f t="shared" si="782"/>
        <v>0.92741666666666667</v>
      </c>
      <c r="DX24" s="147">
        <f t="shared" si="782"/>
        <v>0.87707986111111103</v>
      </c>
      <c r="DY24" s="147">
        <f t="shared" si="782"/>
        <v>0.88747135416666667</v>
      </c>
      <c r="DZ24" s="147">
        <f t="shared" si="782"/>
        <v>0.86534583333333326</v>
      </c>
      <c r="EA24" s="147">
        <f t="shared" si="782"/>
        <v>0.87803125000000004</v>
      </c>
      <c r="EB24" s="147">
        <f t="shared" si="782"/>
        <v>0.89272321428571422</v>
      </c>
      <c r="EC24" s="147">
        <f t="shared" si="782"/>
        <v>0.88887760416666661</v>
      </c>
      <c r="ED24" s="147">
        <f t="shared" si="782"/>
        <v>0.89831365740740743</v>
      </c>
      <c r="EE24" s="147">
        <f t="shared" si="782"/>
        <v>0.90102812500000007</v>
      </c>
      <c r="EF24" s="147">
        <f t="shared" si="782"/>
        <v>0.88809753787878787</v>
      </c>
      <c r="EG24" s="147">
        <f t="shared" si="782"/>
        <v>0.89252690972222215</v>
      </c>
      <c r="EH24" s="147">
        <f t="shared" si="782"/>
        <v>0.88072836538461541</v>
      </c>
      <c r="EI24" s="147">
        <f t="shared" si="782"/>
        <v>0.88632738095238106</v>
      </c>
      <c r="EJ24" s="147">
        <f t="shared" si="782"/>
        <v>0.86724722222222228</v>
      </c>
      <c r="EK24" s="147">
        <f t="shared" si="782"/>
        <v>0.872140625</v>
      </c>
      <c r="EL24" s="147">
        <f t="shared" si="782"/>
        <v>0.86690931372549018</v>
      </c>
      <c r="EM24" s="147">
        <f t="shared" si="782"/>
        <v>0.8711875</v>
      </c>
      <c r="EN24" s="147">
        <f t="shared" si="782"/>
        <v>0.87623464912280702</v>
      </c>
      <c r="EO24" s="147">
        <f t="shared" ref="EO24:GZ24" si="783">IF(OR(EO19="",EO10=""),"",AVERAGE(EO19,EO10))</f>
        <v>0.87093333333333334</v>
      </c>
      <c r="EP24" s="147">
        <f t="shared" si="783"/>
        <v>0.86827331349206349</v>
      </c>
      <c r="EQ24" s="147">
        <f t="shared" si="783"/>
        <v>0.86616903409090906</v>
      </c>
      <c r="ER24" s="147">
        <f t="shared" si="783"/>
        <v>0.86384827898550731</v>
      </c>
      <c r="ES24" s="147">
        <f t="shared" si="783"/>
        <v>0.86194184027777787</v>
      </c>
      <c r="ET24" s="147">
        <f t="shared" si="783"/>
        <v>0.86565708333333335</v>
      </c>
      <c r="EU24" s="147">
        <f t="shared" si="783"/>
        <v>0.86931770833333333</v>
      </c>
      <c r="EV24" s="147">
        <f t="shared" si="783"/>
        <v>0.86956481481481485</v>
      </c>
      <c r="EW24" s="147">
        <f t="shared" si="783"/>
        <v>0.86996837797619042</v>
      </c>
      <c r="EX24" s="147">
        <f t="shared" si="783"/>
        <v>0.87391343390804588</v>
      </c>
      <c r="EY24" s="147">
        <f t="shared" si="783"/>
        <v>0.87811631944444446</v>
      </c>
      <c r="EZ24" s="147">
        <f t="shared" si="783"/>
        <v>0.88204805107526885</v>
      </c>
      <c r="FA24" s="147">
        <f t="shared" si="783"/>
        <v>1</v>
      </c>
      <c r="FB24" s="147">
        <f t="shared" si="783"/>
        <v>1</v>
      </c>
      <c r="FC24" s="147">
        <f t="shared" si="783"/>
        <v>1</v>
      </c>
      <c r="FD24" s="147">
        <f t="shared" si="783"/>
        <v>1</v>
      </c>
      <c r="FE24" s="147">
        <f t="shared" si="783"/>
        <v>1</v>
      </c>
      <c r="FF24" s="147">
        <f t="shared" si="783"/>
        <v>1</v>
      </c>
      <c r="FG24" s="147">
        <f t="shared" si="783"/>
        <v>0.97627976190476184</v>
      </c>
      <c r="FH24" s="147">
        <f t="shared" si="783"/>
        <v>0.94411848958333333</v>
      </c>
      <c r="FI24" s="147">
        <f t="shared" si="783"/>
        <v>0.94471875000000005</v>
      </c>
      <c r="FJ24" s="147">
        <f t="shared" si="783"/>
        <v>0.93396875000000001</v>
      </c>
      <c r="FK24" s="147">
        <f t="shared" si="783"/>
        <v>0.93224905303030303</v>
      </c>
      <c r="FL24" s="147">
        <f t="shared" si="783"/>
        <v>0.92940711805555565</v>
      </c>
      <c r="FM24" s="147">
        <f t="shared" si="783"/>
        <v>0.93153846153846154</v>
      </c>
      <c r="FN24" s="147">
        <f t="shared" si="783"/>
        <v>0.92963392857142857</v>
      </c>
      <c r="FO24" s="147">
        <f t="shared" si="783"/>
        <v>0.93184930555555556</v>
      </c>
      <c r="FP24" s="147">
        <f t="shared" si="783"/>
        <v>0.92998046874999996</v>
      </c>
      <c r="FQ24" s="147">
        <f t="shared" si="783"/>
        <v>0.93409926470588234</v>
      </c>
      <c r="FR24" s="147">
        <f t="shared" si="783"/>
        <v>0.92882002314814816</v>
      </c>
      <c r="FS24" s="147">
        <f t="shared" si="783"/>
        <v>0.91843475877192993</v>
      </c>
      <c r="FT24" s="147">
        <f t="shared" si="783"/>
        <v>0.92039218750000007</v>
      </c>
      <c r="FU24" s="147">
        <f t="shared" si="783"/>
        <v>0.89362351190476197</v>
      </c>
      <c r="FV24" s="147">
        <f t="shared" si="783"/>
        <v>0.8914332386363637</v>
      </c>
      <c r="FW24" s="147">
        <f t="shared" si="783"/>
        <v>0.88254302536231888</v>
      </c>
      <c r="FX24" s="147">
        <f t="shared" si="783"/>
        <v>0.88364887152777782</v>
      </c>
      <c r="FY24" s="147">
        <f t="shared" si="783"/>
        <v>0.88371583333333326</v>
      </c>
      <c r="FZ24" s="147">
        <f t="shared" si="783"/>
        <v>0.88230128205128211</v>
      </c>
      <c r="GA24" s="147">
        <f t="shared" si="783"/>
        <v>0.88324266975308641</v>
      </c>
      <c r="GB24" s="147">
        <f t="shared" si="783"/>
        <v>0.84613876488095241</v>
      </c>
      <c r="GC24" s="147">
        <f t="shared" si="783"/>
        <v>0.84975682471264369</v>
      </c>
      <c r="GD24" s="147">
        <f t="shared" si="783"/>
        <v>0.84750104166666662</v>
      </c>
      <c r="GE24" s="147">
        <f t="shared" si="783"/>
        <v>0.61640625000000004</v>
      </c>
      <c r="GF24" s="147">
        <f t="shared" si="783"/>
        <v>0.77722395833333335</v>
      </c>
      <c r="GG24" s="147">
        <f t="shared" si="783"/>
        <v>0.81780208333333326</v>
      </c>
      <c r="GH24" s="147">
        <f t="shared" si="783"/>
        <v>0.82307812499999999</v>
      </c>
      <c r="GI24" s="147">
        <f t="shared" si="783"/>
        <v>0.8378895833333333</v>
      </c>
      <c r="GJ24" s="147">
        <f t="shared" si="783"/>
        <v>0.80013368055555567</v>
      </c>
      <c r="GK24" s="147">
        <f t="shared" si="783"/>
        <v>0.81469791666666658</v>
      </c>
      <c r="GL24" s="147">
        <f t="shared" si="783"/>
        <v>0.83111197916666668</v>
      </c>
      <c r="GM24" s="147">
        <f t="shared" si="783"/>
        <v>0.84438425925925931</v>
      </c>
      <c r="GN24" s="147">
        <f t="shared" si="783"/>
        <v>0.85665416666666672</v>
      </c>
      <c r="GO24" s="147">
        <f t="shared" si="783"/>
        <v>0.79738257575757576</v>
      </c>
      <c r="GP24" s="147">
        <f t="shared" si="783"/>
        <v>0.8097847222222222</v>
      </c>
      <c r="GQ24" s="147">
        <f t="shared" si="783"/>
        <v>0.82441666666666669</v>
      </c>
      <c r="GR24" s="147">
        <f t="shared" si="783"/>
        <v>0.83695833333333336</v>
      </c>
      <c r="GS24" s="147">
        <f t="shared" si="783"/>
        <v>0.84782777777777785</v>
      </c>
      <c r="GT24" s="147">
        <f t="shared" si="783"/>
        <v>0.85629687499999996</v>
      </c>
      <c r="GU24" s="147">
        <f t="shared" si="783"/>
        <v>0.8505140931372549</v>
      </c>
      <c r="GV24" s="147">
        <f t="shared" si="783"/>
        <v>0.85881886574074073</v>
      </c>
      <c r="GW24" s="147">
        <f t="shared" si="783"/>
        <v>0.86166776315789473</v>
      </c>
      <c r="GX24" s="147">
        <f t="shared" si="783"/>
        <v>0.85862187500000009</v>
      </c>
      <c r="GY24" s="147">
        <f t="shared" si="783"/>
        <v>0.82732093253968253</v>
      </c>
      <c r="GZ24" s="147">
        <f t="shared" si="783"/>
        <v>0.8251122159090909</v>
      </c>
      <c r="HA24" s="147">
        <f t="shared" ref="HA24:JL24" si="784">IF(OR(HA19="",HA10=""),"",AVERAGE(HA19,HA10))</f>
        <v>0.83271603260869576</v>
      </c>
      <c r="HB24" s="147">
        <f t="shared" si="784"/>
        <v>0.83968619791666677</v>
      </c>
      <c r="HC24" s="147">
        <f t="shared" si="784"/>
        <v>0.84609875000000001</v>
      </c>
      <c r="HD24" s="147">
        <f t="shared" si="784"/>
        <v>0.85201802884615385</v>
      </c>
      <c r="HE24" s="147">
        <f t="shared" si="784"/>
        <v>0.82909683641975307</v>
      </c>
      <c r="HF24" s="147">
        <f t="shared" si="784"/>
        <v>0.83223177083333333</v>
      </c>
      <c r="HG24" s="147">
        <f t="shared" si="784"/>
        <v>0.8354766522988506</v>
      </c>
      <c r="HH24" s="147">
        <f t="shared" si="784"/>
        <v>0.84096076388888896</v>
      </c>
      <c r="HI24" s="147">
        <f t="shared" si="784"/>
        <v>0.84403461021505377</v>
      </c>
      <c r="HJ24" s="147">
        <f t="shared" si="784"/>
        <v>0.92851620370370369</v>
      </c>
      <c r="HK24" s="147">
        <f t="shared" si="784"/>
        <v>0.95280208333333327</v>
      </c>
      <c r="HL24" s="147">
        <f t="shared" si="784"/>
        <v>0.9303348765432099</v>
      </c>
      <c r="HM24" s="147">
        <f t="shared" si="784"/>
        <v>0.93917447916666674</v>
      </c>
      <c r="HN24" s="147">
        <f t="shared" si="784"/>
        <v>0.91193686342592595</v>
      </c>
      <c r="HO24" s="147">
        <f t="shared" si="784"/>
        <v>0.89130020254629627</v>
      </c>
      <c r="HP24" s="147">
        <f t="shared" si="784"/>
        <v>0.86948859126984124</v>
      </c>
      <c r="HQ24" s="147">
        <f t="shared" si="784"/>
        <v>0.87639055266203703</v>
      </c>
      <c r="HR24" s="147">
        <f t="shared" si="784"/>
        <v>0.88995621141975301</v>
      </c>
      <c r="HS24" s="147">
        <f t="shared" si="784"/>
        <v>0.88616799768518528</v>
      </c>
      <c r="HT24" s="147">
        <f t="shared" si="784"/>
        <v>0.89391303661616162</v>
      </c>
      <c r="HU24" s="147">
        <f t="shared" si="784"/>
        <v>0.89488507908950621</v>
      </c>
      <c r="HV24" s="147">
        <f t="shared" si="784"/>
        <v>0.8807007879273504</v>
      </c>
      <c r="HW24" s="147">
        <f t="shared" si="784"/>
        <v>0.87789039765211641</v>
      </c>
      <c r="HX24" s="147">
        <f t="shared" si="784"/>
        <v>0.87441653163580246</v>
      </c>
      <c r="HY24" s="147">
        <f t="shared" si="784"/>
        <v>0.87431861255787036</v>
      </c>
      <c r="HZ24" s="147">
        <f t="shared" si="784"/>
        <v>0.87769883578431374</v>
      </c>
      <c r="IA24" s="147">
        <f t="shared" si="784"/>
        <v>0.87466258359053495</v>
      </c>
      <c r="IB24" s="147">
        <f t="shared" si="784"/>
        <v>0.8704375609161793</v>
      </c>
      <c r="IC24" s="147">
        <f t="shared" si="784"/>
        <v>0.86237913773148156</v>
      </c>
      <c r="ID24" s="147">
        <f t="shared" si="784"/>
        <v>0.86715870260141092</v>
      </c>
      <c r="IE24" s="147">
        <f t="shared" si="784"/>
        <v>0.87130108375420878</v>
      </c>
      <c r="IF24" s="147">
        <f t="shared" si="784"/>
        <v>0.8727952395330113</v>
      </c>
      <c r="IG24" s="147">
        <f t="shared" si="784"/>
        <v>0.85815272955246913</v>
      </c>
      <c r="IH24" s="147">
        <f t="shared" si="784"/>
        <v>0.85723370370370366</v>
      </c>
      <c r="II24" s="147">
        <f t="shared" si="784"/>
        <v>0.86013537215099711</v>
      </c>
      <c r="IJ24" s="147">
        <f t="shared" si="784"/>
        <v>0.86418051268861462</v>
      </c>
      <c r="IK24" s="147">
        <f t="shared" si="784"/>
        <v>0.85512495866402116</v>
      </c>
      <c r="IL24" s="147">
        <f t="shared" si="784"/>
        <v>0.86012064974457214</v>
      </c>
      <c r="IM24" s="147">
        <f t="shared" si="784"/>
        <v>0.85145655864197534</v>
      </c>
      <c r="IN24" s="147">
        <f t="shared" si="784"/>
        <v>0.85335407332735969</v>
      </c>
      <c r="IO24" s="147">
        <f t="shared" si="784"/>
        <v>0.84591261574074084</v>
      </c>
      <c r="IP24" s="147">
        <f t="shared" si="784"/>
        <v>0.8326924189814815</v>
      </c>
      <c r="IQ24" s="147">
        <f t="shared" si="784"/>
        <v>0.79807011959876539</v>
      </c>
      <c r="IR24" s="147">
        <f t="shared" si="784"/>
        <v>0.78361248553240748</v>
      </c>
      <c r="IS24" s="147">
        <f t="shared" si="784"/>
        <v>0.78587060185185187</v>
      </c>
      <c r="IT24" s="147">
        <f t="shared" si="784"/>
        <v>0.7924665316358025</v>
      </c>
      <c r="IU24" s="147">
        <f t="shared" si="784"/>
        <v>0.78120758928571432</v>
      </c>
      <c r="IV24" s="147">
        <f t="shared" si="784"/>
        <v>0.76572540509259257</v>
      </c>
      <c r="IW24" s="147">
        <f t="shared" si="784"/>
        <v>0.74557063400205759</v>
      </c>
      <c r="IX24" s="147">
        <f t="shared" si="784"/>
        <v>0.73537447916666665</v>
      </c>
      <c r="IY24" s="147">
        <f t="shared" si="784"/>
        <v>0.74511350484006733</v>
      </c>
      <c r="IZ24" s="147">
        <f t="shared" si="784"/>
        <v>0.75442387635030861</v>
      </c>
      <c r="JA24" s="147">
        <f t="shared" si="784"/>
        <v>0.75444980858262112</v>
      </c>
      <c r="JB24" s="147">
        <f t="shared" si="784"/>
        <v>0.75589378720238098</v>
      </c>
      <c r="JC24" s="147">
        <f t="shared" si="784"/>
        <v>0.76713339120370372</v>
      </c>
      <c r="JD24" s="147">
        <f t="shared" si="784"/>
        <v>0.77612910517939815</v>
      </c>
      <c r="JE24" s="147">
        <f t="shared" si="784"/>
        <v>0.78718875953159051</v>
      </c>
      <c r="JF24" s="147">
        <f t="shared" si="784"/>
        <v>0.79743682484567902</v>
      </c>
      <c r="JG24" s="147">
        <f t="shared" si="784"/>
        <v>0.80181370309454192</v>
      </c>
      <c r="JH24" s="147">
        <f t="shared" si="784"/>
        <v>0.80953670428240732</v>
      </c>
      <c r="JI24" s="147">
        <f t="shared" si="784"/>
        <v>0.81804917603615523</v>
      </c>
      <c r="JJ24" s="147">
        <f t="shared" si="784"/>
        <v>0.8255653146043771</v>
      </c>
      <c r="JK24" s="147">
        <f t="shared" si="784"/>
        <v>0.82791862922705306</v>
      </c>
      <c r="JL24" s="147">
        <f t="shared" si="784"/>
        <v>0.82959747540509254</v>
      </c>
      <c r="JM24" s="147">
        <f t="shared" ref="JM24:LX24" si="785">IF(OR(JM19="",JM10=""),"",AVERAGE(JM19,JM10))</f>
        <v>0.83026158564814811</v>
      </c>
      <c r="JN24" s="147">
        <f t="shared" si="785"/>
        <v>0.83216879228988605</v>
      </c>
      <c r="JO24" s="147">
        <f t="shared" si="785"/>
        <v>0.83345503257887521</v>
      </c>
      <c r="JP24" s="147">
        <f t="shared" si="785"/>
        <v>0.83550887690145514</v>
      </c>
      <c r="JQ24" s="147">
        <f t="shared" si="785"/>
        <v>0.83532035241060032</v>
      </c>
      <c r="JR24" s="147">
        <f t="shared" si="785"/>
        <v>0.83942078510802465</v>
      </c>
      <c r="JS24" s="147">
        <f t="shared" si="785"/>
        <v>0.89775000000000005</v>
      </c>
      <c r="JT24" s="147">
        <f t="shared" si="785"/>
        <v>0.91050520833333337</v>
      </c>
      <c r="JU24" s="147">
        <f t="shared" si="785"/>
        <v>0.84585300925925933</v>
      </c>
      <c r="JV24" s="147">
        <f t="shared" si="785"/>
        <v>0.84912384259259255</v>
      </c>
      <c r="JW24" s="147">
        <f t="shared" si="785"/>
        <v>0.86550324074074081</v>
      </c>
      <c r="JX24" s="147">
        <f t="shared" si="785"/>
        <v>0.87313811728395063</v>
      </c>
      <c r="JY24" s="147">
        <f t="shared" si="785"/>
        <v>0.88691600529100523</v>
      </c>
      <c r="JZ24" s="147">
        <f t="shared" si="785"/>
        <v>0.90105150462962968</v>
      </c>
      <c r="KA24" s="147">
        <f t="shared" si="785"/>
        <v>0.91019393004115223</v>
      </c>
      <c r="KB24" s="147">
        <f t="shared" si="785"/>
        <v>0.90917453703703699</v>
      </c>
      <c r="KC24" s="147">
        <f t="shared" si="785"/>
        <v>0.90834048821548818</v>
      </c>
      <c r="KD24" s="147">
        <f t="shared" si="785"/>
        <v>0.91597878086419748</v>
      </c>
      <c r="KE24" s="147">
        <f t="shared" si="785"/>
        <v>0.92244195156695152</v>
      </c>
      <c r="KF24" s="147">
        <f t="shared" si="785"/>
        <v>0.92083895502645507</v>
      </c>
      <c r="KG24" s="147">
        <f t="shared" si="785"/>
        <v>0.92444969135802468</v>
      </c>
      <c r="KH24" s="147">
        <f t="shared" si="785"/>
        <v>0.92917158564814817</v>
      </c>
      <c r="KI24" s="147">
        <f t="shared" si="785"/>
        <v>0.93333796296296301</v>
      </c>
      <c r="KJ24" s="147">
        <f t="shared" si="785"/>
        <v>0.93704140946502057</v>
      </c>
      <c r="KK24" s="147">
        <f t="shared" si="785"/>
        <v>0.93246028265107217</v>
      </c>
      <c r="KL24" s="147">
        <f t="shared" si="785"/>
        <v>0.93583726851851856</v>
      </c>
      <c r="KM24" s="147">
        <f t="shared" si="785"/>
        <v>0.93770216049382715</v>
      </c>
      <c r="KN24" s="147">
        <f t="shared" si="785"/>
        <v>0.94053388047138053</v>
      </c>
      <c r="KO24" s="147">
        <f t="shared" si="785"/>
        <v>0.94311936392914653</v>
      </c>
      <c r="KP24" s="147">
        <f t="shared" si="785"/>
        <v>0.94548939043209868</v>
      </c>
      <c r="KQ24" s="147">
        <f t="shared" si="785"/>
        <v>0.94766981481481483</v>
      </c>
      <c r="KR24" s="147">
        <f t="shared" si="785"/>
        <v>0.94968251424501426</v>
      </c>
      <c r="KS24" s="147">
        <f t="shared" si="785"/>
        <v>0.95154612482853218</v>
      </c>
      <c r="KT24" s="147">
        <f t="shared" si="785"/>
        <v>0.95327662037037042</v>
      </c>
      <c r="KU24" s="147">
        <f t="shared" si="785"/>
        <v>0.95488777139208181</v>
      </c>
      <c r="KV24" s="147">
        <f t="shared" si="785"/>
        <v>0.95639151234567898</v>
      </c>
      <c r="KW24" s="147">
        <f t="shared" si="785"/>
        <v>0.95779823775388295</v>
      </c>
      <c r="KX24" s="147" t="str">
        <f t="shared" si="785"/>
        <v/>
      </c>
      <c r="KY24" s="147" t="str">
        <f t="shared" si="785"/>
        <v/>
      </c>
      <c r="KZ24" s="147" t="str">
        <f t="shared" si="785"/>
        <v/>
      </c>
      <c r="LA24" s="147" t="str">
        <f t="shared" si="785"/>
        <v/>
      </c>
      <c r="LB24" s="147" t="str">
        <f t="shared" si="785"/>
        <v/>
      </c>
      <c r="LC24" s="147" t="str">
        <f t="shared" si="785"/>
        <v/>
      </c>
      <c r="LD24" s="147" t="str">
        <f t="shared" si="785"/>
        <v/>
      </c>
      <c r="LE24" s="147" t="str">
        <f t="shared" si="785"/>
        <v/>
      </c>
      <c r="LF24" s="147" t="str">
        <f t="shared" si="785"/>
        <v/>
      </c>
      <c r="LG24" s="147" t="str">
        <f t="shared" si="785"/>
        <v/>
      </c>
      <c r="LH24" s="147" t="str">
        <f t="shared" si="785"/>
        <v/>
      </c>
      <c r="LI24" s="147" t="str">
        <f t="shared" si="785"/>
        <v/>
      </c>
      <c r="LJ24" s="147" t="str">
        <f t="shared" si="785"/>
        <v/>
      </c>
      <c r="LK24" s="147" t="str">
        <f t="shared" si="785"/>
        <v/>
      </c>
      <c r="LL24" s="147" t="str">
        <f t="shared" si="785"/>
        <v/>
      </c>
      <c r="LM24" s="147" t="str">
        <f t="shared" si="785"/>
        <v/>
      </c>
      <c r="LN24" s="147" t="str">
        <f t="shared" si="785"/>
        <v/>
      </c>
      <c r="LO24" s="147" t="str">
        <f t="shared" si="785"/>
        <v/>
      </c>
      <c r="LP24" s="147" t="str">
        <f t="shared" si="785"/>
        <v/>
      </c>
      <c r="LQ24" s="147" t="str">
        <f t="shared" si="785"/>
        <v/>
      </c>
      <c r="LR24" s="147" t="str">
        <f t="shared" si="785"/>
        <v/>
      </c>
      <c r="LS24" s="147" t="str">
        <f t="shared" si="785"/>
        <v/>
      </c>
      <c r="LT24" s="147" t="str">
        <f t="shared" si="785"/>
        <v/>
      </c>
      <c r="LU24" s="147" t="str">
        <f t="shared" si="785"/>
        <v/>
      </c>
      <c r="LV24" s="147" t="str">
        <f t="shared" si="785"/>
        <v/>
      </c>
      <c r="LW24" s="147" t="str">
        <f t="shared" si="785"/>
        <v/>
      </c>
      <c r="LX24" s="147" t="str">
        <f t="shared" si="785"/>
        <v/>
      </c>
      <c r="LY24" s="147" t="str">
        <f t="shared" ref="LY24:OJ24" si="786">IF(OR(LY19="",LY10=""),"",AVERAGE(LY19,LY10))</f>
        <v/>
      </c>
      <c r="LZ24" s="147" t="str">
        <f t="shared" si="786"/>
        <v/>
      </c>
      <c r="MA24" s="147" t="str">
        <f t="shared" si="786"/>
        <v/>
      </c>
      <c r="MB24" s="147" t="str">
        <f t="shared" si="786"/>
        <v/>
      </c>
      <c r="MC24" s="147" t="str">
        <f t="shared" si="786"/>
        <v/>
      </c>
      <c r="MD24" s="147" t="str">
        <f t="shared" si="786"/>
        <v/>
      </c>
      <c r="ME24" s="147" t="str">
        <f t="shared" si="786"/>
        <v/>
      </c>
      <c r="MF24" s="147" t="str">
        <f t="shared" si="786"/>
        <v/>
      </c>
      <c r="MG24" s="147" t="str">
        <f t="shared" si="786"/>
        <v/>
      </c>
      <c r="MH24" s="147" t="str">
        <f t="shared" si="786"/>
        <v/>
      </c>
      <c r="MI24" s="147" t="str">
        <f t="shared" si="786"/>
        <v/>
      </c>
      <c r="MJ24" s="147" t="str">
        <f t="shared" si="786"/>
        <v/>
      </c>
      <c r="MK24" s="147" t="str">
        <f t="shared" si="786"/>
        <v/>
      </c>
      <c r="ML24" s="147" t="str">
        <f t="shared" si="786"/>
        <v/>
      </c>
      <c r="MM24" s="147" t="str">
        <f t="shared" si="786"/>
        <v/>
      </c>
      <c r="MN24" s="147" t="str">
        <f t="shared" si="786"/>
        <v/>
      </c>
      <c r="MO24" s="147" t="str">
        <f t="shared" si="786"/>
        <v/>
      </c>
      <c r="MP24" s="147" t="str">
        <f t="shared" si="786"/>
        <v/>
      </c>
      <c r="MQ24" s="147" t="str">
        <f t="shared" si="786"/>
        <v/>
      </c>
      <c r="MR24" s="147" t="str">
        <f t="shared" si="786"/>
        <v/>
      </c>
      <c r="MS24" s="147" t="str">
        <f t="shared" si="786"/>
        <v/>
      </c>
      <c r="MT24" s="147" t="str">
        <f t="shared" si="786"/>
        <v/>
      </c>
      <c r="MU24" s="147" t="str">
        <f t="shared" si="786"/>
        <v/>
      </c>
      <c r="MV24" s="147" t="str">
        <f t="shared" si="786"/>
        <v/>
      </c>
      <c r="MW24" s="147" t="str">
        <f t="shared" si="786"/>
        <v/>
      </c>
      <c r="MX24" s="147" t="str">
        <f t="shared" si="786"/>
        <v/>
      </c>
      <c r="MY24" s="147" t="str">
        <f t="shared" si="786"/>
        <v/>
      </c>
      <c r="MZ24" s="147" t="str">
        <f t="shared" si="786"/>
        <v/>
      </c>
      <c r="NA24" s="147" t="str">
        <f t="shared" si="786"/>
        <v/>
      </c>
      <c r="NB24" s="147" t="str">
        <f t="shared" si="786"/>
        <v/>
      </c>
      <c r="NC24" s="147" t="str">
        <f t="shared" si="786"/>
        <v/>
      </c>
      <c r="ND24" s="147" t="str">
        <f t="shared" si="786"/>
        <v/>
      </c>
      <c r="NE24" s="147" t="str">
        <f t="shared" si="786"/>
        <v/>
      </c>
      <c r="NF24" s="147" t="str">
        <f t="shared" si="786"/>
        <v/>
      </c>
      <c r="NG24" s="147" t="str">
        <f t="shared" si="786"/>
        <v/>
      </c>
      <c r="NH24" s="147" t="str">
        <f t="shared" si="786"/>
        <v/>
      </c>
      <c r="NI24" s="147" t="str">
        <f t="shared" si="786"/>
        <v/>
      </c>
      <c r="NJ24" s="147" t="str">
        <f t="shared" si="786"/>
        <v/>
      </c>
      <c r="NK24" s="147" t="str">
        <f t="shared" si="786"/>
        <v/>
      </c>
      <c r="NL24" s="147" t="str">
        <f t="shared" si="786"/>
        <v/>
      </c>
      <c r="NM24" s="147" t="str">
        <f t="shared" si="786"/>
        <v/>
      </c>
      <c r="NN24" s="147" t="str">
        <f t="shared" si="786"/>
        <v/>
      </c>
      <c r="NO24" s="147" t="str">
        <f t="shared" si="786"/>
        <v/>
      </c>
      <c r="NP24" s="147" t="str">
        <f t="shared" si="786"/>
        <v/>
      </c>
      <c r="NQ24" s="147" t="str">
        <f t="shared" si="786"/>
        <v/>
      </c>
      <c r="NR24" s="147" t="str">
        <f t="shared" si="786"/>
        <v/>
      </c>
      <c r="NS24" s="147" t="str">
        <f t="shared" si="786"/>
        <v/>
      </c>
      <c r="NT24" s="147" t="str">
        <f t="shared" si="786"/>
        <v/>
      </c>
      <c r="NU24" s="147" t="str">
        <f t="shared" si="786"/>
        <v/>
      </c>
      <c r="NV24" s="147" t="str">
        <f t="shared" si="786"/>
        <v/>
      </c>
      <c r="NW24" s="147" t="str">
        <f t="shared" si="786"/>
        <v/>
      </c>
      <c r="NX24" s="147" t="str">
        <f t="shared" si="786"/>
        <v/>
      </c>
      <c r="NY24" s="147" t="str">
        <f t="shared" si="786"/>
        <v/>
      </c>
      <c r="NZ24" s="147" t="str">
        <f t="shared" si="786"/>
        <v/>
      </c>
      <c r="OA24" s="147" t="str">
        <f t="shared" si="786"/>
        <v/>
      </c>
      <c r="OB24" s="147" t="str">
        <f t="shared" si="786"/>
        <v/>
      </c>
      <c r="OC24" s="147" t="str">
        <f t="shared" si="786"/>
        <v/>
      </c>
      <c r="OD24" s="147" t="str">
        <f t="shared" si="786"/>
        <v/>
      </c>
      <c r="OE24" s="147" t="str">
        <f t="shared" si="786"/>
        <v/>
      </c>
      <c r="OF24" s="147" t="str">
        <f t="shared" si="786"/>
        <v/>
      </c>
      <c r="OG24" s="147" t="str">
        <f t="shared" si="786"/>
        <v/>
      </c>
      <c r="OH24" s="147" t="str">
        <f t="shared" si="786"/>
        <v/>
      </c>
      <c r="OI24" s="147" t="str">
        <f t="shared" si="786"/>
        <v/>
      </c>
      <c r="OJ24" s="147" t="str">
        <f t="shared" si="786"/>
        <v/>
      </c>
      <c r="OK24" s="147" t="str">
        <f t="shared" ref="OK24:OZ24" si="787">IF(OR(OK19="",OK10=""),"",AVERAGE(OK19,OK10))</f>
        <v/>
      </c>
      <c r="OL24" s="147" t="str">
        <f t="shared" si="787"/>
        <v/>
      </c>
      <c r="OM24" s="147" t="str">
        <f t="shared" si="787"/>
        <v/>
      </c>
      <c r="ON24" s="147" t="str">
        <f t="shared" si="787"/>
        <v/>
      </c>
      <c r="OO24" s="147" t="str">
        <f t="shared" si="787"/>
        <v/>
      </c>
      <c r="OP24" s="147" t="str">
        <f t="shared" si="787"/>
        <v/>
      </c>
      <c r="OQ24" s="147" t="str">
        <f t="shared" si="787"/>
        <v/>
      </c>
      <c r="OR24" s="147" t="str">
        <f t="shared" si="787"/>
        <v/>
      </c>
      <c r="OS24" s="147" t="str">
        <f t="shared" si="787"/>
        <v/>
      </c>
      <c r="OT24" s="147" t="str">
        <f t="shared" si="787"/>
        <v/>
      </c>
      <c r="OU24" s="147" t="str">
        <f t="shared" si="787"/>
        <v/>
      </c>
      <c r="OV24" s="147" t="str">
        <f t="shared" si="787"/>
        <v/>
      </c>
      <c r="OW24" s="147" t="str">
        <f t="shared" si="787"/>
        <v/>
      </c>
      <c r="OX24" s="147" t="str">
        <f t="shared" si="787"/>
        <v/>
      </c>
      <c r="OY24" s="147" t="str">
        <f t="shared" si="787"/>
        <v/>
      </c>
      <c r="OZ24" s="148" t="str">
        <f t="shared" si="787"/>
        <v/>
      </c>
    </row>
    <row r="25" spans="1:416" s="168" customFormat="1" ht="15" customHeight="1" x14ac:dyDescent="0.2">
      <c r="A25" s="138" t="b">
        <f t="shared" si="376"/>
        <v>0</v>
      </c>
      <c r="B25" s="139">
        <v>22</v>
      </c>
      <c r="C25" s="144" t="str">
        <f t="shared" si="377"/>
        <v>Mechanical Availability</v>
      </c>
      <c r="D25" s="146" t="str">
        <f t="shared" ref="D25:D26" si="788">D24</f>
        <v>777 Optiload</v>
      </c>
      <c r="E25" s="197" t="s">
        <v>31</v>
      </c>
      <c r="F25" s="184">
        <f t="shared" si="779"/>
        <v>1</v>
      </c>
      <c r="G25" s="184">
        <f t="shared" si="779"/>
        <v>0.85906249999999995</v>
      </c>
      <c r="H25" s="184">
        <f t="shared" si="779"/>
        <v>0.89567708333333329</v>
      </c>
      <c r="I25" s="184">
        <f>IF(OR(I20="",I11=""),"",AVERAGE(I20,I11))</f>
        <v>0.9217578125</v>
      </c>
      <c r="J25" s="184">
        <f t="shared" si="780"/>
        <v>0.90540624999999997</v>
      </c>
      <c r="K25" s="184">
        <f t="shared" si="780"/>
        <v>0.90628819444444442</v>
      </c>
      <c r="L25" s="184">
        <f t="shared" si="780"/>
        <v>0.91149404761904762</v>
      </c>
      <c r="M25" s="184">
        <f t="shared" si="780"/>
        <v>0.8893151041666667</v>
      </c>
      <c r="N25" s="184">
        <f t="shared" si="780"/>
        <v>0.89898032407407413</v>
      </c>
      <c r="O25" s="184">
        <f t="shared" si="780"/>
        <v>0.89830937499999997</v>
      </c>
      <c r="P25" s="184">
        <f>IF(OR(P20="",P11=""),"",AVERAGE(P20,P11))</f>
        <v>0.86634848484848481</v>
      </c>
      <c r="Q25" s="184">
        <f t="shared" ref="Q25:CB25" si="789">IF(OR(Q20="",Q11=""),"",AVERAGE(Q20,Q11))</f>
        <v>0.87353645833333338</v>
      </c>
      <c r="R25" s="184">
        <f t="shared" si="789"/>
        <v>0.86954006410256413</v>
      </c>
      <c r="S25" s="184">
        <f t="shared" si="789"/>
        <v>0.8695059523809523</v>
      </c>
      <c r="T25" s="184">
        <f t="shared" si="789"/>
        <v>0.87109444444444439</v>
      </c>
      <c r="U25" s="184">
        <f t="shared" si="789"/>
        <v>0.87047981770833327</v>
      </c>
      <c r="V25" s="184">
        <f t="shared" si="789"/>
        <v>0.87784865196078432</v>
      </c>
      <c r="W25" s="184">
        <f t="shared" si="789"/>
        <v>0.88105439814814812</v>
      </c>
      <c r="X25" s="184">
        <f t="shared" si="789"/>
        <v>0.8821293859649123</v>
      </c>
      <c r="Y25" s="184">
        <f t="shared" si="789"/>
        <v>0.88214635416666665</v>
      </c>
      <c r="Z25" s="184">
        <f t="shared" si="789"/>
        <v>0.88716914682539683</v>
      </c>
      <c r="AA25" s="184">
        <f t="shared" si="789"/>
        <v>0.88713967803030291</v>
      </c>
      <c r="AB25" s="184">
        <f t="shared" si="789"/>
        <v>0.88158695652173913</v>
      </c>
      <c r="AC25" s="184">
        <f t="shared" si="789"/>
        <v>0.88415538194444443</v>
      </c>
      <c r="AD25" s="184">
        <f t="shared" si="789"/>
        <v>0.88347874999999998</v>
      </c>
      <c r="AE25" s="184">
        <f t="shared" si="789"/>
        <v>0.88796033653846163</v>
      </c>
      <c r="AF25" s="184">
        <f t="shared" si="789"/>
        <v>0.88585455246913569</v>
      </c>
      <c r="AG25" s="184">
        <f t="shared" si="789"/>
        <v>0.88360677083333328</v>
      </c>
      <c r="AH25" s="184">
        <f t="shared" si="789"/>
        <v>0.88717133620689659</v>
      </c>
      <c r="AI25" s="184">
        <f t="shared" si="789"/>
        <v>0.8888170138888889</v>
      </c>
      <c r="AJ25" s="184">
        <f t="shared" si="789"/>
        <v>0.89138306451612903</v>
      </c>
      <c r="AK25" s="184">
        <f t="shared" si="789"/>
        <v>0.89348242187499993</v>
      </c>
      <c r="AL25" s="184">
        <f t="shared" si="789"/>
        <v>0.89357859848484844</v>
      </c>
      <c r="AM25" s="184">
        <f t="shared" si="789"/>
        <v>0.89597089460784307</v>
      </c>
      <c r="AN25" s="184">
        <f t="shared" si="789"/>
        <v>0.89800624999999989</v>
      </c>
      <c r="AO25" s="184">
        <f t="shared" si="789"/>
        <v>0.89926822916666671</v>
      </c>
      <c r="AP25" s="184">
        <f t="shared" si="789"/>
        <v>0.8993065878378379</v>
      </c>
      <c r="AQ25" s="184">
        <f t="shared" si="789"/>
        <v>0.90116036184210524</v>
      </c>
      <c r="AR25" s="184">
        <f t="shared" si="789"/>
        <v>0.9021776175213676</v>
      </c>
      <c r="AS25" s="184">
        <f t="shared" si="789"/>
        <v>0.90278046875000006</v>
      </c>
      <c r="AT25" s="184">
        <f t="shared" si="789"/>
        <v>0.9025909552845528</v>
      </c>
      <c r="AU25" s="184">
        <f t="shared" si="789"/>
        <v>0.90297718253968262</v>
      </c>
      <c r="AV25" s="184">
        <f t="shared" si="789"/>
        <v>0.90201162790697675</v>
      </c>
      <c r="AW25" s="184">
        <f t="shared" si="789"/>
        <v>0.90069365530303025</v>
      </c>
      <c r="AX25" s="184">
        <f t="shared" si="789"/>
        <v>0.9010097222222222</v>
      </c>
      <c r="AY25" s="184">
        <f t="shared" si="789"/>
        <v>0.90057835144927534</v>
      </c>
      <c r="AZ25" s="184">
        <f t="shared" si="789"/>
        <v>0.90148359929078015</v>
      </c>
      <c r="BA25" s="184">
        <f t="shared" si="789"/>
        <v>0.90259939236111109</v>
      </c>
      <c r="BB25" s="184">
        <f t="shared" si="789"/>
        <v>0.90164073129251698</v>
      </c>
      <c r="BC25" s="184">
        <f t="shared" si="789"/>
        <v>0.90149208333333331</v>
      </c>
      <c r="BD25" s="184">
        <f t="shared" si="789"/>
        <v>0.90009150326797382</v>
      </c>
      <c r="BE25" s="184">
        <f t="shared" si="789"/>
        <v>0.90124719551282051</v>
      </c>
      <c r="BF25" s="184">
        <f t="shared" si="789"/>
        <v>0.89782370283018875</v>
      </c>
      <c r="BG25" s="184">
        <f t="shared" si="789"/>
        <v>0.89687191358024698</v>
      </c>
      <c r="BH25" s="184">
        <f t="shared" si="789"/>
        <v>0.8982831439393939</v>
      </c>
      <c r="BI25" s="184">
        <f t="shared" si="789"/>
        <v>0.89769196428571429</v>
      </c>
      <c r="BJ25" s="184">
        <f t="shared" si="789"/>
        <v>0.89913377192982447</v>
      </c>
      <c r="BK25" s="184">
        <f t="shared" si="789"/>
        <v>0.90059985632183914</v>
      </c>
      <c r="BL25" s="184">
        <f t="shared" si="789"/>
        <v>0.90121168785310735</v>
      </c>
      <c r="BM25" s="184">
        <f t="shared" si="789"/>
        <v>0.89929184027777775</v>
      </c>
      <c r="BN25" s="184">
        <f t="shared" si="789"/>
        <v>0.89833367486338789</v>
      </c>
      <c r="BO25" s="184">
        <f t="shared" si="789"/>
        <v>0.89558333333333329</v>
      </c>
      <c r="BP25" s="184">
        <f t="shared" si="789"/>
        <v>0.89619742063492058</v>
      </c>
      <c r="BQ25" s="184">
        <f t="shared" si="789"/>
        <v>0.89560091145833332</v>
      </c>
      <c r="BR25" s="184">
        <f t="shared" si="789"/>
        <v>0.89283782051282046</v>
      </c>
      <c r="BS25" s="184">
        <f t="shared" si="789"/>
        <v>0.89268023989898992</v>
      </c>
      <c r="BT25" s="184">
        <f t="shared" si="789"/>
        <v>0.8938418843283582</v>
      </c>
      <c r="BU25" s="184">
        <f t="shared" si="789"/>
        <v>0.89242938112745096</v>
      </c>
      <c r="BV25" s="184">
        <f t="shared" si="789"/>
        <v>0.89201494565217387</v>
      </c>
      <c r="BW25" s="184">
        <f t="shared" si="789"/>
        <v>0.89172976190476194</v>
      </c>
      <c r="BX25" s="184">
        <f t="shared" si="789"/>
        <v>0.89291549295774642</v>
      </c>
      <c r="BY25" s="184">
        <f t="shared" si="789"/>
        <v>0.89336053240740743</v>
      </c>
      <c r="BZ25" s="184">
        <f t="shared" si="789"/>
        <v>0.89412499999999995</v>
      </c>
      <c r="CA25" s="184">
        <f t="shared" si="789"/>
        <v>0.89366483671171171</v>
      </c>
      <c r="CB25" s="184">
        <f t="shared" si="789"/>
        <v>0.8936708333333333</v>
      </c>
      <c r="CC25" s="184">
        <f t="shared" ref="CC25:EN25" si="790">IF(OR(CC20="",CC11=""),"",AVERAGE(CC20,CC11))</f>
        <v>0.89487637061403502</v>
      </c>
      <c r="CD25" s="184">
        <f t="shared" si="790"/>
        <v>0.89552637987012984</v>
      </c>
      <c r="CE25" s="184">
        <f t="shared" si="790"/>
        <v>0.89344925213675208</v>
      </c>
      <c r="CF25" s="184">
        <f t="shared" si="790"/>
        <v>0.89117246835443042</v>
      </c>
      <c r="CG25" s="184">
        <f t="shared" si="790"/>
        <v>0.89212708333333335</v>
      </c>
      <c r="CH25" s="184">
        <f t="shared" si="790"/>
        <v>0.89345884773662554</v>
      </c>
      <c r="CI25" s="184">
        <f t="shared" si="790"/>
        <v>0.89280640243902432</v>
      </c>
      <c r="CJ25" s="184">
        <f t="shared" si="790"/>
        <v>0.89408182730923691</v>
      </c>
      <c r="CK25" s="184">
        <f t="shared" si="790"/>
        <v>0.89493105158730146</v>
      </c>
      <c r="CL25" s="184">
        <f t="shared" si="790"/>
        <v>0.8942468137254902</v>
      </c>
      <c r="CM25" s="184">
        <f t="shared" si="790"/>
        <v>0.89404978197674412</v>
      </c>
      <c r="CN25" s="184">
        <f t="shared" si="790"/>
        <v>0.89520773467432946</v>
      </c>
      <c r="CO25" s="184">
        <f t="shared" si="790"/>
        <v>0.89621484374999993</v>
      </c>
      <c r="CP25" s="184">
        <f t="shared" si="790"/>
        <v>0.89574485018726591</v>
      </c>
      <c r="CQ25" s="184">
        <f t="shared" si="790"/>
        <v>0.89640555555555557</v>
      </c>
      <c r="CR25" s="184">
        <f t="shared" si="790"/>
        <v>0.89505494505494498</v>
      </c>
      <c r="CS25" s="184">
        <f t="shared" si="790"/>
        <v>0.89563700181159422</v>
      </c>
      <c r="CT25" s="184">
        <f t="shared" si="790"/>
        <v>0.89575974462365593</v>
      </c>
      <c r="CU25" s="184">
        <f t="shared" si="790"/>
        <v>0.89540680407801421</v>
      </c>
      <c r="CV25" s="184">
        <f t="shared" si="790"/>
        <v>0.8944867324561403</v>
      </c>
      <c r="CW25" s="184">
        <f t="shared" si="790"/>
        <v>0.8945973307291667</v>
      </c>
      <c r="CX25" s="184">
        <f t="shared" si="790"/>
        <v>0.89523421391752578</v>
      </c>
      <c r="CY25" s="184">
        <f t="shared" si="790"/>
        <v>0.89601658163265308</v>
      </c>
      <c r="CZ25" s="184">
        <f t="shared" si="790"/>
        <v>0.89680808080808072</v>
      </c>
      <c r="DA25" s="184">
        <f t="shared" si="790"/>
        <v>0.89593479166666667</v>
      </c>
      <c r="DB25" s="184">
        <f t="shared" si="790"/>
        <v>0.89626670792079199</v>
      </c>
      <c r="DC25" s="184">
        <f t="shared" si="790"/>
        <v>0.89720710784313729</v>
      </c>
      <c r="DD25" s="184">
        <f t="shared" si="790"/>
        <v>0.897424251618123</v>
      </c>
      <c r="DE25" s="184">
        <f t="shared" si="790"/>
        <v>0.89774679487179487</v>
      </c>
      <c r="DF25" s="184">
        <f t="shared" si="790"/>
        <v>0.89819384920634926</v>
      </c>
      <c r="DG25" s="184">
        <f t="shared" si="790"/>
        <v>0.89846354166666664</v>
      </c>
      <c r="DH25" s="184">
        <f t="shared" si="790"/>
        <v>0.8979239680685358</v>
      </c>
      <c r="DI25" s="184">
        <f t="shared" si="790"/>
        <v>0.89708526234567898</v>
      </c>
      <c r="DJ25" s="184">
        <f t="shared" si="790"/>
        <v>0.89744648318042808</v>
      </c>
      <c r="DK25" s="184">
        <f t="shared" si="790"/>
        <v>0.8965728219696969</v>
      </c>
      <c r="DL25" s="184">
        <f t="shared" si="790"/>
        <v>0.89724878003002995</v>
      </c>
      <c r="DM25" s="184">
        <f t="shared" si="790"/>
        <v>0.88958277529761909</v>
      </c>
      <c r="DN25" s="184">
        <f t="shared" si="790"/>
        <v>0.89042385693215342</v>
      </c>
      <c r="DO25" s="184">
        <f t="shared" si="790"/>
        <v>0.89119106359649125</v>
      </c>
      <c r="DP25" s="184">
        <f t="shared" si="790"/>
        <v>0.8917735507246376</v>
      </c>
      <c r="DQ25" s="184">
        <f t="shared" si="790"/>
        <v>0.89251436781609195</v>
      </c>
      <c r="DR25" s="184">
        <f t="shared" si="790"/>
        <v>0.89312143874643879</v>
      </c>
      <c r="DS25" s="184">
        <f t="shared" si="790"/>
        <v>0.89364804025423727</v>
      </c>
      <c r="DT25" s="184">
        <f t="shared" si="790"/>
        <v>0.8943555672268908</v>
      </c>
      <c r="DU25" s="184">
        <f t="shared" si="790"/>
        <v>0.8939691840277777</v>
      </c>
      <c r="DV25" s="184">
        <f t="shared" si="790"/>
        <v>0.89418586432506886</v>
      </c>
      <c r="DW25" s="184">
        <f t="shared" si="790"/>
        <v>0.89451750341530056</v>
      </c>
      <c r="DX25" s="184">
        <f t="shared" si="790"/>
        <v>0.89355724932249325</v>
      </c>
      <c r="DY25" s="184">
        <f t="shared" si="790"/>
        <v>0.89375957661290317</v>
      </c>
      <c r="DZ25" s="184">
        <f t="shared" si="790"/>
        <v>0.89282424999999999</v>
      </c>
      <c r="EA25" s="184">
        <f t="shared" si="790"/>
        <v>0.8932102347883597</v>
      </c>
      <c r="EB25" s="184">
        <f t="shared" si="790"/>
        <v>0.89390050853018366</v>
      </c>
      <c r="EC25" s="184">
        <f t="shared" si="790"/>
        <v>0.89365096028645841</v>
      </c>
      <c r="ED25" s="184">
        <f t="shared" si="790"/>
        <v>0.89427228682170545</v>
      </c>
      <c r="EE25" s="184">
        <f t="shared" si="790"/>
        <v>0.89451217948717954</v>
      </c>
      <c r="EF25" s="184">
        <f t="shared" si="790"/>
        <v>0.89347614503816786</v>
      </c>
      <c r="EG25" s="184">
        <f t="shared" si="790"/>
        <v>0.8938380681818181</v>
      </c>
      <c r="EH25" s="184">
        <f t="shared" si="790"/>
        <v>0.89267496867167928</v>
      </c>
      <c r="EI25" s="184">
        <f t="shared" si="790"/>
        <v>0.89317078669154226</v>
      </c>
      <c r="EJ25" s="184">
        <f t="shared" si="790"/>
        <v>0.89100007716049379</v>
      </c>
      <c r="EK25" s="184">
        <f t="shared" si="790"/>
        <v>0.89140111825980384</v>
      </c>
      <c r="EL25" s="184">
        <f t="shared" si="790"/>
        <v>0.89061138990267641</v>
      </c>
      <c r="EM25" s="184">
        <f t="shared" si="790"/>
        <v>0.89099766002415459</v>
      </c>
      <c r="EN25" s="184">
        <f t="shared" si="790"/>
        <v>0.89154503896882487</v>
      </c>
      <c r="EO25" s="184">
        <f t="shared" ref="EO25:GZ25" si="791">IF(OR(EO20="",EO11=""),"",AVERAGE(EO20,EO11))</f>
        <v>0.89067834821428571</v>
      </c>
      <c r="EP25" s="184">
        <f t="shared" si="791"/>
        <v>0.89014213947990539</v>
      </c>
      <c r="EQ25" s="184">
        <f t="shared" si="791"/>
        <v>0.88966211854460098</v>
      </c>
      <c r="ER25" s="184">
        <f t="shared" si="791"/>
        <v>0.88912456293706299</v>
      </c>
      <c r="ES25" s="184">
        <f t="shared" si="791"/>
        <v>0.8886312934027778</v>
      </c>
      <c r="ET25" s="184">
        <f t="shared" si="791"/>
        <v>0.88908778735632188</v>
      </c>
      <c r="EU25" s="184">
        <f t="shared" si="791"/>
        <v>0.88957919520547946</v>
      </c>
      <c r="EV25" s="184">
        <f t="shared" si="791"/>
        <v>0.88948674886621315</v>
      </c>
      <c r="EW25" s="184">
        <f t="shared" si="791"/>
        <v>0.88942849099099097</v>
      </c>
      <c r="EX25" s="184">
        <f t="shared" si="791"/>
        <v>0.8900657158836689</v>
      </c>
      <c r="EY25" s="184">
        <f t="shared" si="791"/>
        <v>0.89079861111111114</v>
      </c>
      <c r="EZ25" s="184">
        <f t="shared" si="791"/>
        <v>0.89152179911699769</v>
      </c>
      <c r="FA25" s="184">
        <f t="shared" si="791"/>
        <v>0.89223547149122817</v>
      </c>
      <c r="FB25" s="184">
        <f t="shared" si="791"/>
        <v>0.89293981481481488</v>
      </c>
      <c r="FC25" s="184">
        <f t="shared" si="791"/>
        <v>0.89363501082251084</v>
      </c>
      <c r="FD25" s="184">
        <f t="shared" si="791"/>
        <v>0.89432123655913975</v>
      </c>
      <c r="FE25" s="184">
        <f t="shared" si="791"/>
        <v>0.89499866452991461</v>
      </c>
      <c r="FF25" s="184">
        <f t="shared" si="791"/>
        <v>0.89566746284501064</v>
      </c>
      <c r="FG25" s="184">
        <f t="shared" si="791"/>
        <v>0.89527689873417726</v>
      </c>
      <c r="FH25" s="184">
        <f t="shared" si="791"/>
        <v>0.89416817348008393</v>
      </c>
      <c r="FI25" s="184">
        <f t="shared" si="791"/>
        <v>0.89451412760416671</v>
      </c>
      <c r="FJ25" s="184">
        <f t="shared" si="791"/>
        <v>0.89415825569358176</v>
      </c>
      <c r="FK25" s="184">
        <f t="shared" si="791"/>
        <v>0.89428722993827159</v>
      </c>
      <c r="FL25" s="184">
        <f t="shared" si="791"/>
        <v>0.89431090235173827</v>
      </c>
      <c r="FM25" s="184">
        <f t="shared" si="791"/>
        <v>0.89469385162601633</v>
      </c>
      <c r="FN25" s="184">
        <f t="shared" si="791"/>
        <v>0.89475555555555553</v>
      </c>
      <c r="FO25" s="184">
        <f t="shared" si="791"/>
        <v>0.89516585090361445</v>
      </c>
      <c r="FP25" s="184">
        <f t="shared" si="791"/>
        <v>0.89520646207584831</v>
      </c>
      <c r="FQ25" s="184">
        <f t="shared" si="791"/>
        <v>0.89583023313492061</v>
      </c>
      <c r="FR25" s="184">
        <f t="shared" si="791"/>
        <v>0.89549439102564099</v>
      </c>
      <c r="FS25" s="184">
        <f t="shared" si="791"/>
        <v>0.8945297181372549</v>
      </c>
      <c r="FT25" s="184">
        <f t="shared" si="791"/>
        <v>0.89489845272904489</v>
      </c>
      <c r="FU25" s="184">
        <f t="shared" si="791"/>
        <v>0.89177840358527138</v>
      </c>
      <c r="FV25" s="184">
        <f t="shared" si="791"/>
        <v>0.89151053709055872</v>
      </c>
      <c r="FW25" s="184">
        <f t="shared" si="791"/>
        <v>0.8903349497126436</v>
      </c>
      <c r="FX25" s="184">
        <f t="shared" si="791"/>
        <v>0.8904420833333333</v>
      </c>
      <c r="FY25" s="184">
        <f t="shared" si="791"/>
        <v>0.89041299715909084</v>
      </c>
      <c r="FZ25" s="184">
        <f t="shared" si="791"/>
        <v>0.89016737288135594</v>
      </c>
      <c r="GA25" s="184">
        <f t="shared" si="791"/>
        <v>0.89026597612359548</v>
      </c>
      <c r="GB25" s="184">
        <f t="shared" si="791"/>
        <v>0.88442277700186223</v>
      </c>
      <c r="GC25" s="184">
        <f t="shared" si="791"/>
        <v>0.88479299768518516</v>
      </c>
      <c r="GD25" s="184">
        <f t="shared" si="791"/>
        <v>0.88422554097605888</v>
      </c>
      <c r="GE25" s="184">
        <f t="shared" si="791"/>
        <v>0.88275400641025636</v>
      </c>
      <c r="GF25" s="184">
        <f t="shared" si="791"/>
        <v>0.88305612477231332</v>
      </c>
      <c r="GG25" s="184">
        <f t="shared" si="791"/>
        <v>0.88314254981884055</v>
      </c>
      <c r="GH25" s="184">
        <f t="shared" si="791"/>
        <v>0.88290343468468468</v>
      </c>
      <c r="GI25" s="184">
        <f t="shared" si="791"/>
        <v>0.88297995071684587</v>
      </c>
      <c r="GJ25" s="184">
        <f t="shared" si="791"/>
        <v>0.88152740641711236</v>
      </c>
      <c r="GK25" s="184">
        <f t="shared" si="791"/>
        <v>0.88163674645390078</v>
      </c>
      <c r="GL25" s="184">
        <f t="shared" si="791"/>
        <v>0.88197734788359794</v>
      </c>
      <c r="GM25" s="184">
        <f t="shared" si="791"/>
        <v>0.88233832236842102</v>
      </c>
      <c r="GN25" s="184">
        <f t="shared" si="791"/>
        <v>0.88278201352530539</v>
      </c>
      <c r="GO25" s="184">
        <f t="shared" si="791"/>
        <v>0.87925016276041668</v>
      </c>
      <c r="GP25" s="184">
        <f t="shared" si="791"/>
        <v>0.87959709628670124</v>
      </c>
      <c r="GQ25" s="184">
        <f t="shared" si="791"/>
        <v>0.88021772981099655</v>
      </c>
      <c r="GR25" s="184">
        <f t="shared" si="791"/>
        <v>0.88083199786324784</v>
      </c>
      <c r="GS25" s="184">
        <f t="shared" si="791"/>
        <v>0.88143999787414962</v>
      </c>
      <c r="GT25" s="184">
        <f t="shared" si="791"/>
        <v>0.88195722292724199</v>
      </c>
      <c r="GU25" s="184">
        <f t="shared" si="791"/>
        <v>0.88133112373737377</v>
      </c>
      <c r="GV25" s="184">
        <f t="shared" si="791"/>
        <v>0.88192744974874371</v>
      </c>
      <c r="GW25" s="184">
        <f t="shared" si="791"/>
        <v>0.8820825520833333</v>
      </c>
      <c r="GX25" s="184">
        <f t="shared" si="791"/>
        <v>0.88167791252072969</v>
      </c>
      <c r="GY25" s="184">
        <f t="shared" si="791"/>
        <v>0.87830971534653468</v>
      </c>
      <c r="GZ25" s="184">
        <f t="shared" si="791"/>
        <v>0.87781917077175697</v>
      </c>
      <c r="HA25" s="184">
        <f t="shared" ref="HA25:JL25" si="792">IF(OR(HA20="",HA11=""),"",AVERAGE(HA20,HA11))</f>
        <v>0.87841809640522883</v>
      </c>
      <c r="HB25" s="184">
        <f t="shared" si="792"/>
        <v>0.87901117886178859</v>
      </c>
      <c r="HC25" s="184">
        <f t="shared" si="792"/>
        <v>0.879598503236246</v>
      </c>
      <c r="HD25" s="184">
        <f t="shared" si="792"/>
        <v>0.88018015297906604</v>
      </c>
      <c r="HE25" s="184">
        <f t="shared" si="792"/>
        <v>0.87706941105769232</v>
      </c>
      <c r="HF25" s="184">
        <f t="shared" si="792"/>
        <v>0.87725986842105264</v>
      </c>
      <c r="HG25" s="184">
        <f t="shared" si="792"/>
        <v>0.87749355158730169</v>
      </c>
      <c r="HH25" s="184">
        <f t="shared" si="792"/>
        <v>0.8780741508688783</v>
      </c>
      <c r="HI25" s="184">
        <f t="shared" si="792"/>
        <v>0.87834856525157234</v>
      </c>
      <c r="HJ25" s="184">
        <f t="shared" si="792"/>
        <v>0.87858409407059646</v>
      </c>
      <c r="HK25" s="184">
        <f t="shared" si="792"/>
        <v>0.87904439252336442</v>
      </c>
      <c r="HL25" s="184">
        <f t="shared" si="792"/>
        <v>0.87907395564168822</v>
      </c>
      <c r="HM25" s="184">
        <f t="shared" si="792"/>
        <v>0.87947497106481487</v>
      </c>
      <c r="HN25" s="184">
        <f t="shared" si="792"/>
        <v>0.87912248917264035</v>
      </c>
      <c r="HO25" s="184">
        <f t="shared" si="792"/>
        <v>0.87870503233307851</v>
      </c>
      <c r="HP25" s="184">
        <f t="shared" si="792"/>
        <v>0.87806536973617444</v>
      </c>
      <c r="HQ25" s="184">
        <f t="shared" si="792"/>
        <v>0.87827736479377094</v>
      </c>
      <c r="HR25" s="184">
        <f t="shared" si="792"/>
        <v>0.87882127482403216</v>
      </c>
      <c r="HS25" s="184">
        <f t="shared" si="792"/>
        <v>0.87870079193777118</v>
      </c>
      <c r="HT25" s="184">
        <f t="shared" si="792"/>
        <v>0.87911631944444446</v>
      </c>
      <c r="HU25" s="184">
        <f t="shared" si="792"/>
        <v>0.87923444992146171</v>
      </c>
      <c r="HV25" s="184">
        <f t="shared" si="792"/>
        <v>0.87848447145061725</v>
      </c>
      <c r="HW25" s="184">
        <f t="shared" si="792"/>
        <v>0.87832018318788929</v>
      </c>
      <c r="HX25" s="184">
        <f t="shared" si="792"/>
        <v>0.87808873924171971</v>
      </c>
      <c r="HY25" s="184">
        <f t="shared" si="792"/>
        <v>0.8780657615537687</v>
      </c>
      <c r="HZ25" s="184">
        <f t="shared" si="792"/>
        <v>0.87830033205967983</v>
      </c>
      <c r="IA25" s="184">
        <f t="shared" si="792"/>
        <v>0.87806009712157818</v>
      </c>
      <c r="IB25" s="184">
        <f t="shared" si="792"/>
        <v>0.87769787658329323</v>
      </c>
      <c r="IC25" s="184">
        <f t="shared" si="792"/>
        <v>0.87697189046535762</v>
      </c>
      <c r="ID25" s="184">
        <f t="shared" si="792"/>
        <v>0.87734003685821016</v>
      </c>
      <c r="IE25" s="184">
        <f t="shared" si="792"/>
        <v>0.87768598152105093</v>
      </c>
      <c r="IF25" s="184">
        <f t="shared" si="792"/>
        <v>0.87780504826635153</v>
      </c>
      <c r="IG25" s="184">
        <f t="shared" si="792"/>
        <v>0.87629475145166347</v>
      </c>
      <c r="IH25" s="184">
        <f t="shared" si="792"/>
        <v>0.87612125918112205</v>
      </c>
      <c r="II25" s="184">
        <f t="shared" si="792"/>
        <v>0.87635888869436673</v>
      </c>
      <c r="IJ25" s="184">
        <f t="shared" si="792"/>
        <v>0.87674799027584072</v>
      </c>
      <c r="IK25" s="184">
        <f t="shared" si="792"/>
        <v>0.87563914448302471</v>
      </c>
      <c r="IL25" s="184">
        <f t="shared" si="792"/>
        <v>0.876155164630398</v>
      </c>
      <c r="IM25" s="184">
        <f t="shared" si="792"/>
        <v>0.87501484542393637</v>
      </c>
      <c r="IN25" s="184">
        <f t="shared" si="792"/>
        <v>0.8751599675163847</v>
      </c>
      <c r="IO25" s="184">
        <f t="shared" si="792"/>
        <v>0.87504010132058285</v>
      </c>
      <c r="IP25" s="184">
        <f t="shared" si="792"/>
        <v>0.87481329365079363</v>
      </c>
      <c r="IQ25" s="184">
        <f t="shared" si="792"/>
        <v>0.87421984741982839</v>
      </c>
      <c r="IR25" s="184">
        <f t="shared" si="792"/>
        <v>0.87367741720085468</v>
      </c>
      <c r="IS25" s="184">
        <f t="shared" si="792"/>
        <v>0.87335977869250292</v>
      </c>
      <c r="IT25" s="184">
        <f t="shared" si="792"/>
        <v>0.87316735460359962</v>
      </c>
      <c r="IU25" s="184">
        <f t="shared" si="792"/>
        <v>0.87252930092592595</v>
      </c>
      <c r="IV25" s="184">
        <f t="shared" si="792"/>
        <v>0.87167201333554667</v>
      </c>
      <c r="IW25" s="184">
        <f t="shared" si="792"/>
        <v>0.87053177703373019</v>
      </c>
      <c r="IX25" s="184">
        <f t="shared" si="792"/>
        <v>0.86963484939979507</v>
      </c>
      <c r="IY25" s="184">
        <f t="shared" si="792"/>
        <v>0.86952803409339463</v>
      </c>
      <c r="IZ25" s="184">
        <f t="shared" si="792"/>
        <v>0.8694782691085694</v>
      </c>
      <c r="JA25" s="184">
        <f t="shared" si="792"/>
        <v>0.86903015475802947</v>
      </c>
      <c r="JB25" s="184">
        <f t="shared" si="792"/>
        <v>0.86866297714908491</v>
      </c>
      <c r="JC25" s="184">
        <f t="shared" si="792"/>
        <v>0.86887935261448468</v>
      </c>
      <c r="JD25" s="184">
        <f t="shared" si="792"/>
        <v>0.86904223084691834</v>
      </c>
      <c r="JE25" s="184">
        <f t="shared" si="792"/>
        <v>0.86940800391737894</v>
      </c>
      <c r="JF25" s="184">
        <f t="shared" si="792"/>
        <v>0.869799750780474</v>
      </c>
      <c r="JG25" s="184">
        <f t="shared" si="792"/>
        <v>0.86984096360793051</v>
      </c>
      <c r="JH25" s="184">
        <f t="shared" si="792"/>
        <v>0.87016960529326859</v>
      </c>
      <c r="JI25" s="184">
        <f t="shared" si="792"/>
        <v>0.87061706364863922</v>
      </c>
      <c r="JJ25" s="184">
        <f t="shared" si="792"/>
        <v>0.87104267557651993</v>
      </c>
      <c r="JK25" s="184">
        <f t="shared" si="792"/>
        <v>0.87107519014550272</v>
      </c>
      <c r="JL25" s="184">
        <f t="shared" si="792"/>
        <v>0.87106446260750459</v>
      </c>
      <c r="JM25" s="184">
        <f t="shared" ref="JM25:LX25" si="793">IF(OR(JM20="",JM11=""),"",AVERAGE(JM20,JM11))</f>
        <v>0.87097168562569105</v>
      </c>
      <c r="JN25" s="184">
        <f t="shared" si="793"/>
        <v>0.87100468663947406</v>
      </c>
      <c r="JO25" s="184">
        <f t="shared" si="793"/>
        <v>0.87098947402263371</v>
      </c>
      <c r="JP25" s="184">
        <f t="shared" si="793"/>
        <v>0.87106317586613369</v>
      </c>
      <c r="JQ25" s="184">
        <f t="shared" si="793"/>
        <v>0.8709123614940768</v>
      </c>
      <c r="JR25" s="184">
        <f t="shared" si="793"/>
        <v>0.87123258483414734</v>
      </c>
      <c r="JS25" s="184">
        <f t="shared" si="793"/>
        <v>0.87132936372161396</v>
      </c>
      <c r="JT25" s="184">
        <f t="shared" si="793"/>
        <v>0.87151820391414137</v>
      </c>
      <c r="JU25" s="184">
        <f t="shared" si="793"/>
        <v>0.87095671988224643</v>
      </c>
      <c r="JV25" s="184">
        <f t="shared" si="793"/>
        <v>0.87091332501838481</v>
      </c>
      <c r="JW25" s="184">
        <f t="shared" si="793"/>
        <v>0.87112953907707169</v>
      </c>
      <c r="JX25" s="184">
        <f t="shared" si="793"/>
        <v>0.87127356402661627</v>
      </c>
      <c r="JY25" s="184">
        <f t="shared" si="793"/>
        <v>0.87162467034556879</v>
      </c>
      <c r="JZ25" s="184">
        <f t="shared" si="793"/>
        <v>0.87208152205252398</v>
      </c>
      <c r="KA25" s="184">
        <f t="shared" si="793"/>
        <v>0.87247603202160495</v>
      </c>
      <c r="KB25" s="184">
        <f t="shared" si="793"/>
        <v>0.87257328985898441</v>
      </c>
      <c r="KC25" s="184">
        <f t="shared" si="793"/>
        <v>0.87266986278201619</v>
      </c>
      <c r="KD25" s="184">
        <f t="shared" si="793"/>
        <v>0.87311663519330729</v>
      </c>
      <c r="KE25" s="184">
        <f t="shared" si="793"/>
        <v>0.87356028332200208</v>
      </c>
      <c r="KF25" s="184">
        <f t="shared" si="793"/>
        <v>0.87365240777035746</v>
      </c>
      <c r="KG25" s="184">
        <f t="shared" si="793"/>
        <v>0.87400430913226601</v>
      </c>
      <c r="KH25" s="184">
        <f t="shared" si="793"/>
        <v>0.87444028038094324</v>
      </c>
      <c r="KI25" s="184">
        <f t="shared" si="793"/>
        <v>0.87487324493135377</v>
      </c>
      <c r="KJ25" s="184">
        <f t="shared" si="793"/>
        <v>0.87530323378038699</v>
      </c>
      <c r="KK25" s="184">
        <f t="shared" si="793"/>
        <v>0.87521657887018012</v>
      </c>
      <c r="KL25" s="184">
        <f t="shared" si="793"/>
        <v>0.87564246085355835</v>
      </c>
      <c r="KM25" s="184">
        <f t="shared" si="793"/>
        <v>0.8759804116669816</v>
      </c>
      <c r="KN25" s="184">
        <f t="shared" si="793"/>
        <v>0.87640081705116135</v>
      </c>
      <c r="KO25" s="184">
        <f t="shared" si="793"/>
        <v>0.87681838185842098</v>
      </c>
      <c r="KP25" s="184">
        <f t="shared" si="793"/>
        <v>0.87723313478145659</v>
      </c>
      <c r="KQ25" s="184">
        <f t="shared" si="793"/>
        <v>0.87764510412782748</v>
      </c>
      <c r="KR25" s="184">
        <f t="shared" si="793"/>
        <v>0.87805431782639665</v>
      </c>
      <c r="KS25" s="184">
        <f t="shared" si="793"/>
        <v>0.87846080343364197</v>
      </c>
      <c r="KT25" s="184">
        <f t="shared" si="793"/>
        <v>0.87886458813984247</v>
      </c>
      <c r="KU25" s="184">
        <f t="shared" si="793"/>
        <v>0.87926569877514105</v>
      </c>
      <c r="KV25" s="184">
        <f t="shared" si="793"/>
        <v>0.87966416181548712</v>
      </c>
      <c r="KW25" s="184">
        <f t="shared" si="793"/>
        <v>0.88006000338846246</v>
      </c>
      <c r="KX25" s="184" t="str">
        <f t="shared" si="793"/>
        <v/>
      </c>
      <c r="KY25" s="184" t="str">
        <f t="shared" si="793"/>
        <v/>
      </c>
      <c r="KZ25" s="184" t="str">
        <f t="shared" si="793"/>
        <v/>
      </c>
      <c r="LA25" s="184" t="str">
        <f t="shared" si="793"/>
        <v/>
      </c>
      <c r="LB25" s="184" t="str">
        <f t="shared" si="793"/>
        <v/>
      </c>
      <c r="LC25" s="184" t="str">
        <f t="shared" si="793"/>
        <v/>
      </c>
      <c r="LD25" s="184" t="str">
        <f t="shared" si="793"/>
        <v/>
      </c>
      <c r="LE25" s="184" t="str">
        <f t="shared" si="793"/>
        <v/>
      </c>
      <c r="LF25" s="184" t="str">
        <f t="shared" si="793"/>
        <v/>
      </c>
      <c r="LG25" s="184" t="str">
        <f t="shared" si="793"/>
        <v/>
      </c>
      <c r="LH25" s="184" t="str">
        <f t="shared" si="793"/>
        <v/>
      </c>
      <c r="LI25" s="184" t="str">
        <f t="shared" si="793"/>
        <v/>
      </c>
      <c r="LJ25" s="184" t="str">
        <f t="shared" si="793"/>
        <v/>
      </c>
      <c r="LK25" s="184" t="str">
        <f t="shared" si="793"/>
        <v/>
      </c>
      <c r="LL25" s="184" t="str">
        <f t="shared" si="793"/>
        <v/>
      </c>
      <c r="LM25" s="184" t="str">
        <f t="shared" si="793"/>
        <v/>
      </c>
      <c r="LN25" s="184" t="str">
        <f t="shared" si="793"/>
        <v/>
      </c>
      <c r="LO25" s="184" t="str">
        <f t="shared" si="793"/>
        <v/>
      </c>
      <c r="LP25" s="184" t="str">
        <f t="shared" si="793"/>
        <v/>
      </c>
      <c r="LQ25" s="184" t="str">
        <f t="shared" si="793"/>
        <v/>
      </c>
      <c r="LR25" s="184" t="str">
        <f t="shared" si="793"/>
        <v/>
      </c>
      <c r="LS25" s="184" t="str">
        <f t="shared" si="793"/>
        <v/>
      </c>
      <c r="LT25" s="184" t="str">
        <f t="shared" si="793"/>
        <v/>
      </c>
      <c r="LU25" s="184" t="str">
        <f t="shared" si="793"/>
        <v/>
      </c>
      <c r="LV25" s="184" t="str">
        <f t="shared" si="793"/>
        <v/>
      </c>
      <c r="LW25" s="184" t="str">
        <f t="shared" si="793"/>
        <v/>
      </c>
      <c r="LX25" s="184" t="str">
        <f t="shared" si="793"/>
        <v/>
      </c>
      <c r="LY25" s="184" t="str">
        <f t="shared" ref="LY25:OJ25" si="794">IF(OR(LY20="",LY11=""),"",AVERAGE(LY20,LY11))</f>
        <v/>
      </c>
      <c r="LZ25" s="184" t="str">
        <f t="shared" si="794"/>
        <v/>
      </c>
      <c r="MA25" s="184" t="str">
        <f t="shared" si="794"/>
        <v/>
      </c>
      <c r="MB25" s="184" t="str">
        <f t="shared" si="794"/>
        <v/>
      </c>
      <c r="MC25" s="184" t="str">
        <f t="shared" si="794"/>
        <v/>
      </c>
      <c r="MD25" s="184" t="str">
        <f t="shared" si="794"/>
        <v/>
      </c>
      <c r="ME25" s="184" t="str">
        <f t="shared" si="794"/>
        <v/>
      </c>
      <c r="MF25" s="184" t="str">
        <f t="shared" si="794"/>
        <v/>
      </c>
      <c r="MG25" s="184" t="str">
        <f t="shared" si="794"/>
        <v/>
      </c>
      <c r="MH25" s="184" t="str">
        <f t="shared" si="794"/>
        <v/>
      </c>
      <c r="MI25" s="184" t="str">
        <f t="shared" si="794"/>
        <v/>
      </c>
      <c r="MJ25" s="184" t="str">
        <f t="shared" si="794"/>
        <v/>
      </c>
      <c r="MK25" s="184" t="str">
        <f t="shared" si="794"/>
        <v/>
      </c>
      <c r="ML25" s="184" t="str">
        <f t="shared" si="794"/>
        <v/>
      </c>
      <c r="MM25" s="184" t="str">
        <f t="shared" si="794"/>
        <v/>
      </c>
      <c r="MN25" s="184" t="str">
        <f t="shared" si="794"/>
        <v/>
      </c>
      <c r="MO25" s="184" t="str">
        <f t="shared" si="794"/>
        <v/>
      </c>
      <c r="MP25" s="184" t="str">
        <f t="shared" si="794"/>
        <v/>
      </c>
      <c r="MQ25" s="184" t="str">
        <f t="shared" si="794"/>
        <v/>
      </c>
      <c r="MR25" s="184" t="str">
        <f t="shared" si="794"/>
        <v/>
      </c>
      <c r="MS25" s="184" t="str">
        <f t="shared" si="794"/>
        <v/>
      </c>
      <c r="MT25" s="184" t="str">
        <f t="shared" si="794"/>
        <v/>
      </c>
      <c r="MU25" s="184" t="str">
        <f t="shared" si="794"/>
        <v/>
      </c>
      <c r="MV25" s="184" t="str">
        <f t="shared" si="794"/>
        <v/>
      </c>
      <c r="MW25" s="184" t="str">
        <f t="shared" si="794"/>
        <v/>
      </c>
      <c r="MX25" s="184" t="str">
        <f t="shared" si="794"/>
        <v/>
      </c>
      <c r="MY25" s="184" t="str">
        <f t="shared" si="794"/>
        <v/>
      </c>
      <c r="MZ25" s="184" t="str">
        <f t="shared" si="794"/>
        <v/>
      </c>
      <c r="NA25" s="184" t="str">
        <f t="shared" si="794"/>
        <v/>
      </c>
      <c r="NB25" s="184" t="str">
        <f t="shared" si="794"/>
        <v/>
      </c>
      <c r="NC25" s="184" t="str">
        <f t="shared" si="794"/>
        <v/>
      </c>
      <c r="ND25" s="184" t="str">
        <f t="shared" si="794"/>
        <v/>
      </c>
      <c r="NE25" s="184" t="str">
        <f t="shared" si="794"/>
        <v/>
      </c>
      <c r="NF25" s="184" t="str">
        <f t="shared" si="794"/>
        <v/>
      </c>
      <c r="NG25" s="184" t="str">
        <f t="shared" si="794"/>
        <v/>
      </c>
      <c r="NH25" s="184" t="str">
        <f t="shared" si="794"/>
        <v/>
      </c>
      <c r="NI25" s="184" t="str">
        <f t="shared" si="794"/>
        <v/>
      </c>
      <c r="NJ25" s="184" t="str">
        <f t="shared" si="794"/>
        <v/>
      </c>
      <c r="NK25" s="184" t="str">
        <f t="shared" si="794"/>
        <v/>
      </c>
      <c r="NL25" s="184" t="str">
        <f t="shared" si="794"/>
        <v/>
      </c>
      <c r="NM25" s="184" t="str">
        <f t="shared" si="794"/>
        <v/>
      </c>
      <c r="NN25" s="184" t="str">
        <f t="shared" si="794"/>
        <v/>
      </c>
      <c r="NO25" s="184" t="str">
        <f t="shared" si="794"/>
        <v/>
      </c>
      <c r="NP25" s="184" t="str">
        <f t="shared" si="794"/>
        <v/>
      </c>
      <c r="NQ25" s="184" t="str">
        <f t="shared" si="794"/>
        <v/>
      </c>
      <c r="NR25" s="184" t="str">
        <f t="shared" si="794"/>
        <v/>
      </c>
      <c r="NS25" s="184" t="str">
        <f t="shared" si="794"/>
        <v/>
      </c>
      <c r="NT25" s="184" t="str">
        <f t="shared" si="794"/>
        <v/>
      </c>
      <c r="NU25" s="184" t="str">
        <f t="shared" si="794"/>
        <v/>
      </c>
      <c r="NV25" s="184" t="str">
        <f t="shared" si="794"/>
        <v/>
      </c>
      <c r="NW25" s="184" t="str">
        <f t="shared" si="794"/>
        <v/>
      </c>
      <c r="NX25" s="184" t="str">
        <f t="shared" si="794"/>
        <v/>
      </c>
      <c r="NY25" s="184" t="str">
        <f t="shared" si="794"/>
        <v/>
      </c>
      <c r="NZ25" s="184" t="str">
        <f t="shared" si="794"/>
        <v/>
      </c>
      <c r="OA25" s="184" t="str">
        <f t="shared" si="794"/>
        <v/>
      </c>
      <c r="OB25" s="184" t="str">
        <f t="shared" si="794"/>
        <v/>
      </c>
      <c r="OC25" s="184" t="str">
        <f t="shared" si="794"/>
        <v/>
      </c>
      <c r="OD25" s="184" t="str">
        <f t="shared" si="794"/>
        <v/>
      </c>
      <c r="OE25" s="184" t="str">
        <f t="shared" si="794"/>
        <v/>
      </c>
      <c r="OF25" s="184" t="str">
        <f t="shared" si="794"/>
        <v/>
      </c>
      <c r="OG25" s="184" t="str">
        <f t="shared" si="794"/>
        <v/>
      </c>
      <c r="OH25" s="184" t="str">
        <f t="shared" si="794"/>
        <v/>
      </c>
      <c r="OI25" s="184" t="str">
        <f t="shared" si="794"/>
        <v/>
      </c>
      <c r="OJ25" s="184" t="str">
        <f t="shared" si="794"/>
        <v/>
      </c>
      <c r="OK25" s="184" t="str">
        <f t="shared" ref="OK25:OZ25" si="795">IF(OR(OK20="",OK11=""),"",AVERAGE(OK20,OK11))</f>
        <v/>
      </c>
      <c r="OL25" s="184" t="str">
        <f t="shared" si="795"/>
        <v/>
      </c>
      <c r="OM25" s="184" t="str">
        <f t="shared" si="795"/>
        <v/>
      </c>
      <c r="ON25" s="184" t="str">
        <f t="shared" si="795"/>
        <v/>
      </c>
      <c r="OO25" s="184" t="str">
        <f t="shared" si="795"/>
        <v/>
      </c>
      <c r="OP25" s="184" t="str">
        <f t="shared" si="795"/>
        <v/>
      </c>
      <c r="OQ25" s="184" t="str">
        <f t="shared" si="795"/>
        <v/>
      </c>
      <c r="OR25" s="184" t="str">
        <f t="shared" si="795"/>
        <v/>
      </c>
      <c r="OS25" s="184" t="str">
        <f t="shared" si="795"/>
        <v/>
      </c>
      <c r="OT25" s="184" t="str">
        <f t="shared" si="795"/>
        <v/>
      </c>
      <c r="OU25" s="184" t="str">
        <f t="shared" si="795"/>
        <v/>
      </c>
      <c r="OV25" s="184" t="str">
        <f t="shared" si="795"/>
        <v/>
      </c>
      <c r="OW25" s="184" t="str">
        <f t="shared" si="795"/>
        <v/>
      </c>
      <c r="OX25" s="184" t="str">
        <f t="shared" si="795"/>
        <v/>
      </c>
      <c r="OY25" s="184" t="str">
        <f t="shared" si="795"/>
        <v/>
      </c>
      <c r="OZ25" s="185" t="str">
        <f t="shared" si="795"/>
        <v/>
      </c>
    </row>
    <row r="26" spans="1:416" s="85" customFormat="1" ht="14.1" customHeight="1" x14ac:dyDescent="0.2">
      <c r="A26" s="138" t="b">
        <f t="shared" si="376"/>
        <v>1</v>
      </c>
      <c r="B26" s="139">
        <v>23</v>
      </c>
      <c r="C26" s="139" t="str">
        <f t="shared" si="377"/>
        <v>Mechanical Availability</v>
      </c>
      <c r="D26" s="159" t="str">
        <f t="shared" si="788"/>
        <v>777 Optiload</v>
      </c>
      <c r="E26" s="198" t="s">
        <v>72</v>
      </c>
      <c r="F26" s="171">
        <f t="shared" ref="F26:BQ26" si="796">IF(OR(F21="",F12=""),"",SUM(F21,F12))</f>
        <v>25.488</v>
      </c>
      <c r="G26" s="171">
        <f t="shared" si="796"/>
        <v>-3.1440000000000019</v>
      </c>
      <c r="H26" s="171">
        <f t="shared" si="796"/>
        <v>15.894000000000005</v>
      </c>
      <c r="I26" s="171">
        <f t="shared" si="796"/>
        <v>41.382000000000005</v>
      </c>
      <c r="J26" s="171">
        <f t="shared" si="796"/>
        <v>36.150000000000006</v>
      </c>
      <c r="K26" s="171">
        <f t="shared" si="796"/>
        <v>43.048000000000002</v>
      </c>
      <c r="L26" s="171">
        <f t="shared" si="796"/>
        <v>57.245999999999995</v>
      </c>
      <c r="M26" s="171">
        <f t="shared" si="796"/>
        <v>26.374000000000009</v>
      </c>
      <c r="N26" s="171">
        <f t="shared" si="796"/>
        <v>47.062000000000012</v>
      </c>
      <c r="O26" s="171">
        <f t="shared" si="796"/>
        <v>50.220000000000013</v>
      </c>
      <c r="P26" s="171">
        <f t="shared" si="796"/>
        <v>-18.59199999999997</v>
      </c>
      <c r="Q26" s="171">
        <f t="shared" si="796"/>
        <v>-3.9240000000000066</v>
      </c>
      <c r="R26" s="171">
        <f t="shared" si="796"/>
        <v>-21.256</v>
      </c>
      <c r="S26" s="171">
        <f t="shared" si="796"/>
        <v>-20.907999999999987</v>
      </c>
      <c r="T26" s="171">
        <f t="shared" si="796"/>
        <v>-17.189999999999998</v>
      </c>
      <c r="U26" s="171">
        <f t="shared" si="796"/>
        <v>-24.361999999999995</v>
      </c>
      <c r="V26" s="171">
        <f t="shared" si="796"/>
        <v>0.10600000000005139</v>
      </c>
      <c r="W26" s="171">
        <f t="shared" si="796"/>
        <v>12.134000000000015</v>
      </c>
      <c r="X26" s="171">
        <f t="shared" si="796"/>
        <v>18.052000000000021</v>
      </c>
      <c r="Y26" s="171">
        <f t="shared" si="796"/>
        <v>18.22</v>
      </c>
      <c r="Z26" s="171">
        <f t="shared" si="796"/>
        <v>41.287999999999982</v>
      </c>
      <c r="AA26" s="171">
        <f t="shared" si="796"/>
        <v>39.795999999999992</v>
      </c>
      <c r="AB26" s="171">
        <f t="shared" si="796"/>
        <v>7.9839999999999804</v>
      </c>
      <c r="AC26" s="171">
        <f t="shared" si="796"/>
        <v>20.69199999999995</v>
      </c>
      <c r="AD26" s="171">
        <f t="shared" si="796"/>
        <v>19.979999999999961</v>
      </c>
      <c r="AE26" s="171">
        <f t="shared" si="796"/>
        <v>45.467999999999961</v>
      </c>
      <c r="AF26" s="171">
        <f t="shared" si="796"/>
        <v>38.295999999999992</v>
      </c>
      <c r="AG26" s="171">
        <f t="shared" si="796"/>
        <v>21.283999999999992</v>
      </c>
      <c r="AH26" s="171">
        <f t="shared" si="796"/>
        <v>44.271999999999991</v>
      </c>
      <c r="AI26" s="171">
        <f t="shared" si="796"/>
        <v>54.529999999999973</v>
      </c>
      <c r="AJ26" s="171">
        <f t="shared" si="796"/>
        <v>72.74799999999999</v>
      </c>
      <c r="AK26" s="171">
        <f t="shared" si="796"/>
        <v>17.138000000000002</v>
      </c>
      <c r="AL26" s="171">
        <f t="shared" si="796"/>
        <v>18.226000000000006</v>
      </c>
      <c r="AM26" s="171">
        <f t="shared" si="796"/>
        <v>37.694000000000003</v>
      </c>
      <c r="AN26" s="171">
        <f t="shared" si="796"/>
        <v>55.311999999999998</v>
      </c>
      <c r="AO26" s="171">
        <f t="shared" si="796"/>
        <v>68.63000000000001</v>
      </c>
      <c r="AP26" s="171">
        <f t="shared" si="796"/>
        <v>70.658000000000015</v>
      </c>
      <c r="AQ26" s="171">
        <f t="shared" si="796"/>
        <v>89.346000000000004</v>
      </c>
      <c r="AR26" s="171">
        <f t="shared" si="796"/>
        <v>100.634</v>
      </c>
      <c r="AS26" s="171">
        <f t="shared" si="796"/>
        <v>108.432</v>
      </c>
      <c r="AT26" s="171">
        <f t="shared" si="796"/>
        <v>110.08000000000001</v>
      </c>
      <c r="AU26" s="171">
        <f t="shared" si="796"/>
        <v>116.65800000000002</v>
      </c>
      <c r="AV26" s="171">
        <f t="shared" si="796"/>
        <v>111.71600000000001</v>
      </c>
      <c r="AW26" s="171">
        <f t="shared" si="796"/>
        <v>106.69400000000002</v>
      </c>
      <c r="AX26" s="171">
        <f t="shared" si="796"/>
        <v>111.76200000000003</v>
      </c>
      <c r="AY26" s="171">
        <f t="shared" si="796"/>
        <v>108.73000000000002</v>
      </c>
      <c r="AZ26" s="171">
        <f t="shared" si="796"/>
        <v>120.56800000000004</v>
      </c>
      <c r="BA26" s="171">
        <f t="shared" si="796"/>
        <v>136.78600000000006</v>
      </c>
      <c r="BB26" s="171">
        <f t="shared" si="796"/>
        <v>127.62400000000011</v>
      </c>
      <c r="BC26" s="171">
        <f t="shared" si="796"/>
        <v>128.02200000000005</v>
      </c>
      <c r="BD26" s="171">
        <f t="shared" si="796"/>
        <v>115.55000000000007</v>
      </c>
      <c r="BE26" s="171">
        <f t="shared" si="796"/>
        <v>132.83800000000002</v>
      </c>
      <c r="BF26" s="171">
        <f t="shared" si="796"/>
        <v>102.19600000000008</v>
      </c>
      <c r="BG26" s="171">
        <f t="shared" si="796"/>
        <v>97.544000000000096</v>
      </c>
      <c r="BH26" s="171">
        <f t="shared" si="796"/>
        <v>117.19200000000006</v>
      </c>
      <c r="BI26" s="171">
        <f t="shared" si="796"/>
        <v>116.01000000000005</v>
      </c>
      <c r="BJ26" s="171">
        <f t="shared" si="796"/>
        <v>136.66800000000001</v>
      </c>
      <c r="BK26" s="171">
        <f t="shared" si="796"/>
        <v>158.35599999999999</v>
      </c>
      <c r="BL26" s="171">
        <f t="shared" si="796"/>
        <v>169.94400000000007</v>
      </c>
      <c r="BM26" s="171">
        <f t="shared" si="796"/>
        <v>-21.822000000000003</v>
      </c>
      <c r="BN26" s="171">
        <f t="shared" si="796"/>
        <v>-32.61399999999999</v>
      </c>
      <c r="BO26" s="171">
        <f t="shared" si="796"/>
        <v>-67.995999999999981</v>
      </c>
      <c r="BP26" s="171">
        <f t="shared" si="796"/>
        <v>-55.127999999999993</v>
      </c>
      <c r="BQ26" s="171">
        <f t="shared" si="796"/>
        <v>-61.839999999999982</v>
      </c>
      <c r="BR26" s="171">
        <f t="shared" ref="BR26:EC26" si="797">IF(OR(BR21="",BR12=""),"",SUM(BR21,BR12))</f>
        <v>-95.782000000000011</v>
      </c>
      <c r="BS26" s="171">
        <f t="shared" si="797"/>
        <v>-93.673999999999992</v>
      </c>
      <c r="BT26" s="171">
        <f t="shared" si="797"/>
        <v>-75.046000000000006</v>
      </c>
      <c r="BU26" s="171">
        <f t="shared" si="797"/>
        <v>-92.147999999999996</v>
      </c>
      <c r="BV26" s="171">
        <f t="shared" si="797"/>
        <v>-97.38</v>
      </c>
      <c r="BW26" s="171">
        <f t="shared" si="797"/>
        <v>-97.691999999999979</v>
      </c>
      <c r="BX26" s="171">
        <f t="shared" si="797"/>
        <v>-77.98399999999998</v>
      </c>
      <c r="BY26" s="171">
        <f t="shared" si="797"/>
        <v>-70.505999999999972</v>
      </c>
      <c r="BZ26" s="171">
        <f t="shared" si="797"/>
        <v>-57.217999999999961</v>
      </c>
      <c r="CA26" s="171">
        <f t="shared" si="797"/>
        <v>-59.099999999999994</v>
      </c>
      <c r="CB26" s="171">
        <f t="shared" si="797"/>
        <v>-54.981999999999999</v>
      </c>
      <c r="CC26" s="171">
        <f t="shared" si="797"/>
        <v>-33.023999999999944</v>
      </c>
      <c r="CD26" s="171">
        <f t="shared" si="797"/>
        <v>-20.686000000000007</v>
      </c>
      <c r="CE26" s="171">
        <f t="shared" si="797"/>
        <v>-58.857999999999976</v>
      </c>
      <c r="CF26" s="171">
        <f t="shared" si="797"/>
        <v>-98.279999999999944</v>
      </c>
      <c r="CG26" s="171">
        <f t="shared" si="797"/>
        <v>-80.581999999999994</v>
      </c>
      <c r="CH26" s="171">
        <f t="shared" si="797"/>
        <v>-55.093999999999966</v>
      </c>
      <c r="CI26" s="171">
        <f t="shared" si="797"/>
        <v>-63.865999999999957</v>
      </c>
      <c r="CJ26" s="171">
        <f t="shared" si="797"/>
        <v>-38.698000000000008</v>
      </c>
      <c r="CK26" s="171">
        <f t="shared" si="797"/>
        <v>-20.829999999999956</v>
      </c>
      <c r="CL26" s="171">
        <f t="shared" si="797"/>
        <v>-29.012</v>
      </c>
      <c r="CM26" s="171">
        <f t="shared" si="797"/>
        <v>-29.133999999999958</v>
      </c>
      <c r="CN26" s="171">
        <f t="shared" si="797"/>
        <v>-4.6459999999999582</v>
      </c>
      <c r="CO26" s="171">
        <f t="shared" si="797"/>
        <v>17.32200000000006</v>
      </c>
      <c r="CP26" s="171">
        <f t="shared" si="797"/>
        <v>9.1700000000000159</v>
      </c>
      <c r="CQ26" s="171">
        <f t="shared" si="797"/>
        <v>23.908000000000015</v>
      </c>
      <c r="CR26" s="171">
        <f t="shared" si="797"/>
        <v>-24.991999999999997</v>
      </c>
      <c r="CS26" s="171">
        <f t="shared" si="797"/>
        <v>-11.543999999999997</v>
      </c>
      <c r="CT26" s="171">
        <f t="shared" si="797"/>
        <v>-7.4459999999999944</v>
      </c>
      <c r="CU26" s="171">
        <f t="shared" si="797"/>
        <v>-14.938000000000006</v>
      </c>
      <c r="CV26" s="171">
        <f t="shared" si="797"/>
        <v>-32.549999999999997</v>
      </c>
      <c r="CW26" s="171">
        <f t="shared" si="797"/>
        <v>-28.882000000000012</v>
      </c>
      <c r="CX26" s="171">
        <f t="shared" si="797"/>
        <v>-13.863999999999983</v>
      </c>
      <c r="CY26" s="171">
        <f t="shared" si="797"/>
        <v>5.9440000000000168</v>
      </c>
      <c r="CZ26" s="171">
        <f t="shared" si="797"/>
        <v>26.512000000000029</v>
      </c>
      <c r="DA26" s="171">
        <f t="shared" si="797"/>
        <v>15.42000000000003</v>
      </c>
      <c r="DB26" s="171">
        <f t="shared" si="797"/>
        <v>23.978000000000023</v>
      </c>
      <c r="DC26" s="171">
        <f t="shared" si="797"/>
        <v>47.966000000000022</v>
      </c>
      <c r="DD26" s="171">
        <f t="shared" si="797"/>
        <v>54.534000000000006</v>
      </c>
      <c r="DE26" s="171">
        <f t="shared" si="797"/>
        <v>65.89200000000001</v>
      </c>
      <c r="DF26" s="171">
        <f t="shared" si="797"/>
        <v>80.760000000000005</v>
      </c>
      <c r="DG26" s="171">
        <f t="shared" si="797"/>
        <v>89.428000000000011</v>
      </c>
      <c r="DH26" s="171">
        <f t="shared" si="797"/>
        <v>81.996000000000066</v>
      </c>
      <c r="DI26" s="171">
        <f t="shared" si="797"/>
        <v>70.094000000000051</v>
      </c>
      <c r="DJ26" s="171">
        <f t="shared" si="797"/>
        <v>80.332000000000022</v>
      </c>
      <c r="DK26" s="171">
        <f t="shared" si="797"/>
        <v>58.730000000000047</v>
      </c>
      <c r="DL26" s="171">
        <f t="shared" si="797"/>
        <v>78.398000000000053</v>
      </c>
      <c r="DM26" s="171">
        <f t="shared" si="797"/>
        <v>-81.94399999999996</v>
      </c>
      <c r="DN26" s="171">
        <f t="shared" si="797"/>
        <v>-60.145999999999958</v>
      </c>
      <c r="DO26" s="171">
        <f t="shared" si="797"/>
        <v>-39.627999999999986</v>
      </c>
      <c r="DP26" s="171">
        <f t="shared" si="797"/>
        <v>-22.169999999999959</v>
      </c>
      <c r="DQ26" s="171">
        <f t="shared" si="797"/>
        <v>-0.96199999999993224</v>
      </c>
      <c r="DR26" s="171">
        <f t="shared" si="797"/>
        <v>15.77600000000001</v>
      </c>
      <c r="DS26" s="171">
        <f t="shared" si="797"/>
        <v>31.054000000000087</v>
      </c>
      <c r="DT26" s="171">
        <f t="shared" si="797"/>
        <v>52.062000000000069</v>
      </c>
      <c r="DU26" s="171">
        <f t="shared" si="797"/>
        <v>41.160000000000025</v>
      </c>
      <c r="DV26" s="171">
        <f t="shared" si="797"/>
        <v>6.8879999999999981</v>
      </c>
      <c r="DW26" s="171">
        <f t="shared" si="797"/>
        <v>18.835999999999999</v>
      </c>
      <c r="DX26" s="171">
        <f t="shared" si="797"/>
        <v>-5.7959999999999994</v>
      </c>
      <c r="DY26" s="171">
        <f t="shared" si="797"/>
        <v>2.902000000000001</v>
      </c>
      <c r="DZ26" s="171">
        <f t="shared" si="797"/>
        <v>-14.709999999999994</v>
      </c>
      <c r="EA26" s="171">
        <f t="shared" si="797"/>
        <v>-3.2720000000000056</v>
      </c>
      <c r="EB26" s="171">
        <f t="shared" si="797"/>
        <v>17.625999999999991</v>
      </c>
      <c r="EC26" s="171">
        <f t="shared" si="797"/>
        <v>12.644000000000005</v>
      </c>
      <c r="ED26" s="171">
        <f t="shared" ref="ED26:GO26" si="798">IF(OR(ED21="",ED12=""),"",SUM(ED21,ED12))</f>
        <v>33.102000000000046</v>
      </c>
      <c r="EE26" s="171">
        <f t="shared" si="798"/>
        <v>42.680000000000035</v>
      </c>
      <c r="EF26" s="171">
        <f t="shared" si="798"/>
        <v>13.328000000000046</v>
      </c>
      <c r="EG26" s="171">
        <f t="shared" si="798"/>
        <v>24.716000000000022</v>
      </c>
      <c r="EH26" s="171">
        <f t="shared" si="798"/>
        <v>-9.3259999999999508</v>
      </c>
      <c r="EI26" s="171">
        <f t="shared" si="798"/>
        <v>8.3120000000000402</v>
      </c>
      <c r="EJ26" s="171">
        <f t="shared" si="798"/>
        <v>-50.95999999999998</v>
      </c>
      <c r="EK26" s="171">
        <f t="shared" si="798"/>
        <v>-36.001999999999953</v>
      </c>
      <c r="EL26" s="171">
        <f t="shared" si="798"/>
        <v>-57.913999999999959</v>
      </c>
      <c r="EM26" s="171">
        <f t="shared" si="798"/>
        <v>-45.885999999999939</v>
      </c>
      <c r="EN26" s="171">
        <f t="shared" si="798"/>
        <v>-28.297999999999973</v>
      </c>
      <c r="EO26" s="171">
        <f t="shared" si="798"/>
        <v>-51.960000000000008</v>
      </c>
      <c r="EP26" s="171">
        <f t="shared" si="798"/>
        <v>-64.092000000000013</v>
      </c>
      <c r="EQ26" s="171">
        <f t="shared" si="798"/>
        <v>-73.203999999999951</v>
      </c>
      <c r="ER26" s="171">
        <f t="shared" si="798"/>
        <v>-89.245999999999981</v>
      </c>
      <c r="ES26" s="171">
        <f t="shared" si="798"/>
        <v>-105.65799999999996</v>
      </c>
      <c r="ET26" s="171">
        <f t="shared" si="798"/>
        <v>-89.519999999999982</v>
      </c>
      <c r="EU26" s="171">
        <f t="shared" si="798"/>
        <v>-73.432000000000016</v>
      </c>
      <c r="EV26" s="171">
        <f t="shared" si="798"/>
        <v>-73.30400000000003</v>
      </c>
      <c r="EW26" s="171">
        <f t="shared" si="798"/>
        <v>-71.995999999999981</v>
      </c>
      <c r="EX26" s="171">
        <f t="shared" si="798"/>
        <v>-49.507999999999981</v>
      </c>
      <c r="EY26" s="171">
        <f t="shared" si="798"/>
        <v>-24.019999999999982</v>
      </c>
      <c r="EZ26" s="171">
        <f t="shared" si="798"/>
        <v>1.4680000000000177</v>
      </c>
      <c r="FA26" s="171">
        <f t="shared" si="798"/>
        <v>25.488</v>
      </c>
      <c r="FB26" s="171">
        <f t="shared" si="798"/>
        <v>50.975999999999999</v>
      </c>
      <c r="FC26" s="171">
        <f t="shared" si="798"/>
        <v>76.463999999999999</v>
      </c>
      <c r="FD26" s="171">
        <f t="shared" si="798"/>
        <v>101.952</v>
      </c>
      <c r="FE26" s="171">
        <f t="shared" si="798"/>
        <v>127.44000000000001</v>
      </c>
      <c r="FF26" s="171">
        <f t="shared" si="798"/>
        <v>152.928</v>
      </c>
      <c r="FG26" s="171">
        <f t="shared" si="798"/>
        <v>145.626</v>
      </c>
      <c r="FH26" s="171">
        <f t="shared" si="798"/>
        <v>111.73399999999999</v>
      </c>
      <c r="FI26" s="171">
        <f t="shared" si="798"/>
        <v>125.23200000000001</v>
      </c>
      <c r="FJ26" s="171">
        <f t="shared" si="798"/>
        <v>114.54000000000003</v>
      </c>
      <c r="FK26" s="171">
        <f t="shared" si="798"/>
        <v>121.40800000000003</v>
      </c>
      <c r="FL26" s="171">
        <f t="shared" si="798"/>
        <v>122.79600000000003</v>
      </c>
      <c r="FM26" s="171">
        <f t="shared" si="798"/>
        <v>138.65400000000002</v>
      </c>
      <c r="FN26" s="171">
        <f t="shared" si="798"/>
        <v>141.31200000000001</v>
      </c>
      <c r="FO26" s="171">
        <f t="shared" si="798"/>
        <v>159.03000000000003</v>
      </c>
      <c r="FP26" s="171">
        <f t="shared" si="798"/>
        <v>164.66800000000003</v>
      </c>
      <c r="FQ26" s="171">
        <f t="shared" si="798"/>
        <v>190.15600000000006</v>
      </c>
      <c r="FR26" s="171">
        <f t="shared" si="798"/>
        <v>178.41400000000004</v>
      </c>
      <c r="FS26" s="171">
        <f t="shared" si="798"/>
        <v>139.4620000000001</v>
      </c>
      <c r="FT26" s="171">
        <f t="shared" si="798"/>
        <v>154.96000000000009</v>
      </c>
      <c r="FU26" s="171">
        <f t="shared" si="798"/>
        <v>26.428000000000054</v>
      </c>
      <c r="FV26" s="171">
        <f t="shared" si="798"/>
        <v>19.34600000000006</v>
      </c>
      <c r="FW26" s="171">
        <f t="shared" si="798"/>
        <v>-20.62599999999992</v>
      </c>
      <c r="FX26" s="171">
        <f t="shared" si="798"/>
        <v>-16.95799999999997</v>
      </c>
      <c r="FY26" s="171">
        <f t="shared" si="798"/>
        <v>-17.70999999999998</v>
      </c>
      <c r="FZ26" s="171">
        <f t="shared" si="798"/>
        <v>-25.652000000000015</v>
      </c>
      <c r="GA26" s="171">
        <f t="shared" si="798"/>
        <v>-21.584000000000003</v>
      </c>
      <c r="GB26" s="171">
        <f t="shared" si="798"/>
        <v>-273.4559999999999</v>
      </c>
      <c r="GC26" s="171">
        <f t="shared" si="798"/>
        <v>-259.66800000000001</v>
      </c>
      <c r="GD26" s="171">
        <f t="shared" si="798"/>
        <v>-276.27999999999997</v>
      </c>
      <c r="GE26" s="171">
        <f t="shared" si="798"/>
        <v>-60.99199999999999</v>
      </c>
      <c r="GF26" s="171">
        <f t="shared" si="798"/>
        <v>-50.373999999999995</v>
      </c>
      <c r="GG26" s="171">
        <f t="shared" si="798"/>
        <v>-49.135999999999989</v>
      </c>
      <c r="GH26" s="171">
        <f t="shared" si="798"/>
        <v>-61.697999999999965</v>
      </c>
      <c r="GI26" s="171">
        <f t="shared" si="798"/>
        <v>-57.889999999999972</v>
      </c>
      <c r="GJ26" s="171">
        <f t="shared" si="798"/>
        <v>-125.26199999999996</v>
      </c>
      <c r="GK26" s="171">
        <f t="shared" si="798"/>
        <v>-123.27400000000002</v>
      </c>
      <c r="GL26" s="171">
        <f t="shared" si="798"/>
        <v>-109.43599999999998</v>
      </c>
      <c r="GM26" s="171">
        <f t="shared" si="798"/>
        <v>-94.717999999999961</v>
      </c>
      <c r="GN26" s="171">
        <f t="shared" si="798"/>
        <v>-75.549999999999955</v>
      </c>
      <c r="GO26" s="171">
        <f t="shared" si="798"/>
        <v>-240.94199999999998</v>
      </c>
      <c r="GP26" s="171">
        <f t="shared" ref="GP26:JA26" si="799">IF(OR(GP21="",GP12=""),"",SUM(GP21,GP12))</f>
        <v>-228.36399999999998</v>
      </c>
      <c r="GQ26" s="171">
        <f t="shared" si="799"/>
        <v>-202.876</v>
      </c>
      <c r="GR26" s="171">
        <f t="shared" si="799"/>
        <v>-177.38799999999998</v>
      </c>
      <c r="GS26" s="171">
        <f t="shared" si="799"/>
        <v>-151.89999999999995</v>
      </c>
      <c r="GT26" s="171">
        <f t="shared" si="799"/>
        <v>-129.61199999999997</v>
      </c>
      <c r="GU26" s="171">
        <f t="shared" si="799"/>
        <v>-160.17399999999995</v>
      </c>
      <c r="GV26" s="171">
        <f t="shared" si="799"/>
        <v>-134.68599999999998</v>
      </c>
      <c r="GW26" s="171">
        <f t="shared" si="799"/>
        <v>-128.22800000000001</v>
      </c>
      <c r="GX26" s="171">
        <f t="shared" si="799"/>
        <v>-150.55999999999995</v>
      </c>
      <c r="GY26" s="171">
        <f t="shared" si="799"/>
        <v>-278.42199999999991</v>
      </c>
      <c r="GZ26" s="171">
        <f t="shared" si="799"/>
        <v>-304.13399999999984</v>
      </c>
      <c r="HA26" s="171">
        <f t="shared" si="799"/>
        <v>-278.64599999999984</v>
      </c>
      <c r="HB26" s="171">
        <f t="shared" si="799"/>
        <v>-253.15799999999984</v>
      </c>
      <c r="HC26" s="171">
        <f t="shared" si="799"/>
        <v>-227.66999999999985</v>
      </c>
      <c r="HD26" s="171">
        <f t="shared" si="799"/>
        <v>-202.18199999999985</v>
      </c>
      <c r="HE26" s="171">
        <f t="shared" si="799"/>
        <v>-324.46399999999994</v>
      </c>
      <c r="HF26" s="171">
        <f t="shared" si="799"/>
        <v>-318.92599999999987</v>
      </c>
      <c r="HG26" s="171">
        <f t="shared" si="799"/>
        <v>-311.11799999999994</v>
      </c>
      <c r="HH26" s="171">
        <f t="shared" si="799"/>
        <v>-285.62999999999994</v>
      </c>
      <c r="HI26" s="171">
        <f t="shared" si="799"/>
        <v>-275.44199999999989</v>
      </c>
      <c r="HJ26" s="171">
        <f t="shared" si="799"/>
        <v>8.3318888888888889</v>
      </c>
      <c r="HK26" s="171">
        <f t="shared" si="799"/>
        <v>28.321000000000002</v>
      </c>
      <c r="HL26" s="171">
        <f t="shared" si="799"/>
        <v>26.305111111111124</v>
      </c>
      <c r="HM26" s="171">
        <f t="shared" si="799"/>
        <v>43.575888888888898</v>
      </c>
      <c r="HN26" s="171">
        <f t="shared" si="799"/>
        <v>27.123055555555574</v>
      </c>
      <c r="HO26" s="171">
        <f t="shared" si="799"/>
        <v>7.7591111111111175</v>
      </c>
      <c r="HP26" s="171">
        <f t="shared" si="799"/>
        <v>-22.37233333333333</v>
      </c>
      <c r="HQ26" s="171">
        <f t="shared" si="799"/>
        <v>-14.367388888888883</v>
      </c>
      <c r="HR26" s="171">
        <f t="shared" si="799"/>
        <v>10.756166666666687</v>
      </c>
      <c r="HS26" s="171">
        <f t="shared" si="799"/>
        <v>0.74194444444445651</v>
      </c>
      <c r="HT26" s="171">
        <f t="shared" si="799"/>
        <v>20.365500000000011</v>
      </c>
      <c r="HU26" s="171">
        <f t="shared" si="799"/>
        <v>23.192111111111117</v>
      </c>
      <c r="HV26" s="171">
        <f t="shared" si="799"/>
        <v>-10.17627777777777</v>
      </c>
      <c r="HW26" s="171">
        <f t="shared" si="799"/>
        <v>-16.762999999999977</v>
      </c>
      <c r="HX26" s="171">
        <f t="shared" si="799"/>
        <v>-27.087222222222209</v>
      </c>
      <c r="HY26" s="171">
        <f t="shared" si="799"/>
        <v>-26.488111111111095</v>
      </c>
      <c r="HZ26" s="171">
        <f t="shared" si="799"/>
        <v>-16.444833333333264</v>
      </c>
      <c r="IA26" s="171">
        <f t="shared" si="799"/>
        <v>-28.925444444444395</v>
      </c>
      <c r="IB26" s="171">
        <f t="shared" si="799"/>
        <v>-45.887444444444441</v>
      </c>
      <c r="IC26" s="171">
        <f t="shared" si="799"/>
        <v>-87.46111111111108</v>
      </c>
      <c r="ID26" s="171">
        <f t="shared" si="799"/>
        <v>-70.913111111111107</v>
      </c>
      <c r="IE26" s="171">
        <f t="shared" si="799"/>
        <v>-54.685944444444431</v>
      </c>
      <c r="IF26" s="171">
        <f t="shared" si="799"/>
        <v>-51.837944444444418</v>
      </c>
      <c r="IG26" s="171">
        <f t="shared" si="799"/>
        <v>-119.26994444444443</v>
      </c>
      <c r="IH26" s="171">
        <f t="shared" si="799"/>
        <v>-127.93194444444441</v>
      </c>
      <c r="II26" s="171">
        <f t="shared" si="799"/>
        <v>-117.34394444444439</v>
      </c>
      <c r="IJ26" s="171">
        <f t="shared" si="799"/>
        <v>-99.105944444444333</v>
      </c>
      <c r="IK26" s="171">
        <f t="shared" si="799"/>
        <v>-166.43794444444444</v>
      </c>
      <c r="IL26" s="171">
        <f t="shared" si="799"/>
        <v>-140.94994444444444</v>
      </c>
      <c r="IM26" s="171">
        <f t="shared" si="799"/>
        <v>-206.48194444444442</v>
      </c>
      <c r="IN26" s="171">
        <f t="shared" si="799"/>
        <v>-201.06977777777774</v>
      </c>
      <c r="IO26" s="171">
        <f t="shared" si="799"/>
        <v>-5.9203333333333337</v>
      </c>
      <c r="IP26" s="171">
        <f t="shared" si="799"/>
        <v>-17.317888888888884</v>
      </c>
      <c r="IQ26" s="171">
        <f t="shared" si="799"/>
        <v>-49.934888888888899</v>
      </c>
      <c r="IR26" s="171">
        <f t="shared" si="799"/>
        <v>-77.603555555555531</v>
      </c>
      <c r="IS26" s="171">
        <f t="shared" si="799"/>
        <v>-93.633333333333326</v>
      </c>
      <c r="IT26" s="171">
        <f t="shared" si="799"/>
        <v>-103.81783333333333</v>
      </c>
      <c r="IU26" s="171">
        <f t="shared" si="799"/>
        <v>-135.80705555555556</v>
      </c>
      <c r="IV26" s="171">
        <f t="shared" si="799"/>
        <v>-177.23905555555552</v>
      </c>
      <c r="IW26" s="171">
        <f t="shared" si="799"/>
        <v>-235.53772222222221</v>
      </c>
      <c r="IX26" s="171">
        <f t="shared" si="799"/>
        <v>-286.88166666666666</v>
      </c>
      <c r="IY26" s="171">
        <f t="shared" si="799"/>
        <v>-298.31755555555549</v>
      </c>
      <c r="IZ26" s="171">
        <f t="shared" si="799"/>
        <v>-307.15483333333327</v>
      </c>
      <c r="JA26" s="171">
        <f t="shared" si="799"/>
        <v>-339.63238888888884</v>
      </c>
      <c r="JB26" s="171">
        <f t="shared" ref="JB26:LM26" si="800">IF(OR(JB21="",JB12=""),"",SUM(JB21,JB12))</f>
        <v>-365.97911111111114</v>
      </c>
      <c r="JC26" s="171">
        <f t="shared" si="800"/>
        <v>-358.53194444444443</v>
      </c>
      <c r="JD26" s="171">
        <f t="shared" si="800"/>
        <v>-353.93005555555555</v>
      </c>
      <c r="JE26" s="171">
        <f t="shared" si="800"/>
        <v>-335.56844444444442</v>
      </c>
      <c r="JF26" s="171">
        <f t="shared" si="800"/>
        <v>-315.71766666666662</v>
      </c>
      <c r="JG26" s="171">
        <f t="shared" si="800"/>
        <v>-315.10911111111108</v>
      </c>
      <c r="JH26" s="171">
        <f t="shared" si="800"/>
        <v>-298.51249999999993</v>
      </c>
      <c r="JI26" s="171">
        <f t="shared" si="800"/>
        <v>-275.27116666666666</v>
      </c>
      <c r="JJ26" s="171">
        <f t="shared" si="800"/>
        <v>-252.96955555555553</v>
      </c>
      <c r="JK26" s="171">
        <f t="shared" si="800"/>
        <v>-252.56433333333325</v>
      </c>
      <c r="JL26" s="171">
        <f t="shared" si="800"/>
        <v>-257.76633333333331</v>
      </c>
      <c r="JM26" s="171">
        <f t="shared" si="800"/>
        <v>-267.65444444444449</v>
      </c>
      <c r="JN26" s="171">
        <f t="shared" si="800"/>
        <v>-267.10366666666658</v>
      </c>
      <c r="JO26" s="171">
        <f t="shared" si="800"/>
        <v>-268.43733333333324</v>
      </c>
      <c r="JP26" s="171">
        <f t="shared" si="800"/>
        <v>-265.36849999999987</v>
      </c>
      <c r="JQ26" s="171">
        <f t="shared" si="800"/>
        <v>-276.25549999999987</v>
      </c>
      <c r="JR26" s="171">
        <f t="shared" si="800"/>
        <v>-259.76749999999987</v>
      </c>
      <c r="JS26" s="171">
        <f t="shared" si="800"/>
        <v>2.9655000000000005</v>
      </c>
      <c r="JT26" s="171">
        <f t="shared" si="800"/>
        <v>11.083500000000003</v>
      </c>
      <c r="JU26" s="171">
        <f t="shared" si="800"/>
        <v>-30.599333333333327</v>
      </c>
      <c r="JV26" s="171">
        <f t="shared" si="800"/>
        <v>-33.866611111111112</v>
      </c>
      <c r="JW26" s="171">
        <f t="shared" si="800"/>
        <v>-22.078611111111094</v>
      </c>
      <c r="JX26" s="171">
        <f t="shared" si="800"/>
        <v>-14.510611111111089</v>
      </c>
      <c r="JY26" s="171">
        <f t="shared" si="800"/>
        <v>4.677388888888899</v>
      </c>
      <c r="JZ26" s="171">
        <f t="shared" si="800"/>
        <v>30.165388888888899</v>
      </c>
      <c r="KA26" s="171">
        <f t="shared" si="800"/>
        <v>51.653388888888912</v>
      </c>
      <c r="KB26" s="171">
        <f t="shared" si="800"/>
        <v>53.141388888888912</v>
      </c>
      <c r="KC26" s="171">
        <f t="shared" si="800"/>
        <v>54.629388888888911</v>
      </c>
      <c r="KD26" s="171">
        <f t="shared" si="800"/>
        <v>80.117388888888911</v>
      </c>
      <c r="KE26" s="171">
        <f t="shared" si="800"/>
        <v>105.60538888888891</v>
      </c>
      <c r="KF26" s="171">
        <f t="shared" si="800"/>
        <v>107.09338888888891</v>
      </c>
      <c r="KG26" s="171">
        <f t="shared" si="800"/>
        <v>126.58138888888891</v>
      </c>
      <c r="KH26" s="171">
        <f t="shared" si="800"/>
        <v>152.06938888888891</v>
      </c>
      <c r="KI26" s="171">
        <f t="shared" si="800"/>
        <v>177.55738888888894</v>
      </c>
      <c r="KJ26" s="171">
        <f t="shared" si="800"/>
        <v>203.04538888888894</v>
      </c>
      <c r="KK26" s="171">
        <f t="shared" si="800"/>
        <v>192.53338888888894</v>
      </c>
      <c r="KL26" s="171">
        <f t="shared" si="800"/>
        <v>218.02138888888894</v>
      </c>
      <c r="KM26" s="171">
        <f t="shared" si="800"/>
        <v>237.50938888888891</v>
      </c>
      <c r="KN26" s="171">
        <f t="shared" si="800"/>
        <v>262.99738888888896</v>
      </c>
      <c r="KO26" s="171">
        <f t="shared" si="800"/>
        <v>288.48538888888891</v>
      </c>
      <c r="KP26" s="171">
        <f t="shared" si="800"/>
        <v>313.97338888888896</v>
      </c>
      <c r="KQ26" s="171">
        <f t="shared" si="800"/>
        <v>339.46138888888891</v>
      </c>
      <c r="KR26" s="171">
        <f t="shared" si="800"/>
        <v>364.94938888888896</v>
      </c>
      <c r="KS26" s="171">
        <f t="shared" si="800"/>
        <v>390.4373888888889</v>
      </c>
      <c r="KT26" s="171">
        <f t="shared" si="800"/>
        <v>415.92538888888896</v>
      </c>
      <c r="KU26" s="171">
        <f t="shared" si="800"/>
        <v>441.41338888888896</v>
      </c>
      <c r="KV26" s="171">
        <f t="shared" si="800"/>
        <v>466.9013888888889</v>
      </c>
      <c r="KW26" s="171">
        <f t="shared" si="800"/>
        <v>492.3893888888889</v>
      </c>
      <c r="KX26" s="171" t="str">
        <f t="shared" si="800"/>
        <v/>
      </c>
      <c r="KY26" s="171" t="str">
        <f t="shared" si="800"/>
        <v/>
      </c>
      <c r="KZ26" s="171" t="str">
        <f t="shared" si="800"/>
        <v/>
      </c>
      <c r="LA26" s="171" t="str">
        <f t="shared" si="800"/>
        <v/>
      </c>
      <c r="LB26" s="171" t="str">
        <f t="shared" si="800"/>
        <v/>
      </c>
      <c r="LC26" s="171" t="str">
        <f t="shared" si="800"/>
        <v/>
      </c>
      <c r="LD26" s="171" t="str">
        <f t="shared" si="800"/>
        <v/>
      </c>
      <c r="LE26" s="171" t="str">
        <f t="shared" si="800"/>
        <v/>
      </c>
      <c r="LF26" s="171" t="str">
        <f t="shared" si="800"/>
        <v/>
      </c>
      <c r="LG26" s="171" t="str">
        <f t="shared" si="800"/>
        <v/>
      </c>
      <c r="LH26" s="171" t="str">
        <f t="shared" si="800"/>
        <v/>
      </c>
      <c r="LI26" s="171" t="str">
        <f t="shared" si="800"/>
        <v/>
      </c>
      <c r="LJ26" s="171" t="str">
        <f t="shared" si="800"/>
        <v/>
      </c>
      <c r="LK26" s="171" t="str">
        <f t="shared" si="800"/>
        <v/>
      </c>
      <c r="LL26" s="171" t="str">
        <f t="shared" si="800"/>
        <v/>
      </c>
      <c r="LM26" s="171" t="str">
        <f t="shared" si="800"/>
        <v/>
      </c>
      <c r="LN26" s="171" t="str">
        <f t="shared" ref="LN26:NY26" si="801">IF(OR(LN21="",LN12=""),"",SUM(LN21,LN12))</f>
        <v/>
      </c>
      <c r="LO26" s="171" t="str">
        <f t="shared" si="801"/>
        <v/>
      </c>
      <c r="LP26" s="171" t="str">
        <f t="shared" si="801"/>
        <v/>
      </c>
      <c r="LQ26" s="171" t="str">
        <f t="shared" si="801"/>
        <v/>
      </c>
      <c r="LR26" s="171" t="str">
        <f t="shared" si="801"/>
        <v/>
      </c>
      <c r="LS26" s="171" t="str">
        <f t="shared" si="801"/>
        <v/>
      </c>
      <c r="LT26" s="171" t="str">
        <f t="shared" si="801"/>
        <v/>
      </c>
      <c r="LU26" s="171" t="str">
        <f t="shared" si="801"/>
        <v/>
      </c>
      <c r="LV26" s="171" t="str">
        <f t="shared" si="801"/>
        <v/>
      </c>
      <c r="LW26" s="171" t="str">
        <f t="shared" si="801"/>
        <v/>
      </c>
      <c r="LX26" s="171" t="str">
        <f t="shared" si="801"/>
        <v/>
      </c>
      <c r="LY26" s="171" t="str">
        <f t="shared" si="801"/>
        <v/>
      </c>
      <c r="LZ26" s="171" t="str">
        <f t="shared" si="801"/>
        <v/>
      </c>
      <c r="MA26" s="171" t="str">
        <f t="shared" si="801"/>
        <v/>
      </c>
      <c r="MB26" s="171" t="str">
        <f t="shared" si="801"/>
        <v/>
      </c>
      <c r="MC26" s="171" t="str">
        <f t="shared" si="801"/>
        <v/>
      </c>
      <c r="MD26" s="171" t="str">
        <f t="shared" si="801"/>
        <v/>
      </c>
      <c r="ME26" s="171" t="str">
        <f t="shared" si="801"/>
        <v/>
      </c>
      <c r="MF26" s="171" t="str">
        <f t="shared" si="801"/>
        <v/>
      </c>
      <c r="MG26" s="171" t="str">
        <f t="shared" si="801"/>
        <v/>
      </c>
      <c r="MH26" s="171" t="str">
        <f t="shared" si="801"/>
        <v/>
      </c>
      <c r="MI26" s="171" t="str">
        <f t="shared" si="801"/>
        <v/>
      </c>
      <c r="MJ26" s="171" t="str">
        <f t="shared" si="801"/>
        <v/>
      </c>
      <c r="MK26" s="171" t="str">
        <f t="shared" si="801"/>
        <v/>
      </c>
      <c r="ML26" s="171" t="str">
        <f t="shared" si="801"/>
        <v/>
      </c>
      <c r="MM26" s="171" t="str">
        <f t="shared" si="801"/>
        <v/>
      </c>
      <c r="MN26" s="171" t="str">
        <f t="shared" si="801"/>
        <v/>
      </c>
      <c r="MO26" s="171" t="str">
        <f t="shared" si="801"/>
        <v/>
      </c>
      <c r="MP26" s="171" t="str">
        <f t="shared" si="801"/>
        <v/>
      </c>
      <c r="MQ26" s="171" t="str">
        <f t="shared" si="801"/>
        <v/>
      </c>
      <c r="MR26" s="171" t="str">
        <f t="shared" si="801"/>
        <v/>
      </c>
      <c r="MS26" s="171" t="str">
        <f t="shared" si="801"/>
        <v/>
      </c>
      <c r="MT26" s="171" t="str">
        <f t="shared" si="801"/>
        <v/>
      </c>
      <c r="MU26" s="171" t="str">
        <f t="shared" si="801"/>
        <v/>
      </c>
      <c r="MV26" s="171" t="str">
        <f t="shared" si="801"/>
        <v/>
      </c>
      <c r="MW26" s="171" t="str">
        <f t="shared" si="801"/>
        <v/>
      </c>
      <c r="MX26" s="171" t="str">
        <f t="shared" si="801"/>
        <v/>
      </c>
      <c r="MY26" s="171" t="str">
        <f t="shared" si="801"/>
        <v/>
      </c>
      <c r="MZ26" s="171" t="str">
        <f t="shared" si="801"/>
        <v/>
      </c>
      <c r="NA26" s="171" t="str">
        <f t="shared" si="801"/>
        <v/>
      </c>
      <c r="NB26" s="171" t="str">
        <f t="shared" si="801"/>
        <v/>
      </c>
      <c r="NC26" s="171" t="str">
        <f t="shared" si="801"/>
        <v/>
      </c>
      <c r="ND26" s="171" t="str">
        <f t="shared" si="801"/>
        <v/>
      </c>
      <c r="NE26" s="171" t="str">
        <f t="shared" si="801"/>
        <v/>
      </c>
      <c r="NF26" s="171" t="str">
        <f t="shared" si="801"/>
        <v/>
      </c>
      <c r="NG26" s="171" t="str">
        <f t="shared" si="801"/>
        <v/>
      </c>
      <c r="NH26" s="171" t="str">
        <f t="shared" si="801"/>
        <v/>
      </c>
      <c r="NI26" s="171" t="str">
        <f t="shared" si="801"/>
        <v/>
      </c>
      <c r="NJ26" s="171" t="str">
        <f t="shared" si="801"/>
        <v/>
      </c>
      <c r="NK26" s="171" t="str">
        <f t="shared" si="801"/>
        <v/>
      </c>
      <c r="NL26" s="171" t="str">
        <f t="shared" si="801"/>
        <v/>
      </c>
      <c r="NM26" s="171" t="str">
        <f t="shared" si="801"/>
        <v/>
      </c>
      <c r="NN26" s="171" t="str">
        <f t="shared" si="801"/>
        <v/>
      </c>
      <c r="NO26" s="171" t="str">
        <f t="shared" si="801"/>
        <v/>
      </c>
      <c r="NP26" s="171" t="str">
        <f t="shared" si="801"/>
        <v/>
      </c>
      <c r="NQ26" s="171" t="str">
        <f t="shared" si="801"/>
        <v/>
      </c>
      <c r="NR26" s="171" t="str">
        <f t="shared" si="801"/>
        <v/>
      </c>
      <c r="NS26" s="171" t="str">
        <f t="shared" si="801"/>
        <v/>
      </c>
      <c r="NT26" s="171" t="str">
        <f t="shared" si="801"/>
        <v/>
      </c>
      <c r="NU26" s="171" t="str">
        <f t="shared" si="801"/>
        <v/>
      </c>
      <c r="NV26" s="171" t="str">
        <f t="shared" si="801"/>
        <v/>
      </c>
      <c r="NW26" s="171" t="str">
        <f t="shared" si="801"/>
        <v/>
      </c>
      <c r="NX26" s="171" t="str">
        <f t="shared" si="801"/>
        <v/>
      </c>
      <c r="NY26" s="171" t="str">
        <f t="shared" si="801"/>
        <v/>
      </c>
      <c r="NZ26" s="171" t="str">
        <f t="shared" ref="NZ26:OZ26" si="802">IF(OR(NZ21="",NZ12=""),"",SUM(NZ21,NZ12))</f>
        <v/>
      </c>
      <c r="OA26" s="171" t="str">
        <f t="shared" si="802"/>
        <v/>
      </c>
      <c r="OB26" s="171" t="str">
        <f t="shared" si="802"/>
        <v/>
      </c>
      <c r="OC26" s="171" t="str">
        <f t="shared" si="802"/>
        <v/>
      </c>
      <c r="OD26" s="171" t="str">
        <f t="shared" si="802"/>
        <v/>
      </c>
      <c r="OE26" s="171" t="str">
        <f t="shared" si="802"/>
        <v/>
      </c>
      <c r="OF26" s="171" t="str">
        <f t="shared" si="802"/>
        <v/>
      </c>
      <c r="OG26" s="171" t="str">
        <f t="shared" si="802"/>
        <v/>
      </c>
      <c r="OH26" s="171" t="str">
        <f t="shared" si="802"/>
        <v/>
      </c>
      <c r="OI26" s="171" t="str">
        <f t="shared" si="802"/>
        <v/>
      </c>
      <c r="OJ26" s="171" t="str">
        <f t="shared" si="802"/>
        <v/>
      </c>
      <c r="OK26" s="171" t="str">
        <f t="shared" si="802"/>
        <v/>
      </c>
      <c r="OL26" s="171" t="str">
        <f t="shared" si="802"/>
        <v/>
      </c>
      <c r="OM26" s="171" t="str">
        <f t="shared" si="802"/>
        <v/>
      </c>
      <c r="ON26" s="171" t="str">
        <f t="shared" si="802"/>
        <v/>
      </c>
      <c r="OO26" s="171" t="str">
        <f t="shared" si="802"/>
        <v/>
      </c>
      <c r="OP26" s="171" t="str">
        <f t="shared" si="802"/>
        <v/>
      </c>
      <c r="OQ26" s="171" t="str">
        <f t="shared" si="802"/>
        <v/>
      </c>
      <c r="OR26" s="171" t="str">
        <f t="shared" si="802"/>
        <v/>
      </c>
      <c r="OS26" s="171" t="str">
        <f t="shared" si="802"/>
        <v/>
      </c>
      <c r="OT26" s="171" t="str">
        <f t="shared" si="802"/>
        <v/>
      </c>
      <c r="OU26" s="171" t="str">
        <f t="shared" si="802"/>
        <v/>
      </c>
      <c r="OV26" s="171" t="str">
        <f t="shared" si="802"/>
        <v/>
      </c>
      <c r="OW26" s="171" t="str">
        <f t="shared" si="802"/>
        <v/>
      </c>
      <c r="OX26" s="171" t="str">
        <f t="shared" si="802"/>
        <v/>
      </c>
      <c r="OY26" s="171" t="str">
        <f t="shared" si="802"/>
        <v/>
      </c>
      <c r="OZ26" s="172" t="str">
        <f t="shared" si="802"/>
        <v/>
      </c>
    </row>
    <row r="27" spans="1:416" s="85" customFormat="1" ht="14.1" customHeight="1" x14ac:dyDescent="0.2">
      <c r="A27" s="138" t="b">
        <f t="shared" si="376"/>
        <v>0</v>
      </c>
      <c r="B27" s="139">
        <v>24</v>
      </c>
      <c r="C27" s="160" t="str">
        <f>C26</f>
        <v>Mechanical Availability</v>
      </c>
      <c r="D27" s="161" t="str">
        <f>D26</f>
        <v>777 Optiload</v>
      </c>
      <c r="E27" s="199" t="s">
        <v>71</v>
      </c>
      <c r="F27" s="186">
        <f t="shared" ref="F27:BQ27" si="803">IF(OR(F22="",F13=""),"",SUM(F22,F13))</f>
        <v>25.488</v>
      </c>
      <c r="G27" s="186">
        <f t="shared" si="803"/>
        <v>-28.632000000000005</v>
      </c>
      <c r="H27" s="186">
        <f t="shared" si="803"/>
        <v>19.038</v>
      </c>
      <c r="I27" s="186">
        <f t="shared" si="803"/>
        <v>25.488</v>
      </c>
      <c r="J27" s="186">
        <f t="shared" si="803"/>
        <v>-5.2320000000000011</v>
      </c>
      <c r="K27" s="186">
        <f t="shared" si="803"/>
        <v>6.8980000000000006</v>
      </c>
      <c r="L27" s="186">
        <f t="shared" si="803"/>
        <v>14.198</v>
      </c>
      <c r="M27" s="186">
        <f t="shared" si="803"/>
        <v>-30.872</v>
      </c>
      <c r="N27" s="186">
        <f t="shared" si="803"/>
        <v>20.688000000000002</v>
      </c>
      <c r="O27" s="186">
        <f t="shared" si="803"/>
        <v>3.1579999999999995</v>
      </c>
      <c r="P27" s="186">
        <f t="shared" si="803"/>
        <v>-68.811999999999998</v>
      </c>
      <c r="Q27" s="186">
        <f t="shared" si="803"/>
        <v>14.668000000000003</v>
      </c>
      <c r="R27" s="186">
        <f t="shared" si="803"/>
        <v>-17.331999999999997</v>
      </c>
      <c r="S27" s="186">
        <f t="shared" si="803"/>
        <v>0.34800000000000075</v>
      </c>
      <c r="T27" s="186">
        <f t="shared" si="803"/>
        <v>3.7180000000000017</v>
      </c>
      <c r="U27" s="186">
        <f t="shared" si="803"/>
        <v>-7.171999999999997</v>
      </c>
      <c r="V27" s="186">
        <f t="shared" si="803"/>
        <v>24.468000000000004</v>
      </c>
      <c r="W27" s="186">
        <f t="shared" si="803"/>
        <v>12.028</v>
      </c>
      <c r="X27" s="186">
        <f t="shared" si="803"/>
        <v>5.918000000000001</v>
      </c>
      <c r="Y27" s="186">
        <f t="shared" si="803"/>
        <v>0.16800000000000104</v>
      </c>
      <c r="Z27" s="186">
        <f t="shared" si="803"/>
        <v>23.068000000000001</v>
      </c>
      <c r="AA27" s="186">
        <f t="shared" si="803"/>
        <v>-1.4919999999999956</v>
      </c>
      <c r="AB27" s="186">
        <f t="shared" si="803"/>
        <v>-31.812000000000001</v>
      </c>
      <c r="AC27" s="186">
        <f t="shared" si="803"/>
        <v>12.708000000000002</v>
      </c>
      <c r="AD27" s="186">
        <f t="shared" si="803"/>
        <v>-0.71199999999999708</v>
      </c>
      <c r="AE27" s="186">
        <f t="shared" si="803"/>
        <v>25.488</v>
      </c>
      <c r="AF27" s="186">
        <f t="shared" si="803"/>
        <v>-7.1719999999999988</v>
      </c>
      <c r="AG27" s="186">
        <f t="shared" si="803"/>
        <v>-17.011999999999997</v>
      </c>
      <c r="AH27" s="186">
        <f t="shared" si="803"/>
        <v>22.988</v>
      </c>
      <c r="AI27" s="186">
        <f t="shared" si="803"/>
        <v>10.258000000000001</v>
      </c>
      <c r="AJ27" s="186">
        <f t="shared" si="803"/>
        <v>18.218000000000004</v>
      </c>
      <c r="AK27" s="186">
        <f t="shared" si="803"/>
        <v>19.97</v>
      </c>
      <c r="AL27" s="186">
        <f t="shared" si="803"/>
        <v>3.9200000000000017</v>
      </c>
      <c r="AM27" s="186">
        <f t="shared" si="803"/>
        <v>22.3</v>
      </c>
      <c r="AN27" s="186">
        <f t="shared" si="803"/>
        <v>20.45</v>
      </c>
      <c r="AO27" s="186">
        <f t="shared" si="803"/>
        <v>16.149999999999999</v>
      </c>
      <c r="AP27" s="186">
        <f t="shared" si="803"/>
        <v>4.860000000000003</v>
      </c>
      <c r="AQ27" s="186">
        <f t="shared" si="803"/>
        <v>21.520000000000003</v>
      </c>
      <c r="AR27" s="186">
        <f t="shared" si="803"/>
        <v>14.12</v>
      </c>
      <c r="AS27" s="186">
        <f t="shared" si="803"/>
        <v>10.630000000000003</v>
      </c>
      <c r="AT27" s="186">
        <f t="shared" si="803"/>
        <v>4.4800000000000004</v>
      </c>
      <c r="AU27" s="186">
        <f t="shared" si="803"/>
        <v>9.41</v>
      </c>
      <c r="AV27" s="186">
        <f t="shared" si="803"/>
        <v>-2.110000000000003</v>
      </c>
      <c r="AW27" s="186">
        <f t="shared" si="803"/>
        <v>-2.1899999999999995</v>
      </c>
      <c r="AX27" s="186">
        <f t="shared" si="803"/>
        <v>7.9000000000000021</v>
      </c>
      <c r="AY27" s="186">
        <f t="shared" si="803"/>
        <v>-0.19999999999999929</v>
      </c>
      <c r="AZ27" s="186">
        <f t="shared" si="803"/>
        <v>14.67</v>
      </c>
      <c r="BA27" s="186">
        <f t="shared" si="803"/>
        <v>19.05</v>
      </c>
      <c r="BB27" s="186">
        <f t="shared" si="803"/>
        <v>-6.3299999999999983</v>
      </c>
      <c r="BC27" s="186">
        <f t="shared" si="803"/>
        <v>3.2300000000000004</v>
      </c>
      <c r="BD27" s="186">
        <f t="shared" si="803"/>
        <v>-9.64</v>
      </c>
      <c r="BE27" s="186">
        <f t="shared" si="803"/>
        <v>20.119999999999997</v>
      </c>
      <c r="BF27" s="186">
        <f t="shared" si="803"/>
        <v>-27.81</v>
      </c>
      <c r="BG27" s="186">
        <f t="shared" si="803"/>
        <v>-1.8200000000000003</v>
      </c>
      <c r="BH27" s="186">
        <f t="shared" si="803"/>
        <v>22.48</v>
      </c>
      <c r="BI27" s="186">
        <f t="shared" si="803"/>
        <v>1.6500000000000004</v>
      </c>
      <c r="BJ27" s="186">
        <f t="shared" si="803"/>
        <v>23.490000000000002</v>
      </c>
      <c r="BK27" s="186">
        <f t="shared" si="803"/>
        <v>24.52</v>
      </c>
      <c r="BL27" s="186">
        <f t="shared" si="803"/>
        <v>14.42</v>
      </c>
      <c r="BM27" s="186">
        <f t="shared" si="803"/>
        <v>-18.990000000000002</v>
      </c>
      <c r="BN27" s="186">
        <f t="shared" si="803"/>
        <v>-7.9599999999999991</v>
      </c>
      <c r="BO27" s="186">
        <f t="shared" si="803"/>
        <v>-32.549999999999997</v>
      </c>
      <c r="BP27" s="186">
        <f t="shared" si="803"/>
        <v>15.7</v>
      </c>
      <c r="BQ27" s="186">
        <f t="shared" si="803"/>
        <v>-3.879999999999999</v>
      </c>
      <c r="BR27" s="186">
        <f t="shared" ref="BR27:EC27" si="804">IF(OR(BR22="",BR13=""),"",SUM(BR22,BR13))</f>
        <v>-31.11</v>
      </c>
      <c r="BS27" s="186">
        <f t="shared" si="804"/>
        <v>4.9400000000000031</v>
      </c>
      <c r="BT27" s="186">
        <f t="shared" si="804"/>
        <v>21.46</v>
      </c>
      <c r="BU27" s="186">
        <f t="shared" si="804"/>
        <v>-14.270000000000003</v>
      </c>
      <c r="BV27" s="186">
        <f t="shared" si="804"/>
        <v>-2.4000000000000021</v>
      </c>
      <c r="BW27" s="186">
        <f t="shared" si="804"/>
        <v>2.5199999999999978</v>
      </c>
      <c r="BX27" s="186">
        <f t="shared" si="804"/>
        <v>22.54</v>
      </c>
      <c r="BY27" s="186">
        <f t="shared" si="804"/>
        <v>10.310000000000002</v>
      </c>
      <c r="BZ27" s="186">
        <f t="shared" si="804"/>
        <v>16.119999999999997</v>
      </c>
      <c r="CA27" s="186">
        <f t="shared" si="804"/>
        <v>0.94999999999999929</v>
      </c>
      <c r="CB27" s="186">
        <f t="shared" si="804"/>
        <v>6.9500000000000028</v>
      </c>
      <c r="CC27" s="186">
        <f t="shared" si="804"/>
        <v>24.79</v>
      </c>
      <c r="CD27" s="186">
        <f t="shared" si="804"/>
        <v>15.170000000000002</v>
      </c>
      <c r="CE27" s="186">
        <f t="shared" si="804"/>
        <v>-35.340000000000003</v>
      </c>
      <c r="CF27" s="186">
        <f t="shared" si="804"/>
        <v>-36.590000000000003</v>
      </c>
      <c r="CG27" s="186">
        <f t="shared" si="804"/>
        <v>20.53</v>
      </c>
      <c r="CH27" s="186">
        <f t="shared" si="804"/>
        <v>28.32</v>
      </c>
      <c r="CI27" s="186">
        <f t="shared" si="804"/>
        <v>-5.9400000000000013</v>
      </c>
      <c r="CJ27" s="186">
        <f t="shared" si="804"/>
        <v>28</v>
      </c>
      <c r="CK27" s="186">
        <f t="shared" si="804"/>
        <v>20.700000000000003</v>
      </c>
      <c r="CL27" s="186">
        <f t="shared" si="804"/>
        <v>-5.35</v>
      </c>
      <c r="CM27" s="186">
        <f t="shared" si="804"/>
        <v>2.7100000000000009</v>
      </c>
      <c r="CN27" s="186">
        <f t="shared" si="804"/>
        <v>27.32</v>
      </c>
      <c r="CO27" s="186">
        <f t="shared" si="804"/>
        <v>24.8</v>
      </c>
      <c r="CP27" s="186">
        <f t="shared" si="804"/>
        <v>-5.3199999999999967</v>
      </c>
      <c r="CQ27" s="186">
        <f t="shared" si="804"/>
        <v>17.57</v>
      </c>
      <c r="CR27" s="186">
        <f t="shared" si="804"/>
        <v>-22.16</v>
      </c>
      <c r="CS27" s="186">
        <f t="shared" si="804"/>
        <v>16.28</v>
      </c>
      <c r="CT27" s="186">
        <f t="shared" si="804"/>
        <v>6.9300000000000015</v>
      </c>
      <c r="CU27" s="186">
        <f t="shared" si="804"/>
        <v>-4.6600000000000037</v>
      </c>
      <c r="CV27" s="186">
        <f t="shared" si="804"/>
        <v>-14.78</v>
      </c>
      <c r="CW27" s="186">
        <f t="shared" si="804"/>
        <v>6.5</v>
      </c>
      <c r="CX27" s="186">
        <f t="shared" si="804"/>
        <v>17.850000000000001</v>
      </c>
      <c r="CY27" s="186">
        <f t="shared" si="804"/>
        <v>22.64</v>
      </c>
      <c r="CZ27" s="186">
        <f t="shared" si="804"/>
        <v>23.4</v>
      </c>
      <c r="DA27" s="186">
        <f t="shared" si="804"/>
        <v>-8.259999999999998</v>
      </c>
      <c r="DB27" s="186">
        <f t="shared" si="804"/>
        <v>11.39</v>
      </c>
      <c r="DC27" s="186">
        <f t="shared" si="804"/>
        <v>26.82</v>
      </c>
      <c r="DD27" s="186">
        <f t="shared" si="804"/>
        <v>9.4</v>
      </c>
      <c r="DE27" s="186">
        <f t="shared" si="804"/>
        <v>14.19</v>
      </c>
      <c r="DF27" s="186">
        <f t="shared" si="804"/>
        <v>17.700000000000003</v>
      </c>
      <c r="DG27" s="186">
        <f t="shared" si="804"/>
        <v>11.500000000000002</v>
      </c>
      <c r="DH27" s="186">
        <f t="shared" si="804"/>
        <v>-4.5999999999999996</v>
      </c>
      <c r="DI27" s="186">
        <f t="shared" si="804"/>
        <v>-9.07</v>
      </c>
      <c r="DJ27" s="186">
        <f t="shared" si="804"/>
        <v>13.07</v>
      </c>
      <c r="DK27" s="186">
        <f t="shared" si="804"/>
        <v>-18.770000000000003</v>
      </c>
      <c r="DL27" s="186">
        <f t="shared" si="804"/>
        <v>22.5</v>
      </c>
      <c r="DM27" s="186">
        <f t="shared" si="804"/>
        <v>-157.51000000000002</v>
      </c>
      <c r="DN27" s="186">
        <f t="shared" si="804"/>
        <v>24.630000000000003</v>
      </c>
      <c r="DO27" s="186">
        <f t="shared" si="804"/>
        <v>23.35</v>
      </c>
      <c r="DP27" s="186">
        <f t="shared" si="804"/>
        <v>20.29</v>
      </c>
      <c r="DQ27" s="186">
        <f t="shared" si="804"/>
        <v>24.04</v>
      </c>
      <c r="DR27" s="186">
        <f t="shared" si="804"/>
        <v>19.57</v>
      </c>
      <c r="DS27" s="186">
        <f t="shared" si="804"/>
        <v>18.11</v>
      </c>
      <c r="DT27" s="186">
        <f t="shared" si="804"/>
        <v>23.840000000000003</v>
      </c>
      <c r="DU27" s="186">
        <f t="shared" si="804"/>
        <v>-8.069999999999995</v>
      </c>
      <c r="DV27" s="186">
        <f t="shared" si="804"/>
        <v>9.7199999999999989</v>
      </c>
      <c r="DW27" s="186">
        <f t="shared" si="804"/>
        <v>14.78</v>
      </c>
      <c r="DX27" s="186">
        <f t="shared" si="804"/>
        <v>-21.800000000000004</v>
      </c>
      <c r="DY27" s="186">
        <f t="shared" si="804"/>
        <v>11.53</v>
      </c>
      <c r="DZ27" s="186">
        <f t="shared" si="804"/>
        <v>-14.779999999999998</v>
      </c>
      <c r="EA27" s="186">
        <f t="shared" si="804"/>
        <v>14.27</v>
      </c>
      <c r="EB27" s="186">
        <f t="shared" si="804"/>
        <v>23.73</v>
      </c>
      <c r="EC27" s="186">
        <f t="shared" si="804"/>
        <v>-2.1499999999999986</v>
      </c>
      <c r="ED27" s="186">
        <f t="shared" ref="ED27:GO27" si="805">IF(OR(ED22="",ED13=""),"",SUM(ED22,ED13))</f>
        <v>23.29</v>
      </c>
      <c r="EE27" s="186">
        <f t="shared" si="805"/>
        <v>12.41</v>
      </c>
      <c r="EF27" s="186">
        <f t="shared" si="805"/>
        <v>-26.52</v>
      </c>
      <c r="EG27" s="186">
        <f t="shared" si="805"/>
        <v>14.22</v>
      </c>
      <c r="EH27" s="186">
        <f t="shared" si="805"/>
        <v>-31.209999999999994</v>
      </c>
      <c r="EI27" s="186">
        <f t="shared" si="805"/>
        <v>28.32</v>
      </c>
      <c r="EJ27" s="186">
        <f t="shared" si="805"/>
        <v>-56.440000000000005</v>
      </c>
      <c r="EK27" s="186">
        <f t="shared" si="805"/>
        <v>17.790000000000003</v>
      </c>
      <c r="EL27" s="186">
        <f t="shared" si="805"/>
        <v>-19.080000000000002</v>
      </c>
      <c r="EM27" s="186">
        <f t="shared" si="805"/>
        <v>14.86</v>
      </c>
      <c r="EN27" s="186">
        <f t="shared" si="805"/>
        <v>20.420000000000002</v>
      </c>
      <c r="EO27" s="186">
        <f t="shared" si="805"/>
        <v>-20.83</v>
      </c>
      <c r="EP27" s="186">
        <f t="shared" si="805"/>
        <v>-9.3000000000000007</v>
      </c>
      <c r="EQ27" s="186">
        <f t="shared" si="805"/>
        <v>-6.2799999999999994</v>
      </c>
      <c r="ER27" s="186">
        <f t="shared" si="805"/>
        <v>-13.209999999999999</v>
      </c>
      <c r="ES27" s="186">
        <f t="shared" si="805"/>
        <v>-13.579999999999998</v>
      </c>
      <c r="ET27" s="186">
        <f t="shared" si="805"/>
        <v>18.97</v>
      </c>
      <c r="EU27" s="186">
        <f t="shared" si="805"/>
        <v>18.920000000000002</v>
      </c>
      <c r="EV27" s="186">
        <f t="shared" si="805"/>
        <v>2.9600000000000009</v>
      </c>
      <c r="EW27" s="186">
        <f t="shared" si="805"/>
        <v>4.1400000000000015</v>
      </c>
      <c r="EX27" s="186">
        <f t="shared" si="805"/>
        <v>25.32</v>
      </c>
      <c r="EY27" s="186">
        <f t="shared" si="805"/>
        <v>28.32</v>
      </c>
      <c r="EZ27" s="186">
        <f t="shared" si="805"/>
        <v>28.32</v>
      </c>
      <c r="FA27" s="186">
        <f t="shared" si="805"/>
        <v>28.32</v>
      </c>
      <c r="FB27" s="186">
        <f t="shared" si="805"/>
        <v>28.32</v>
      </c>
      <c r="FC27" s="186">
        <f t="shared" si="805"/>
        <v>28.32</v>
      </c>
      <c r="FD27" s="186">
        <f t="shared" si="805"/>
        <v>28.32</v>
      </c>
      <c r="FE27" s="186">
        <f t="shared" si="805"/>
        <v>28.32</v>
      </c>
      <c r="FF27" s="186">
        <f t="shared" si="805"/>
        <v>28.32</v>
      </c>
      <c r="FG27" s="186">
        <f t="shared" si="805"/>
        <v>-4.4700000000000024</v>
      </c>
      <c r="FH27" s="186">
        <f t="shared" si="805"/>
        <v>-31.060000000000002</v>
      </c>
      <c r="FI27" s="186">
        <f t="shared" si="805"/>
        <v>16.330000000000002</v>
      </c>
      <c r="FJ27" s="186">
        <f t="shared" si="805"/>
        <v>-7.8600000000000012</v>
      </c>
      <c r="FK27" s="186">
        <f t="shared" si="805"/>
        <v>9.6999999999999993</v>
      </c>
      <c r="FL27" s="186">
        <f t="shared" si="805"/>
        <v>4.2200000000000024</v>
      </c>
      <c r="FM27" s="186">
        <f t="shared" si="805"/>
        <v>18.689999999999998</v>
      </c>
      <c r="FN27" s="186">
        <f t="shared" si="805"/>
        <v>5.4899999999999949</v>
      </c>
      <c r="FO27" s="186">
        <f t="shared" si="805"/>
        <v>20.55</v>
      </c>
      <c r="FP27" s="186">
        <f t="shared" si="805"/>
        <v>8.4699999999999989</v>
      </c>
      <c r="FQ27" s="186">
        <f t="shared" si="805"/>
        <v>28.32</v>
      </c>
      <c r="FR27" s="186">
        <f t="shared" si="805"/>
        <v>-8.91</v>
      </c>
      <c r="FS27" s="186">
        <f t="shared" si="805"/>
        <v>-36.120000000000005</v>
      </c>
      <c r="FT27" s="186">
        <f t="shared" si="805"/>
        <v>18.329999999999998</v>
      </c>
      <c r="FU27" s="186">
        <f t="shared" si="805"/>
        <v>-125.70000000000002</v>
      </c>
      <c r="FV27" s="186">
        <f t="shared" si="805"/>
        <v>-4.2500000000000018</v>
      </c>
      <c r="FW27" s="186">
        <f t="shared" si="805"/>
        <v>-37.14</v>
      </c>
      <c r="FX27" s="186">
        <f t="shared" si="805"/>
        <v>6.5</v>
      </c>
      <c r="FY27" s="186">
        <f t="shared" si="805"/>
        <v>2.0800000000000018</v>
      </c>
      <c r="FZ27" s="186">
        <f t="shared" si="805"/>
        <v>-5.1099999999999994</v>
      </c>
      <c r="GA27" s="186">
        <f t="shared" si="805"/>
        <v>6.9000000000000021</v>
      </c>
      <c r="GB27" s="186">
        <f t="shared" si="805"/>
        <v>-249.03999999999994</v>
      </c>
      <c r="GC27" s="186">
        <f t="shared" si="805"/>
        <v>16.62</v>
      </c>
      <c r="GD27" s="186">
        <f t="shared" si="805"/>
        <v>-13.779999999999998</v>
      </c>
      <c r="GE27" s="186">
        <f t="shared" si="805"/>
        <v>-58.16</v>
      </c>
      <c r="GF27" s="186">
        <f t="shared" si="805"/>
        <v>13.450000000000001</v>
      </c>
      <c r="GG27" s="186">
        <f t="shared" si="805"/>
        <v>4.07</v>
      </c>
      <c r="GH27" s="186">
        <f t="shared" si="805"/>
        <v>-9.7299999999999933</v>
      </c>
      <c r="GI27" s="186">
        <f t="shared" si="805"/>
        <v>6.6400000000000006</v>
      </c>
      <c r="GJ27" s="186">
        <f t="shared" si="805"/>
        <v>-64.540000000000006</v>
      </c>
      <c r="GK27" s="186">
        <f t="shared" si="805"/>
        <v>4.82</v>
      </c>
      <c r="GL27" s="186">
        <f t="shared" si="805"/>
        <v>16.670000000000002</v>
      </c>
      <c r="GM27" s="186">
        <f t="shared" si="805"/>
        <v>17.55</v>
      </c>
      <c r="GN27" s="186">
        <f t="shared" si="805"/>
        <v>22</v>
      </c>
      <c r="GO27" s="186">
        <f t="shared" si="805"/>
        <v>-162.56</v>
      </c>
      <c r="GP27" s="186">
        <f t="shared" ref="GP27:JA27" si="806">IF(OR(GP22="",GP13=""),"",SUM(GP22,GP13))</f>
        <v>15.41</v>
      </c>
      <c r="GQ27" s="186">
        <f t="shared" si="806"/>
        <v>28.32</v>
      </c>
      <c r="GR27" s="186">
        <f t="shared" si="806"/>
        <v>28.32</v>
      </c>
      <c r="GS27" s="186">
        <f t="shared" si="806"/>
        <v>28.32</v>
      </c>
      <c r="GT27" s="186">
        <f t="shared" si="806"/>
        <v>25.12</v>
      </c>
      <c r="GU27" s="186">
        <f t="shared" si="806"/>
        <v>-27.730000000000004</v>
      </c>
      <c r="GV27" s="186">
        <f t="shared" si="806"/>
        <v>28.32</v>
      </c>
      <c r="GW27" s="186">
        <f t="shared" si="806"/>
        <v>9.2899999999999991</v>
      </c>
      <c r="GX27" s="186">
        <f t="shared" si="806"/>
        <v>-19.499999999999996</v>
      </c>
      <c r="GY27" s="186">
        <f t="shared" si="806"/>
        <v>-125.03</v>
      </c>
      <c r="GZ27" s="186">
        <f t="shared" si="806"/>
        <v>-22.88</v>
      </c>
      <c r="HA27" s="186">
        <f t="shared" si="806"/>
        <v>28.32</v>
      </c>
      <c r="HB27" s="186">
        <f t="shared" si="806"/>
        <v>28.32</v>
      </c>
      <c r="HC27" s="186">
        <f t="shared" si="806"/>
        <v>28.32</v>
      </c>
      <c r="HD27" s="186">
        <f t="shared" si="806"/>
        <v>28.32</v>
      </c>
      <c r="HE27" s="186">
        <f t="shared" si="806"/>
        <v>-119.45</v>
      </c>
      <c r="HF27" s="186">
        <f t="shared" si="806"/>
        <v>8.370000000000001</v>
      </c>
      <c r="HG27" s="186">
        <f t="shared" si="806"/>
        <v>10.64</v>
      </c>
      <c r="HH27" s="186">
        <f t="shared" si="806"/>
        <v>28.32</v>
      </c>
      <c r="HI27" s="186">
        <f t="shared" si="806"/>
        <v>13.02</v>
      </c>
      <c r="HJ27" s="186">
        <f t="shared" si="806"/>
        <v>11.163888888888888</v>
      </c>
      <c r="HK27" s="186">
        <f t="shared" si="806"/>
        <v>22.821111111111112</v>
      </c>
      <c r="HL27" s="186">
        <f t="shared" si="806"/>
        <v>0.81611111111111256</v>
      </c>
      <c r="HM27" s="186">
        <f t="shared" si="806"/>
        <v>20.102777777777781</v>
      </c>
      <c r="HN27" s="186">
        <f t="shared" si="806"/>
        <v>-13.620833333333334</v>
      </c>
      <c r="HO27" s="186">
        <f t="shared" si="806"/>
        <v>-16.531944444444441</v>
      </c>
      <c r="HP27" s="186">
        <f t="shared" si="806"/>
        <v>-27.299444444444447</v>
      </c>
      <c r="HQ27" s="186">
        <f t="shared" si="806"/>
        <v>10.836944444444445</v>
      </c>
      <c r="HR27" s="186">
        <f t="shared" si="806"/>
        <v>27.955555555555556</v>
      </c>
      <c r="HS27" s="186">
        <f t="shared" si="806"/>
        <v>-7.1822222222222152</v>
      </c>
      <c r="HT27" s="186">
        <f t="shared" si="806"/>
        <v>22.455555555555556</v>
      </c>
      <c r="HU27" s="186">
        <f t="shared" si="806"/>
        <v>5.6586111111111101</v>
      </c>
      <c r="HV27" s="186">
        <f t="shared" si="806"/>
        <v>-30.536388888888887</v>
      </c>
      <c r="HW27" s="186">
        <f t="shared" si="806"/>
        <v>-3.7547222222222221</v>
      </c>
      <c r="HX27" s="186">
        <f t="shared" si="806"/>
        <v>-7.492222222222221</v>
      </c>
      <c r="HY27" s="186">
        <f t="shared" si="806"/>
        <v>3.431111111111111</v>
      </c>
      <c r="HZ27" s="186">
        <f t="shared" si="806"/>
        <v>12.875277777777777</v>
      </c>
      <c r="IA27" s="186">
        <f t="shared" si="806"/>
        <v>-9.6486111111111121</v>
      </c>
      <c r="IB27" s="186">
        <f t="shared" si="806"/>
        <v>-14.13</v>
      </c>
      <c r="IC27" s="186">
        <f t="shared" si="806"/>
        <v>-38.741666666666667</v>
      </c>
      <c r="ID27" s="186">
        <f t="shared" si="806"/>
        <v>19.380000000000003</v>
      </c>
      <c r="IE27" s="186">
        <f t="shared" si="806"/>
        <v>19.05916666666667</v>
      </c>
      <c r="IF27" s="186">
        <f t="shared" si="806"/>
        <v>5.68</v>
      </c>
      <c r="IG27" s="186">
        <f t="shared" si="806"/>
        <v>-64.600000000000023</v>
      </c>
      <c r="IH27" s="186">
        <f t="shared" si="806"/>
        <v>-5.8299999999999983</v>
      </c>
      <c r="II27" s="186">
        <f t="shared" si="806"/>
        <v>13.42</v>
      </c>
      <c r="IJ27" s="186">
        <f t="shared" si="806"/>
        <v>21.07</v>
      </c>
      <c r="IK27" s="186">
        <f t="shared" si="806"/>
        <v>-64.5</v>
      </c>
      <c r="IL27" s="186">
        <f t="shared" si="806"/>
        <v>28.32</v>
      </c>
      <c r="IM27" s="186">
        <f t="shared" si="806"/>
        <v>-62.699999999999996</v>
      </c>
      <c r="IN27" s="186">
        <f t="shared" si="806"/>
        <v>8.2441666666666684</v>
      </c>
      <c r="IO27" s="186">
        <f t="shared" si="806"/>
        <v>-3.0883333333333347</v>
      </c>
      <c r="IP27" s="186">
        <f t="shared" si="806"/>
        <v>-8.5655555555555534</v>
      </c>
      <c r="IQ27" s="186">
        <f t="shared" si="806"/>
        <v>-29.785000000000004</v>
      </c>
      <c r="IR27" s="186">
        <f t="shared" si="806"/>
        <v>-24.836666666666666</v>
      </c>
      <c r="IS27" s="186">
        <f t="shared" si="806"/>
        <v>-13.197777777777778</v>
      </c>
      <c r="IT27" s="186">
        <f t="shared" si="806"/>
        <v>-7.3524999999999991</v>
      </c>
      <c r="IU27" s="186">
        <f t="shared" si="806"/>
        <v>-29.157222222222224</v>
      </c>
      <c r="IV27" s="186">
        <f t="shared" si="806"/>
        <v>-38.6</v>
      </c>
      <c r="IW27" s="186">
        <f t="shared" si="806"/>
        <v>-55.466666666666669</v>
      </c>
      <c r="IX27" s="186">
        <f t="shared" si="806"/>
        <v>-48.511944444444445</v>
      </c>
      <c r="IY27" s="186">
        <f t="shared" si="806"/>
        <v>-8.6038888888888891</v>
      </c>
      <c r="IZ27" s="186">
        <f t="shared" si="806"/>
        <v>-6.0052777777777742</v>
      </c>
      <c r="JA27" s="186">
        <f t="shared" si="806"/>
        <v>-29.645555555555553</v>
      </c>
      <c r="JB27" s="186">
        <f t="shared" ref="JB27:LM27" si="807">IF(OR(JB22="",JB13=""),"",SUM(JB22,JB13))</f>
        <v>-23.514722222222222</v>
      </c>
      <c r="JC27" s="186">
        <f t="shared" si="807"/>
        <v>10.279166666666669</v>
      </c>
      <c r="JD27" s="186">
        <f t="shared" si="807"/>
        <v>7.433888888888891</v>
      </c>
      <c r="JE27" s="186">
        <f t="shared" si="807"/>
        <v>21.19361111111111</v>
      </c>
      <c r="JF27" s="186">
        <f t="shared" si="807"/>
        <v>22.68277777777778</v>
      </c>
      <c r="JG27" s="186">
        <f t="shared" si="807"/>
        <v>3.4405555555555551</v>
      </c>
      <c r="JH27" s="186">
        <f t="shared" si="807"/>
        <v>19.428611111111113</v>
      </c>
      <c r="JI27" s="186">
        <f t="shared" si="807"/>
        <v>26.073333333333334</v>
      </c>
      <c r="JJ27" s="186">
        <f t="shared" si="807"/>
        <v>25.133611111111112</v>
      </c>
      <c r="JK27" s="186">
        <f t="shared" si="807"/>
        <v>3.2372222222222238</v>
      </c>
      <c r="JL27" s="186">
        <f t="shared" si="807"/>
        <v>-2.3699999999999974</v>
      </c>
      <c r="JM27" s="186">
        <f t="shared" si="807"/>
        <v>-7.0561111111111092</v>
      </c>
      <c r="JN27" s="186">
        <f t="shared" si="807"/>
        <v>3.382777777777779</v>
      </c>
      <c r="JO27" s="186">
        <f t="shared" si="807"/>
        <v>1.4983333333333313</v>
      </c>
      <c r="JP27" s="186">
        <f t="shared" si="807"/>
        <v>5.9008333333333329</v>
      </c>
      <c r="JQ27" s="186">
        <f t="shared" si="807"/>
        <v>-8.0549999999999997</v>
      </c>
      <c r="JR27" s="186">
        <f t="shared" si="807"/>
        <v>19.32</v>
      </c>
      <c r="JS27" s="186">
        <f t="shared" si="807"/>
        <v>5.7974999999999994</v>
      </c>
      <c r="JT27" s="186">
        <f t="shared" si="807"/>
        <v>10.950000000000001</v>
      </c>
      <c r="JU27" s="186">
        <f t="shared" si="807"/>
        <v>-38.850833333333327</v>
      </c>
      <c r="JV27" s="186">
        <f t="shared" si="807"/>
        <v>-0.43527777777777565</v>
      </c>
      <c r="JW27" s="186">
        <f t="shared" si="807"/>
        <v>14.620000000000001</v>
      </c>
      <c r="JX27" s="186">
        <f t="shared" si="807"/>
        <v>10.399999999999999</v>
      </c>
      <c r="JY27" s="186">
        <f t="shared" si="807"/>
        <v>22.02</v>
      </c>
      <c r="JZ27" s="186">
        <f t="shared" si="807"/>
        <v>28.32</v>
      </c>
      <c r="KA27" s="186">
        <f t="shared" si="807"/>
        <v>24.32</v>
      </c>
      <c r="KB27" s="186">
        <f t="shared" si="807"/>
        <v>4.32</v>
      </c>
      <c r="KC27" s="186">
        <f t="shared" si="807"/>
        <v>4.32</v>
      </c>
      <c r="KD27" s="186">
        <f t="shared" si="807"/>
        <v>28.32</v>
      </c>
      <c r="KE27" s="186">
        <f t="shared" si="807"/>
        <v>28.32</v>
      </c>
      <c r="KF27" s="186">
        <f t="shared" si="807"/>
        <v>4.32</v>
      </c>
      <c r="KG27" s="186">
        <f t="shared" si="807"/>
        <v>22.32</v>
      </c>
      <c r="KH27" s="186">
        <f t="shared" si="807"/>
        <v>28.32</v>
      </c>
      <c r="KI27" s="186">
        <f t="shared" si="807"/>
        <v>28.32</v>
      </c>
      <c r="KJ27" s="186">
        <f t="shared" si="807"/>
        <v>28.32</v>
      </c>
      <c r="KK27" s="186">
        <f t="shared" si="807"/>
        <v>-7.68</v>
      </c>
      <c r="KL27" s="186">
        <f t="shared" si="807"/>
        <v>28.32</v>
      </c>
      <c r="KM27" s="186">
        <f t="shared" si="807"/>
        <v>22.32</v>
      </c>
      <c r="KN27" s="186">
        <f t="shared" si="807"/>
        <v>28.32</v>
      </c>
      <c r="KO27" s="186">
        <f t="shared" si="807"/>
        <v>28.32</v>
      </c>
      <c r="KP27" s="186">
        <f t="shared" si="807"/>
        <v>28.32</v>
      </c>
      <c r="KQ27" s="186">
        <f t="shared" si="807"/>
        <v>28.32</v>
      </c>
      <c r="KR27" s="186">
        <f t="shared" si="807"/>
        <v>28.32</v>
      </c>
      <c r="KS27" s="186">
        <f t="shared" si="807"/>
        <v>28.32</v>
      </c>
      <c r="KT27" s="186">
        <f t="shared" si="807"/>
        <v>28.32</v>
      </c>
      <c r="KU27" s="186">
        <f t="shared" si="807"/>
        <v>28.32</v>
      </c>
      <c r="KV27" s="186">
        <f t="shared" si="807"/>
        <v>28.32</v>
      </c>
      <c r="KW27" s="186">
        <f t="shared" si="807"/>
        <v>28.32</v>
      </c>
      <c r="KX27" s="186" t="str">
        <f t="shared" si="807"/>
        <v/>
      </c>
      <c r="KY27" s="186" t="str">
        <f t="shared" si="807"/>
        <v/>
      </c>
      <c r="KZ27" s="186" t="str">
        <f t="shared" si="807"/>
        <v/>
      </c>
      <c r="LA27" s="186" t="str">
        <f t="shared" si="807"/>
        <v/>
      </c>
      <c r="LB27" s="186" t="str">
        <f t="shared" si="807"/>
        <v/>
      </c>
      <c r="LC27" s="186" t="str">
        <f t="shared" si="807"/>
        <v/>
      </c>
      <c r="LD27" s="186" t="str">
        <f t="shared" si="807"/>
        <v/>
      </c>
      <c r="LE27" s="186" t="str">
        <f t="shared" si="807"/>
        <v/>
      </c>
      <c r="LF27" s="186" t="str">
        <f t="shared" si="807"/>
        <v/>
      </c>
      <c r="LG27" s="186" t="str">
        <f t="shared" si="807"/>
        <v/>
      </c>
      <c r="LH27" s="186" t="str">
        <f t="shared" si="807"/>
        <v/>
      </c>
      <c r="LI27" s="186" t="str">
        <f t="shared" si="807"/>
        <v/>
      </c>
      <c r="LJ27" s="186" t="str">
        <f t="shared" si="807"/>
        <v/>
      </c>
      <c r="LK27" s="186" t="str">
        <f t="shared" si="807"/>
        <v/>
      </c>
      <c r="LL27" s="186" t="str">
        <f t="shared" si="807"/>
        <v/>
      </c>
      <c r="LM27" s="186" t="str">
        <f t="shared" si="807"/>
        <v/>
      </c>
      <c r="LN27" s="186" t="str">
        <f t="shared" ref="LN27:NY27" si="808">IF(OR(LN22="",LN13=""),"",SUM(LN22,LN13))</f>
        <v/>
      </c>
      <c r="LO27" s="186" t="str">
        <f t="shared" si="808"/>
        <v/>
      </c>
      <c r="LP27" s="186" t="str">
        <f t="shared" si="808"/>
        <v/>
      </c>
      <c r="LQ27" s="186" t="str">
        <f t="shared" si="808"/>
        <v/>
      </c>
      <c r="LR27" s="186" t="str">
        <f t="shared" si="808"/>
        <v/>
      </c>
      <c r="LS27" s="186" t="str">
        <f t="shared" si="808"/>
        <v/>
      </c>
      <c r="LT27" s="186" t="str">
        <f t="shared" si="808"/>
        <v/>
      </c>
      <c r="LU27" s="186" t="str">
        <f t="shared" si="808"/>
        <v/>
      </c>
      <c r="LV27" s="186" t="str">
        <f t="shared" si="808"/>
        <v/>
      </c>
      <c r="LW27" s="186" t="str">
        <f t="shared" si="808"/>
        <v/>
      </c>
      <c r="LX27" s="186" t="str">
        <f t="shared" si="808"/>
        <v/>
      </c>
      <c r="LY27" s="186" t="str">
        <f t="shared" si="808"/>
        <v/>
      </c>
      <c r="LZ27" s="186" t="str">
        <f t="shared" si="808"/>
        <v/>
      </c>
      <c r="MA27" s="186" t="str">
        <f t="shared" si="808"/>
        <v/>
      </c>
      <c r="MB27" s="186" t="str">
        <f t="shared" si="808"/>
        <v/>
      </c>
      <c r="MC27" s="186" t="str">
        <f t="shared" si="808"/>
        <v/>
      </c>
      <c r="MD27" s="186" t="str">
        <f t="shared" si="808"/>
        <v/>
      </c>
      <c r="ME27" s="186" t="str">
        <f t="shared" si="808"/>
        <v/>
      </c>
      <c r="MF27" s="186" t="str">
        <f t="shared" si="808"/>
        <v/>
      </c>
      <c r="MG27" s="186" t="str">
        <f t="shared" si="808"/>
        <v/>
      </c>
      <c r="MH27" s="186" t="str">
        <f t="shared" si="808"/>
        <v/>
      </c>
      <c r="MI27" s="186" t="str">
        <f t="shared" si="808"/>
        <v/>
      </c>
      <c r="MJ27" s="186" t="str">
        <f t="shared" si="808"/>
        <v/>
      </c>
      <c r="MK27" s="186" t="str">
        <f t="shared" si="808"/>
        <v/>
      </c>
      <c r="ML27" s="186" t="str">
        <f t="shared" si="808"/>
        <v/>
      </c>
      <c r="MM27" s="186" t="str">
        <f t="shared" si="808"/>
        <v/>
      </c>
      <c r="MN27" s="186" t="str">
        <f t="shared" si="808"/>
        <v/>
      </c>
      <c r="MO27" s="186" t="str">
        <f t="shared" si="808"/>
        <v/>
      </c>
      <c r="MP27" s="186" t="str">
        <f t="shared" si="808"/>
        <v/>
      </c>
      <c r="MQ27" s="186" t="str">
        <f t="shared" si="808"/>
        <v/>
      </c>
      <c r="MR27" s="186" t="str">
        <f t="shared" si="808"/>
        <v/>
      </c>
      <c r="MS27" s="186" t="str">
        <f t="shared" si="808"/>
        <v/>
      </c>
      <c r="MT27" s="186" t="str">
        <f t="shared" si="808"/>
        <v/>
      </c>
      <c r="MU27" s="186" t="str">
        <f t="shared" si="808"/>
        <v/>
      </c>
      <c r="MV27" s="186" t="str">
        <f t="shared" si="808"/>
        <v/>
      </c>
      <c r="MW27" s="186" t="str">
        <f t="shared" si="808"/>
        <v/>
      </c>
      <c r="MX27" s="186" t="str">
        <f t="shared" si="808"/>
        <v/>
      </c>
      <c r="MY27" s="186" t="str">
        <f t="shared" si="808"/>
        <v/>
      </c>
      <c r="MZ27" s="186" t="str">
        <f t="shared" si="808"/>
        <v/>
      </c>
      <c r="NA27" s="186" t="str">
        <f t="shared" si="808"/>
        <v/>
      </c>
      <c r="NB27" s="186" t="str">
        <f t="shared" si="808"/>
        <v/>
      </c>
      <c r="NC27" s="186" t="str">
        <f t="shared" si="808"/>
        <v/>
      </c>
      <c r="ND27" s="186" t="str">
        <f t="shared" si="808"/>
        <v/>
      </c>
      <c r="NE27" s="186" t="str">
        <f t="shared" si="808"/>
        <v/>
      </c>
      <c r="NF27" s="186" t="str">
        <f t="shared" si="808"/>
        <v/>
      </c>
      <c r="NG27" s="186" t="str">
        <f t="shared" si="808"/>
        <v/>
      </c>
      <c r="NH27" s="186" t="str">
        <f t="shared" si="808"/>
        <v/>
      </c>
      <c r="NI27" s="186" t="str">
        <f t="shared" si="808"/>
        <v/>
      </c>
      <c r="NJ27" s="186" t="str">
        <f t="shared" si="808"/>
        <v/>
      </c>
      <c r="NK27" s="186" t="str">
        <f t="shared" si="808"/>
        <v/>
      </c>
      <c r="NL27" s="186" t="str">
        <f t="shared" si="808"/>
        <v/>
      </c>
      <c r="NM27" s="186" t="str">
        <f t="shared" si="808"/>
        <v/>
      </c>
      <c r="NN27" s="186" t="str">
        <f t="shared" si="808"/>
        <v/>
      </c>
      <c r="NO27" s="186" t="str">
        <f t="shared" si="808"/>
        <v/>
      </c>
      <c r="NP27" s="186" t="str">
        <f t="shared" si="808"/>
        <v/>
      </c>
      <c r="NQ27" s="186" t="str">
        <f t="shared" si="808"/>
        <v/>
      </c>
      <c r="NR27" s="186" t="str">
        <f t="shared" si="808"/>
        <v/>
      </c>
      <c r="NS27" s="186" t="str">
        <f t="shared" si="808"/>
        <v/>
      </c>
      <c r="NT27" s="186" t="str">
        <f t="shared" si="808"/>
        <v/>
      </c>
      <c r="NU27" s="186" t="str">
        <f t="shared" si="808"/>
        <v/>
      </c>
      <c r="NV27" s="186" t="str">
        <f t="shared" si="808"/>
        <v/>
      </c>
      <c r="NW27" s="186" t="str">
        <f t="shared" si="808"/>
        <v/>
      </c>
      <c r="NX27" s="186" t="str">
        <f t="shared" si="808"/>
        <v/>
      </c>
      <c r="NY27" s="186" t="str">
        <f t="shared" si="808"/>
        <v/>
      </c>
      <c r="NZ27" s="186" t="str">
        <f t="shared" ref="NZ27:OZ27" si="809">IF(OR(NZ22="",NZ13=""),"",SUM(NZ22,NZ13))</f>
        <v/>
      </c>
      <c r="OA27" s="186" t="str">
        <f t="shared" si="809"/>
        <v/>
      </c>
      <c r="OB27" s="186" t="str">
        <f t="shared" si="809"/>
        <v/>
      </c>
      <c r="OC27" s="186" t="str">
        <f t="shared" si="809"/>
        <v/>
      </c>
      <c r="OD27" s="186" t="str">
        <f t="shared" si="809"/>
        <v/>
      </c>
      <c r="OE27" s="186" t="str">
        <f t="shared" si="809"/>
        <v/>
      </c>
      <c r="OF27" s="186" t="str">
        <f t="shared" si="809"/>
        <v/>
      </c>
      <c r="OG27" s="186" t="str">
        <f t="shared" si="809"/>
        <v/>
      </c>
      <c r="OH27" s="186" t="str">
        <f t="shared" si="809"/>
        <v/>
      </c>
      <c r="OI27" s="186" t="str">
        <f t="shared" si="809"/>
        <v/>
      </c>
      <c r="OJ27" s="186" t="str">
        <f t="shared" si="809"/>
        <v/>
      </c>
      <c r="OK27" s="186" t="str">
        <f t="shared" si="809"/>
        <v/>
      </c>
      <c r="OL27" s="186" t="str">
        <f t="shared" si="809"/>
        <v/>
      </c>
      <c r="OM27" s="186" t="str">
        <f t="shared" si="809"/>
        <v/>
      </c>
      <c r="ON27" s="186" t="str">
        <f t="shared" si="809"/>
        <v/>
      </c>
      <c r="OO27" s="186" t="str">
        <f t="shared" si="809"/>
        <v/>
      </c>
      <c r="OP27" s="186" t="str">
        <f t="shared" si="809"/>
        <v/>
      </c>
      <c r="OQ27" s="186" t="str">
        <f t="shared" si="809"/>
        <v/>
      </c>
      <c r="OR27" s="186" t="str">
        <f t="shared" si="809"/>
        <v/>
      </c>
      <c r="OS27" s="186" t="str">
        <f t="shared" si="809"/>
        <v/>
      </c>
      <c r="OT27" s="186" t="str">
        <f t="shared" si="809"/>
        <v/>
      </c>
      <c r="OU27" s="186" t="str">
        <f t="shared" si="809"/>
        <v/>
      </c>
      <c r="OV27" s="186" t="str">
        <f t="shared" si="809"/>
        <v/>
      </c>
      <c r="OW27" s="186" t="str">
        <f t="shared" si="809"/>
        <v/>
      </c>
      <c r="OX27" s="186" t="str">
        <f t="shared" si="809"/>
        <v/>
      </c>
      <c r="OY27" s="186" t="str">
        <f t="shared" si="809"/>
        <v/>
      </c>
      <c r="OZ27" s="187" t="str">
        <f t="shared" si="809"/>
        <v/>
      </c>
    </row>
  </sheetData>
  <autoFilter ref="A3:CK27" xr:uid="{83EFF44A-BB37-4F27-9AD2-8400431CDD25}"/>
  <mergeCells count="1">
    <mergeCell ref="C2:D2"/>
  </mergeCells>
  <phoneticPr fontId="12" type="noConversion"/>
  <conditionalFormatting sqref="C4:D4 E4:OZ8 E10:OZ17 E19:OZ20">
    <cfRule type="cellIs" dxfId="10" priority="23" operator="lessThan">
      <formula>0.88</formula>
    </cfRule>
  </conditionalFormatting>
  <conditionalFormatting sqref="D14">
    <cfRule type="cellIs" dxfId="9" priority="22" operator="lessThan">
      <formula>0.88</formula>
    </cfRule>
  </conditionalFormatting>
  <conditionalFormatting sqref="D21:XFD22 F23:XFD23 D26:XFD27">
    <cfRule type="cellIs" dxfId="8" priority="20" operator="lessThan">
      <formula>0</formula>
    </cfRule>
  </conditionalFormatting>
  <conditionalFormatting sqref="E24:OZ25">
    <cfRule type="cellIs" dxfId="7" priority="6" operator="lessThan">
      <formula>0.88</formula>
    </cfRule>
  </conditionalFormatting>
  <conditionalFormatting sqref="F1">
    <cfRule type="iconSet" priority="8">
      <iconSet iconSet="4Arrows" showValue="0">
        <cfvo type="percent" val="0"/>
        <cfvo type="num" val="1"/>
        <cfvo type="num" val="2"/>
        <cfvo type="num" val="3"/>
      </iconSet>
    </cfRule>
  </conditionalFormatting>
  <conditionalFormatting sqref="AJ1:AK1">
    <cfRule type="iconSet" priority="2">
      <iconSet iconSet="4Arrows" showValue="0">
        <cfvo type="percent" val="0"/>
        <cfvo type="num" val="1"/>
        <cfvo type="num" val="2"/>
        <cfvo type="num" val="3"/>
      </iconSet>
    </cfRule>
  </conditionalFormatting>
  <conditionalFormatting sqref="BL1:BM1">
    <cfRule type="iconSet" priority="3">
      <iconSet iconSet="4Arrows" showValue="0">
        <cfvo type="percent" val="0"/>
        <cfvo type="num" val="1"/>
        <cfvo type="num" val="2"/>
        <cfvo type="num" val="3"/>
      </iconSet>
    </cfRule>
  </conditionalFormatting>
  <conditionalFormatting sqref="CQ1:CR1">
    <cfRule type="iconSet" priority="4">
      <iconSet iconSet="4Arrows" showValue="0">
        <cfvo type="percent" val="0"/>
        <cfvo type="num" val="1"/>
        <cfvo type="num" val="2"/>
        <cfvo type="num" val="3"/>
      </iconSet>
    </cfRule>
  </conditionalFormatting>
  <conditionalFormatting sqref="DU1:DV1">
    <cfRule type="iconSet" priority="7">
      <iconSet iconSet="4Arrows" showValue="0">
        <cfvo type="percent" val="0"/>
        <cfvo type="num" val="1"/>
        <cfvo type="num" val="2"/>
        <cfvo type="num" val="3"/>
      </iconSet>
    </cfRule>
  </conditionalFormatting>
  <conditionalFormatting sqref="FU1">
    <cfRule type="iconSet" priority="1">
      <iconSet iconSet="4Arrows" showValue="0">
        <cfvo type="percent" val="0"/>
        <cfvo type="num" val="1"/>
        <cfvo type="num" val="2"/>
        <cfvo type="num" val="3"/>
      </iconSet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4E3D-92A6-423C-9964-65D504F7435B}">
  <dimension ref="B2:C4"/>
  <sheetViews>
    <sheetView workbookViewId="0">
      <selection activeCell="B3" sqref="B3"/>
    </sheetView>
  </sheetViews>
  <sheetFormatPr defaultRowHeight="12.75" x14ac:dyDescent="0.2"/>
  <cols>
    <col min="2" max="2" width="18.42578125" bestFit="1" customWidth="1"/>
  </cols>
  <sheetData>
    <row r="2" spans="2:3" x14ac:dyDescent="0.2">
      <c r="B2" t="s">
        <v>96</v>
      </c>
      <c r="C2" t="s">
        <v>97</v>
      </c>
    </row>
    <row r="3" spans="2:3" x14ac:dyDescent="0.2">
      <c r="B3" s="208" t="s">
        <v>92</v>
      </c>
    </row>
    <row r="4" spans="2:3" x14ac:dyDescent="0.2">
      <c r="B4" s="208" t="s">
        <v>90</v>
      </c>
    </row>
  </sheetData>
  <conditionalFormatting sqref="B3">
    <cfRule type="cellIs" dxfId="6" priority="1" operator="lessThan">
      <formula>0.88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DD72-6911-4755-82E2-56507154FA5A}">
  <sheetPr codeName="Sheet3"/>
  <dimension ref="B2:K47"/>
  <sheetViews>
    <sheetView showGridLines="0" topLeftCell="A28" zoomScale="70" zoomScaleNormal="70" workbookViewId="0">
      <selection activeCell="C6" sqref="C6"/>
    </sheetView>
  </sheetViews>
  <sheetFormatPr defaultRowHeight="12.75" x14ac:dyDescent="0.2"/>
  <cols>
    <col min="2" max="2" width="11.140625" style="91" bestFit="1" customWidth="1"/>
    <col min="3" max="3" width="23.140625" style="91" bestFit="1" customWidth="1"/>
    <col min="4" max="10" width="11.5703125" style="91" customWidth="1"/>
    <col min="11" max="11" width="4.5703125" customWidth="1"/>
    <col min="20" max="20" width="4.5703125" customWidth="1"/>
    <col min="29" max="29" width="4.5703125" customWidth="1"/>
  </cols>
  <sheetData>
    <row r="2" spans="2:11" x14ac:dyDescent="0.2">
      <c r="B2" s="85"/>
      <c r="C2" s="85" t="s">
        <v>49</v>
      </c>
      <c r="D2" s="86">
        <f ca="1">TODAY()-7</f>
        <v>46299</v>
      </c>
      <c r="E2" s="86">
        <f ca="1">TODAY()-6</f>
        <v>46300</v>
      </c>
      <c r="F2" s="86">
        <f ca="1">TODAY()-5</f>
        <v>46301</v>
      </c>
      <c r="G2" s="86">
        <f ca="1">TODAY()-4</f>
        <v>46302</v>
      </c>
      <c r="H2" s="86">
        <f ca="1">TODAY()-3</f>
        <v>46303</v>
      </c>
      <c r="I2" s="86">
        <f ca="1">TODAY()-2</f>
        <v>46304</v>
      </c>
      <c r="J2" s="86">
        <f ca="1">TODAY()-1</f>
        <v>46305</v>
      </c>
    </row>
    <row r="3" spans="2:11" x14ac:dyDescent="0.2">
      <c r="B3" s="93" t="s">
        <v>91</v>
      </c>
      <c r="C3" s="85" t="s">
        <v>73</v>
      </c>
      <c r="D3" s="87">
        <f ca="1">HLOOKUP(D$2,Overall!$3:$28,8,0)*100</f>
        <v>79.223206018518511</v>
      </c>
      <c r="E3" s="87">
        <f ca="1">HLOOKUP(E$2,Overall!$3:$28,8,0)*100</f>
        <v>82.998564814814813</v>
      </c>
      <c r="F3" s="87">
        <f ca="1">HLOOKUP(F$2,Overall!$3:$28,8,0)*100</f>
        <v>85.212692901234561</v>
      </c>
      <c r="G3" s="87">
        <f ca="1">HLOOKUP(G$2,Overall!$3:$28,8,0)*100</f>
        <v>87.051355820105812</v>
      </c>
      <c r="H3" s="87">
        <f ca="1">HLOOKUP(H$2,Overall!$3:$28,8,0)*100</f>
        <v>88.669936342592592</v>
      </c>
      <c r="I3" s="87">
        <f ca="1">HLOOKUP(I$2,Overall!$3:$28,8,0)*100</f>
        <v>89.558461934156369</v>
      </c>
      <c r="J3" s="87">
        <f ca="1">HLOOKUP(J$2,Overall!$3:$28,8,0)*100</f>
        <v>88.602615740740745</v>
      </c>
      <c r="K3" s="84"/>
    </row>
    <row r="4" spans="2:11" x14ac:dyDescent="0.2">
      <c r="B4" s="93"/>
      <c r="C4" s="93" t="s">
        <v>94</v>
      </c>
      <c r="D4" s="87">
        <f ca="1">HLOOKUP(D$2,Overall!$3:$29,9,0)*100</f>
        <v>85.980322402727637</v>
      </c>
      <c r="E4" s="87">
        <f ca="1">HLOOKUP(E$2,Overall!$3:$29,9,0)*100</f>
        <v>86.023918365307765</v>
      </c>
      <c r="F4" s="87">
        <f ca="1">HLOOKUP(F$2,Overall!$3:$29,9,0)*100</f>
        <v>86.060690461967354</v>
      </c>
      <c r="G4" s="87">
        <f ca="1">HLOOKUP(G$2,Overall!$3:$29,9,0)*100</f>
        <v>86.103628472222226</v>
      </c>
      <c r="H4" s="87">
        <f ca="1">HLOOKUP(H$2,Overall!$3:$29,9,0)*100</f>
        <v>86.153081751680503</v>
      </c>
      <c r="I4" s="87">
        <f ca="1">HLOOKUP(I$2,Overall!$3:$29,9,0)*100</f>
        <v>86.190363967691098</v>
      </c>
      <c r="J4" s="87">
        <f ca="1">HLOOKUP(J$2,Overall!$3:$29,9,0)*100</f>
        <v>86.168489890066752</v>
      </c>
      <c r="K4" s="84"/>
    </row>
    <row r="5" spans="2:11" x14ac:dyDescent="0.2">
      <c r="B5" s="93" t="s">
        <v>90</v>
      </c>
      <c r="C5" s="85" t="s">
        <v>73</v>
      </c>
      <c r="D5" s="87">
        <f ca="1">HLOOKUP(D$2,Overall!$3:$28,17,0)*100</f>
        <v>90.6015625</v>
      </c>
      <c r="E5" s="87">
        <f ca="1">HLOOKUP(E$2,Overall!$3:$28,17,0)*100</f>
        <v>90.10208333333334</v>
      </c>
      <c r="F5" s="87">
        <f ca="1">HLOOKUP(F$2,Overall!$3:$28,17,0)*100</f>
        <v>89.414930555555557</v>
      </c>
      <c r="G5" s="87">
        <f ca="1">HLOOKUP(G$2,Overall!$3:$28,17,0)*100</f>
        <v>90.331845238095241</v>
      </c>
      <c r="H5" s="87">
        <f ca="1">HLOOKUP(H$2,Overall!$3:$28,17,0)*100</f>
        <v>91.540364583333329</v>
      </c>
      <c r="I5" s="87">
        <f ca="1">HLOOKUP(I$2,Overall!$3:$28,17,0)*100</f>
        <v>92.480324074074076</v>
      </c>
      <c r="J5" s="87">
        <f ca="1">HLOOKUP(J$2,Overall!$3:$28,17,0)*100</f>
        <v>93.232291666666669</v>
      </c>
    </row>
    <row r="6" spans="2:11" x14ac:dyDescent="0.2">
      <c r="B6" s="93"/>
      <c r="C6" s="93" t="s">
        <v>94</v>
      </c>
      <c r="D6" s="87">
        <f ca="1">HLOOKUP(D$2,Overall!$3:$30,18,0)*100</f>
        <v>88.202342600949322</v>
      </c>
      <c r="E6" s="87">
        <f ca="1">HLOOKUP(E$2,Overall!$3:$30,18,0)*100</f>
        <v>88.201989450106581</v>
      </c>
      <c r="F6" s="87">
        <f ca="1">HLOOKUP(F$2,Overall!$3:$30,18,0)*100</f>
        <v>88.194022343355911</v>
      </c>
      <c r="G6" s="87">
        <f ca="1">HLOOKUP(G$2,Overall!$3:$30,18,0)*100</f>
        <v>88.221305596891526</v>
      </c>
      <c r="H6" s="87">
        <f ca="1">HLOOKUP(H$2,Overall!$3:$30,18,0)*100</f>
        <v>88.263222658824304</v>
      </c>
      <c r="I6" s="87">
        <f ca="1">HLOOKUP(I$2,Overall!$3:$30,18,0)*100</f>
        <v>88.304842436629897</v>
      </c>
      <c r="J6" s="87">
        <f ca="1">HLOOKUP(J$2,Overall!$3:$30,18,0)*100</f>
        <v>88.346168081730141</v>
      </c>
    </row>
    <row r="7" spans="2:11" x14ac:dyDescent="0.2">
      <c r="B7" s="93" t="s">
        <v>87</v>
      </c>
      <c r="C7" s="85" t="s">
        <v>73</v>
      </c>
      <c r="D7" s="87">
        <f ca="1">HLOOKUP(D$2,Overall!$3:$28,22,0)*100</f>
        <v>84.912384259259255</v>
      </c>
      <c r="E7" s="87">
        <f ca="1">HLOOKUP(E$2,Overall!$3:$28,22,0)*100</f>
        <v>86.550324074074084</v>
      </c>
      <c r="F7" s="87">
        <f ca="1">HLOOKUP(F$2,Overall!$3:$28,22,0)*100</f>
        <v>87.313811728395066</v>
      </c>
      <c r="G7" s="87">
        <f ca="1">HLOOKUP(G$2,Overall!$3:$28,22,0)*100</f>
        <v>88.691600529100526</v>
      </c>
      <c r="H7" s="87">
        <f ca="1">HLOOKUP(H$2,Overall!$3:$28,22,0)*100</f>
        <v>90.105150462962968</v>
      </c>
      <c r="I7" s="87">
        <f ca="1">HLOOKUP(I$2,Overall!$3:$28,22,0)*100</f>
        <v>91.01939300411523</v>
      </c>
      <c r="J7" s="87">
        <f ca="1">HLOOKUP(J$2,Overall!$3:$28,22,0)*100</f>
        <v>90.9174537037037</v>
      </c>
    </row>
    <row r="8" spans="2:11" x14ac:dyDescent="0.2">
      <c r="B8" s="85" t="s">
        <v>74</v>
      </c>
      <c r="C8" s="85" t="s">
        <v>76</v>
      </c>
      <c r="D8" s="88">
        <v>88</v>
      </c>
      <c r="E8" s="88">
        <v>88</v>
      </c>
      <c r="F8" s="88">
        <v>88</v>
      </c>
      <c r="G8" s="88">
        <v>88</v>
      </c>
      <c r="H8" s="88">
        <v>88</v>
      </c>
      <c r="I8" s="88">
        <v>88</v>
      </c>
      <c r="J8" s="88">
        <v>88</v>
      </c>
      <c r="K8" s="83"/>
    </row>
    <row r="9" spans="2:11" x14ac:dyDescent="0.2">
      <c r="B9" s="93" t="s">
        <v>91</v>
      </c>
      <c r="C9" s="85" t="s">
        <v>75</v>
      </c>
      <c r="D9" s="88">
        <f ca="1">HLOOKUP(D$2,Overall!3:53,10,0)</f>
        <v>-43.088611111111121</v>
      </c>
      <c r="E9" s="88">
        <f ca="1">HLOOKUP(E$2,Overall!3:53,10,0)</f>
        <v>-31.208611111111097</v>
      </c>
      <c r="F9" s="88">
        <f ca="1">HLOOKUP(F$2,Overall!3:53,10,0)</f>
        <v>-21.508611111111094</v>
      </c>
      <c r="G9" s="88">
        <f ca="1">HLOOKUP(G$2,Overall!3:53,10,0)</f>
        <v>-9.6486111111111086</v>
      </c>
      <c r="H9" s="88">
        <f ca="1">HLOOKUP(H$2,Overall!3:53,10,0)</f>
        <v>4.511388888888888</v>
      </c>
      <c r="I9" s="88">
        <f ca="1">HLOOKUP(I$2,Overall!3:53,10,0)</f>
        <v>14.671388888888899</v>
      </c>
      <c r="J9" s="88">
        <f ca="1">HLOOKUP(J$2,Overall!3:53,10,0)</f>
        <v>4.8313888888889096</v>
      </c>
    </row>
    <row r="10" spans="2:11" x14ac:dyDescent="0.2">
      <c r="B10" s="93" t="s">
        <v>90</v>
      </c>
      <c r="C10" s="85" t="s">
        <v>75</v>
      </c>
      <c r="D10" s="88">
        <f ca="1">HLOOKUP(D$2,Overall!3:22,19,0)</f>
        <v>9.2220000000000084</v>
      </c>
      <c r="E10" s="88">
        <f ca="1">HLOOKUP(E$2,Overall!3:22,19,0)</f>
        <v>9.1300000000000026</v>
      </c>
      <c r="F10" s="88">
        <f ca="1">HLOOKUP(F$2,Overall!3:22,19,0)</f>
        <v>6.9980000000000047</v>
      </c>
      <c r="G10" s="88">
        <f ca="1">HLOOKUP(G$2,Overall!3:22,19,0)</f>
        <v>14.326000000000008</v>
      </c>
      <c r="H10" s="88">
        <f ca="1">HLOOKUP(H$2,Overall!3:22,19,0)</f>
        <v>25.654000000000011</v>
      </c>
      <c r="I10" s="88">
        <f ca="1">HLOOKUP(I$2,Overall!3:22,19,0)</f>
        <v>36.982000000000014</v>
      </c>
      <c r="J10" s="88">
        <f ca="1">HLOOKUP(J$2,Overall!3:22,19,0)</f>
        <v>48.31</v>
      </c>
    </row>
    <row r="11" spans="2:11" x14ac:dyDescent="0.2">
      <c r="B11" s="93" t="s">
        <v>87</v>
      </c>
      <c r="C11" s="85" t="s">
        <v>75</v>
      </c>
      <c r="D11" s="88">
        <f ca="1">HLOOKUP(D$2,Overall!3:28,24,0)</f>
        <v>-33.866611111111112</v>
      </c>
      <c r="E11" s="88">
        <f ca="1">HLOOKUP(E$2,Overall!3:28,24,0)</f>
        <v>-22.078611111111094</v>
      </c>
      <c r="F11" s="88">
        <f ca="1">HLOOKUP(F$2,Overall!3:28,24,0)</f>
        <v>-14.510611111111089</v>
      </c>
      <c r="G11" s="88">
        <f ca="1">HLOOKUP(G$2,Overall!3:28,24,0)</f>
        <v>4.677388888888899</v>
      </c>
      <c r="H11" s="88">
        <f ca="1">HLOOKUP(H$2,Overall!3:28,24,0)</f>
        <v>30.165388888888899</v>
      </c>
      <c r="I11" s="88">
        <f ca="1">HLOOKUP(I$2,Overall!3:28,24,0)</f>
        <v>51.653388888888912</v>
      </c>
      <c r="J11" s="88">
        <f ca="1">HLOOKUP(J$2,Overall!3:28,24,0)</f>
        <v>53.141388888888912</v>
      </c>
    </row>
    <row r="12" spans="2:11" x14ac:dyDescent="0.2">
      <c r="B12" s="85"/>
      <c r="C12" s="85"/>
      <c r="D12" s="88"/>
      <c r="E12" s="88"/>
      <c r="F12" s="88"/>
      <c r="G12" s="88"/>
      <c r="H12" s="88"/>
      <c r="I12" s="88"/>
      <c r="J12" s="88"/>
    </row>
    <row r="13" spans="2:11" x14ac:dyDescent="0.2">
      <c r="B13" s="85"/>
      <c r="C13" s="89" t="str">
        <f ca="1">TEXT(TODAY()-1,"DD-MMM-YY")</f>
        <v>10-Oct-26</v>
      </c>
      <c r="D13" s="88"/>
      <c r="E13" s="88"/>
      <c r="F13" s="88"/>
      <c r="G13" s="88"/>
      <c r="H13" s="88"/>
      <c r="I13" s="88"/>
      <c r="J13" s="88"/>
    </row>
    <row r="14" spans="2:11" x14ac:dyDescent="0.2">
      <c r="B14" s="85"/>
      <c r="C14" s="90" t="str">
        <f ca="1">C16&amp;" Rental OHT "&amp;C13</f>
        <v>MA Rental OHT 10-Oct-26</v>
      </c>
      <c r="D14" s="85"/>
      <c r="E14" s="85"/>
      <c r="F14" s="85"/>
      <c r="G14" s="85"/>
      <c r="H14" s="85"/>
      <c r="I14" s="85"/>
      <c r="J14" s="85"/>
    </row>
    <row r="15" spans="2:11" x14ac:dyDescent="0.2">
      <c r="B15" s="85"/>
      <c r="C15" s="85" t="s">
        <v>49</v>
      </c>
      <c r="D15" s="85" t="str">
        <f>B3</f>
        <v>777 Expro</v>
      </c>
      <c r="E15" s="85" t="str">
        <f>B5</f>
        <v>777 Optiload</v>
      </c>
      <c r="F15" s="85" t="str">
        <f>B7</f>
        <v>Overall</v>
      </c>
      <c r="G15"/>
      <c r="H15" s="85"/>
      <c r="I15" s="85"/>
      <c r="J15" s="85"/>
    </row>
    <row r="16" spans="2:11" x14ac:dyDescent="0.2">
      <c r="B16" s="85"/>
      <c r="C16" s="85" t="s">
        <v>73</v>
      </c>
      <c r="D16" s="162">
        <f ca="1">I3/100</f>
        <v>0.89558461934156375</v>
      </c>
      <c r="E16" s="162">
        <f ca="1">J5/100</f>
        <v>0.93232291666666667</v>
      </c>
      <c r="F16" s="162">
        <f ca="1">I7/100</f>
        <v>0.91019393004115234</v>
      </c>
      <c r="G16"/>
      <c r="H16" s="85"/>
      <c r="I16" s="85"/>
      <c r="J16" s="85"/>
    </row>
    <row r="17" spans="2:10" x14ac:dyDescent="0.2">
      <c r="B17" s="85"/>
      <c r="C17" s="85" t="s">
        <v>56</v>
      </c>
      <c r="D17" s="163">
        <v>0.88</v>
      </c>
      <c r="E17" s="163">
        <v>0.88</v>
      </c>
      <c r="F17" s="163">
        <v>0.88</v>
      </c>
      <c r="G17"/>
      <c r="H17" s="85"/>
      <c r="I17" s="85"/>
      <c r="J17" s="85"/>
    </row>
    <row r="18" spans="2:10" x14ac:dyDescent="0.2">
      <c r="D18" s="85"/>
      <c r="E18" s="85"/>
      <c r="F18" s="85"/>
      <c r="G18"/>
    </row>
    <row r="19" spans="2:10" x14ac:dyDescent="0.2">
      <c r="C19" s="93" t="s">
        <v>89</v>
      </c>
      <c r="D19" s="85"/>
      <c r="E19" s="85"/>
      <c r="F19" s="85"/>
      <c r="G19"/>
    </row>
    <row r="20" spans="2:10" x14ac:dyDescent="0.2">
      <c r="C20" s="85" t="s">
        <v>49</v>
      </c>
      <c r="D20" s="85" t="str">
        <f>D15</f>
        <v>777 Expro</v>
      </c>
      <c r="E20" s="85" t="str">
        <f>E15</f>
        <v>777 Optiload</v>
      </c>
      <c r="F20" s="85" t="s">
        <v>87</v>
      </c>
      <c r="G20"/>
    </row>
    <row r="21" spans="2:10" x14ac:dyDescent="0.2">
      <c r="C21" s="85" t="s">
        <v>73</v>
      </c>
      <c r="D21" s="162">
        <f ca="1">VLOOKUP(D$20,$B$2:$H$7,6,0)/100</f>
        <v>0.87051355820105814</v>
      </c>
      <c r="E21" s="162">
        <f ca="1">VLOOKUP(E$20,$B$2:$H$7,6,0)/100</f>
        <v>0.90331845238095243</v>
      </c>
      <c r="F21" s="162">
        <f ca="1">VLOOKUP(F$20,$B$2:$H$7,6,0)/100</f>
        <v>0.88691600529100523</v>
      </c>
      <c r="G21"/>
    </row>
    <row r="22" spans="2:10" x14ac:dyDescent="0.2">
      <c r="C22" s="85" t="s">
        <v>56</v>
      </c>
      <c r="D22" s="162">
        <v>0.88</v>
      </c>
      <c r="E22" s="162">
        <v>0.88</v>
      </c>
      <c r="F22" s="162">
        <v>0.88</v>
      </c>
      <c r="G22"/>
    </row>
    <row r="23" spans="2:10" x14ac:dyDescent="0.2">
      <c r="G23"/>
    </row>
    <row r="40" spans="4:7" x14ac:dyDescent="0.2">
      <c r="D40" s="91">
        <v>140</v>
      </c>
      <c r="E40" s="91">
        <f>24*11</f>
        <v>264</v>
      </c>
      <c r="F40" s="91">
        <f>D40/E40</f>
        <v>0.53030303030303028</v>
      </c>
    </row>
    <row r="45" spans="4:7" x14ac:dyDescent="0.2">
      <c r="F45" s="91">
        <v>24</v>
      </c>
      <c r="G45" s="91">
        <f>400/F45</f>
        <v>16.666666666666668</v>
      </c>
    </row>
    <row r="47" spans="4:7" x14ac:dyDescent="0.2">
      <c r="F47" s="91">
        <v>400</v>
      </c>
      <c r="G47" s="91">
        <f>24*11</f>
        <v>264</v>
      </c>
    </row>
  </sheetData>
  <sheetProtection algorithmName="SHA-512" hashValue="hyoFb/5evtRfkJBgGAEGKGDorgVE17E1QcDsmcdjmDzjHyjGk/G4mT4N05Ez0VqVYXevDS69bPnb9PAbOZyN+Q==" saltValue="RZ0T5bhmAoByaM755mtpVQ==" spinCount="100000" sheet="1" objects="1" scenarios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3728-DFA5-4148-9BBB-E49966EF837B}">
  <sheetPr codeName="Sheet4"/>
  <dimension ref="A1:SW129"/>
  <sheetViews>
    <sheetView showGridLines="0" zoomScale="70" zoomScaleNormal="70" workbookViewId="0">
      <pane xSplit="2" ySplit="3" topLeftCell="C28" activePane="bottomRight" state="frozen"/>
      <selection pane="topRight" activeCell="C1" sqref="C1"/>
      <selection pane="bottomLeft" activeCell="A4" sqref="A4"/>
      <selection pane="bottomRight" activeCell="C1" sqref="C1"/>
    </sheetView>
  </sheetViews>
  <sheetFormatPr defaultColWidth="8.7109375" defaultRowHeight="12.75" x14ac:dyDescent="0.2"/>
  <cols>
    <col min="1" max="1" width="11.140625" style="85" customWidth="1"/>
    <col min="2" max="2" width="35.5703125" style="91" customWidth="1"/>
    <col min="3" max="32" width="12.7109375" style="91" customWidth="1"/>
    <col min="33" max="123" width="12.42578125" style="91" customWidth="1"/>
    <col min="124" max="517" width="12" style="91" customWidth="1"/>
    <col min="518" max="16384" width="8.7109375" style="91"/>
  </cols>
  <sheetData>
    <row r="1" spans="1:517" x14ac:dyDescent="0.2">
      <c r="A1" s="93">
        <v>2</v>
      </c>
      <c r="B1" s="85" t="s">
        <v>29</v>
      </c>
      <c r="C1" s="85">
        <v>1</v>
      </c>
      <c r="D1" s="85">
        <v>1</v>
      </c>
      <c r="E1" s="85">
        <v>1</v>
      </c>
      <c r="F1" s="85">
        <v>1</v>
      </c>
      <c r="G1" s="85">
        <v>1</v>
      </c>
      <c r="H1" s="85">
        <v>1</v>
      </c>
      <c r="I1" s="85">
        <v>1</v>
      </c>
      <c r="J1" s="85">
        <v>1</v>
      </c>
      <c r="K1" s="85">
        <v>1</v>
      </c>
      <c r="L1" s="85">
        <v>1</v>
      </c>
      <c r="M1" s="85">
        <v>1</v>
      </c>
      <c r="N1" s="85">
        <v>1</v>
      </c>
      <c r="O1" s="85">
        <v>1</v>
      </c>
      <c r="P1" s="85">
        <v>1</v>
      </c>
      <c r="Q1" s="85">
        <v>1</v>
      </c>
      <c r="R1" s="85">
        <v>1</v>
      </c>
      <c r="S1" s="85">
        <v>1</v>
      </c>
      <c r="T1" s="85">
        <v>1</v>
      </c>
      <c r="U1" s="85">
        <v>1</v>
      </c>
      <c r="V1" s="85">
        <v>1</v>
      </c>
      <c r="W1" s="85">
        <v>1</v>
      </c>
      <c r="X1" s="85">
        <v>1</v>
      </c>
      <c r="Y1" s="85">
        <v>1</v>
      </c>
      <c r="Z1" s="85">
        <v>1</v>
      </c>
      <c r="AA1" s="85">
        <v>1</v>
      </c>
      <c r="AB1" s="85">
        <v>1</v>
      </c>
      <c r="AC1" s="85">
        <v>1</v>
      </c>
      <c r="AD1" s="85">
        <v>1</v>
      </c>
      <c r="AE1" s="85">
        <v>1</v>
      </c>
      <c r="AF1" s="85">
        <v>1</v>
      </c>
      <c r="AG1" s="85">
        <v>1</v>
      </c>
      <c r="AH1" s="85">
        <v>1</v>
      </c>
      <c r="AI1" s="85">
        <v>1</v>
      </c>
      <c r="AJ1" s="85">
        <v>1</v>
      </c>
      <c r="AK1" s="85">
        <v>1</v>
      </c>
      <c r="AL1" s="85">
        <v>1</v>
      </c>
      <c r="AM1" s="85">
        <v>1</v>
      </c>
      <c r="AN1" s="85">
        <v>1</v>
      </c>
      <c r="AO1" s="85">
        <v>1</v>
      </c>
      <c r="AP1" s="85">
        <v>1</v>
      </c>
      <c r="AQ1" s="85">
        <v>1</v>
      </c>
      <c r="AR1" s="85">
        <v>1</v>
      </c>
      <c r="AS1" s="85">
        <v>1</v>
      </c>
      <c r="AT1" s="85">
        <v>1</v>
      </c>
      <c r="AU1" s="85">
        <v>1</v>
      </c>
      <c r="AV1" s="85">
        <v>1</v>
      </c>
      <c r="AW1" s="85">
        <v>1</v>
      </c>
      <c r="AX1" s="85">
        <v>1</v>
      </c>
      <c r="AY1" s="85">
        <v>1</v>
      </c>
      <c r="AZ1" s="85">
        <v>1</v>
      </c>
      <c r="BA1" s="85">
        <v>1</v>
      </c>
      <c r="BB1" s="85">
        <v>1</v>
      </c>
      <c r="BC1" s="85">
        <v>1</v>
      </c>
      <c r="BD1" s="85">
        <v>1</v>
      </c>
      <c r="BE1" s="85">
        <v>1</v>
      </c>
      <c r="BF1" s="85">
        <v>1</v>
      </c>
      <c r="BG1" s="85">
        <v>1</v>
      </c>
      <c r="BH1" s="85">
        <v>1</v>
      </c>
      <c r="BI1" s="85">
        <v>1</v>
      </c>
      <c r="BJ1" s="85">
        <v>1</v>
      </c>
      <c r="BK1" s="85">
        <v>1</v>
      </c>
      <c r="BL1" s="85">
        <v>1</v>
      </c>
      <c r="BM1" s="85">
        <v>1</v>
      </c>
      <c r="BN1" s="85">
        <v>1</v>
      </c>
      <c r="BO1" s="85">
        <v>1</v>
      </c>
      <c r="BP1" s="85">
        <v>1</v>
      </c>
      <c r="BQ1" s="85">
        <v>1</v>
      </c>
      <c r="BR1" s="85">
        <v>1</v>
      </c>
      <c r="BS1" s="85">
        <v>1</v>
      </c>
      <c r="BT1" s="85">
        <v>1</v>
      </c>
      <c r="BU1" s="85">
        <v>1</v>
      </c>
      <c r="BV1" s="85">
        <v>1</v>
      </c>
      <c r="BW1" s="85">
        <v>1</v>
      </c>
      <c r="BX1" s="85">
        <v>1</v>
      </c>
      <c r="BY1" s="85">
        <v>1</v>
      </c>
      <c r="BZ1" s="85">
        <v>1</v>
      </c>
      <c r="CA1" s="85">
        <v>1</v>
      </c>
      <c r="CB1" s="85">
        <v>1</v>
      </c>
      <c r="CC1" s="85">
        <v>1</v>
      </c>
      <c r="CD1" s="85">
        <v>1</v>
      </c>
      <c r="CE1" s="85">
        <v>1</v>
      </c>
      <c r="CF1" s="85">
        <v>1</v>
      </c>
      <c r="CG1" s="85">
        <v>1</v>
      </c>
      <c r="CH1" s="85">
        <v>1</v>
      </c>
      <c r="CI1" s="85">
        <v>1</v>
      </c>
      <c r="CJ1" s="85">
        <v>1</v>
      </c>
      <c r="CK1" s="85">
        <v>1</v>
      </c>
      <c r="CL1" s="85">
        <v>1</v>
      </c>
      <c r="CM1" s="85">
        <v>1</v>
      </c>
      <c r="CN1" s="85">
        <v>1</v>
      </c>
      <c r="CO1" s="85">
        <v>1</v>
      </c>
      <c r="CP1" s="85">
        <v>1</v>
      </c>
      <c r="CQ1" s="85">
        <v>1</v>
      </c>
      <c r="CR1" s="85">
        <v>1</v>
      </c>
      <c r="CS1" s="85">
        <v>1</v>
      </c>
      <c r="CT1" s="85">
        <v>1</v>
      </c>
      <c r="CU1" s="85">
        <v>1</v>
      </c>
      <c r="CV1" s="85">
        <v>1</v>
      </c>
      <c r="CW1" s="85">
        <v>1</v>
      </c>
      <c r="CX1" s="85">
        <v>1</v>
      </c>
      <c r="CY1" s="85">
        <v>1</v>
      </c>
      <c r="CZ1" s="85">
        <v>1</v>
      </c>
      <c r="DA1" s="85">
        <v>1</v>
      </c>
      <c r="DB1" s="85">
        <v>1</v>
      </c>
      <c r="DC1" s="85">
        <v>1</v>
      </c>
      <c r="DD1" s="85">
        <v>1</v>
      </c>
      <c r="DE1" s="85">
        <v>1</v>
      </c>
      <c r="DF1" s="85">
        <v>1</v>
      </c>
      <c r="DG1" s="85">
        <v>1</v>
      </c>
      <c r="DH1" s="85">
        <v>1</v>
      </c>
      <c r="DI1" s="85">
        <v>1</v>
      </c>
      <c r="DJ1" s="85">
        <v>1</v>
      </c>
      <c r="DK1" s="85">
        <v>1</v>
      </c>
      <c r="DL1" s="85">
        <v>1</v>
      </c>
      <c r="DM1" s="85">
        <v>1</v>
      </c>
      <c r="DN1" s="85">
        <v>1</v>
      </c>
      <c r="DO1" s="85">
        <v>1</v>
      </c>
      <c r="DP1" s="85">
        <v>1</v>
      </c>
      <c r="DQ1" s="85">
        <v>1</v>
      </c>
      <c r="DR1" s="85">
        <v>1</v>
      </c>
      <c r="DS1" s="85">
        <v>1</v>
      </c>
      <c r="DT1" s="85">
        <v>1</v>
      </c>
      <c r="DU1" s="85">
        <v>1</v>
      </c>
      <c r="DV1" s="85">
        <v>1</v>
      </c>
      <c r="DW1" s="85">
        <v>1</v>
      </c>
      <c r="DX1" s="85">
        <v>1</v>
      </c>
      <c r="DY1" s="85">
        <v>1</v>
      </c>
      <c r="DZ1" s="85">
        <v>1</v>
      </c>
      <c r="EA1" s="85">
        <v>1</v>
      </c>
      <c r="EB1" s="85">
        <v>1</v>
      </c>
      <c r="EC1" s="85">
        <v>1</v>
      </c>
      <c r="ED1" s="85">
        <v>1</v>
      </c>
      <c r="EE1" s="85">
        <v>1</v>
      </c>
      <c r="EF1" s="85">
        <v>1</v>
      </c>
      <c r="EG1" s="85">
        <v>1</v>
      </c>
      <c r="EH1" s="85">
        <v>1</v>
      </c>
      <c r="EI1" s="85">
        <v>1</v>
      </c>
      <c r="EJ1" s="85">
        <v>1</v>
      </c>
      <c r="EK1" s="85">
        <v>1</v>
      </c>
      <c r="EL1" s="85">
        <v>1</v>
      </c>
      <c r="EM1" s="85">
        <v>1</v>
      </c>
      <c r="EN1" s="85">
        <v>1</v>
      </c>
      <c r="EO1" s="85">
        <v>1</v>
      </c>
      <c r="EP1" s="85">
        <v>1</v>
      </c>
      <c r="EQ1" s="85">
        <v>1</v>
      </c>
      <c r="ER1" s="85">
        <v>1</v>
      </c>
      <c r="ES1" s="85">
        <v>1</v>
      </c>
      <c r="ET1" s="85">
        <v>1</v>
      </c>
      <c r="EU1" s="85">
        <v>1</v>
      </c>
      <c r="EV1" s="85">
        <v>1</v>
      </c>
      <c r="EW1" s="85">
        <v>1</v>
      </c>
      <c r="EX1" s="85">
        <v>1</v>
      </c>
      <c r="EY1" s="85">
        <v>1</v>
      </c>
      <c r="EZ1" s="85">
        <v>1</v>
      </c>
      <c r="FA1" s="85">
        <v>1</v>
      </c>
      <c r="FB1" s="85">
        <v>1</v>
      </c>
      <c r="FC1" s="85">
        <v>1</v>
      </c>
      <c r="FD1" s="85">
        <v>1</v>
      </c>
      <c r="FE1" s="85">
        <v>1</v>
      </c>
      <c r="FF1" s="85">
        <v>1</v>
      </c>
      <c r="FG1" s="85">
        <v>1</v>
      </c>
      <c r="FH1" s="85">
        <v>1</v>
      </c>
      <c r="FI1" s="85">
        <v>1</v>
      </c>
      <c r="FJ1" s="85">
        <v>1</v>
      </c>
      <c r="FK1" s="85">
        <v>1</v>
      </c>
      <c r="FL1" s="85">
        <v>1</v>
      </c>
      <c r="FM1" s="85">
        <v>1</v>
      </c>
      <c r="FN1" s="85">
        <v>1</v>
      </c>
      <c r="FO1" s="85">
        <v>1</v>
      </c>
      <c r="FP1" s="85">
        <v>1</v>
      </c>
      <c r="FQ1" s="85">
        <v>1</v>
      </c>
      <c r="FR1" s="85">
        <v>1</v>
      </c>
      <c r="FS1" s="85">
        <v>1</v>
      </c>
      <c r="FT1" s="85">
        <v>1</v>
      </c>
      <c r="FU1" s="85">
        <v>1</v>
      </c>
      <c r="FV1" s="85">
        <v>1</v>
      </c>
      <c r="FW1" s="85">
        <v>1</v>
      </c>
      <c r="FX1" s="85">
        <v>1</v>
      </c>
      <c r="FY1" s="85">
        <v>1</v>
      </c>
      <c r="FZ1" s="85">
        <v>1</v>
      </c>
      <c r="GA1" s="85">
        <v>1</v>
      </c>
      <c r="GB1" s="85">
        <v>1</v>
      </c>
      <c r="GC1" s="85">
        <v>1</v>
      </c>
      <c r="GD1" s="85">
        <v>1</v>
      </c>
      <c r="GE1" s="85">
        <v>1</v>
      </c>
      <c r="GF1" s="85">
        <v>1</v>
      </c>
      <c r="GG1" s="85">
        <v>1</v>
      </c>
      <c r="GH1" s="85">
        <v>1</v>
      </c>
      <c r="GI1" s="85">
        <v>1</v>
      </c>
      <c r="GJ1" s="85">
        <v>1</v>
      </c>
      <c r="GK1" s="85">
        <v>1</v>
      </c>
      <c r="GL1" s="85">
        <v>1</v>
      </c>
      <c r="GM1" s="85">
        <v>1</v>
      </c>
      <c r="GN1" s="85">
        <v>1</v>
      </c>
      <c r="GO1" s="85">
        <v>1</v>
      </c>
      <c r="GP1" s="85">
        <v>1</v>
      </c>
      <c r="GQ1" s="85">
        <v>1</v>
      </c>
      <c r="GR1" s="85">
        <v>1</v>
      </c>
      <c r="GS1" s="85">
        <v>1</v>
      </c>
      <c r="GT1" s="85">
        <v>1</v>
      </c>
      <c r="GU1" s="85">
        <v>1</v>
      </c>
      <c r="GV1" s="85">
        <v>1</v>
      </c>
      <c r="GW1" s="85">
        <v>1</v>
      </c>
      <c r="GX1" s="85">
        <v>1</v>
      </c>
      <c r="GY1" s="85">
        <v>1</v>
      </c>
      <c r="GZ1" s="85">
        <v>1</v>
      </c>
      <c r="HA1" s="85">
        <v>1</v>
      </c>
      <c r="HB1" s="85">
        <v>1</v>
      </c>
      <c r="HC1" s="85">
        <v>1</v>
      </c>
      <c r="HD1" s="85">
        <v>1</v>
      </c>
      <c r="HE1" s="85">
        <v>1</v>
      </c>
      <c r="HF1" s="85">
        <v>1</v>
      </c>
      <c r="HG1" s="85">
        <v>1</v>
      </c>
      <c r="HH1" s="85">
        <v>1</v>
      </c>
      <c r="HI1" s="85">
        <v>1</v>
      </c>
      <c r="HJ1" s="85">
        <v>1</v>
      </c>
      <c r="HK1" s="85">
        <v>1</v>
      </c>
      <c r="HL1" s="85">
        <v>1</v>
      </c>
      <c r="HM1" s="85">
        <v>1</v>
      </c>
      <c r="HN1" s="85">
        <v>1</v>
      </c>
      <c r="HO1" s="85">
        <v>1</v>
      </c>
      <c r="HP1" s="85">
        <v>1</v>
      </c>
      <c r="HQ1" s="85">
        <v>1</v>
      </c>
      <c r="HR1" s="85">
        <v>1</v>
      </c>
      <c r="HS1" s="85">
        <v>1</v>
      </c>
      <c r="HT1" s="85">
        <v>1</v>
      </c>
      <c r="HU1" s="85">
        <v>1</v>
      </c>
      <c r="HV1" s="85">
        <v>1</v>
      </c>
      <c r="HW1" s="85">
        <v>1</v>
      </c>
      <c r="HX1" s="85">
        <v>1</v>
      </c>
      <c r="HY1" s="85">
        <v>1</v>
      </c>
      <c r="HZ1" s="85">
        <v>1</v>
      </c>
      <c r="IA1" s="85">
        <v>1</v>
      </c>
      <c r="IB1" s="85">
        <v>1</v>
      </c>
      <c r="IC1" s="85">
        <v>1</v>
      </c>
      <c r="ID1" s="85">
        <v>1</v>
      </c>
      <c r="IE1" s="85">
        <v>1</v>
      </c>
      <c r="IF1" s="85">
        <v>1</v>
      </c>
      <c r="IG1" s="85">
        <v>1</v>
      </c>
      <c r="IH1" s="85">
        <v>1</v>
      </c>
      <c r="II1" s="85">
        <v>1</v>
      </c>
      <c r="IJ1" s="85">
        <v>1</v>
      </c>
      <c r="IK1" s="85">
        <v>1</v>
      </c>
      <c r="IL1" s="85">
        <v>1</v>
      </c>
      <c r="IM1" s="85">
        <v>1</v>
      </c>
      <c r="IN1" s="85">
        <v>1</v>
      </c>
      <c r="IO1" s="85">
        <v>1</v>
      </c>
      <c r="IP1" s="85">
        <v>1</v>
      </c>
      <c r="IQ1" s="85">
        <v>1</v>
      </c>
      <c r="IR1" s="85">
        <v>1</v>
      </c>
      <c r="IS1" s="85">
        <v>1</v>
      </c>
      <c r="IT1" s="85">
        <v>1</v>
      </c>
      <c r="IU1" s="85">
        <v>1</v>
      </c>
      <c r="IV1" s="85">
        <v>1</v>
      </c>
      <c r="IW1" s="85">
        <v>1</v>
      </c>
      <c r="IX1" s="85">
        <v>1</v>
      </c>
      <c r="IY1" s="85">
        <v>1</v>
      </c>
      <c r="IZ1" s="85">
        <v>1</v>
      </c>
      <c r="JA1" s="85">
        <v>1</v>
      </c>
      <c r="JB1" s="85">
        <v>1</v>
      </c>
      <c r="JC1" s="85">
        <v>1</v>
      </c>
      <c r="JD1" s="85">
        <v>1</v>
      </c>
      <c r="JE1" s="85">
        <v>1</v>
      </c>
      <c r="JF1" s="85">
        <v>1</v>
      </c>
      <c r="JG1" s="85">
        <v>1</v>
      </c>
      <c r="JH1" s="85">
        <v>1</v>
      </c>
      <c r="JI1" s="85">
        <v>1</v>
      </c>
      <c r="JJ1" s="85">
        <v>1</v>
      </c>
      <c r="JK1" s="85">
        <v>1</v>
      </c>
      <c r="JL1" s="85">
        <v>1</v>
      </c>
      <c r="JM1" s="85">
        <v>1</v>
      </c>
      <c r="JN1" s="85">
        <v>1</v>
      </c>
      <c r="JO1" s="85">
        <v>1</v>
      </c>
      <c r="JP1" s="85">
        <v>1</v>
      </c>
      <c r="JQ1" s="85">
        <v>1</v>
      </c>
      <c r="JR1" s="85">
        <v>1</v>
      </c>
      <c r="JS1" s="85">
        <v>1</v>
      </c>
      <c r="JT1" s="85">
        <v>1</v>
      </c>
      <c r="JU1" s="85">
        <v>1</v>
      </c>
      <c r="JV1" s="85">
        <v>1</v>
      </c>
      <c r="JW1" s="85">
        <v>1</v>
      </c>
      <c r="JX1" s="85">
        <v>1</v>
      </c>
      <c r="JY1" s="85">
        <v>1</v>
      </c>
      <c r="JZ1" s="85">
        <v>1</v>
      </c>
      <c r="KA1" s="85">
        <v>1</v>
      </c>
      <c r="KB1" s="85">
        <v>1</v>
      </c>
      <c r="KC1" s="85">
        <v>1</v>
      </c>
      <c r="KD1" s="85">
        <v>1</v>
      </c>
      <c r="KE1" s="85">
        <v>1</v>
      </c>
      <c r="KF1" s="85">
        <v>1</v>
      </c>
      <c r="KG1" s="85">
        <v>1</v>
      </c>
      <c r="KH1" s="85">
        <v>1</v>
      </c>
      <c r="KI1" s="85">
        <v>1</v>
      </c>
      <c r="KJ1" s="85">
        <v>1</v>
      </c>
      <c r="KK1" s="85">
        <v>1</v>
      </c>
      <c r="KL1" s="85">
        <v>1</v>
      </c>
      <c r="KM1" s="85">
        <v>1</v>
      </c>
      <c r="KN1" s="85">
        <v>1</v>
      </c>
      <c r="KO1" s="85">
        <v>1</v>
      </c>
      <c r="KP1" s="85">
        <v>1</v>
      </c>
      <c r="KQ1" s="85">
        <v>1</v>
      </c>
      <c r="KR1" s="85">
        <v>1</v>
      </c>
      <c r="KS1" s="85">
        <v>1</v>
      </c>
      <c r="KT1" s="85">
        <v>1</v>
      </c>
      <c r="KU1" s="85">
        <v>1</v>
      </c>
      <c r="KV1" s="85">
        <v>1</v>
      </c>
      <c r="KW1" s="85">
        <v>1</v>
      </c>
      <c r="KX1" s="85">
        <v>1</v>
      </c>
      <c r="KY1" s="85">
        <v>1</v>
      </c>
      <c r="KZ1" s="85">
        <v>1</v>
      </c>
      <c r="LA1" s="85">
        <v>1</v>
      </c>
      <c r="LB1" s="85">
        <v>1</v>
      </c>
      <c r="LC1" s="85">
        <v>1</v>
      </c>
      <c r="LD1" s="85">
        <v>1</v>
      </c>
      <c r="LE1" s="85">
        <v>1</v>
      </c>
      <c r="LF1" s="85">
        <v>1</v>
      </c>
      <c r="LG1" s="85">
        <v>1</v>
      </c>
      <c r="LH1" s="85">
        <v>1</v>
      </c>
      <c r="LI1" s="85">
        <v>1</v>
      </c>
      <c r="LJ1" s="85">
        <v>1</v>
      </c>
      <c r="LK1" s="85">
        <v>1</v>
      </c>
      <c r="LL1" s="85">
        <v>1</v>
      </c>
      <c r="LM1" s="85">
        <v>1</v>
      </c>
      <c r="LN1" s="85">
        <v>1</v>
      </c>
      <c r="LO1" s="85">
        <v>1</v>
      </c>
      <c r="LP1" s="85">
        <v>1</v>
      </c>
      <c r="LQ1" s="85">
        <v>1</v>
      </c>
      <c r="LR1" s="85">
        <v>1</v>
      </c>
      <c r="LS1" s="85">
        <v>1</v>
      </c>
      <c r="LT1" s="85">
        <v>1</v>
      </c>
      <c r="LU1" s="85">
        <v>1</v>
      </c>
      <c r="LV1" s="85">
        <v>1</v>
      </c>
      <c r="LW1" s="85">
        <v>1</v>
      </c>
      <c r="LX1" s="85">
        <v>1</v>
      </c>
      <c r="LY1" s="85">
        <v>1</v>
      </c>
      <c r="LZ1" s="85">
        <v>1</v>
      </c>
      <c r="MA1" s="85">
        <v>1</v>
      </c>
      <c r="MB1" s="85">
        <v>1</v>
      </c>
      <c r="MC1" s="85">
        <v>1</v>
      </c>
      <c r="MD1" s="85">
        <v>1</v>
      </c>
      <c r="ME1" s="85">
        <v>1</v>
      </c>
      <c r="MF1" s="85">
        <v>1</v>
      </c>
      <c r="MG1" s="85">
        <v>1</v>
      </c>
      <c r="MH1" s="85">
        <v>1</v>
      </c>
      <c r="MI1" s="85">
        <v>1</v>
      </c>
      <c r="MJ1" s="85">
        <v>1</v>
      </c>
      <c r="MK1" s="85">
        <v>1</v>
      </c>
      <c r="ML1" s="85">
        <v>1</v>
      </c>
      <c r="MM1" s="85">
        <v>1</v>
      </c>
      <c r="MN1" s="85">
        <v>1</v>
      </c>
      <c r="MO1" s="85">
        <v>1</v>
      </c>
      <c r="MP1" s="85">
        <v>1</v>
      </c>
      <c r="MQ1" s="85">
        <v>1</v>
      </c>
      <c r="MR1" s="85">
        <v>1</v>
      </c>
      <c r="MS1" s="85">
        <v>1</v>
      </c>
      <c r="MT1" s="85">
        <v>1</v>
      </c>
      <c r="MU1" s="85">
        <v>1</v>
      </c>
      <c r="MV1" s="85">
        <v>1</v>
      </c>
      <c r="MW1" s="85">
        <v>1</v>
      </c>
      <c r="MX1" s="85">
        <v>1</v>
      </c>
      <c r="MY1" s="85">
        <v>1</v>
      </c>
      <c r="MZ1" s="85">
        <v>1</v>
      </c>
      <c r="NA1" s="85">
        <v>1</v>
      </c>
      <c r="NB1" s="85">
        <v>1</v>
      </c>
      <c r="NC1" s="85">
        <v>1</v>
      </c>
      <c r="ND1" s="85">
        <v>1</v>
      </c>
      <c r="NE1" s="85">
        <v>1</v>
      </c>
      <c r="NF1" s="85">
        <v>1</v>
      </c>
      <c r="NG1" s="85">
        <v>1</v>
      </c>
      <c r="NH1" s="85">
        <v>1</v>
      </c>
      <c r="NI1" s="85">
        <v>1</v>
      </c>
      <c r="NJ1" s="85">
        <v>1</v>
      </c>
      <c r="NK1" s="85">
        <v>1</v>
      </c>
      <c r="NL1" s="85">
        <v>1</v>
      </c>
      <c r="NM1" s="85">
        <v>1</v>
      </c>
      <c r="NN1" s="85">
        <v>1</v>
      </c>
      <c r="NO1" s="85">
        <v>1</v>
      </c>
      <c r="NP1" s="85">
        <v>1</v>
      </c>
      <c r="NQ1" s="85">
        <v>1</v>
      </c>
      <c r="NR1" s="85">
        <v>1</v>
      </c>
      <c r="NS1" s="85">
        <v>1</v>
      </c>
      <c r="NT1" s="85">
        <v>1</v>
      </c>
      <c r="NU1" s="85">
        <v>1</v>
      </c>
      <c r="NV1" s="85">
        <v>1</v>
      </c>
      <c r="NW1" s="85">
        <v>1</v>
      </c>
      <c r="NX1" s="85">
        <v>1</v>
      </c>
      <c r="NY1" s="85">
        <v>1</v>
      </c>
      <c r="NZ1" s="85">
        <v>1</v>
      </c>
      <c r="OA1" s="85">
        <v>1</v>
      </c>
      <c r="OB1" s="85">
        <v>1</v>
      </c>
      <c r="OC1" s="85">
        <v>1</v>
      </c>
      <c r="OD1" s="85">
        <v>1</v>
      </c>
      <c r="OE1" s="85">
        <v>1</v>
      </c>
      <c r="OF1" s="85">
        <v>1</v>
      </c>
      <c r="OG1" s="85">
        <v>1</v>
      </c>
      <c r="OH1" s="85">
        <v>1</v>
      </c>
      <c r="OI1" s="85">
        <v>1</v>
      </c>
      <c r="OJ1" s="85">
        <v>1</v>
      </c>
      <c r="OK1" s="85">
        <v>1</v>
      </c>
      <c r="OL1" s="85">
        <v>1</v>
      </c>
      <c r="OM1" s="85">
        <v>1</v>
      </c>
      <c r="ON1" s="85">
        <v>1</v>
      </c>
      <c r="OO1" s="85">
        <v>1</v>
      </c>
      <c r="OP1" s="85">
        <v>1</v>
      </c>
      <c r="OQ1" s="85">
        <v>1</v>
      </c>
      <c r="OR1" s="85">
        <v>1</v>
      </c>
      <c r="OS1" s="85">
        <v>1</v>
      </c>
      <c r="OT1" s="85">
        <v>1</v>
      </c>
      <c r="OU1" s="85">
        <v>1</v>
      </c>
      <c r="OV1" s="85">
        <v>1</v>
      </c>
      <c r="OW1" s="85">
        <v>1</v>
      </c>
      <c r="OX1" s="85">
        <v>1</v>
      </c>
      <c r="OY1" s="85">
        <v>1</v>
      </c>
      <c r="OZ1" s="85">
        <v>1</v>
      </c>
      <c r="PA1" s="85">
        <v>1</v>
      </c>
      <c r="PB1" s="85">
        <v>1</v>
      </c>
      <c r="PC1" s="85">
        <v>1</v>
      </c>
      <c r="PD1" s="85">
        <v>1</v>
      </c>
      <c r="PE1" s="85">
        <v>1</v>
      </c>
      <c r="PF1" s="85">
        <v>1</v>
      </c>
      <c r="PG1" s="85">
        <v>1</v>
      </c>
      <c r="PH1" s="85">
        <v>1</v>
      </c>
      <c r="PI1" s="85">
        <v>1</v>
      </c>
      <c r="PJ1" s="85">
        <v>1</v>
      </c>
      <c r="PK1" s="85">
        <v>1</v>
      </c>
      <c r="PL1" s="85">
        <v>1</v>
      </c>
      <c r="PM1" s="85">
        <v>1</v>
      </c>
      <c r="PN1" s="85">
        <v>1</v>
      </c>
      <c r="PO1" s="85">
        <v>2</v>
      </c>
      <c r="PP1" s="85">
        <v>3</v>
      </c>
      <c r="PQ1" s="85">
        <v>4</v>
      </c>
      <c r="PR1" s="85">
        <v>5</v>
      </c>
      <c r="PS1" s="85">
        <v>6</v>
      </c>
      <c r="PT1" s="85">
        <v>7</v>
      </c>
      <c r="PU1" s="85">
        <v>8</v>
      </c>
      <c r="PV1" s="85">
        <v>9</v>
      </c>
      <c r="PW1" s="85">
        <v>10</v>
      </c>
      <c r="PX1" s="85">
        <v>11</v>
      </c>
      <c r="PY1" s="85">
        <v>12</v>
      </c>
      <c r="PZ1" s="85">
        <v>13</v>
      </c>
      <c r="QA1" s="85">
        <v>14</v>
      </c>
      <c r="QB1" s="85">
        <v>15</v>
      </c>
      <c r="QC1" s="85">
        <v>16</v>
      </c>
      <c r="QD1" s="85">
        <v>17</v>
      </c>
      <c r="QE1" s="85">
        <v>18</v>
      </c>
      <c r="QF1" s="85">
        <v>19</v>
      </c>
      <c r="QG1" s="85">
        <v>20</v>
      </c>
      <c r="QH1" s="85">
        <v>21</v>
      </c>
      <c r="QI1" s="85">
        <v>22</v>
      </c>
      <c r="QJ1" s="85">
        <v>23</v>
      </c>
      <c r="QK1" s="85">
        <v>24</v>
      </c>
      <c r="QL1" s="85">
        <v>25</v>
      </c>
      <c r="QM1" s="85">
        <v>26</v>
      </c>
      <c r="QN1" s="85">
        <v>27</v>
      </c>
      <c r="QO1" s="85">
        <v>1</v>
      </c>
      <c r="QP1" s="85">
        <v>1</v>
      </c>
      <c r="QQ1" s="85">
        <v>1</v>
      </c>
      <c r="QR1" s="85">
        <v>1</v>
      </c>
      <c r="QS1" s="85">
        <v>1</v>
      </c>
      <c r="QT1" s="85">
        <v>2</v>
      </c>
      <c r="QU1" s="85">
        <v>3</v>
      </c>
      <c r="QV1" s="85">
        <v>4</v>
      </c>
      <c r="QW1" s="85">
        <v>5</v>
      </c>
      <c r="QX1" s="85">
        <v>6</v>
      </c>
      <c r="QY1" s="85">
        <v>7</v>
      </c>
      <c r="QZ1" s="85">
        <v>8</v>
      </c>
      <c r="RA1" s="85">
        <v>9</v>
      </c>
      <c r="RB1" s="85">
        <v>10</v>
      </c>
      <c r="RC1" s="85">
        <v>11</v>
      </c>
      <c r="RD1" s="85">
        <v>12</v>
      </c>
      <c r="RE1" s="85">
        <v>13</v>
      </c>
      <c r="RF1" s="85">
        <v>14</v>
      </c>
      <c r="RG1" s="85">
        <v>15</v>
      </c>
      <c r="RH1" s="85">
        <v>16</v>
      </c>
      <c r="RI1" s="85">
        <v>17</v>
      </c>
      <c r="RJ1" s="85">
        <v>18</v>
      </c>
      <c r="RK1" s="85">
        <v>19</v>
      </c>
      <c r="RL1" s="85">
        <v>20</v>
      </c>
      <c r="RM1" s="85">
        <v>21</v>
      </c>
      <c r="RN1" s="85">
        <v>22</v>
      </c>
      <c r="RO1" s="85">
        <v>23</v>
      </c>
      <c r="RP1" s="85">
        <v>24</v>
      </c>
      <c r="RQ1" s="85">
        <v>25</v>
      </c>
      <c r="RR1" s="85">
        <v>26</v>
      </c>
      <c r="RS1" s="85">
        <v>1</v>
      </c>
      <c r="RT1" s="85">
        <v>1</v>
      </c>
      <c r="RU1" s="85">
        <v>1</v>
      </c>
      <c r="RV1" s="85">
        <v>1</v>
      </c>
      <c r="RW1" s="85">
        <v>1</v>
      </c>
      <c r="RX1" s="85">
        <v>2</v>
      </c>
      <c r="RY1" s="85">
        <v>3</v>
      </c>
      <c r="RZ1" s="85">
        <v>4</v>
      </c>
      <c r="SA1" s="85">
        <v>5</v>
      </c>
      <c r="SB1" s="85">
        <v>6</v>
      </c>
      <c r="SC1" s="85">
        <v>7</v>
      </c>
      <c r="SD1" s="85">
        <v>8</v>
      </c>
      <c r="SE1" s="85">
        <v>9</v>
      </c>
      <c r="SF1" s="85">
        <v>10</v>
      </c>
      <c r="SG1" s="85">
        <v>11</v>
      </c>
      <c r="SH1" s="85">
        <v>12</v>
      </c>
      <c r="SI1" s="85">
        <v>13</v>
      </c>
      <c r="SJ1" s="85">
        <v>14</v>
      </c>
      <c r="SK1" s="85">
        <v>15</v>
      </c>
      <c r="SL1" s="85">
        <v>16</v>
      </c>
      <c r="SM1" s="85">
        <v>17</v>
      </c>
      <c r="SN1" s="85">
        <v>18</v>
      </c>
      <c r="SO1" s="85">
        <v>19</v>
      </c>
      <c r="SP1" s="85">
        <v>20</v>
      </c>
      <c r="SQ1" s="85">
        <v>21</v>
      </c>
      <c r="SR1" s="85">
        <v>22</v>
      </c>
      <c r="SS1" s="85">
        <v>23</v>
      </c>
      <c r="ST1" s="85">
        <v>24</v>
      </c>
      <c r="SU1" s="85">
        <v>25</v>
      </c>
      <c r="SV1" s="85">
        <v>26</v>
      </c>
      <c r="SW1" s="85">
        <v>27</v>
      </c>
    </row>
    <row r="2" spans="1:517" ht="20.100000000000001" customHeight="1" x14ac:dyDescent="0.2">
      <c r="A2" s="93">
        <f>A1*$AK$1</f>
        <v>2</v>
      </c>
      <c r="B2" s="92">
        <v>46023</v>
      </c>
      <c r="C2" s="94">
        <v>1</v>
      </c>
      <c r="D2" s="94">
        <f>C2+1</f>
        <v>2</v>
      </c>
      <c r="E2" s="94">
        <f t="shared" ref="E2:BP2" si="0">D2+1</f>
        <v>3</v>
      </c>
      <c r="F2" s="94">
        <f t="shared" si="0"/>
        <v>4</v>
      </c>
      <c r="G2" s="94">
        <f t="shared" si="0"/>
        <v>5</v>
      </c>
      <c r="H2" s="94">
        <f t="shared" si="0"/>
        <v>6</v>
      </c>
      <c r="I2" s="94">
        <f t="shared" si="0"/>
        <v>7</v>
      </c>
      <c r="J2" s="94">
        <f t="shared" si="0"/>
        <v>8</v>
      </c>
      <c r="K2" s="94">
        <f t="shared" si="0"/>
        <v>9</v>
      </c>
      <c r="L2" s="94">
        <f t="shared" si="0"/>
        <v>10</v>
      </c>
      <c r="M2" s="94">
        <f t="shared" si="0"/>
        <v>11</v>
      </c>
      <c r="N2" s="94">
        <f t="shared" si="0"/>
        <v>12</v>
      </c>
      <c r="O2" s="94">
        <f t="shared" si="0"/>
        <v>13</v>
      </c>
      <c r="P2" s="94">
        <f t="shared" si="0"/>
        <v>14</v>
      </c>
      <c r="Q2" s="94">
        <f t="shared" si="0"/>
        <v>15</v>
      </c>
      <c r="R2" s="94">
        <f t="shared" si="0"/>
        <v>16</v>
      </c>
      <c r="S2" s="94">
        <f t="shared" si="0"/>
        <v>17</v>
      </c>
      <c r="T2" s="94">
        <f t="shared" si="0"/>
        <v>18</v>
      </c>
      <c r="U2" s="94">
        <f t="shared" si="0"/>
        <v>19</v>
      </c>
      <c r="V2" s="94">
        <f t="shared" si="0"/>
        <v>20</v>
      </c>
      <c r="W2" s="94">
        <f t="shared" si="0"/>
        <v>21</v>
      </c>
      <c r="X2" s="94">
        <f t="shared" si="0"/>
        <v>22</v>
      </c>
      <c r="Y2" s="94">
        <f t="shared" si="0"/>
        <v>23</v>
      </c>
      <c r="Z2" s="94">
        <f t="shared" si="0"/>
        <v>24</v>
      </c>
      <c r="AA2" s="94">
        <f t="shared" si="0"/>
        <v>25</v>
      </c>
      <c r="AB2" s="94">
        <f t="shared" si="0"/>
        <v>26</v>
      </c>
      <c r="AC2" s="94">
        <f t="shared" si="0"/>
        <v>27</v>
      </c>
      <c r="AD2" s="94">
        <f t="shared" si="0"/>
        <v>28</v>
      </c>
      <c r="AE2" s="94">
        <f t="shared" si="0"/>
        <v>29</v>
      </c>
      <c r="AF2" s="94">
        <f t="shared" si="0"/>
        <v>30</v>
      </c>
      <c r="AG2" s="94">
        <f t="shared" si="0"/>
        <v>31</v>
      </c>
      <c r="AH2" s="94">
        <f t="shared" si="0"/>
        <v>32</v>
      </c>
      <c r="AI2" s="94">
        <f t="shared" si="0"/>
        <v>33</v>
      </c>
      <c r="AJ2" s="94">
        <f t="shared" si="0"/>
        <v>34</v>
      </c>
      <c r="AK2" s="94">
        <f t="shared" si="0"/>
        <v>35</v>
      </c>
      <c r="AL2" s="94">
        <f t="shared" si="0"/>
        <v>36</v>
      </c>
      <c r="AM2" s="94">
        <f t="shared" si="0"/>
        <v>37</v>
      </c>
      <c r="AN2" s="94">
        <f t="shared" si="0"/>
        <v>38</v>
      </c>
      <c r="AO2" s="94">
        <f t="shared" si="0"/>
        <v>39</v>
      </c>
      <c r="AP2" s="94">
        <f t="shared" si="0"/>
        <v>40</v>
      </c>
      <c r="AQ2" s="94">
        <f t="shared" si="0"/>
        <v>41</v>
      </c>
      <c r="AR2" s="94">
        <f t="shared" si="0"/>
        <v>42</v>
      </c>
      <c r="AS2" s="94">
        <f t="shared" si="0"/>
        <v>43</v>
      </c>
      <c r="AT2" s="94">
        <f t="shared" si="0"/>
        <v>44</v>
      </c>
      <c r="AU2" s="94">
        <f t="shared" si="0"/>
        <v>45</v>
      </c>
      <c r="AV2" s="94">
        <f t="shared" si="0"/>
        <v>46</v>
      </c>
      <c r="AW2" s="94">
        <f t="shared" si="0"/>
        <v>47</v>
      </c>
      <c r="AX2" s="94">
        <f t="shared" si="0"/>
        <v>48</v>
      </c>
      <c r="AY2" s="94">
        <f t="shared" si="0"/>
        <v>49</v>
      </c>
      <c r="AZ2" s="94">
        <f t="shared" si="0"/>
        <v>50</v>
      </c>
      <c r="BA2" s="94">
        <f t="shared" si="0"/>
        <v>51</v>
      </c>
      <c r="BB2" s="94">
        <f t="shared" si="0"/>
        <v>52</v>
      </c>
      <c r="BC2" s="94">
        <f t="shared" si="0"/>
        <v>53</v>
      </c>
      <c r="BD2" s="94">
        <f t="shared" si="0"/>
        <v>54</v>
      </c>
      <c r="BE2" s="94">
        <f t="shared" si="0"/>
        <v>55</v>
      </c>
      <c r="BF2" s="94">
        <f t="shared" si="0"/>
        <v>56</v>
      </c>
      <c r="BG2" s="94">
        <f t="shared" si="0"/>
        <v>57</v>
      </c>
      <c r="BH2" s="94">
        <f t="shared" si="0"/>
        <v>58</v>
      </c>
      <c r="BI2" s="94">
        <f t="shared" si="0"/>
        <v>59</v>
      </c>
      <c r="BJ2" s="94">
        <f t="shared" si="0"/>
        <v>60</v>
      </c>
      <c r="BK2" s="94">
        <f t="shared" si="0"/>
        <v>61</v>
      </c>
      <c r="BL2" s="94">
        <f t="shared" si="0"/>
        <v>62</v>
      </c>
      <c r="BM2" s="94">
        <f t="shared" si="0"/>
        <v>63</v>
      </c>
      <c r="BN2" s="94">
        <f t="shared" si="0"/>
        <v>64</v>
      </c>
      <c r="BO2" s="94">
        <f t="shared" si="0"/>
        <v>65</v>
      </c>
      <c r="BP2" s="94">
        <f t="shared" si="0"/>
        <v>66</v>
      </c>
      <c r="BQ2" s="94">
        <f t="shared" ref="BQ2:EC2" si="1">BP2+1</f>
        <v>67</v>
      </c>
      <c r="BR2" s="94">
        <f t="shared" si="1"/>
        <v>68</v>
      </c>
      <c r="BS2" s="94">
        <f t="shared" si="1"/>
        <v>69</v>
      </c>
      <c r="BT2" s="94">
        <f t="shared" si="1"/>
        <v>70</v>
      </c>
      <c r="BU2" s="94">
        <f t="shared" si="1"/>
        <v>71</v>
      </c>
      <c r="BV2" s="94">
        <f t="shared" si="1"/>
        <v>72</v>
      </c>
      <c r="BW2" s="94">
        <f t="shared" si="1"/>
        <v>73</v>
      </c>
      <c r="BX2" s="94">
        <f t="shared" si="1"/>
        <v>74</v>
      </c>
      <c r="BY2" s="94">
        <f t="shared" si="1"/>
        <v>75</v>
      </c>
      <c r="BZ2" s="94">
        <f t="shared" si="1"/>
        <v>76</v>
      </c>
      <c r="CA2" s="94">
        <f t="shared" si="1"/>
        <v>77</v>
      </c>
      <c r="CB2" s="94">
        <f t="shared" si="1"/>
        <v>78</v>
      </c>
      <c r="CC2" s="94">
        <f t="shared" si="1"/>
        <v>79</v>
      </c>
      <c r="CD2" s="94">
        <f t="shared" si="1"/>
        <v>80</v>
      </c>
      <c r="CE2" s="94">
        <f t="shared" si="1"/>
        <v>81</v>
      </c>
      <c r="CF2" s="94">
        <f t="shared" si="1"/>
        <v>82</v>
      </c>
      <c r="CG2" s="94">
        <f t="shared" si="1"/>
        <v>83</v>
      </c>
      <c r="CH2" s="94">
        <f t="shared" si="1"/>
        <v>84</v>
      </c>
      <c r="CI2" s="94">
        <f t="shared" si="1"/>
        <v>85</v>
      </c>
      <c r="CJ2" s="94">
        <f t="shared" si="1"/>
        <v>86</v>
      </c>
      <c r="CK2" s="94">
        <f t="shared" si="1"/>
        <v>87</v>
      </c>
      <c r="CL2" s="94">
        <f t="shared" si="1"/>
        <v>88</v>
      </c>
      <c r="CM2" s="94">
        <f t="shared" si="1"/>
        <v>89</v>
      </c>
      <c r="CN2" s="94">
        <f t="shared" si="1"/>
        <v>90</v>
      </c>
      <c r="CO2" s="94">
        <f t="shared" si="1"/>
        <v>91</v>
      </c>
      <c r="CP2" s="94">
        <f t="shared" si="1"/>
        <v>92</v>
      </c>
      <c r="CQ2" s="94">
        <f t="shared" si="1"/>
        <v>93</v>
      </c>
      <c r="CR2" s="94">
        <f t="shared" si="1"/>
        <v>94</v>
      </c>
      <c r="CS2" s="94">
        <f t="shared" si="1"/>
        <v>95</v>
      </c>
      <c r="CT2" s="94">
        <f t="shared" si="1"/>
        <v>96</v>
      </c>
      <c r="CU2" s="94">
        <f t="shared" si="1"/>
        <v>97</v>
      </c>
      <c r="CV2" s="94">
        <f t="shared" si="1"/>
        <v>98</v>
      </c>
      <c r="CW2" s="94">
        <f t="shared" si="1"/>
        <v>99</v>
      </c>
      <c r="CX2" s="94">
        <f t="shared" si="1"/>
        <v>100</v>
      </c>
      <c r="CY2" s="94">
        <f t="shared" si="1"/>
        <v>101</v>
      </c>
      <c r="CZ2" s="94">
        <f t="shared" si="1"/>
        <v>102</v>
      </c>
      <c r="DA2" s="94">
        <f t="shared" si="1"/>
        <v>103</v>
      </c>
      <c r="DB2" s="94">
        <f t="shared" si="1"/>
        <v>104</v>
      </c>
      <c r="DC2" s="94">
        <f t="shared" si="1"/>
        <v>105</v>
      </c>
      <c r="DD2" s="94">
        <f t="shared" si="1"/>
        <v>106</v>
      </c>
      <c r="DE2" s="94">
        <f t="shared" si="1"/>
        <v>107</v>
      </c>
      <c r="DF2" s="94">
        <f t="shared" si="1"/>
        <v>108</v>
      </c>
      <c r="DG2" s="94">
        <f t="shared" si="1"/>
        <v>109</v>
      </c>
      <c r="DH2" s="94">
        <f t="shared" si="1"/>
        <v>110</v>
      </c>
      <c r="DI2" s="94">
        <f t="shared" si="1"/>
        <v>111</v>
      </c>
      <c r="DJ2" s="94">
        <f t="shared" si="1"/>
        <v>112</v>
      </c>
      <c r="DK2" s="94">
        <f t="shared" si="1"/>
        <v>113</v>
      </c>
      <c r="DL2" s="94">
        <f t="shared" si="1"/>
        <v>114</v>
      </c>
      <c r="DM2" s="94">
        <f t="shared" si="1"/>
        <v>115</v>
      </c>
      <c r="DN2" s="94">
        <f t="shared" si="1"/>
        <v>116</v>
      </c>
      <c r="DO2" s="94">
        <f t="shared" si="1"/>
        <v>117</v>
      </c>
      <c r="DP2" s="94">
        <f t="shared" si="1"/>
        <v>118</v>
      </c>
      <c r="DQ2" s="94">
        <f t="shared" si="1"/>
        <v>119</v>
      </c>
      <c r="DR2" s="94">
        <f t="shared" si="1"/>
        <v>120</v>
      </c>
      <c r="DS2" s="94">
        <f t="shared" si="1"/>
        <v>121</v>
      </c>
      <c r="DT2" s="94">
        <f t="shared" si="1"/>
        <v>122</v>
      </c>
      <c r="DU2" s="94">
        <f t="shared" si="1"/>
        <v>123</v>
      </c>
      <c r="DV2" s="94">
        <f t="shared" si="1"/>
        <v>124</v>
      </c>
      <c r="DW2" s="94">
        <f t="shared" si="1"/>
        <v>125</v>
      </c>
      <c r="DX2" s="94">
        <f t="shared" si="1"/>
        <v>126</v>
      </c>
      <c r="DY2" s="94">
        <f t="shared" si="1"/>
        <v>127</v>
      </c>
      <c r="DZ2" s="94">
        <f t="shared" si="1"/>
        <v>128</v>
      </c>
      <c r="EA2" s="94">
        <f t="shared" si="1"/>
        <v>129</v>
      </c>
      <c r="EB2" s="94">
        <f t="shared" si="1"/>
        <v>130</v>
      </c>
      <c r="EC2" s="94">
        <f t="shared" si="1"/>
        <v>131</v>
      </c>
      <c r="ED2" s="94">
        <f t="shared" ref="ED2:GO2" si="2">EC2+1</f>
        <v>132</v>
      </c>
      <c r="EE2" s="94">
        <f t="shared" si="2"/>
        <v>133</v>
      </c>
      <c r="EF2" s="94">
        <f t="shared" si="2"/>
        <v>134</v>
      </c>
      <c r="EG2" s="94">
        <f t="shared" si="2"/>
        <v>135</v>
      </c>
      <c r="EH2" s="94">
        <f t="shared" si="2"/>
        <v>136</v>
      </c>
      <c r="EI2" s="94">
        <f t="shared" si="2"/>
        <v>137</v>
      </c>
      <c r="EJ2" s="94">
        <f t="shared" si="2"/>
        <v>138</v>
      </c>
      <c r="EK2" s="94">
        <f t="shared" si="2"/>
        <v>139</v>
      </c>
      <c r="EL2" s="94">
        <f t="shared" si="2"/>
        <v>140</v>
      </c>
      <c r="EM2" s="94">
        <f t="shared" si="2"/>
        <v>141</v>
      </c>
      <c r="EN2" s="94">
        <f t="shared" si="2"/>
        <v>142</v>
      </c>
      <c r="EO2" s="94">
        <f t="shared" si="2"/>
        <v>143</v>
      </c>
      <c r="EP2" s="94">
        <f t="shared" si="2"/>
        <v>144</v>
      </c>
      <c r="EQ2" s="94">
        <f t="shared" si="2"/>
        <v>145</v>
      </c>
      <c r="ER2" s="94">
        <f t="shared" si="2"/>
        <v>146</v>
      </c>
      <c r="ES2" s="94">
        <f t="shared" si="2"/>
        <v>147</v>
      </c>
      <c r="ET2" s="94">
        <f t="shared" si="2"/>
        <v>148</v>
      </c>
      <c r="EU2" s="94">
        <f t="shared" si="2"/>
        <v>149</v>
      </c>
      <c r="EV2" s="94">
        <f t="shared" si="2"/>
        <v>150</v>
      </c>
      <c r="EW2" s="94">
        <f t="shared" si="2"/>
        <v>151</v>
      </c>
      <c r="EX2" s="94">
        <f t="shared" si="2"/>
        <v>152</v>
      </c>
      <c r="EY2" s="94">
        <f t="shared" si="2"/>
        <v>153</v>
      </c>
      <c r="EZ2" s="94">
        <f t="shared" si="2"/>
        <v>154</v>
      </c>
      <c r="FA2" s="94">
        <f t="shared" si="2"/>
        <v>155</v>
      </c>
      <c r="FB2" s="94">
        <f t="shared" si="2"/>
        <v>156</v>
      </c>
      <c r="FC2" s="94">
        <f t="shared" si="2"/>
        <v>157</v>
      </c>
      <c r="FD2" s="94">
        <f t="shared" si="2"/>
        <v>158</v>
      </c>
      <c r="FE2" s="94">
        <f t="shared" si="2"/>
        <v>159</v>
      </c>
      <c r="FF2" s="94">
        <f t="shared" si="2"/>
        <v>160</v>
      </c>
      <c r="FG2" s="94">
        <f t="shared" si="2"/>
        <v>161</v>
      </c>
      <c r="FH2" s="94">
        <f t="shared" si="2"/>
        <v>162</v>
      </c>
      <c r="FI2" s="94">
        <f t="shared" si="2"/>
        <v>163</v>
      </c>
      <c r="FJ2" s="94">
        <f t="shared" si="2"/>
        <v>164</v>
      </c>
      <c r="FK2" s="94">
        <f t="shared" si="2"/>
        <v>165</v>
      </c>
      <c r="FL2" s="94">
        <f t="shared" si="2"/>
        <v>166</v>
      </c>
      <c r="FM2" s="94">
        <f t="shared" si="2"/>
        <v>167</v>
      </c>
      <c r="FN2" s="94">
        <f t="shared" si="2"/>
        <v>168</v>
      </c>
      <c r="FO2" s="94">
        <f t="shared" si="2"/>
        <v>169</v>
      </c>
      <c r="FP2" s="94">
        <f t="shared" si="2"/>
        <v>170</v>
      </c>
      <c r="FQ2" s="94">
        <f t="shared" si="2"/>
        <v>171</v>
      </c>
      <c r="FR2" s="94">
        <f t="shared" si="2"/>
        <v>172</v>
      </c>
      <c r="FS2" s="94">
        <f t="shared" si="2"/>
        <v>173</v>
      </c>
      <c r="FT2" s="94">
        <f t="shared" si="2"/>
        <v>174</v>
      </c>
      <c r="FU2" s="94">
        <f t="shared" si="2"/>
        <v>175</v>
      </c>
      <c r="FV2" s="94">
        <f t="shared" si="2"/>
        <v>176</v>
      </c>
      <c r="FW2" s="94">
        <f t="shared" si="2"/>
        <v>177</v>
      </c>
      <c r="FX2" s="94">
        <f t="shared" si="2"/>
        <v>178</v>
      </c>
      <c r="FY2" s="94">
        <f t="shared" si="2"/>
        <v>179</v>
      </c>
      <c r="FZ2" s="94">
        <f t="shared" si="2"/>
        <v>180</v>
      </c>
      <c r="GA2" s="94">
        <f t="shared" si="2"/>
        <v>181</v>
      </c>
      <c r="GB2" s="94">
        <f t="shared" si="2"/>
        <v>182</v>
      </c>
      <c r="GC2" s="94">
        <f t="shared" si="2"/>
        <v>183</v>
      </c>
      <c r="GD2" s="94">
        <f t="shared" si="2"/>
        <v>184</v>
      </c>
      <c r="GE2" s="94">
        <f t="shared" si="2"/>
        <v>185</v>
      </c>
      <c r="GF2" s="94">
        <f t="shared" si="2"/>
        <v>186</v>
      </c>
      <c r="GG2" s="94">
        <f t="shared" si="2"/>
        <v>187</v>
      </c>
      <c r="GH2" s="94">
        <f t="shared" si="2"/>
        <v>188</v>
      </c>
      <c r="GI2" s="94">
        <f t="shared" si="2"/>
        <v>189</v>
      </c>
      <c r="GJ2" s="94">
        <f t="shared" si="2"/>
        <v>190</v>
      </c>
      <c r="GK2" s="94">
        <f t="shared" si="2"/>
        <v>191</v>
      </c>
      <c r="GL2" s="94">
        <f t="shared" si="2"/>
        <v>192</v>
      </c>
      <c r="GM2" s="94">
        <f t="shared" si="2"/>
        <v>193</v>
      </c>
      <c r="GN2" s="94">
        <f t="shared" si="2"/>
        <v>194</v>
      </c>
      <c r="GO2" s="94">
        <f t="shared" si="2"/>
        <v>195</v>
      </c>
      <c r="GP2" s="94">
        <f t="shared" ref="GP2:JA2" si="3">GO2+1</f>
        <v>196</v>
      </c>
      <c r="GQ2" s="94">
        <f t="shared" si="3"/>
        <v>197</v>
      </c>
      <c r="GR2" s="94">
        <f t="shared" si="3"/>
        <v>198</v>
      </c>
      <c r="GS2" s="94">
        <f t="shared" si="3"/>
        <v>199</v>
      </c>
      <c r="GT2" s="94">
        <f t="shared" si="3"/>
        <v>200</v>
      </c>
      <c r="GU2" s="94">
        <f t="shared" si="3"/>
        <v>201</v>
      </c>
      <c r="GV2" s="94">
        <f t="shared" si="3"/>
        <v>202</v>
      </c>
      <c r="GW2" s="94">
        <f t="shared" si="3"/>
        <v>203</v>
      </c>
      <c r="GX2" s="94">
        <f t="shared" si="3"/>
        <v>204</v>
      </c>
      <c r="GY2" s="94">
        <f t="shared" si="3"/>
        <v>205</v>
      </c>
      <c r="GZ2" s="94">
        <f t="shared" si="3"/>
        <v>206</v>
      </c>
      <c r="HA2" s="94">
        <f t="shared" si="3"/>
        <v>207</v>
      </c>
      <c r="HB2" s="94">
        <f t="shared" si="3"/>
        <v>208</v>
      </c>
      <c r="HC2" s="94">
        <f t="shared" si="3"/>
        <v>209</v>
      </c>
      <c r="HD2" s="94">
        <f t="shared" si="3"/>
        <v>210</v>
      </c>
      <c r="HE2" s="94">
        <f t="shared" si="3"/>
        <v>211</v>
      </c>
      <c r="HF2" s="94">
        <f t="shared" si="3"/>
        <v>212</v>
      </c>
      <c r="HG2" s="94">
        <f t="shared" si="3"/>
        <v>213</v>
      </c>
      <c r="HH2" s="94">
        <f t="shared" si="3"/>
        <v>214</v>
      </c>
      <c r="HI2" s="94">
        <f t="shared" si="3"/>
        <v>215</v>
      </c>
      <c r="HJ2" s="94">
        <f t="shared" si="3"/>
        <v>216</v>
      </c>
      <c r="HK2" s="94">
        <f t="shared" si="3"/>
        <v>217</v>
      </c>
      <c r="HL2" s="94">
        <f t="shared" si="3"/>
        <v>218</v>
      </c>
      <c r="HM2" s="94">
        <f t="shared" si="3"/>
        <v>219</v>
      </c>
      <c r="HN2" s="94">
        <f t="shared" si="3"/>
        <v>220</v>
      </c>
      <c r="HO2" s="94">
        <f t="shared" si="3"/>
        <v>221</v>
      </c>
      <c r="HP2" s="94">
        <f t="shared" si="3"/>
        <v>222</v>
      </c>
      <c r="HQ2" s="94">
        <f t="shared" si="3"/>
        <v>223</v>
      </c>
      <c r="HR2" s="94">
        <f t="shared" si="3"/>
        <v>224</v>
      </c>
      <c r="HS2" s="94">
        <f t="shared" si="3"/>
        <v>225</v>
      </c>
      <c r="HT2" s="94">
        <f t="shared" si="3"/>
        <v>226</v>
      </c>
      <c r="HU2" s="94">
        <f t="shared" si="3"/>
        <v>227</v>
      </c>
      <c r="HV2" s="94">
        <f t="shared" si="3"/>
        <v>228</v>
      </c>
      <c r="HW2" s="94">
        <f t="shared" si="3"/>
        <v>229</v>
      </c>
      <c r="HX2" s="94">
        <f t="shared" si="3"/>
        <v>230</v>
      </c>
      <c r="HY2" s="94">
        <f t="shared" si="3"/>
        <v>231</v>
      </c>
      <c r="HZ2" s="94">
        <f t="shared" si="3"/>
        <v>232</v>
      </c>
      <c r="IA2" s="94">
        <f t="shared" si="3"/>
        <v>233</v>
      </c>
      <c r="IB2" s="94">
        <f t="shared" si="3"/>
        <v>234</v>
      </c>
      <c r="IC2" s="94">
        <f t="shared" si="3"/>
        <v>235</v>
      </c>
      <c r="ID2" s="94">
        <f t="shared" si="3"/>
        <v>236</v>
      </c>
      <c r="IE2" s="94">
        <f t="shared" si="3"/>
        <v>237</v>
      </c>
      <c r="IF2" s="94">
        <f t="shared" si="3"/>
        <v>238</v>
      </c>
      <c r="IG2" s="94">
        <f t="shared" si="3"/>
        <v>239</v>
      </c>
      <c r="IH2" s="94">
        <f t="shared" si="3"/>
        <v>240</v>
      </c>
      <c r="II2" s="94">
        <f t="shared" si="3"/>
        <v>241</v>
      </c>
      <c r="IJ2" s="94">
        <f t="shared" si="3"/>
        <v>242</v>
      </c>
      <c r="IK2" s="94">
        <f t="shared" si="3"/>
        <v>243</v>
      </c>
      <c r="IL2" s="94">
        <f t="shared" si="3"/>
        <v>244</v>
      </c>
      <c r="IM2" s="94">
        <f t="shared" si="3"/>
        <v>245</v>
      </c>
      <c r="IN2" s="94">
        <f t="shared" si="3"/>
        <v>246</v>
      </c>
      <c r="IO2" s="94">
        <f t="shared" si="3"/>
        <v>247</v>
      </c>
      <c r="IP2" s="94">
        <f t="shared" si="3"/>
        <v>248</v>
      </c>
      <c r="IQ2" s="94">
        <f t="shared" si="3"/>
        <v>249</v>
      </c>
      <c r="IR2" s="94">
        <f t="shared" si="3"/>
        <v>250</v>
      </c>
      <c r="IS2" s="94">
        <f t="shared" si="3"/>
        <v>251</v>
      </c>
      <c r="IT2" s="94">
        <f t="shared" si="3"/>
        <v>252</v>
      </c>
      <c r="IU2" s="94">
        <f t="shared" si="3"/>
        <v>253</v>
      </c>
      <c r="IV2" s="94">
        <f t="shared" si="3"/>
        <v>254</v>
      </c>
      <c r="IW2" s="94">
        <f t="shared" si="3"/>
        <v>255</v>
      </c>
      <c r="IX2" s="94">
        <f t="shared" si="3"/>
        <v>256</v>
      </c>
      <c r="IY2" s="94">
        <f t="shared" si="3"/>
        <v>257</v>
      </c>
      <c r="IZ2" s="94">
        <f t="shared" si="3"/>
        <v>258</v>
      </c>
      <c r="JA2" s="94">
        <f t="shared" si="3"/>
        <v>259</v>
      </c>
      <c r="JB2" s="94">
        <f t="shared" ref="JB2:LM2" si="4">JA2+1</f>
        <v>260</v>
      </c>
      <c r="JC2" s="94">
        <f t="shared" si="4"/>
        <v>261</v>
      </c>
      <c r="JD2" s="94">
        <f t="shared" si="4"/>
        <v>262</v>
      </c>
      <c r="JE2" s="94">
        <f t="shared" si="4"/>
        <v>263</v>
      </c>
      <c r="JF2" s="94">
        <f t="shared" si="4"/>
        <v>264</v>
      </c>
      <c r="JG2" s="94">
        <f t="shared" si="4"/>
        <v>265</v>
      </c>
      <c r="JH2" s="94">
        <f t="shared" si="4"/>
        <v>266</v>
      </c>
      <c r="JI2" s="94">
        <f t="shared" si="4"/>
        <v>267</v>
      </c>
      <c r="JJ2" s="94">
        <f t="shared" si="4"/>
        <v>268</v>
      </c>
      <c r="JK2" s="94">
        <f t="shared" si="4"/>
        <v>269</v>
      </c>
      <c r="JL2" s="94">
        <f t="shared" si="4"/>
        <v>270</v>
      </c>
      <c r="JM2" s="94">
        <f t="shared" si="4"/>
        <v>271</v>
      </c>
      <c r="JN2" s="94">
        <f t="shared" si="4"/>
        <v>272</v>
      </c>
      <c r="JO2" s="94">
        <f t="shared" si="4"/>
        <v>273</v>
      </c>
      <c r="JP2" s="94">
        <f t="shared" si="4"/>
        <v>274</v>
      </c>
      <c r="JQ2" s="94">
        <f t="shared" si="4"/>
        <v>275</v>
      </c>
      <c r="JR2" s="94">
        <f t="shared" si="4"/>
        <v>276</v>
      </c>
      <c r="JS2" s="94">
        <f t="shared" si="4"/>
        <v>277</v>
      </c>
      <c r="JT2" s="94">
        <f t="shared" si="4"/>
        <v>278</v>
      </c>
      <c r="JU2" s="94">
        <f t="shared" si="4"/>
        <v>279</v>
      </c>
      <c r="JV2" s="94">
        <f t="shared" si="4"/>
        <v>280</v>
      </c>
      <c r="JW2" s="94">
        <f t="shared" si="4"/>
        <v>281</v>
      </c>
      <c r="JX2" s="94">
        <f t="shared" si="4"/>
        <v>282</v>
      </c>
      <c r="JY2" s="94">
        <f t="shared" si="4"/>
        <v>283</v>
      </c>
      <c r="JZ2" s="94">
        <f t="shared" si="4"/>
        <v>284</v>
      </c>
      <c r="KA2" s="94">
        <f t="shared" si="4"/>
        <v>285</v>
      </c>
      <c r="KB2" s="94">
        <f t="shared" si="4"/>
        <v>286</v>
      </c>
      <c r="KC2" s="94">
        <f t="shared" si="4"/>
        <v>287</v>
      </c>
      <c r="KD2" s="94">
        <f t="shared" si="4"/>
        <v>288</v>
      </c>
      <c r="KE2" s="94">
        <f t="shared" si="4"/>
        <v>289</v>
      </c>
      <c r="KF2" s="94">
        <f t="shared" si="4"/>
        <v>290</v>
      </c>
      <c r="KG2" s="94">
        <f t="shared" si="4"/>
        <v>291</v>
      </c>
      <c r="KH2" s="94">
        <f t="shared" si="4"/>
        <v>292</v>
      </c>
      <c r="KI2" s="94">
        <f t="shared" si="4"/>
        <v>293</v>
      </c>
      <c r="KJ2" s="94">
        <f t="shared" si="4"/>
        <v>294</v>
      </c>
      <c r="KK2" s="94">
        <f t="shared" si="4"/>
        <v>295</v>
      </c>
      <c r="KL2" s="94">
        <f t="shared" si="4"/>
        <v>296</v>
      </c>
      <c r="KM2" s="94">
        <f t="shared" si="4"/>
        <v>297</v>
      </c>
      <c r="KN2" s="94">
        <f t="shared" si="4"/>
        <v>298</v>
      </c>
      <c r="KO2" s="94">
        <f t="shared" si="4"/>
        <v>299</v>
      </c>
      <c r="KP2" s="94">
        <f t="shared" si="4"/>
        <v>300</v>
      </c>
      <c r="KQ2" s="94">
        <f t="shared" si="4"/>
        <v>301</v>
      </c>
      <c r="KR2" s="94">
        <f t="shared" si="4"/>
        <v>302</v>
      </c>
      <c r="KS2" s="94">
        <f t="shared" si="4"/>
        <v>303</v>
      </c>
      <c r="KT2" s="94">
        <f t="shared" si="4"/>
        <v>304</v>
      </c>
      <c r="KU2" s="94">
        <f t="shared" si="4"/>
        <v>305</v>
      </c>
      <c r="KV2" s="94">
        <f t="shared" si="4"/>
        <v>306</v>
      </c>
      <c r="KW2" s="94">
        <f t="shared" si="4"/>
        <v>307</v>
      </c>
      <c r="KX2" s="94">
        <f t="shared" si="4"/>
        <v>308</v>
      </c>
      <c r="KY2" s="94">
        <f t="shared" si="4"/>
        <v>309</v>
      </c>
      <c r="KZ2" s="94">
        <f t="shared" si="4"/>
        <v>310</v>
      </c>
      <c r="LA2" s="94">
        <f t="shared" si="4"/>
        <v>311</v>
      </c>
      <c r="LB2" s="94">
        <f t="shared" si="4"/>
        <v>312</v>
      </c>
      <c r="LC2" s="94">
        <f t="shared" si="4"/>
        <v>313</v>
      </c>
      <c r="LD2" s="94">
        <f t="shared" si="4"/>
        <v>314</v>
      </c>
      <c r="LE2" s="94">
        <f t="shared" si="4"/>
        <v>315</v>
      </c>
      <c r="LF2" s="94">
        <f t="shared" si="4"/>
        <v>316</v>
      </c>
      <c r="LG2" s="94">
        <f t="shared" si="4"/>
        <v>317</v>
      </c>
      <c r="LH2" s="94">
        <f t="shared" si="4"/>
        <v>318</v>
      </c>
      <c r="LI2" s="94">
        <f t="shared" si="4"/>
        <v>319</v>
      </c>
      <c r="LJ2" s="94">
        <f t="shared" si="4"/>
        <v>320</v>
      </c>
      <c r="LK2" s="94">
        <f t="shared" si="4"/>
        <v>321</v>
      </c>
      <c r="LL2" s="94">
        <f t="shared" si="4"/>
        <v>322</v>
      </c>
      <c r="LM2" s="94">
        <f t="shared" si="4"/>
        <v>323</v>
      </c>
      <c r="LN2" s="94">
        <f t="shared" ref="LN2:NY2" si="5">LM2+1</f>
        <v>324</v>
      </c>
      <c r="LO2" s="94">
        <f t="shared" si="5"/>
        <v>325</v>
      </c>
      <c r="LP2" s="94">
        <f t="shared" si="5"/>
        <v>326</v>
      </c>
      <c r="LQ2" s="94">
        <f t="shared" si="5"/>
        <v>327</v>
      </c>
      <c r="LR2" s="94">
        <f t="shared" si="5"/>
        <v>328</v>
      </c>
      <c r="LS2" s="94">
        <f t="shared" si="5"/>
        <v>329</v>
      </c>
      <c r="LT2" s="94">
        <f t="shared" si="5"/>
        <v>330</v>
      </c>
      <c r="LU2" s="94">
        <f t="shared" si="5"/>
        <v>331</v>
      </c>
      <c r="LV2" s="94">
        <f t="shared" si="5"/>
        <v>332</v>
      </c>
      <c r="LW2" s="94">
        <f t="shared" si="5"/>
        <v>333</v>
      </c>
      <c r="LX2" s="94">
        <f t="shared" si="5"/>
        <v>334</v>
      </c>
      <c r="LY2" s="94">
        <f t="shared" si="5"/>
        <v>335</v>
      </c>
      <c r="LZ2" s="94">
        <f t="shared" si="5"/>
        <v>336</v>
      </c>
      <c r="MA2" s="94">
        <f t="shared" si="5"/>
        <v>337</v>
      </c>
      <c r="MB2" s="94">
        <f t="shared" si="5"/>
        <v>338</v>
      </c>
      <c r="MC2" s="94">
        <f t="shared" si="5"/>
        <v>339</v>
      </c>
      <c r="MD2" s="94">
        <f t="shared" si="5"/>
        <v>340</v>
      </c>
      <c r="ME2" s="94">
        <f t="shared" si="5"/>
        <v>341</v>
      </c>
      <c r="MF2" s="94">
        <f t="shared" si="5"/>
        <v>342</v>
      </c>
      <c r="MG2" s="94">
        <f t="shared" si="5"/>
        <v>343</v>
      </c>
      <c r="MH2" s="94">
        <f t="shared" si="5"/>
        <v>344</v>
      </c>
      <c r="MI2" s="94">
        <f t="shared" si="5"/>
        <v>345</v>
      </c>
      <c r="MJ2" s="94">
        <f t="shared" si="5"/>
        <v>346</v>
      </c>
      <c r="MK2" s="94">
        <f t="shared" si="5"/>
        <v>347</v>
      </c>
      <c r="ML2" s="94">
        <f t="shared" si="5"/>
        <v>348</v>
      </c>
      <c r="MM2" s="94">
        <f t="shared" si="5"/>
        <v>349</v>
      </c>
      <c r="MN2" s="94">
        <f t="shared" si="5"/>
        <v>350</v>
      </c>
      <c r="MO2" s="94">
        <f t="shared" si="5"/>
        <v>351</v>
      </c>
      <c r="MP2" s="94">
        <f t="shared" si="5"/>
        <v>352</v>
      </c>
      <c r="MQ2" s="94">
        <f t="shared" si="5"/>
        <v>353</v>
      </c>
      <c r="MR2" s="94">
        <f t="shared" si="5"/>
        <v>354</v>
      </c>
      <c r="MS2" s="94">
        <f t="shared" si="5"/>
        <v>355</v>
      </c>
      <c r="MT2" s="94">
        <f t="shared" si="5"/>
        <v>356</v>
      </c>
      <c r="MU2" s="94">
        <f t="shared" si="5"/>
        <v>357</v>
      </c>
      <c r="MV2" s="94">
        <f t="shared" si="5"/>
        <v>358</v>
      </c>
      <c r="MW2" s="94">
        <f t="shared" si="5"/>
        <v>359</v>
      </c>
      <c r="MX2" s="94">
        <f t="shared" si="5"/>
        <v>360</v>
      </c>
      <c r="MY2" s="94">
        <f t="shared" si="5"/>
        <v>361</v>
      </c>
      <c r="MZ2" s="94">
        <f t="shared" si="5"/>
        <v>362</v>
      </c>
      <c r="NA2" s="94">
        <f t="shared" si="5"/>
        <v>363</v>
      </c>
      <c r="NB2" s="94">
        <f t="shared" si="5"/>
        <v>364</v>
      </c>
      <c r="NC2" s="94">
        <f t="shared" si="5"/>
        <v>365</v>
      </c>
      <c r="ND2" s="94">
        <f t="shared" si="5"/>
        <v>366</v>
      </c>
      <c r="NE2" s="94">
        <f t="shared" si="5"/>
        <v>367</v>
      </c>
      <c r="NF2" s="94">
        <f t="shared" si="5"/>
        <v>368</v>
      </c>
      <c r="NG2" s="94">
        <f t="shared" si="5"/>
        <v>369</v>
      </c>
      <c r="NH2" s="94">
        <f t="shared" si="5"/>
        <v>370</v>
      </c>
      <c r="NI2" s="94">
        <f t="shared" si="5"/>
        <v>371</v>
      </c>
      <c r="NJ2" s="94">
        <f t="shared" si="5"/>
        <v>372</v>
      </c>
      <c r="NK2" s="94">
        <f t="shared" si="5"/>
        <v>373</v>
      </c>
      <c r="NL2" s="94">
        <f t="shared" si="5"/>
        <v>374</v>
      </c>
      <c r="NM2" s="94">
        <f t="shared" si="5"/>
        <v>375</v>
      </c>
      <c r="NN2" s="94">
        <f t="shared" si="5"/>
        <v>376</v>
      </c>
      <c r="NO2" s="94">
        <f t="shared" si="5"/>
        <v>377</v>
      </c>
      <c r="NP2" s="94">
        <f t="shared" si="5"/>
        <v>378</v>
      </c>
      <c r="NQ2" s="94">
        <f t="shared" si="5"/>
        <v>379</v>
      </c>
      <c r="NR2" s="94">
        <f t="shared" si="5"/>
        <v>380</v>
      </c>
      <c r="NS2" s="94">
        <f t="shared" si="5"/>
        <v>381</v>
      </c>
      <c r="NT2" s="94">
        <f t="shared" si="5"/>
        <v>382</v>
      </c>
      <c r="NU2" s="94">
        <f t="shared" si="5"/>
        <v>383</v>
      </c>
      <c r="NV2" s="94">
        <f t="shared" si="5"/>
        <v>384</v>
      </c>
      <c r="NW2" s="94">
        <f t="shared" si="5"/>
        <v>385</v>
      </c>
      <c r="NX2" s="94">
        <f t="shared" si="5"/>
        <v>386</v>
      </c>
      <c r="NY2" s="94">
        <f t="shared" si="5"/>
        <v>387</v>
      </c>
      <c r="NZ2" s="94">
        <f t="shared" ref="NZ2:QK2" si="6">NY2+1</f>
        <v>388</v>
      </c>
      <c r="OA2" s="94">
        <f t="shared" si="6"/>
        <v>389</v>
      </c>
      <c r="OB2" s="94">
        <f t="shared" si="6"/>
        <v>390</v>
      </c>
      <c r="OC2" s="94">
        <f t="shared" si="6"/>
        <v>391</v>
      </c>
      <c r="OD2" s="94">
        <f t="shared" si="6"/>
        <v>392</v>
      </c>
      <c r="OE2" s="94">
        <f t="shared" si="6"/>
        <v>393</v>
      </c>
      <c r="OF2" s="94">
        <f t="shared" si="6"/>
        <v>394</v>
      </c>
      <c r="OG2" s="94">
        <f t="shared" si="6"/>
        <v>395</v>
      </c>
      <c r="OH2" s="94">
        <f t="shared" si="6"/>
        <v>396</v>
      </c>
      <c r="OI2" s="94">
        <f t="shared" si="6"/>
        <v>397</v>
      </c>
      <c r="OJ2" s="94">
        <f t="shared" si="6"/>
        <v>398</v>
      </c>
      <c r="OK2" s="94">
        <f t="shared" si="6"/>
        <v>399</v>
      </c>
      <c r="OL2" s="94">
        <f t="shared" si="6"/>
        <v>400</v>
      </c>
      <c r="OM2" s="94">
        <f t="shared" si="6"/>
        <v>401</v>
      </c>
      <c r="ON2" s="94">
        <f t="shared" si="6"/>
        <v>402</v>
      </c>
      <c r="OO2" s="94">
        <f t="shared" si="6"/>
        <v>403</v>
      </c>
      <c r="OP2" s="94">
        <f t="shared" si="6"/>
        <v>404</v>
      </c>
      <c r="OQ2" s="94">
        <f t="shared" si="6"/>
        <v>405</v>
      </c>
      <c r="OR2" s="94">
        <f t="shared" si="6"/>
        <v>406</v>
      </c>
      <c r="OS2" s="94">
        <f t="shared" si="6"/>
        <v>407</v>
      </c>
      <c r="OT2" s="94">
        <f t="shared" si="6"/>
        <v>408</v>
      </c>
      <c r="OU2" s="94">
        <f t="shared" si="6"/>
        <v>409</v>
      </c>
      <c r="OV2" s="94">
        <f t="shared" si="6"/>
        <v>410</v>
      </c>
      <c r="OW2" s="94">
        <f t="shared" si="6"/>
        <v>411</v>
      </c>
      <c r="OX2" s="94">
        <f t="shared" si="6"/>
        <v>412</v>
      </c>
      <c r="OY2" s="94">
        <f t="shared" si="6"/>
        <v>413</v>
      </c>
      <c r="OZ2" s="94">
        <f t="shared" si="6"/>
        <v>414</v>
      </c>
      <c r="PA2" s="94">
        <f t="shared" si="6"/>
        <v>415</v>
      </c>
      <c r="PB2" s="94">
        <f t="shared" si="6"/>
        <v>416</v>
      </c>
      <c r="PC2" s="94">
        <f t="shared" si="6"/>
        <v>417</v>
      </c>
      <c r="PD2" s="94">
        <f t="shared" si="6"/>
        <v>418</v>
      </c>
      <c r="PE2" s="94">
        <f t="shared" si="6"/>
        <v>419</v>
      </c>
      <c r="PF2" s="94">
        <f t="shared" si="6"/>
        <v>420</v>
      </c>
      <c r="PG2" s="94">
        <f t="shared" si="6"/>
        <v>421</v>
      </c>
      <c r="PH2" s="94">
        <f t="shared" si="6"/>
        <v>422</v>
      </c>
      <c r="PI2" s="94">
        <f t="shared" si="6"/>
        <v>423</v>
      </c>
      <c r="PJ2" s="94">
        <f t="shared" si="6"/>
        <v>424</v>
      </c>
      <c r="PK2" s="94">
        <f t="shared" si="6"/>
        <v>425</v>
      </c>
      <c r="PL2" s="94">
        <f t="shared" si="6"/>
        <v>426</v>
      </c>
      <c r="PM2" s="94">
        <f t="shared" si="6"/>
        <v>427</v>
      </c>
      <c r="PN2" s="94">
        <f t="shared" si="6"/>
        <v>428</v>
      </c>
      <c r="PO2" s="94">
        <f t="shared" si="6"/>
        <v>429</v>
      </c>
      <c r="PP2" s="94">
        <f t="shared" si="6"/>
        <v>430</v>
      </c>
      <c r="PQ2" s="94">
        <f t="shared" si="6"/>
        <v>431</v>
      </c>
      <c r="PR2" s="94">
        <f t="shared" si="6"/>
        <v>432</v>
      </c>
      <c r="PS2" s="94">
        <f t="shared" si="6"/>
        <v>433</v>
      </c>
      <c r="PT2" s="94">
        <f t="shared" si="6"/>
        <v>434</v>
      </c>
      <c r="PU2" s="94">
        <f t="shared" si="6"/>
        <v>435</v>
      </c>
      <c r="PV2" s="94">
        <f t="shared" si="6"/>
        <v>436</v>
      </c>
      <c r="PW2" s="94">
        <f t="shared" si="6"/>
        <v>437</v>
      </c>
      <c r="PX2" s="94">
        <f t="shared" si="6"/>
        <v>438</v>
      </c>
      <c r="PY2" s="94">
        <f t="shared" si="6"/>
        <v>439</v>
      </c>
      <c r="PZ2" s="94">
        <f t="shared" si="6"/>
        <v>440</v>
      </c>
      <c r="QA2" s="94">
        <f t="shared" si="6"/>
        <v>441</v>
      </c>
      <c r="QB2" s="94">
        <f t="shared" si="6"/>
        <v>442</v>
      </c>
      <c r="QC2" s="94">
        <f t="shared" si="6"/>
        <v>443</v>
      </c>
      <c r="QD2" s="94">
        <f t="shared" si="6"/>
        <v>444</v>
      </c>
      <c r="QE2" s="94">
        <f t="shared" si="6"/>
        <v>445</v>
      </c>
      <c r="QF2" s="94">
        <f t="shared" si="6"/>
        <v>446</v>
      </c>
      <c r="QG2" s="94">
        <f t="shared" si="6"/>
        <v>447</v>
      </c>
      <c r="QH2" s="94">
        <f t="shared" si="6"/>
        <v>448</v>
      </c>
      <c r="QI2" s="94">
        <f t="shared" si="6"/>
        <v>449</v>
      </c>
      <c r="QJ2" s="94">
        <f t="shared" si="6"/>
        <v>450</v>
      </c>
      <c r="QK2" s="94">
        <f t="shared" si="6"/>
        <v>451</v>
      </c>
      <c r="QL2" s="94">
        <f t="shared" ref="QL2:SW2" si="7">QK2+1</f>
        <v>452</v>
      </c>
      <c r="QM2" s="94">
        <f t="shared" si="7"/>
        <v>453</v>
      </c>
      <c r="QN2" s="94">
        <f t="shared" si="7"/>
        <v>454</v>
      </c>
      <c r="QO2" s="94">
        <f t="shared" si="7"/>
        <v>455</v>
      </c>
      <c r="QP2" s="94">
        <f t="shared" si="7"/>
        <v>456</v>
      </c>
      <c r="QQ2" s="94">
        <f t="shared" si="7"/>
        <v>457</v>
      </c>
      <c r="QR2" s="94">
        <f t="shared" si="7"/>
        <v>458</v>
      </c>
      <c r="QS2" s="94">
        <f t="shared" si="7"/>
        <v>459</v>
      </c>
      <c r="QT2" s="94">
        <f t="shared" si="7"/>
        <v>460</v>
      </c>
      <c r="QU2" s="94">
        <f t="shared" si="7"/>
        <v>461</v>
      </c>
      <c r="QV2" s="94">
        <f t="shared" si="7"/>
        <v>462</v>
      </c>
      <c r="QW2" s="94">
        <f t="shared" si="7"/>
        <v>463</v>
      </c>
      <c r="QX2" s="94">
        <f t="shared" si="7"/>
        <v>464</v>
      </c>
      <c r="QY2" s="94">
        <f t="shared" si="7"/>
        <v>465</v>
      </c>
      <c r="QZ2" s="94">
        <f t="shared" si="7"/>
        <v>466</v>
      </c>
      <c r="RA2" s="94">
        <f t="shared" si="7"/>
        <v>467</v>
      </c>
      <c r="RB2" s="94">
        <f t="shared" si="7"/>
        <v>468</v>
      </c>
      <c r="RC2" s="94">
        <f t="shared" si="7"/>
        <v>469</v>
      </c>
      <c r="RD2" s="94">
        <f t="shared" si="7"/>
        <v>470</v>
      </c>
      <c r="RE2" s="94">
        <f t="shared" si="7"/>
        <v>471</v>
      </c>
      <c r="RF2" s="94">
        <f t="shared" si="7"/>
        <v>472</v>
      </c>
      <c r="RG2" s="94">
        <f t="shared" si="7"/>
        <v>473</v>
      </c>
      <c r="RH2" s="94">
        <f t="shared" si="7"/>
        <v>474</v>
      </c>
      <c r="RI2" s="94">
        <f t="shared" si="7"/>
        <v>475</v>
      </c>
      <c r="RJ2" s="94">
        <f t="shared" si="7"/>
        <v>476</v>
      </c>
      <c r="RK2" s="94">
        <f t="shared" si="7"/>
        <v>477</v>
      </c>
      <c r="RL2" s="94">
        <f t="shared" si="7"/>
        <v>478</v>
      </c>
      <c r="RM2" s="94">
        <f t="shared" si="7"/>
        <v>479</v>
      </c>
      <c r="RN2" s="94">
        <f t="shared" si="7"/>
        <v>480</v>
      </c>
      <c r="RO2" s="94">
        <f t="shared" si="7"/>
        <v>481</v>
      </c>
      <c r="RP2" s="94">
        <f t="shared" si="7"/>
        <v>482</v>
      </c>
      <c r="RQ2" s="94">
        <f t="shared" si="7"/>
        <v>483</v>
      </c>
      <c r="RR2" s="94">
        <f t="shared" si="7"/>
        <v>484</v>
      </c>
      <c r="RS2" s="94">
        <f t="shared" si="7"/>
        <v>485</v>
      </c>
      <c r="RT2" s="94">
        <f t="shared" si="7"/>
        <v>486</v>
      </c>
      <c r="RU2" s="94">
        <f t="shared" si="7"/>
        <v>487</v>
      </c>
      <c r="RV2" s="94">
        <f t="shared" si="7"/>
        <v>488</v>
      </c>
      <c r="RW2" s="94">
        <f t="shared" si="7"/>
        <v>489</v>
      </c>
      <c r="RX2" s="94">
        <f t="shared" si="7"/>
        <v>490</v>
      </c>
      <c r="RY2" s="94">
        <f t="shared" si="7"/>
        <v>491</v>
      </c>
      <c r="RZ2" s="94">
        <f t="shared" si="7"/>
        <v>492</v>
      </c>
      <c r="SA2" s="94">
        <f t="shared" si="7"/>
        <v>493</v>
      </c>
      <c r="SB2" s="94">
        <f t="shared" si="7"/>
        <v>494</v>
      </c>
      <c r="SC2" s="94">
        <f t="shared" si="7"/>
        <v>495</v>
      </c>
      <c r="SD2" s="94">
        <f t="shared" si="7"/>
        <v>496</v>
      </c>
      <c r="SE2" s="94">
        <f t="shared" si="7"/>
        <v>497</v>
      </c>
      <c r="SF2" s="94">
        <f t="shared" si="7"/>
        <v>498</v>
      </c>
      <c r="SG2" s="94">
        <f t="shared" si="7"/>
        <v>499</v>
      </c>
      <c r="SH2" s="94">
        <f t="shared" si="7"/>
        <v>500</v>
      </c>
      <c r="SI2" s="94">
        <f t="shared" si="7"/>
        <v>501</v>
      </c>
      <c r="SJ2" s="94">
        <f t="shared" si="7"/>
        <v>502</v>
      </c>
      <c r="SK2" s="94">
        <f t="shared" si="7"/>
        <v>503</v>
      </c>
      <c r="SL2" s="94">
        <f t="shared" si="7"/>
        <v>504</v>
      </c>
      <c r="SM2" s="94">
        <f t="shared" si="7"/>
        <v>505</v>
      </c>
      <c r="SN2" s="94">
        <f t="shared" si="7"/>
        <v>506</v>
      </c>
      <c r="SO2" s="94">
        <f t="shared" si="7"/>
        <v>507</v>
      </c>
      <c r="SP2" s="94">
        <f t="shared" si="7"/>
        <v>508</v>
      </c>
      <c r="SQ2" s="94">
        <f t="shared" si="7"/>
        <v>509</v>
      </c>
      <c r="SR2" s="94">
        <f t="shared" si="7"/>
        <v>510</v>
      </c>
      <c r="SS2" s="94">
        <f t="shared" si="7"/>
        <v>511</v>
      </c>
      <c r="ST2" s="94">
        <f t="shared" si="7"/>
        <v>512</v>
      </c>
      <c r="SU2" s="94">
        <f t="shared" si="7"/>
        <v>513</v>
      </c>
      <c r="SV2" s="94">
        <f t="shared" si="7"/>
        <v>514</v>
      </c>
      <c r="SW2" s="94">
        <f t="shared" si="7"/>
        <v>515</v>
      </c>
    </row>
    <row r="3" spans="1:517" ht="24" customHeight="1" x14ac:dyDescent="0.2">
      <c r="A3" s="95">
        <f>1-(A1*$AK$1/(24*$AK$1))</f>
        <v>0.91666666666666663</v>
      </c>
      <c r="B3" s="96" t="s">
        <v>19</v>
      </c>
      <c r="C3" s="97">
        <v>46023</v>
      </c>
      <c r="D3" s="97">
        <f>C3+1</f>
        <v>46024</v>
      </c>
      <c r="E3" s="97">
        <v>46025</v>
      </c>
      <c r="F3" s="97">
        <v>46026</v>
      </c>
      <c r="G3" s="97">
        <v>46027</v>
      </c>
      <c r="H3" s="97">
        <v>46028</v>
      </c>
      <c r="I3" s="97">
        <v>46029</v>
      </c>
      <c r="J3" s="97">
        <v>46030</v>
      </c>
      <c r="K3" s="97">
        <v>46031</v>
      </c>
      <c r="L3" s="97">
        <v>46032</v>
      </c>
      <c r="M3" s="97">
        <v>46033</v>
      </c>
      <c r="N3" s="97">
        <v>46034</v>
      </c>
      <c r="O3" s="97">
        <v>46035</v>
      </c>
      <c r="P3" s="97">
        <v>46036</v>
      </c>
      <c r="Q3" s="97">
        <v>46037</v>
      </c>
      <c r="R3" s="97">
        <v>46038</v>
      </c>
      <c r="S3" s="97">
        <v>46039</v>
      </c>
      <c r="T3" s="97">
        <v>46040</v>
      </c>
      <c r="U3" s="97">
        <v>46041</v>
      </c>
      <c r="V3" s="97">
        <v>46042</v>
      </c>
      <c r="W3" s="97">
        <v>46043</v>
      </c>
      <c r="X3" s="97">
        <v>46044</v>
      </c>
      <c r="Y3" s="97">
        <v>46045</v>
      </c>
      <c r="Z3" s="97">
        <v>46046</v>
      </c>
      <c r="AA3" s="97">
        <v>46047</v>
      </c>
      <c r="AB3" s="97">
        <v>46048</v>
      </c>
      <c r="AC3" s="97">
        <v>46049</v>
      </c>
      <c r="AD3" s="97">
        <v>46050</v>
      </c>
      <c r="AE3" s="97">
        <v>46051</v>
      </c>
      <c r="AF3" s="97">
        <v>46052</v>
      </c>
      <c r="AG3" s="98">
        <v>46053</v>
      </c>
      <c r="AH3" s="99">
        <v>46054</v>
      </c>
      <c r="AI3" s="97">
        <v>46055</v>
      </c>
      <c r="AJ3" s="97">
        <v>46056</v>
      </c>
      <c r="AK3" s="97">
        <v>46057</v>
      </c>
      <c r="AL3" s="97">
        <v>46058</v>
      </c>
      <c r="AM3" s="97">
        <v>46059</v>
      </c>
      <c r="AN3" s="97">
        <v>46060</v>
      </c>
      <c r="AO3" s="97">
        <v>46061</v>
      </c>
      <c r="AP3" s="97">
        <v>46062</v>
      </c>
      <c r="AQ3" s="97">
        <v>46063</v>
      </c>
      <c r="AR3" s="97">
        <v>46064</v>
      </c>
      <c r="AS3" s="97">
        <v>46065</v>
      </c>
      <c r="AT3" s="97">
        <v>46066</v>
      </c>
      <c r="AU3" s="97">
        <v>46067</v>
      </c>
      <c r="AV3" s="97">
        <v>46068</v>
      </c>
      <c r="AW3" s="97">
        <v>46069</v>
      </c>
      <c r="AX3" s="97">
        <v>46070</v>
      </c>
      <c r="AY3" s="97">
        <v>46071</v>
      </c>
      <c r="AZ3" s="97">
        <v>46072</v>
      </c>
      <c r="BA3" s="97">
        <v>46073</v>
      </c>
      <c r="BB3" s="97">
        <v>46074</v>
      </c>
      <c r="BC3" s="97">
        <v>46075</v>
      </c>
      <c r="BD3" s="97">
        <v>46076</v>
      </c>
      <c r="BE3" s="97">
        <v>46077</v>
      </c>
      <c r="BF3" s="97">
        <v>46078</v>
      </c>
      <c r="BG3" s="97">
        <v>46079</v>
      </c>
      <c r="BH3" s="97">
        <v>46080</v>
      </c>
      <c r="BI3" s="98">
        <v>46081</v>
      </c>
      <c r="BJ3" s="99">
        <f>BI3+1</f>
        <v>46082</v>
      </c>
      <c r="BK3" s="97">
        <f>BJ3+1</f>
        <v>46083</v>
      </c>
      <c r="BL3" s="97">
        <f t="shared" ref="BL3:CL3" si="8">BK3+1</f>
        <v>46084</v>
      </c>
      <c r="BM3" s="97">
        <f t="shared" si="8"/>
        <v>46085</v>
      </c>
      <c r="BN3" s="97">
        <f t="shared" si="8"/>
        <v>46086</v>
      </c>
      <c r="BO3" s="97">
        <f t="shared" si="8"/>
        <v>46087</v>
      </c>
      <c r="BP3" s="97">
        <f t="shared" si="8"/>
        <v>46088</v>
      </c>
      <c r="BQ3" s="97">
        <f t="shared" si="8"/>
        <v>46089</v>
      </c>
      <c r="BR3" s="97">
        <f t="shared" si="8"/>
        <v>46090</v>
      </c>
      <c r="BS3" s="97">
        <f t="shared" si="8"/>
        <v>46091</v>
      </c>
      <c r="BT3" s="97">
        <f t="shared" si="8"/>
        <v>46092</v>
      </c>
      <c r="BU3" s="97">
        <f t="shared" si="8"/>
        <v>46093</v>
      </c>
      <c r="BV3" s="97">
        <f t="shared" si="8"/>
        <v>46094</v>
      </c>
      <c r="BW3" s="97">
        <f t="shared" si="8"/>
        <v>46095</v>
      </c>
      <c r="BX3" s="97">
        <f t="shared" si="8"/>
        <v>46096</v>
      </c>
      <c r="BY3" s="97">
        <f t="shared" si="8"/>
        <v>46097</v>
      </c>
      <c r="BZ3" s="97">
        <f t="shared" si="8"/>
        <v>46098</v>
      </c>
      <c r="CA3" s="97">
        <f t="shared" si="8"/>
        <v>46099</v>
      </c>
      <c r="CB3" s="97">
        <f t="shared" si="8"/>
        <v>46100</v>
      </c>
      <c r="CC3" s="97">
        <f t="shared" si="8"/>
        <v>46101</v>
      </c>
      <c r="CD3" s="97">
        <f t="shared" si="8"/>
        <v>46102</v>
      </c>
      <c r="CE3" s="97">
        <f t="shared" si="8"/>
        <v>46103</v>
      </c>
      <c r="CF3" s="97">
        <f t="shared" si="8"/>
        <v>46104</v>
      </c>
      <c r="CG3" s="97">
        <f t="shared" si="8"/>
        <v>46105</v>
      </c>
      <c r="CH3" s="97">
        <f t="shared" si="8"/>
        <v>46106</v>
      </c>
      <c r="CI3" s="97">
        <f t="shared" si="8"/>
        <v>46107</v>
      </c>
      <c r="CJ3" s="97">
        <f t="shared" si="8"/>
        <v>46108</v>
      </c>
      <c r="CK3" s="97">
        <f t="shared" si="8"/>
        <v>46109</v>
      </c>
      <c r="CL3" s="97">
        <f t="shared" si="8"/>
        <v>46110</v>
      </c>
      <c r="CM3" s="97">
        <v>46111</v>
      </c>
      <c r="CN3" s="98">
        <f>CM3+1</f>
        <v>46112</v>
      </c>
      <c r="CO3" s="99">
        <v>46113</v>
      </c>
      <c r="CP3" s="97">
        <f t="shared" ref="CP3:DS3" si="9">CO3+1</f>
        <v>46114</v>
      </c>
      <c r="CQ3" s="97">
        <f t="shared" si="9"/>
        <v>46115</v>
      </c>
      <c r="CR3" s="97">
        <f t="shared" si="9"/>
        <v>46116</v>
      </c>
      <c r="CS3" s="97">
        <f t="shared" si="9"/>
        <v>46117</v>
      </c>
      <c r="CT3" s="97">
        <f t="shared" si="9"/>
        <v>46118</v>
      </c>
      <c r="CU3" s="97">
        <f t="shared" si="9"/>
        <v>46119</v>
      </c>
      <c r="CV3" s="97">
        <f t="shared" si="9"/>
        <v>46120</v>
      </c>
      <c r="CW3" s="97">
        <f t="shared" si="9"/>
        <v>46121</v>
      </c>
      <c r="CX3" s="97">
        <f t="shared" si="9"/>
        <v>46122</v>
      </c>
      <c r="CY3" s="97">
        <f t="shared" si="9"/>
        <v>46123</v>
      </c>
      <c r="CZ3" s="97">
        <f t="shared" si="9"/>
        <v>46124</v>
      </c>
      <c r="DA3" s="97">
        <f t="shared" si="9"/>
        <v>46125</v>
      </c>
      <c r="DB3" s="97">
        <f t="shared" si="9"/>
        <v>46126</v>
      </c>
      <c r="DC3" s="97">
        <f t="shared" si="9"/>
        <v>46127</v>
      </c>
      <c r="DD3" s="97">
        <f t="shared" si="9"/>
        <v>46128</v>
      </c>
      <c r="DE3" s="97">
        <f t="shared" si="9"/>
        <v>46129</v>
      </c>
      <c r="DF3" s="97">
        <f t="shared" si="9"/>
        <v>46130</v>
      </c>
      <c r="DG3" s="97">
        <f t="shared" si="9"/>
        <v>46131</v>
      </c>
      <c r="DH3" s="97">
        <f t="shared" si="9"/>
        <v>46132</v>
      </c>
      <c r="DI3" s="97">
        <f t="shared" si="9"/>
        <v>46133</v>
      </c>
      <c r="DJ3" s="97">
        <f t="shared" si="9"/>
        <v>46134</v>
      </c>
      <c r="DK3" s="97">
        <f t="shared" si="9"/>
        <v>46135</v>
      </c>
      <c r="DL3" s="97">
        <f t="shared" si="9"/>
        <v>46136</v>
      </c>
      <c r="DM3" s="97">
        <f t="shared" si="9"/>
        <v>46137</v>
      </c>
      <c r="DN3" s="97">
        <f t="shared" si="9"/>
        <v>46138</v>
      </c>
      <c r="DO3" s="97">
        <f t="shared" si="9"/>
        <v>46139</v>
      </c>
      <c r="DP3" s="97">
        <f t="shared" si="9"/>
        <v>46140</v>
      </c>
      <c r="DQ3" s="97">
        <f t="shared" si="9"/>
        <v>46141</v>
      </c>
      <c r="DR3" s="98">
        <f t="shared" si="9"/>
        <v>46142</v>
      </c>
      <c r="DS3" s="99">
        <f t="shared" si="9"/>
        <v>46143</v>
      </c>
      <c r="DT3" s="97">
        <f t="shared" ref="DT3:GE3" si="10">DS3+1</f>
        <v>46144</v>
      </c>
      <c r="DU3" s="97">
        <f t="shared" si="10"/>
        <v>46145</v>
      </c>
      <c r="DV3" s="97">
        <f t="shared" si="10"/>
        <v>46146</v>
      </c>
      <c r="DW3" s="97">
        <f t="shared" si="10"/>
        <v>46147</v>
      </c>
      <c r="DX3" s="97">
        <f t="shared" si="10"/>
        <v>46148</v>
      </c>
      <c r="DY3" s="97">
        <f t="shared" si="10"/>
        <v>46149</v>
      </c>
      <c r="DZ3" s="97">
        <f t="shared" si="10"/>
        <v>46150</v>
      </c>
      <c r="EA3" s="97">
        <f t="shared" si="10"/>
        <v>46151</v>
      </c>
      <c r="EB3" s="97">
        <f t="shared" si="10"/>
        <v>46152</v>
      </c>
      <c r="EC3" s="97">
        <f t="shared" si="10"/>
        <v>46153</v>
      </c>
      <c r="ED3" s="97">
        <f t="shared" si="10"/>
        <v>46154</v>
      </c>
      <c r="EE3" s="97">
        <f t="shared" si="10"/>
        <v>46155</v>
      </c>
      <c r="EF3" s="97">
        <f t="shared" si="10"/>
        <v>46156</v>
      </c>
      <c r="EG3" s="97">
        <f t="shared" si="10"/>
        <v>46157</v>
      </c>
      <c r="EH3" s="97">
        <f t="shared" si="10"/>
        <v>46158</v>
      </c>
      <c r="EI3" s="97">
        <f t="shared" si="10"/>
        <v>46159</v>
      </c>
      <c r="EJ3" s="97">
        <f t="shared" si="10"/>
        <v>46160</v>
      </c>
      <c r="EK3" s="97">
        <f t="shared" si="10"/>
        <v>46161</v>
      </c>
      <c r="EL3" s="97">
        <f t="shared" si="10"/>
        <v>46162</v>
      </c>
      <c r="EM3" s="97">
        <f t="shared" si="10"/>
        <v>46163</v>
      </c>
      <c r="EN3" s="97">
        <f t="shared" si="10"/>
        <v>46164</v>
      </c>
      <c r="EO3" s="97">
        <f t="shared" si="10"/>
        <v>46165</v>
      </c>
      <c r="EP3" s="97">
        <f t="shared" si="10"/>
        <v>46166</v>
      </c>
      <c r="EQ3" s="97">
        <f t="shared" si="10"/>
        <v>46167</v>
      </c>
      <c r="ER3" s="97">
        <f t="shared" si="10"/>
        <v>46168</v>
      </c>
      <c r="ES3" s="97">
        <f t="shared" si="10"/>
        <v>46169</v>
      </c>
      <c r="ET3" s="97">
        <f t="shared" si="10"/>
        <v>46170</v>
      </c>
      <c r="EU3" s="97">
        <f t="shared" si="10"/>
        <v>46171</v>
      </c>
      <c r="EV3" s="97">
        <f t="shared" si="10"/>
        <v>46172</v>
      </c>
      <c r="EW3" s="98">
        <f t="shared" si="10"/>
        <v>46173</v>
      </c>
      <c r="EX3" s="99">
        <f t="shared" si="10"/>
        <v>46174</v>
      </c>
      <c r="EY3" s="97">
        <f t="shared" si="10"/>
        <v>46175</v>
      </c>
      <c r="EZ3" s="97">
        <f t="shared" si="10"/>
        <v>46176</v>
      </c>
      <c r="FA3" s="97">
        <f t="shared" si="10"/>
        <v>46177</v>
      </c>
      <c r="FB3" s="97">
        <f t="shared" si="10"/>
        <v>46178</v>
      </c>
      <c r="FC3" s="97">
        <f t="shared" si="10"/>
        <v>46179</v>
      </c>
      <c r="FD3" s="97">
        <f t="shared" si="10"/>
        <v>46180</v>
      </c>
      <c r="FE3" s="97">
        <f t="shared" si="10"/>
        <v>46181</v>
      </c>
      <c r="FF3" s="97">
        <f t="shared" si="10"/>
        <v>46182</v>
      </c>
      <c r="FG3" s="97">
        <f t="shared" si="10"/>
        <v>46183</v>
      </c>
      <c r="FH3" s="97">
        <f t="shared" si="10"/>
        <v>46184</v>
      </c>
      <c r="FI3" s="97">
        <f t="shared" si="10"/>
        <v>46185</v>
      </c>
      <c r="FJ3" s="97">
        <f t="shared" si="10"/>
        <v>46186</v>
      </c>
      <c r="FK3" s="97">
        <f t="shared" si="10"/>
        <v>46187</v>
      </c>
      <c r="FL3" s="97">
        <f t="shared" si="10"/>
        <v>46188</v>
      </c>
      <c r="FM3" s="97">
        <f t="shared" si="10"/>
        <v>46189</v>
      </c>
      <c r="FN3" s="97">
        <f t="shared" si="10"/>
        <v>46190</v>
      </c>
      <c r="FO3" s="97">
        <f t="shared" si="10"/>
        <v>46191</v>
      </c>
      <c r="FP3" s="97">
        <f t="shared" si="10"/>
        <v>46192</v>
      </c>
      <c r="FQ3" s="97">
        <f t="shared" si="10"/>
        <v>46193</v>
      </c>
      <c r="FR3" s="97">
        <f t="shared" si="10"/>
        <v>46194</v>
      </c>
      <c r="FS3" s="97">
        <f t="shared" si="10"/>
        <v>46195</v>
      </c>
      <c r="FT3" s="97">
        <f t="shared" si="10"/>
        <v>46196</v>
      </c>
      <c r="FU3" s="97">
        <f t="shared" si="10"/>
        <v>46197</v>
      </c>
      <c r="FV3" s="97">
        <f t="shared" si="10"/>
        <v>46198</v>
      </c>
      <c r="FW3" s="97">
        <f t="shared" si="10"/>
        <v>46199</v>
      </c>
      <c r="FX3" s="97">
        <f t="shared" si="10"/>
        <v>46200</v>
      </c>
      <c r="FY3" s="97">
        <f t="shared" si="10"/>
        <v>46201</v>
      </c>
      <c r="FZ3" s="97">
        <f t="shared" si="10"/>
        <v>46202</v>
      </c>
      <c r="GA3" s="98">
        <f t="shared" si="10"/>
        <v>46203</v>
      </c>
      <c r="GB3" s="99">
        <f t="shared" si="10"/>
        <v>46204</v>
      </c>
      <c r="GC3" s="97">
        <f t="shared" si="10"/>
        <v>46205</v>
      </c>
      <c r="GD3" s="97">
        <f t="shared" si="10"/>
        <v>46206</v>
      </c>
      <c r="GE3" s="97">
        <f t="shared" si="10"/>
        <v>46207</v>
      </c>
      <c r="GF3" s="97">
        <f t="shared" ref="GF3:IQ3" si="11">GE3+1</f>
        <v>46208</v>
      </c>
      <c r="GG3" s="97">
        <f t="shared" si="11"/>
        <v>46209</v>
      </c>
      <c r="GH3" s="97">
        <f t="shared" si="11"/>
        <v>46210</v>
      </c>
      <c r="GI3" s="97">
        <f t="shared" si="11"/>
        <v>46211</v>
      </c>
      <c r="GJ3" s="97">
        <f t="shared" si="11"/>
        <v>46212</v>
      </c>
      <c r="GK3" s="97">
        <f t="shared" si="11"/>
        <v>46213</v>
      </c>
      <c r="GL3" s="97">
        <f t="shared" si="11"/>
        <v>46214</v>
      </c>
      <c r="GM3" s="97">
        <f t="shared" si="11"/>
        <v>46215</v>
      </c>
      <c r="GN3" s="97">
        <f t="shared" si="11"/>
        <v>46216</v>
      </c>
      <c r="GO3" s="97">
        <f t="shared" si="11"/>
        <v>46217</v>
      </c>
      <c r="GP3" s="97">
        <f t="shared" si="11"/>
        <v>46218</v>
      </c>
      <c r="GQ3" s="97">
        <f t="shared" si="11"/>
        <v>46219</v>
      </c>
      <c r="GR3" s="97">
        <f t="shared" si="11"/>
        <v>46220</v>
      </c>
      <c r="GS3" s="97">
        <f t="shared" si="11"/>
        <v>46221</v>
      </c>
      <c r="GT3" s="97">
        <f t="shared" si="11"/>
        <v>46222</v>
      </c>
      <c r="GU3" s="97">
        <f t="shared" si="11"/>
        <v>46223</v>
      </c>
      <c r="GV3" s="97">
        <f t="shared" si="11"/>
        <v>46224</v>
      </c>
      <c r="GW3" s="97">
        <f t="shared" si="11"/>
        <v>46225</v>
      </c>
      <c r="GX3" s="97">
        <f t="shared" si="11"/>
        <v>46226</v>
      </c>
      <c r="GY3" s="97">
        <f t="shared" si="11"/>
        <v>46227</v>
      </c>
      <c r="GZ3" s="97">
        <f t="shared" si="11"/>
        <v>46228</v>
      </c>
      <c r="HA3" s="97">
        <f t="shared" si="11"/>
        <v>46229</v>
      </c>
      <c r="HB3" s="97">
        <f t="shared" si="11"/>
        <v>46230</v>
      </c>
      <c r="HC3" s="97">
        <f t="shared" si="11"/>
        <v>46231</v>
      </c>
      <c r="HD3" s="97">
        <f t="shared" si="11"/>
        <v>46232</v>
      </c>
      <c r="HE3" s="97">
        <f t="shared" si="11"/>
        <v>46233</v>
      </c>
      <c r="HF3" s="98">
        <f t="shared" si="11"/>
        <v>46234</v>
      </c>
      <c r="HG3" s="99">
        <f t="shared" si="11"/>
        <v>46235</v>
      </c>
      <c r="HH3" s="97">
        <f t="shared" si="11"/>
        <v>46236</v>
      </c>
      <c r="HI3" s="97">
        <f t="shared" si="11"/>
        <v>46237</v>
      </c>
      <c r="HJ3" s="97">
        <f t="shared" si="11"/>
        <v>46238</v>
      </c>
      <c r="HK3" s="97">
        <f t="shared" si="11"/>
        <v>46239</v>
      </c>
      <c r="HL3" s="97">
        <f t="shared" si="11"/>
        <v>46240</v>
      </c>
      <c r="HM3" s="97">
        <f t="shared" si="11"/>
        <v>46241</v>
      </c>
      <c r="HN3" s="97">
        <f t="shared" si="11"/>
        <v>46242</v>
      </c>
      <c r="HO3" s="97">
        <f t="shared" si="11"/>
        <v>46243</v>
      </c>
      <c r="HP3" s="97">
        <f t="shared" si="11"/>
        <v>46244</v>
      </c>
      <c r="HQ3" s="97">
        <f t="shared" si="11"/>
        <v>46245</v>
      </c>
      <c r="HR3" s="97">
        <f t="shared" si="11"/>
        <v>46246</v>
      </c>
      <c r="HS3" s="97">
        <f t="shared" si="11"/>
        <v>46247</v>
      </c>
      <c r="HT3" s="97">
        <f t="shared" si="11"/>
        <v>46248</v>
      </c>
      <c r="HU3" s="97">
        <f t="shared" si="11"/>
        <v>46249</v>
      </c>
      <c r="HV3" s="97">
        <f t="shared" si="11"/>
        <v>46250</v>
      </c>
      <c r="HW3" s="97">
        <f t="shared" si="11"/>
        <v>46251</v>
      </c>
      <c r="HX3" s="97">
        <f t="shared" si="11"/>
        <v>46252</v>
      </c>
      <c r="HY3" s="97">
        <f t="shared" si="11"/>
        <v>46253</v>
      </c>
      <c r="HZ3" s="97">
        <f t="shared" si="11"/>
        <v>46254</v>
      </c>
      <c r="IA3" s="97">
        <f t="shared" si="11"/>
        <v>46255</v>
      </c>
      <c r="IB3" s="97">
        <f t="shared" si="11"/>
        <v>46256</v>
      </c>
      <c r="IC3" s="97">
        <f t="shared" si="11"/>
        <v>46257</v>
      </c>
      <c r="ID3" s="97">
        <f t="shared" si="11"/>
        <v>46258</v>
      </c>
      <c r="IE3" s="97">
        <f t="shared" si="11"/>
        <v>46259</v>
      </c>
      <c r="IF3" s="97">
        <f t="shared" si="11"/>
        <v>46260</v>
      </c>
      <c r="IG3" s="97">
        <f t="shared" si="11"/>
        <v>46261</v>
      </c>
      <c r="IH3" s="97">
        <f t="shared" si="11"/>
        <v>46262</v>
      </c>
      <c r="II3" s="97">
        <f t="shared" si="11"/>
        <v>46263</v>
      </c>
      <c r="IJ3" s="97">
        <f t="shared" si="11"/>
        <v>46264</v>
      </c>
      <c r="IK3" s="98">
        <f t="shared" si="11"/>
        <v>46265</v>
      </c>
      <c r="IL3" s="99">
        <f t="shared" si="11"/>
        <v>46266</v>
      </c>
      <c r="IM3" s="97">
        <f t="shared" si="11"/>
        <v>46267</v>
      </c>
      <c r="IN3" s="97">
        <f t="shared" si="11"/>
        <v>46268</v>
      </c>
      <c r="IO3" s="97">
        <f t="shared" si="11"/>
        <v>46269</v>
      </c>
      <c r="IP3" s="97">
        <f t="shared" si="11"/>
        <v>46270</v>
      </c>
      <c r="IQ3" s="97">
        <f t="shared" si="11"/>
        <v>46271</v>
      </c>
      <c r="IR3" s="97">
        <f t="shared" ref="IR3:LC3" si="12">IQ3+1</f>
        <v>46272</v>
      </c>
      <c r="IS3" s="97">
        <f t="shared" si="12"/>
        <v>46273</v>
      </c>
      <c r="IT3" s="97">
        <f t="shared" si="12"/>
        <v>46274</v>
      </c>
      <c r="IU3" s="97">
        <f t="shared" si="12"/>
        <v>46275</v>
      </c>
      <c r="IV3" s="97">
        <f t="shared" si="12"/>
        <v>46276</v>
      </c>
      <c r="IW3" s="97">
        <f t="shared" si="12"/>
        <v>46277</v>
      </c>
      <c r="IX3" s="97">
        <f t="shared" si="12"/>
        <v>46278</v>
      </c>
      <c r="IY3" s="97">
        <f t="shared" si="12"/>
        <v>46279</v>
      </c>
      <c r="IZ3" s="97">
        <f t="shared" si="12"/>
        <v>46280</v>
      </c>
      <c r="JA3" s="97">
        <f t="shared" si="12"/>
        <v>46281</v>
      </c>
      <c r="JB3" s="97">
        <f t="shared" si="12"/>
        <v>46282</v>
      </c>
      <c r="JC3" s="97">
        <f t="shared" si="12"/>
        <v>46283</v>
      </c>
      <c r="JD3" s="97">
        <f t="shared" si="12"/>
        <v>46284</v>
      </c>
      <c r="JE3" s="97">
        <f t="shared" si="12"/>
        <v>46285</v>
      </c>
      <c r="JF3" s="97">
        <f t="shared" si="12"/>
        <v>46286</v>
      </c>
      <c r="JG3" s="97">
        <f t="shared" si="12"/>
        <v>46287</v>
      </c>
      <c r="JH3" s="97">
        <f t="shared" si="12"/>
        <v>46288</v>
      </c>
      <c r="JI3" s="97">
        <f t="shared" si="12"/>
        <v>46289</v>
      </c>
      <c r="JJ3" s="97">
        <f t="shared" si="12"/>
        <v>46290</v>
      </c>
      <c r="JK3" s="97">
        <f t="shared" si="12"/>
        <v>46291</v>
      </c>
      <c r="JL3" s="97">
        <f t="shared" si="12"/>
        <v>46292</v>
      </c>
      <c r="JM3" s="97">
        <f t="shared" si="12"/>
        <v>46293</v>
      </c>
      <c r="JN3" s="97">
        <f t="shared" si="12"/>
        <v>46294</v>
      </c>
      <c r="JO3" s="98">
        <f t="shared" si="12"/>
        <v>46295</v>
      </c>
      <c r="JP3" s="99">
        <f t="shared" si="12"/>
        <v>46296</v>
      </c>
      <c r="JQ3" s="97">
        <f t="shared" si="12"/>
        <v>46297</v>
      </c>
      <c r="JR3" s="97">
        <f t="shared" si="12"/>
        <v>46298</v>
      </c>
      <c r="JS3" s="97">
        <f t="shared" si="12"/>
        <v>46299</v>
      </c>
      <c r="JT3" s="97">
        <f t="shared" si="12"/>
        <v>46300</v>
      </c>
      <c r="JU3" s="97">
        <f t="shared" si="12"/>
        <v>46301</v>
      </c>
      <c r="JV3" s="97">
        <f t="shared" si="12"/>
        <v>46302</v>
      </c>
      <c r="JW3" s="97">
        <f t="shared" si="12"/>
        <v>46303</v>
      </c>
      <c r="JX3" s="97">
        <f t="shared" si="12"/>
        <v>46304</v>
      </c>
      <c r="JY3" s="97">
        <f t="shared" si="12"/>
        <v>46305</v>
      </c>
      <c r="JZ3" s="97">
        <f t="shared" si="12"/>
        <v>46306</v>
      </c>
      <c r="KA3" s="97">
        <f t="shared" si="12"/>
        <v>46307</v>
      </c>
      <c r="KB3" s="97">
        <f t="shared" si="12"/>
        <v>46308</v>
      </c>
      <c r="KC3" s="97">
        <f t="shared" si="12"/>
        <v>46309</v>
      </c>
      <c r="KD3" s="97">
        <f t="shared" si="12"/>
        <v>46310</v>
      </c>
      <c r="KE3" s="97">
        <f t="shared" si="12"/>
        <v>46311</v>
      </c>
      <c r="KF3" s="97">
        <f t="shared" si="12"/>
        <v>46312</v>
      </c>
      <c r="KG3" s="97">
        <f t="shared" si="12"/>
        <v>46313</v>
      </c>
      <c r="KH3" s="97">
        <f t="shared" si="12"/>
        <v>46314</v>
      </c>
      <c r="KI3" s="97">
        <f t="shared" si="12"/>
        <v>46315</v>
      </c>
      <c r="KJ3" s="97">
        <f t="shared" si="12"/>
        <v>46316</v>
      </c>
      <c r="KK3" s="97">
        <f t="shared" si="12"/>
        <v>46317</v>
      </c>
      <c r="KL3" s="97">
        <f t="shared" si="12"/>
        <v>46318</v>
      </c>
      <c r="KM3" s="97">
        <f t="shared" si="12"/>
        <v>46319</v>
      </c>
      <c r="KN3" s="97">
        <f t="shared" si="12"/>
        <v>46320</v>
      </c>
      <c r="KO3" s="97">
        <f t="shared" si="12"/>
        <v>46321</v>
      </c>
      <c r="KP3" s="97">
        <f t="shared" si="12"/>
        <v>46322</v>
      </c>
      <c r="KQ3" s="97">
        <f t="shared" si="12"/>
        <v>46323</v>
      </c>
      <c r="KR3" s="97">
        <f t="shared" si="12"/>
        <v>46324</v>
      </c>
      <c r="KS3" s="97">
        <f t="shared" si="12"/>
        <v>46325</v>
      </c>
      <c r="KT3" s="98">
        <f t="shared" si="12"/>
        <v>46326</v>
      </c>
      <c r="KU3" s="99">
        <f t="shared" si="12"/>
        <v>46327</v>
      </c>
      <c r="KV3" s="97">
        <f t="shared" si="12"/>
        <v>46328</v>
      </c>
      <c r="KW3" s="97">
        <f t="shared" si="12"/>
        <v>46329</v>
      </c>
      <c r="KX3" s="97">
        <f t="shared" si="12"/>
        <v>46330</v>
      </c>
      <c r="KY3" s="97">
        <f t="shared" si="12"/>
        <v>46331</v>
      </c>
      <c r="KZ3" s="97">
        <f t="shared" si="12"/>
        <v>46332</v>
      </c>
      <c r="LA3" s="97">
        <f t="shared" si="12"/>
        <v>46333</v>
      </c>
      <c r="LB3" s="97">
        <f t="shared" si="12"/>
        <v>46334</v>
      </c>
      <c r="LC3" s="97">
        <f t="shared" si="12"/>
        <v>46335</v>
      </c>
      <c r="LD3" s="97">
        <f t="shared" ref="LD3:NO3" si="13">LC3+1</f>
        <v>46336</v>
      </c>
      <c r="LE3" s="97">
        <f t="shared" si="13"/>
        <v>46337</v>
      </c>
      <c r="LF3" s="97">
        <f t="shared" si="13"/>
        <v>46338</v>
      </c>
      <c r="LG3" s="97">
        <f t="shared" si="13"/>
        <v>46339</v>
      </c>
      <c r="LH3" s="97">
        <f t="shared" si="13"/>
        <v>46340</v>
      </c>
      <c r="LI3" s="97">
        <f t="shared" si="13"/>
        <v>46341</v>
      </c>
      <c r="LJ3" s="97">
        <f t="shared" si="13"/>
        <v>46342</v>
      </c>
      <c r="LK3" s="97">
        <f t="shared" si="13"/>
        <v>46343</v>
      </c>
      <c r="LL3" s="97">
        <f t="shared" si="13"/>
        <v>46344</v>
      </c>
      <c r="LM3" s="97">
        <f t="shared" si="13"/>
        <v>46345</v>
      </c>
      <c r="LN3" s="97">
        <f t="shared" si="13"/>
        <v>46346</v>
      </c>
      <c r="LO3" s="97">
        <f t="shared" si="13"/>
        <v>46347</v>
      </c>
      <c r="LP3" s="97">
        <f t="shared" si="13"/>
        <v>46348</v>
      </c>
      <c r="LQ3" s="97">
        <f t="shared" si="13"/>
        <v>46349</v>
      </c>
      <c r="LR3" s="97">
        <f t="shared" si="13"/>
        <v>46350</v>
      </c>
      <c r="LS3" s="97">
        <f t="shared" si="13"/>
        <v>46351</v>
      </c>
      <c r="LT3" s="97">
        <f t="shared" si="13"/>
        <v>46352</v>
      </c>
      <c r="LU3" s="97">
        <f t="shared" si="13"/>
        <v>46353</v>
      </c>
      <c r="LV3" s="97">
        <f t="shared" si="13"/>
        <v>46354</v>
      </c>
      <c r="LW3" s="97">
        <f t="shared" si="13"/>
        <v>46355</v>
      </c>
      <c r="LX3" s="98">
        <f t="shared" si="13"/>
        <v>46356</v>
      </c>
      <c r="LY3" s="99">
        <f t="shared" si="13"/>
        <v>46357</v>
      </c>
      <c r="LZ3" s="97">
        <f t="shared" si="13"/>
        <v>46358</v>
      </c>
      <c r="MA3" s="97">
        <f t="shared" si="13"/>
        <v>46359</v>
      </c>
      <c r="MB3" s="97">
        <f t="shared" si="13"/>
        <v>46360</v>
      </c>
      <c r="MC3" s="97">
        <f t="shared" si="13"/>
        <v>46361</v>
      </c>
      <c r="MD3" s="97">
        <f t="shared" si="13"/>
        <v>46362</v>
      </c>
      <c r="ME3" s="97">
        <f t="shared" si="13"/>
        <v>46363</v>
      </c>
      <c r="MF3" s="97">
        <f t="shared" si="13"/>
        <v>46364</v>
      </c>
      <c r="MG3" s="97">
        <f t="shared" si="13"/>
        <v>46365</v>
      </c>
      <c r="MH3" s="97">
        <f t="shared" si="13"/>
        <v>46366</v>
      </c>
      <c r="MI3" s="97">
        <f t="shared" si="13"/>
        <v>46367</v>
      </c>
      <c r="MJ3" s="97">
        <f t="shared" si="13"/>
        <v>46368</v>
      </c>
      <c r="MK3" s="97">
        <f t="shared" si="13"/>
        <v>46369</v>
      </c>
      <c r="ML3" s="97">
        <f t="shared" si="13"/>
        <v>46370</v>
      </c>
      <c r="MM3" s="97">
        <f t="shared" si="13"/>
        <v>46371</v>
      </c>
      <c r="MN3" s="97">
        <f t="shared" si="13"/>
        <v>46372</v>
      </c>
      <c r="MO3" s="97">
        <f t="shared" si="13"/>
        <v>46373</v>
      </c>
      <c r="MP3" s="97">
        <f t="shared" si="13"/>
        <v>46374</v>
      </c>
      <c r="MQ3" s="97">
        <f t="shared" si="13"/>
        <v>46375</v>
      </c>
      <c r="MR3" s="97">
        <f t="shared" si="13"/>
        <v>46376</v>
      </c>
      <c r="MS3" s="97">
        <f t="shared" si="13"/>
        <v>46377</v>
      </c>
      <c r="MT3" s="97">
        <f t="shared" si="13"/>
        <v>46378</v>
      </c>
      <c r="MU3" s="97">
        <f t="shared" si="13"/>
        <v>46379</v>
      </c>
      <c r="MV3" s="97">
        <f t="shared" si="13"/>
        <v>46380</v>
      </c>
      <c r="MW3" s="97">
        <f t="shared" si="13"/>
        <v>46381</v>
      </c>
      <c r="MX3" s="97">
        <f t="shared" si="13"/>
        <v>46382</v>
      </c>
      <c r="MY3" s="97">
        <f t="shared" si="13"/>
        <v>46383</v>
      </c>
      <c r="MZ3" s="97">
        <f t="shared" si="13"/>
        <v>46384</v>
      </c>
      <c r="NA3" s="97">
        <f t="shared" si="13"/>
        <v>46385</v>
      </c>
      <c r="NB3" s="97">
        <f t="shared" si="13"/>
        <v>46386</v>
      </c>
      <c r="NC3" s="98">
        <f t="shared" si="13"/>
        <v>46387</v>
      </c>
      <c r="ND3" s="99">
        <f t="shared" si="13"/>
        <v>46388</v>
      </c>
      <c r="NE3" s="97">
        <f t="shared" si="13"/>
        <v>46389</v>
      </c>
      <c r="NF3" s="97">
        <f t="shared" si="13"/>
        <v>46390</v>
      </c>
      <c r="NG3" s="97">
        <f t="shared" si="13"/>
        <v>46391</v>
      </c>
      <c r="NH3" s="97">
        <f t="shared" si="13"/>
        <v>46392</v>
      </c>
      <c r="NI3" s="97">
        <f t="shared" si="13"/>
        <v>46393</v>
      </c>
      <c r="NJ3" s="97">
        <f t="shared" si="13"/>
        <v>46394</v>
      </c>
      <c r="NK3" s="97">
        <f t="shared" si="13"/>
        <v>46395</v>
      </c>
      <c r="NL3" s="97">
        <f t="shared" si="13"/>
        <v>46396</v>
      </c>
      <c r="NM3" s="97">
        <f t="shared" si="13"/>
        <v>46397</v>
      </c>
      <c r="NN3" s="97">
        <f t="shared" si="13"/>
        <v>46398</v>
      </c>
      <c r="NO3" s="97">
        <f t="shared" si="13"/>
        <v>46399</v>
      </c>
      <c r="NP3" s="97">
        <f t="shared" ref="NP3:PN3" si="14">NO3+1</f>
        <v>46400</v>
      </c>
      <c r="NQ3" s="97">
        <f t="shared" si="14"/>
        <v>46401</v>
      </c>
      <c r="NR3" s="97">
        <f t="shared" si="14"/>
        <v>46402</v>
      </c>
      <c r="NS3" s="97">
        <f t="shared" si="14"/>
        <v>46403</v>
      </c>
      <c r="NT3" s="97">
        <f t="shared" si="14"/>
        <v>46404</v>
      </c>
      <c r="NU3" s="97">
        <f t="shared" si="14"/>
        <v>46405</v>
      </c>
      <c r="NV3" s="97">
        <f t="shared" si="14"/>
        <v>46406</v>
      </c>
      <c r="NW3" s="97">
        <f t="shared" si="14"/>
        <v>46407</v>
      </c>
      <c r="NX3" s="97">
        <f t="shared" si="14"/>
        <v>46408</v>
      </c>
      <c r="NY3" s="97">
        <f t="shared" si="14"/>
        <v>46409</v>
      </c>
      <c r="NZ3" s="97">
        <f t="shared" si="14"/>
        <v>46410</v>
      </c>
      <c r="OA3" s="97">
        <f t="shared" si="14"/>
        <v>46411</v>
      </c>
      <c r="OB3" s="97">
        <f t="shared" si="14"/>
        <v>46412</v>
      </c>
      <c r="OC3" s="97">
        <f t="shared" si="14"/>
        <v>46413</v>
      </c>
      <c r="OD3" s="97">
        <f t="shared" si="14"/>
        <v>46414</v>
      </c>
      <c r="OE3" s="97">
        <f t="shared" si="14"/>
        <v>46415</v>
      </c>
      <c r="OF3" s="97">
        <f t="shared" si="14"/>
        <v>46416</v>
      </c>
      <c r="OG3" s="97">
        <f t="shared" si="14"/>
        <v>46417</v>
      </c>
      <c r="OH3" s="98">
        <f t="shared" si="14"/>
        <v>46418</v>
      </c>
      <c r="OI3" s="99">
        <f t="shared" si="14"/>
        <v>46419</v>
      </c>
      <c r="OJ3" s="97">
        <f t="shared" si="14"/>
        <v>46420</v>
      </c>
      <c r="OK3" s="97">
        <f t="shared" si="14"/>
        <v>46421</v>
      </c>
      <c r="OL3" s="97">
        <f t="shared" si="14"/>
        <v>46422</v>
      </c>
      <c r="OM3" s="97">
        <f t="shared" si="14"/>
        <v>46423</v>
      </c>
      <c r="ON3" s="97">
        <f t="shared" si="14"/>
        <v>46424</v>
      </c>
      <c r="OO3" s="97">
        <f t="shared" si="14"/>
        <v>46425</v>
      </c>
      <c r="OP3" s="97">
        <f t="shared" si="14"/>
        <v>46426</v>
      </c>
      <c r="OQ3" s="97">
        <f t="shared" si="14"/>
        <v>46427</v>
      </c>
      <c r="OR3" s="97">
        <f t="shared" si="14"/>
        <v>46428</v>
      </c>
      <c r="OS3" s="97">
        <f t="shared" si="14"/>
        <v>46429</v>
      </c>
      <c r="OT3" s="97">
        <f t="shared" si="14"/>
        <v>46430</v>
      </c>
      <c r="OU3" s="97">
        <f t="shared" si="14"/>
        <v>46431</v>
      </c>
      <c r="OV3" s="97">
        <f t="shared" si="14"/>
        <v>46432</v>
      </c>
      <c r="OW3" s="97">
        <f t="shared" si="14"/>
        <v>46433</v>
      </c>
      <c r="OX3" s="97">
        <f t="shared" si="14"/>
        <v>46434</v>
      </c>
      <c r="OY3" s="97">
        <f t="shared" si="14"/>
        <v>46435</v>
      </c>
      <c r="OZ3" s="97">
        <f t="shared" si="14"/>
        <v>46436</v>
      </c>
      <c r="PA3" s="97">
        <f t="shared" si="14"/>
        <v>46437</v>
      </c>
      <c r="PB3" s="97">
        <f t="shared" si="14"/>
        <v>46438</v>
      </c>
      <c r="PC3" s="97">
        <f t="shared" si="14"/>
        <v>46439</v>
      </c>
      <c r="PD3" s="97">
        <f t="shared" si="14"/>
        <v>46440</v>
      </c>
      <c r="PE3" s="97">
        <f t="shared" si="14"/>
        <v>46441</v>
      </c>
      <c r="PF3" s="97">
        <f t="shared" si="14"/>
        <v>46442</v>
      </c>
      <c r="PG3" s="97">
        <f t="shared" si="14"/>
        <v>46443</v>
      </c>
      <c r="PH3" s="97">
        <f t="shared" si="14"/>
        <v>46444</v>
      </c>
      <c r="PI3" s="97">
        <f t="shared" si="14"/>
        <v>46445</v>
      </c>
      <c r="PJ3" s="98">
        <f t="shared" si="14"/>
        <v>46446</v>
      </c>
      <c r="PK3" s="99">
        <f t="shared" si="14"/>
        <v>46447</v>
      </c>
      <c r="PL3" s="97">
        <f t="shared" si="14"/>
        <v>46448</v>
      </c>
      <c r="PM3" s="97">
        <f t="shared" si="14"/>
        <v>46449</v>
      </c>
      <c r="PN3" s="97">
        <f t="shared" si="14"/>
        <v>46450</v>
      </c>
      <c r="PO3" s="97">
        <f t="shared" ref="PO3:QG3" si="15">PN3+1</f>
        <v>46451</v>
      </c>
      <c r="PP3" s="97">
        <f t="shared" si="15"/>
        <v>46452</v>
      </c>
      <c r="PQ3" s="97">
        <f t="shared" si="15"/>
        <v>46453</v>
      </c>
      <c r="PR3" s="97">
        <f t="shared" si="15"/>
        <v>46454</v>
      </c>
      <c r="PS3" s="97">
        <f t="shared" si="15"/>
        <v>46455</v>
      </c>
      <c r="PT3" s="97">
        <f t="shared" si="15"/>
        <v>46456</v>
      </c>
      <c r="PU3" s="97">
        <f t="shared" si="15"/>
        <v>46457</v>
      </c>
      <c r="PV3" s="97">
        <f t="shared" si="15"/>
        <v>46458</v>
      </c>
      <c r="PW3" s="97">
        <f t="shared" si="15"/>
        <v>46459</v>
      </c>
      <c r="PX3" s="97">
        <f t="shared" si="15"/>
        <v>46460</v>
      </c>
      <c r="PY3" s="97">
        <f t="shared" si="15"/>
        <v>46461</v>
      </c>
      <c r="PZ3" s="97">
        <f t="shared" si="15"/>
        <v>46462</v>
      </c>
      <c r="QA3" s="97">
        <f t="shared" si="15"/>
        <v>46463</v>
      </c>
      <c r="QB3" s="97">
        <f t="shared" si="15"/>
        <v>46464</v>
      </c>
      <c r="QC3" s="97">
        <f t="shared" si="15"/>
        <v>46465</v>
      </c>
      <c r="QD3" s="97">
        <f t="shared" si="15"/>
        <v>46466</v>
      </c>
      <c r="QE3" s="97">
        <f t="shared" si="15"/>
        <v>46467</v>
      </c>
      <c r="QF3" s="97">
        <f t="shared" si="15"/>
        <v>46468</v>
      </c>
      <c r="QG3" s="97">
        <f t="shared" si="15"/>
        <v>46469</v>
      </c>
      <c r="QH3" s="97">
        <f t="shared" ref="QH3:QW3" si="16">QG3+1</f>
        <v>46470</v>
      </c>
      <c r="QI3" s="97">
        <f t="shared" si="16"/>
        <v>46471</v>
      </c>
      <c r="QJ3" s="97">
        <f t="shared" si="16"/>
        <v>46472</v>
      </c>
      <c r="QK3" s="97">
        <f t="shared" si="16"/>
        <v>46473</v>
      </c>
      <c r="QL3" s="97">
        <f t="shared" si="16"/>
        <v>46474</v>
      </c>
      <c r="QM3" s="97">
        <f t="shared" si="16"/>
        <v>46475</v>
      </c>
      <c r="QN3" s="97">
        <f t="shared" si="16"/>
        <v>46476</v>
      </c>
      <c r="QO3" s="98">
        <f t="shared" si="16"/>
        <v>46477</v>
      </c>
      <c r="QP3" s="99">
        <f t="shared" si="16"/>
        <v>46478</v>
      </c>
      <c r="QQ3" s="97">
        <f t="shared" si="16"/>
        <v>46479</v>
      </c>
      <c r="QR3" s="97">
        <f t="shared" si="16"/>
        <v>46480</v>
      </c>
      <c r="QS3" s="97">
        <f t="shared" si="16"/>
        <v>46481</v>
      </c>
      <c r="QT3" s="97">
        <f t="shared" si="16"/>
        <v>46482</v>
      </c>
      <c r="QU3" s="97">
        <f t="shared" si="16"/>
        <v>46483</v>
      </c>
      <c r="QV3" s="97">
        <f t="shared" si="16"/>
        <v>46484</v>
      </c>
      <c r="QW3" s="97">
        <f t="shared" si="16"/>
        <v>46485</v>
      </c>
      <c r="QX3" s="97">
        <f t="shared" ref="QX3:RR3" si="17">QW3+1</f>
        <v>46486</v>
      </c>
      <c r="QY3" s="97">
        <f t="shared" si="17"/>
        <v>46487</v>
      </c>
      <c r="QZ3" s="97">
        <f t="shared" si="17"/>
        <v>46488</v>
      </c>
      <c r="RA3" s="97">
        <f t="shared" si="17"/>
        <v>46489</v>
      </c>
      <c r="RB3" s="97">
        <f t="shared" si="17"/>
        <v>46490</v>
      </c>
      <c r="RC3" s="97">
        <f t="shared" si="17"/>
        <v>46491</v>
      </c>
      <c r="RD3" s="97">
        <f t="shared" si="17"/>
        <v>46492</v>
      </c>
      <c r="RE3" s="97">
        <f t="shared" si="17"/>
        <v>46493</v>
      </c>
      <c r="RF3" s="97">
        <f t="shared" si="17"/>
        <v>46494</v>
      </c>
      <c r="RG3" s="97">
        <f t="shared" si="17"/>
        <v>46495</v>
      </c>
      <c r="RH3" s="97">
        <f t="shared" si="17"/>
        <v>46496</v>
      </c>
      <c r="RI3" s="97">
        <f t="shared" si="17"/>
        <v>46497</v>
      </c>
      <c r="RJ3" s="97">
        <f t="shared" si="17"/>
        <v>46498</v>
      </c>
      <c r="RK3" s="97">
        <f t="shared" si="17"/>
        <v>46499</v>
      </c>
      <c r="RL3" s="97">
        <f t="shared" si="17"/>
        <v>46500</v>
      </c>
      <c r="RM3" s="97">
        <f t="shared" si="17"/>
        <v>46501</v>
      </c>
      <c r="RN3" s="97">
        <f t="shared" si="17"/>
        <v>46502</v>
      </c>
      <c r="RO3" s="97">
        <f t="shared" si="17"/>
        <v>46503</v>
      </c>
      <c r="RP3" s="97">
        <f t="shared" si="17"/>
        <v>46504</v>
      </c>
      <c r="RQ3" s="97">
        <f t="shared" si="17"/>
        <v>46505</v>
      </c>
      <c r="RR3" s="97">
        <f t="shared" si="17"/>
        <v>46506</v>
      </c>
      <c r="RS3" s="98">
        <f t="shared" ref="RS3:SW3" si="18">RR3+1</f>
        <v>46507</v>
      </c>
      <c r="RT3" s="99">
        <f t="shared" si="18"/>
        <v>46508</v>
      </c>
      <c r="RU3" s="97">
        <f t="shared" si="18"/>
        <v>46509</v>
      </c>
      <c r="RV3" s="97">
        <f t="shared" si="18"/>
        <v>46510</v>
      </c>
      <c r="RW3" s="97">
        <f t="shared" si="18"/>
        <v>46511</v>
      </c>
      <c r="RX3" s="97">
        <f t="shared" si="18"/>
        <v>46512</v>
      </c>
      <c r="RY3" s="97">
        <f t="shared" si="18"/>
        <v>46513</v>
      </c>
      <c r="RZ3" s="97">
        <f t="shared" si="18"/>
        <v>46514</v>
      </c>
      <c r="SA3" s="97">
        <f t="shared" si="18"/>
        <v>46515</v>
      </c>
      <c r="SB3" s="97">
        <f t="shared" si="18"/>
        <v>46516</v>
      </c>
      <c r="SC3" s="97">
        <f t="shared" si="18"/>
        <v>46517</v>
      </c>
      <c r="SD3" s="97">
        <f t="shared" si="18"/>
        <v>46518</v>
      </c>
      <c r="SE3" s="97">
        <f t="shared" si="18"/>
        <v>46519</v>
      </c>
      <c r="SF3" s="97">
        <f t="shared" si="18"/>
        <v>46520</v>
      </c>
      <c r="SG3" s="97">
        <f t="shared" si="18"/>
        <v>46521</v>
      </c>
      <c r="SH3" s="97">
        <f t="shared" si="18"/>
        <v>46522</v>
      </c>
      <c r="SI3" s="97">
        <f t="shared" si="18"/>
        <v>46523</v>
      </c>
      <c r="SJ3" s="97">
        <f t="shared" si="18"/>
        <v>46524</v>
      </c>
      <c r="SK3" s="97">
        <f t="shared" si="18"/>
        <v>46525</v>
      </c>
      <c r="SL3" s="97">
        <f t="shared" si="18"/>
        <v>46526</v>
      </c>
      <c r="SM3" s="97">
        <f t="shared" si="18"/>
        <v>46527</v>
      </c>
      <c r="SN3" s="97">
        <f t="shared" si="18"/>
        <v>46528</v>
      </c>
      <c r="SO3" s="97">
        <f t="shared" si="18"/>
        <v>46529</v>
      </c>
      <c r="SP3" s="97">
        <f t="shared" si="18"/>
        <v>46530</v>
      </c>
      <c r="SQ3" s="97">
        <f t="shared" si="18"/>
        <v>46531</v>
      </c>
      <c r="SR3" s="97">
        <f t="shared" si="18"/>
        <v>46532</v>
      </c>
      <c r="SS3" s="97">
        <f t="shared" si="18"/>
        <v>46533</v>
      </c>
      <c r="ST3" s="97">
        <f t="shared" si="18"/>
        <v>46534</v>
      </c>
      <c r="SU3" s="97">
        <f t="shared" si="18"/>
        <v>46535</v>
      </c>
      <c r="SV3" s="97">
        <f t="shared" si="18"/>
        <v>46536</v>
      </c>
      <c r="SW3" s="97">
        <f t="shared" si="18"/>
        <v>46537</v>
      </c>
    </row>
    <row r="4" spans="1:517" ht="24.6" customHeight="1" x14ac:dyDescent="0.2">
      <c r="A4" s="100"/>
      <c r="B4" s="101" t="s">
        <v>25</v>
      </c>
      <c r="C4" s="102">
        <f>IF(OR(C13="",C17="",C14="",C15="",C16="",C18="",C19="",C20="",C21=""),"",SUM($C$6:C6))</f>
        <v>24</v>
      </c>
      <c r="D4" s="102">
        <f>IF(OR(D13="",D17="",D14="",D15="",D16="",D18="",D19="",D20="",D21=""),"",SUM($C$6:D6))</f>
        <v>48</v>
      </c>
      <c r="E4" s="102">
        <f>IF(OR(E13="",E17="",E14="",E15="",E16="",E18="",E19="",E20="",E21=""),"",SUM($C$6:E6))</f>
        <v>72</v>
      </c>
      <c r="F4" s="102">
        <f>IF(OR(F13="",F17="",F14="",F15="",F16="",F18="",F19="",F20="",F21=""),"",SUM($C$6:F6))</f>
        <v>96</v>
      </c>
      <c r="G4" s="102">
        <f>IF(OR(G13="",G17="",G14="",G15="",G16="",G18="",G19="",G20="",G21=""),"",SUM($C$6:G6))</f>
        <v>120</v>
      </c>
      <c r="H4" s="102">
        <f>IF(OR(H13="",H17="",H14="",H15="",H16="",H18="",H19="",H20="",H21=""),"",SUM($C$6:H6))</f>
        <v>144</v>
      </c>
      <c r="I4" s="102">
        <f>IF(OR(I13="",I17="",I14="",I15="",I16="",I18="",I19="",I20="",I21=""),"",SUM($C$6:I6))</f>
        <v>168</v>
      </c>
      <c r="J4" s="102">
        <f>IF(OR(J13="",J17="",J14="",J15="",J16="",J18="",J19="",J20="",J21=""),"",SUM($C$6:J6))</f>
        <v>192</v>
      </c>
      <c r="K4" s="102">
        <f>IF(OR(K13="",K17="",K14="",K15="",K16="",K18="",K19="",K20="",K21=""),"",SUM($C$6:K6))</f>
        <v>216</v>
      </c>
      <c r="L4" s="102">
        <f>IF(OR(L13="",L17="",L14="",L15="",L16="",L18="",L19="",L20="",L21=""),"",SUM($C$6:L6))</f>
        <v>240</v>
      </c>
      <c r="M4" s="102">
        <f>IF(OR(M13="",M17="",M14="",M15="",M16="",M18="",M19="",M20="",M21=""),"",SUM($C$6:M6))</f>
        <v>264</v>
      </c>
      <c r="N4" s="102">
        <f>IF(OR(N13="",N17="",N14="",N15="",N16="",N18="",N19="",N20="",N21=""),"",SUM($C$6:N6))</f>
        <v>288</v>
      </c>
      <c r="O4" s="102">
        <f>IF(OR(O13="",O17="",O14="",O15="",O16="",O18="",O19="",O20="",O21=""),"",SUM($C$6:O6))</f>
        <v>312</v>
      </c>
      <c r="P4" s="102">
        <f>IF(OR(P13="",P17="",P14="",P15="",P16="",P18="",P19="",P20="",P21=""),"",SUM($C$6:P6))</f>
        <v>336</v>
      </c>
      <c r="Q4" s="102">
        <f>IF(OR(Q13="",Q17="",Q14="",Q15="",Q16="",Q18="",Q19="",Q20="",Q21=""),"",SUM($C$6:Q6))</f>
        <v>360</v>
      </c>
      <c r="R4" s="102">
        <f>IF(OR(R13="",R17="",R14="",R15="",R16="",R18="",R19="",R20="",R21=""),"",SUM($C$6:R6))</f>
        <v>384</v>
      </c>
      <c r="S4" s="102">
        <f>IF(OR(S13="",S17="",S14="",S15="",S16="",S18="",S19="",S20="",S21=""),"",SUM($C$6:S6))</f>
        <v>408</v>
      </c>
      <c r="T4" s="102">
        <f>IF(OR(T13="",T17="",T14="",T15="",T16="",T18="",T19="",T20="",T21=""),"",SUM($C$6:T6))</f>
        <v>432</v>
      </c>
      <c r="U4" s="102">
        <f>IF(OR(U13="",U17="",U14="",U15="",U16="",U18="",U19="",U20="",U21=""),"",SUM($C$6:U6))</f>
        <v>456</v>
      </c>
      <c r="V4" s="102">
        <f>IF(OR(V13="",V17="",V14="",V15="",V16="",V18="",V19="",V20="",V21=""),"",SUM($C$6:V6))</f>
        <v>480</v>
      </c>
      <c r="W4" s="102">
        <f>IF(OR(W13="",W17="",W14="",W15="",W16="",W18="",W19="",W20="",W21=""),"",SUM($C$6:W6))</f>
        <v>504</v>
      </c>
      <c r="X4" s="102">
        <f>IF(OR(X13="",X17="",X14="",X15="",X16="",X18="",X19="",X20="",X21=""),"",SUM($C$6:X6))</f>
        <v>528</v>
      </c>
      <c r="Y4" s="102">
        <f>IF(OR(Y13="",Y17="",Y14="",Y15="",Y16="",Y18="",Y19="",Y20="",Y21=""),"",SUM($C$6:Y6))</f>
        <v>552</v>
      </c>
      <c r="Z4" s="102">
        <f>IF(OR(Z13="",Z17="",Z14="",Z15="",Z16="",Z18="",Z19="",Z20="",Z21=""),"",SUM($C$6:Z6))</f>
        <v>576</v>
      </c>
      <c r="AA4" s="102">
        <f>IF(OR(AA13="",AA17="",AA14="",AA15="",AA16="",AA18="",AA19="",AA20="",AA21=""),"",SUM($C$6:AA6))</f>
        <v>600</v>
      </c>
      <c r="AB4" s="102">
        <f>IF(OR(AB13="",AB17="",AB14="",AB15="",AB16="",AB18="",AB19="",AB20="",AB21=""),"",SUM($C$6:AB6))</f>
        <v>624</v>
      </c>
      <c r="AC4" s="102">
        <f>IF(OR(AC13="",AC17="",AC14="",AC15="",AC16="",AC18="",AC19="",AC20="",AC21=""),"",SUM($C$6:AC6))</f>
        <v>648</v>
      </c>
      <c r="AD4" s="102">
        <f>IF(OR(AD13="",AD17="",AD14="",AD15="",AD16="",AD18="",AD19="",AD20="",AD21=""),"",SUM($C$6:AD6))</f>
        <v>672</v>
      </c>
      <c r="AE4" s="102">
        <f>IF(OR(AE13="",AE17="",AE14="",AE15="",AE16="",AE18="",AE19="",AE20="",AE21=""),"",SUM($C$6:AE6))</f>
        <v>696</v>
      </c>
      <c r="AF4" s="102">
        <f>IF(OR(AF13="",AF17="",AF14="",AF15="",AF16="",AF18="",AF19="",AF20="",AF21=""),"",SUM($C$6:AF6))</f>
        <v>720</v>
      </c>
      <c r="AG4" s="102">
        <f>IF(OR(AG13="",AG17="",AG14="",AG15="",AG16="",AG18="",AG19="",AG20="",AG21=""),"",SUM($C$6:AG6))</f>
        <v>744</v>
      </c>
      <c r="AH4" s="102">
        <f>IF(OR(AH13="",AH17="",AH14="",AH15="",AH16="",AH18="",AH19="",AH20="",AH21=""),"",SUM($C$6:AH6))</f>
        <v>768</v>
      </c>
      <c r="AI4" s="102">
        <f>IF(OR(AI13="",AI17="",AI14="",AI15="",AI16="",AI18="",AI19="",AI20="",AI21=""),"",SUM($C$6:AI6))</f>
        <v>792</v>
      </c>
      <c r="AJ4" s="102">
        <f>IF(OR(AJ13="",AJ17="",AJ14="",AJ15="",AJ16="",AJ18="",AJ19="",AJ20="",AJ21=""),"",SUM($C$6:AJ6))</f>
        <v>816</v>
      </c>
      <c r="AK4" s="102">
        <f>IF(OR(AK13="",AK17="",AK14="",AK15="",AK16="",AK18="",AK19="",AK20="",AK21=""),"",SUM($C$6:AK6))</f>
        <v>840</v>
      </c>
      <c r="AL4" s="102">
        <f>IF(OR(AL13="",AL17="",AL14="",AL15="",AL16="",AL18="",AL19="",AL20="",AL21=""),"",SUM($C$6:AL6))</f>
        <v>864</v>
      </c>
      <c r="AM4" s="102">
        <f>IF(OR(AM13="",AM17="",AM14="",AM15="",AM16="",AM18="",AM19="",AM20="",AM21=""),"",SUM($C$6:AM6))</f>
        <v>888</v>
      </c>
      <c r="AN4" s="102">
        <f>IF(OR(AN13="",AN17="",AN14="",AN15="",AN16="",AN18="",AN19="",AN20="",AN21=""),"",SUM($C$6:AN6))</f>
        <v>912</v>
      </c>
      <c r="AO4" s="102">
        <f>IF(OR(AO13="",AO17="",AO14="",AO15="",AO16="",AO18="",AO19="",AO20="",AO21=""),"",SUM($C$6:AO6))</f>
        <v>936</v>
      </c>
      <c r="AP4" s="102">
        <f>IF(OR(AP13="",AP17="",AP14="",AP15="",AP16="",AP18="",AP19="",AP20="",AP21=""),"",SUM($C$6:AP6))</f>
        <v>960</v>
      </c>
      <c r="AQ4" s="102">
        <f>IF(OR(AQ13="",AQ17="",AQ14="",AQ15="",AQ16="",AQ18="",AQ19="",AQ20="",AQ21=""),"",SUM($C$6:AQ6))</f>
        <v>984</v>
      </c>
      <c r="AR4" s="102">
        <f>IF(OR(AR13="",AR17="",AR14="",AR15="",AR16="",AR18="",AR19="",AR20="",AR21=""),"",SUM($C$6:AR6))</f>
        <v>1008</v>
      </c>
      <c r="AS4" s="102">
        <f>IF(OR(AS13="",AS17="",AS14="",AS15="",AS16="",AS18="",AS19="",AS20="",AS21=""),"",SUM($C$6:AS6))</f>
        <v>1032</v>
      </c>
      <c r="AT4" s="102">
        <f>IF(OR(AT13="",AT17="",AT14="",AT15="",AT16="",AT18="",AT19="",AT20="",AT21=""),"",SUM($C$6:AT6))</f>
        <v>1056</v>
      </c>
      <c r="AU4" s="102">
        <f>IF(OR(AU13="",AU17="",AU14="",AU15="",AU16="",AU18="",AU19="",AU20="",AU21=""),"",SUM($C$6:AU6))</f>
        <v>1080</v>
      </c>
      <c r="AV4" s="102">
        <f>IF(OR(AV13="",AV17="",AV14="",AV15="",AV16="",AV18="",AV19="",AV20="",AV21=""),"",SUM($C$6:AV6))</f>
        <v>1104</v>
      </c>
      <c r="AW4" s="102">
        <f>IF(OR(AW13="",AW17="",AW14="",AW15="",AW16="",AW18="",AW19="",AW20="",AW21=""),"",SUM($C$6:AW6))</f>
        <v>1128</v>
      </c>
      <c r="AX4" s="102">
        <f>IF(OR(AX13="",AX17="",AX14="",AX15="",AX16="",AX18="",AX19="",AX20="",AX21=""),"",SUM($C$6:AX6))</f>
        <v>1152</v>
      </c>
      <c r="AY4" s="102">
        <f>IF(OR(AY13="",AY17="",AY14="",AY15="",AY16="",AY18="",AY19="",AY20="",AY21=""),"",SUM($C$6:AY6))</f>
        <v>1176</v>
      </c>
      <c r="AZ4" s="102">
        <f>IF(OR(AZ13="",AZ17="",AZ14="",AZ15="",AZ16="",AZ18="",AZ19="",AZ20="",AZ21=""),"",SUM($C$6:AZ6))</f>
        <v>1200</v>
      </c>
      <c r="BA4" s="102">
        <f>IF(OR(BA13="",BA17="",BA14="",BA15="",BA16="",BA18="",BA19="",BA20="",BA21=""),"",SUM($C$6:BA6))</f>
        <v>1224</v>
      </c>
      <c r="BB4" s="102">
        <f>IF(OR(BB13="",BB17="",BB14="",BB15="",BB16="",BB18="",BB19="",BB20="",BB21=""),"",SUM($C$6:BB6))</f>
        <v>1248</v>
      </c>
      <c r="BC4" s="102">
        <f>IF(OR(BC13="",BC17="",BC14="",BC15="",BC16="",BC18="",BC19="",BC20="",BC21=""),"",SUM($C$6:BC6))</f>
        <v>1272</v>
      </c>
      <c r="BD4" s="102">
        <f>IF(OR(BD13="",BD17="",BD14="",BD15="",BD16="",BD18="",BD19="",BD20="",BD21=""),"",SUM($C$6:BD6))</f>
        <v>1296</v>
      </c>
      <c r="BE4" s="102">
        <f>IF(OR(BE13="",BE17="",BE14="",BE15="",BE16="",BE18="",BE19="",BE20="",BE21=""),"",SUM($C$6:BE6))</f>
        <v>1320</v>
      </c>
      <c r="BF4" s="102">
        <f>IF(OR(BF13="",BF17="",BF14="",BF15="",BF16="",BF18="",BF19="",BF20="",BF21=""),"",SUM($C$6:BF6))</f>
        <v>1344</v>
      </c>
      <c r="BG4" s="102">
        <f>IF(OR(BG13="",BG17="",BG14="",BG15="",BG16="",BG18="",BG19="",BG20="",BG21=""),"",SUM($C$6:BG6))</f>
        <v>1368</v>
      </c>
      <c r="BH4" s="102">
        <f>IF(OR(BH13="",BH17="",BH14="",BH15="",BH16="",BH18="",BH19="",BH20="",BH21=""),"",SUM($C$6:BH6))</f>
        <v>1392</v>
      </c>
      <c r="BI4" s="102">
        <f>IF(OR(BI13="",BI17="",BI14="",BI15="",BI16="",BI18="",BI19="",BI20="",BI21=""),"",SUM($C$6:BI6))</f>
        <v>1416</v>
      </c>
      <c r="BJ4" s="102">
        <f>IF(OR(BJ13="",BJ17="",BJ14="",BJ15="",BJ16="",BJ18="",BJ19="",BJ20="",BJ21=""),"",SUM($C$6:BJ6))</f>
        <v>1440</v>
      </c>
      <c r="BK4" s="102">
        <f>IF(OR(BK13="",BK17="",BK14="",BK15="",BK16="",BK18="",BK19="",BK20="",BK21=""),"",SUM($C$6:BK6))</f>
        <v>1464</v>
      </c>
      <c r="BL4" s="102">
        <f>IF(OR(BL13="",BL17="",BL14="",BL15="",BL16="",BL18="",BL19="",BL20="",BL21=""),"",SUM($C$6:BL6))</f>
        <v>1488</v>
      </c>
      <c r="BM4" s="102">
        <f>IF(OR(BM13="",BM17="",BM14="",BM15="",BM16="",BM18="",BM19="",BM20="",BM21=""),"",SUM($C$6:BM6))</f>
        <v>1512</v>
      </c>
      <c r="BN4" s="102">
        <f>IF(OR(BN13="",BN17="",BN14="",BN15="",BN16="",BN18="",BN19="",BN20="",BN21=""),"",SUM($C$6:BN6))</f>
        <v>1536</v>
      </c>
      <c r="BO4" s="102">
        <f>IF(OR(BO13="",BO17="",BO14="",BO15="",BO16="",BO18="",BO19="",BO20="",BO21=""),"",SUM($C$6:BO6))</f>
        <v>1560</v>
      </c>
      <c r="BP4" s="102">
        <f>IF(OR(BP13="",BP17="",BP14="",BP15="",BP16="",BP18="",BP19="",BP20="",BP21=""),"",SUM($C$6:BP6))</f>
        <v>1584</v>
      </c>
      <c r="BQ4" s="102">
        <f>IF(OR(BQ13="",BQ17="",BQ14="",BQ15="",BQ16="",BQ18="",BQ19="",BQ20="",BQ21=""),"",SUM($C$6:BQ6))</f>
        <v>1608</v>
      </c>
      <c r="BR4" s="102">
        <f>IF(OR(BR13="",BR17="",BR14="",BR15="",BR16="",BR18="",BR19="",BR20="",BR21=""),"",SUM($C$6:BR6))</f>
        <v>1632</v>
      </c>
      <c r="BS4" s="102">
        <f>IF(OR(BS13="",BS17="",BS14="",BS15="",BS16="",BS18="",BS19="",BS20="",BS21=""),"",SUM($C$6:BS6))</f>
        <v>1656</v>
      </c>
      <c r="BT4" s="102">
        <f>IF(OR(BT13="",BT17="",BT14="",BT15="",BT16="",BT18="",BT19="",BT20="",BT21=""),"",SUM($C$6:BT6))</f>
        <v>1680</v>
      </c>
      <c r="BU4" s="102">
        <f>IF(OR(BU13="",BU17="",BU14="",BU15="",BU16="",BU18="",BU19="",BU20="",BU21=""),"",SUM($C$6:BU6))</f>
        <v>1704</v>
      </c>
      <c r="BV4" s="102">
        <f>IF(OR(BV13="",BV17="",BV14="",BV15="",BV16="",BV18="",BV19="",BV20="",BV21=""),"",SUM($C$6:BV6))</f>
        <v>1728</v>
      </c>
      <c r="BW4" s="102">
        <f>IF(OR(BW13="",BW17="",BW14="",BW15="",BW16="",BW18="",BW19="",BW20="",BW21=""),"",SUM($C$6:BW6))</f>
        <v>1752</v>
      </c>
      <c r="BX4" s="102">
        <f>IF(OR(BX13="",BX17="",BX14="",BX15="",BX16="",BX18="",BX19="",BX20="",BX21=""),"",SUM($C$6:BX6))</f>
        <v>1776</v>
      </c>
      <c r="BY4" s="102">
        <f>IF(OR(BY13="",BY17="",BY14="",BY15="",BY16="",BY18="",BY19="",BY20="",BY21=""),"",SUM($C$6:BY6))</f>
        <v>1800</v>
      </c>
      <c r="BZ4" s="102">
        <f>IF(OR(BZ13="",BZ17="",BZ14="",BZ15="",BZ16="",BZ18="",BZ19="",BZ20="",BZ21=""),"",SUM($C$6:BZ6))</f>
        <v>1824</v>
      </c>
      <c r="CA4" s="102">
        <f>IF(OR(CA13="",CA17="",CA14="",CA15="",CA16="",CA18="",CA19="",CA20="",CA21=""),"",SUM($C$6:CA6))</f>
        <v>1848</v>
      </c>
      <c r="CB4" s="102">
        <f>IF(OR(CB13="",CB17="",CB14="",CB15="",CB16="",CB18="",CB19="",CB20="",CB21=""),"",SUM($C$6:CB6))</f>
        <v>1872</v>
      </c>
      <c r="CC4" s="102">
        <f>IF(OR(CC13="",CC17="",CC14="",CC15="",CC16="",CC18="",CC19="",CC20="",CC21=""),"",SUM($C$6:CC6))</f>
        <v>1896</v>
      </c>
      <c r="CD4" s="102">
        <f>IF(OR(CD13="",CD17="",CD14="",CD15="",CD16="",CD18="",CD19="",CD20="",CD21=""),"",SUM($C$6:CD6))</f>
        <v>1920</v>
      </c>
      <c r="CE4" s="102">
        <f>IF(OR(CE13="",CE17="",CE14="",CE15="",CE16="",CE18="",CE19="",CE20="",CE21=""),"",SUM($C$6:CE6))</f>
        <v>1944</v>
      </c>
      <c r="CF4" s="102">
        <f>IF(OR(CF13="",CF17="",CF14="",CF15="",CF16="",CF18="",CF19="",CF20="",CF21=""),"",SUM($C$6:CF6))</f>
        <v>1968</v>
      </c>
      <c r="CG4" s="102">
        <f>IF(OR(CG13="",CG17="",CG14="",CG15="",CG16="",CG18="",CG19="",CG20="",CG21=""),"",SUM($C$6:CG6))</f>
        <v>1992</v>
      </c>
      <c r="CH4" s="102">
        <f>IF(OR(CH13="",CH17="",CH14="",CH15="",CH16="",CH18="",CH19="",CH20="",CH21=""),"",SUM($C$6:CH6))</f>
        <v>2016</v>
      </c>
      <c r="CI4" s="102">
        <f>IF(OR(CI13="",CI17="",CI14="",CI15="",CI16="",CI18="",CI19="",CI20="",CI21=""),"",SUM($C$6:CI6))</f>
        <v>2040</v>
      </c>
      <c r="CJ4" s="102">
        <f>IF(OR(CJ13="",CJ17="",CJ14="",CJ15="",CJ16="",CJ18="",CJ19="",CJ20="",CJ21=""),"",SUM($C$6:CJ6))</f>
        <v>2064</v>
      </c>
      <c r="CK4" s="102">
        <f>IF(OR(CK13="",CK17="",CK14="",CK15="",CK16="",CK18="",CK19="",CK20="",CK21=""),"",SUM($C$6:CK6))</f>
        <v>2088</v>
      </c>
      <c r="CL4" s="102">
        <f>IF(OR(CL13="",CL17="",CL14="",CL15="",CL16="",CL18="",CL19="",CL20="",CL21=""),"",SUM($C$6:CL6))</f>
        <v>2112</v>
      </c>
      <c r="CM4" s="102">
        <f>IF(OR(CM13="",CM17="",CM14="",CM15="",CM16="",CM18="",CM19="",CM20="",CM21=""),"",SUM($C$6:CM6))</f>
        <v>2136</v>
      </c>
      <c r="CN4" s="102">
        <f>IF(OR(CN13="",CN17="",CN14="",CN15="",CN16="",CN18="",CN19="",CN20="",CN21=""),"",SUM($C$6:CN6))</f>
        <v>2160</v>
      </c>
      <c r="CO4" s="102">
        <f>IF(OR(CO13="",CO17="",CO14="",CO15="",CO16="",CO18="",CO19="",CO20="",CO21=""),"",SUM($C$6:CO6))</f>
        <v>2184</v>
      </c>
      <c r="CP4" s="102">
        <f>IF(OR(CP13="",CP17="",CP14="",CP15="",CP16="",CP18="",CP19="",CP20="",CP21=""),"",SUM($C$6:CP6))</f>
        <v>2208</v>
      </c>
      <c r="CQ4" s="102">
        <f>IF(OR(CQ13="",CQ17="",CQ14="",CQ15="",CQ16="",CQ18="",CQ19="",CQ20="",CQ21=""),"",SUM($C$6:CQ6))</f>
        <v>2232</v>
      </c>
      <c r="CR4" s="102">
        <f>IF(OR(CR13="",CR17="",CR14="",CR15="",CR16="",CR18="",CR19="",CR20="",CR21=""),"",SUM($C$6:CR6))</f>
        <v>2256</v>
      </c>
      <c r="CS4" s="102">
        <f>IF(OR(CS13="",CS17="",CS14="",CS15="",CS16="",CS18="",CS19="",CS20="",CS21=""),"",SUM($C$6:CS6))</f>
        <v>2280</v>
      </c>
      <c r="CT4" s="102">
        <f>IF(OR(CT13="",CT17="",CT14="",CT15="",CT16="",CT18="",CT19="",CT20="",CT21=""),"",SUM($C$6:CT6))</f>
        <v>2304</v>
      </c>
      <c r="CU4" s="102">
        <f>IF(OR(CU13="",CU17="",CU14="",CU15="",CU16="",CU18="",CU19="",CU20="",CU21=""),"",SUM($C$6:CU6))</f>
        <v>2328</v>
      </c>
      <c r="CV4" s="102">
        <f>IF(OR(CV13="",CV17="",CV14="",CV15="",CV16="",CV18="",CV19="",CV20="",CV21=""),"",SUM($C$6:CV6))</f>
        <v>2352</v>
      </c>
      <c r="CW4" s="102">
        <f>IF(OR(CW13="",CW17="",CW14="",CW15="",CW16="",CW18="",CW19="",CW20="",CW21=""),"",SUM($C$6:CW6))</f>
        <v>2376</v>
      </c>
      <c r="CX4" s="102">
        <f>IF(OR(CX13="",CX17="",CX14="",CX15="",CX16="",CX18="",CX19="",CX20="",CX21=""),"",SUM($C$6:CX6))</f>
        <v>2400</v>
      </c>
      <c r="CY4" s="102">
        <f>IF(OR(CY13="",CY17="",CY14="",CY15="",CY16="",CY18="",CY19="",CY20="",CY21=""),"",SUM($C$6:CY6))</f>
        <v>2424</v>
      </c>
      <c r="CZ4" s="102">
        <f>IF(OR(CZ13="",CZ17="",CZ14="",CZ15="",CZ16="",CZ18="",CZ19="",CZ20="",CZ21=""),"",SUM($C$6:CZ6))</f>
        <v>2448</v>
      </c>
      <c r="DA4" s="102">
        <f>IF(OR(DA13="",DA17="",DA14="",DA15="",DA16="",DA18="",DA19="",DA20="",DA21=""),"",SUM($C$6:DA6))</f>
        <v>2472</v>
      </c>
      <c r="DB4" s="102">
        <f>IF(OR(DB13="",DB17="",DB14="",DB15="",DB16="",DB18="",DB19="",DB20="",DB21=""),"",SUM($C$6:DB6))</f>
        <v>2496</v>
      </c>
      <c r="DC4" s="102">
        <f>IF(OR(DC13="",DC17="",DC14="",DC15="",DC16="",DC18="",DC19="",DC20="",DC21=""),"",SUM($C$6:DC6))</f>
        <v>2520</v>
      </c>
      <c r="DD4" s="102">
        <f>IF(OR(DD13="",DD17="",DD14="",DD15="",DD16="",DD18="",DD19="",DD20="",DD21=""),"",SUM($C$6:DD6))</f>
        <v>2544</v>
      </c>
      <c r="DE4" s="102">
        <f>IF(OR(DE13="",DE17="",DE14="",DE15="",DE16="",DE18="",DE19="",DE20="",DE21=""),"",SUM($C$6:DE6))</f>
        <v>2568</v>
      </c>
      <c r="DF4" s="102">
        <f>IF(OR(DF13="",DF17="",DF14="",DF15="",DF16="",DF18="",DF19="",DF20="",DF21=""),"",SUM($C$6:DF6))</f>
        <v>2592</v>
      </c>
      <c r="DG4" s="102">
        <f>IF(OR(DG13="",DG17="",DG14="",DG15="",DG16="",DG18="",DG19="",DG20="",DG21=""),"",SUM($C$6:DG6))</f>
        <v>2616</v>
      </c>
      <c r="DH4" s="102">
        <f>IF(OR(DH13="",DH17="",DH14="",DH15="",DH16="",DH18="",DH19="",DH20="",DH21=""),"",SUM($C$6:DH6))</f>
        <v>2640</v>
      </c>
      <c r="DI4" s="102">
        <f>IF(OR(DI13="",DI17="",DI14="",DI15="",DI16="",DI18="",DI19="",DI20="",DI21=""),"",SUM($C$6:DI6))</f>
        <v>2664</v>
      </c>
      <c r="DJ4" s="102">
        <f>IF(OR(DJ13="",DJ17="",DJ14="",DJ15="",DJ16="",DJ18="",DJ19="",DJ20="",DJ21=""),"",SUM($C$6:DJ6))</f>
        <v>2688</v>
      </c>
      <c r="DK4" s="102">
        <f>IF(OR(DK13="",DK17="",DK14="",DK15="",DK16="",DK18="",DK19="",DK20="",DK21=""),"",SUM($C$6:DK6))</f>
        <v>2712</v>
      </c>
      <c r="DL4" s="102">
        <f>IF(OR(DL13="",DL17="",DL14="",DL15="",DL16="",DL18="",DL19="",DL20="",DL21=""),"",SUM($C$6:DL6))</f>
        <v>2736</v>
      </c>
      <c r="DM4" s="102">
        <f>IF(OR(DM13="",DM17="",DM14="",DM15="",DM16="",DM18="",DM19="",DM20="",DM21=""),"",SUM($C$6:DM6))</f>
        <v>2760</v>
      </c>
      <c r="DN4" s="102">
        <f>IF(OR(DN13="",DN17="",DN14="",DN15="",DN16="",DN18="",DN19="",DN20="",DN21=""),"",SUM($C$6:DN6))</f>
        <v>2784</v>
      </c>
      <c r="DO4" s="102">
        <f>IF(OR(DO13="",DO17="",DO14="",DO15="",DO16="",DO18="",DO19="",DO20="",DO21=""),"",SUM($C$6:DO6))</f>
        <v>2808</v>
      </c>
      <c r="DP4" s="102">
        <f>IF(OR(DP13="",DP17="",DP14="",DP15="",DP16="",DP18="",DP19="",DP20="",DP21=""),"",SUM($C$6:DP6))</f>
        <v>2832</v>
      </c>
      <c r="DQ4" s="102">
        <f>IF(OR(DQ13="",DQ17="",DQ14="",DQ15="",DQ16="",DQ18="",DQ19="",DQ20="",DQ21=""),"",SUM($C$6:DQ6))</f>
        <v>2856</v>
      </c>
      <c r="DR4" s="102">
        <f>IF(OR(DR13="",DR17="",DR14="",DR15="",DR16="",DR18="",DR19="",DR20="",DR21=""),"",SUM($C$6:DR6))</f>
        <v>2880</v>
      </c>
      <c r="DS4" s="102">
        <f>IF(OR(DS13="",DS17="",DS14="",DS15="",DS16="",DS18="",DS19="",DS20="",DS21=""),"",SUM($C$6:DS6))</f>
        <v>2904</v>
      </c>
      <c r="DT4" s="102">
        <f>IF(OR(DT13="",DT17="",DT14="",DT15="",DT16="",DT18="",DT19="",DT20="",DT21=""),"",SUM($C$6:DT6))</f>
        <v>2928</v>
      </c>
      <c r="DU4" s="102">
        <f>IF(OR(DU13="",DU17="",DU14="",DU15="",DU16="",DU18="",DU19="",DU20="",DU21=""),"",SUM($C$6:DU6))</f>
        <v>2952</v>
      </c>
      <c r="DV4" s="102">
        <f>IF(OR(DV13="",DV17="",DV14="",DV15="",DV16="",DV18="",DV19="",DV20="",DV21=""),"",SUM($C$6:DV6))</f>
        <v>2976</v>
      </c>
      <c r="DW4" s="102">
        <f>IF(OR(DW13="",DW17="",DW14="",DW15="",DW16="",DW18="",DW19="",DW20="",DW21=""),"",SUM($C$6:DW6))</f>
        <v>3000</v>
      </c>
      <c r="DX4" s="102">
        <f>IF(OR(DX13="",DX17="",DX14="",DX15="",DX16="",DX18="",DX19="",DX20="",DX21=""),"",SUM($C$6:DX6))</f>
        <v>3024</v>
      </c>
      <c r="DY4" s="102">
        <f>IF(OR(DY13="",DY17="",DY14="",DY15="",DY16="",DY18="",DY19="",DY20="",DY21=""),"",SUM($C$6:DY6))</f>
        <v>3048</v>
      </c>
      <c r="DZ4" s="102">
        <f>IF(OR(DZ13="",DZ17="",DZ14="",DZ15="",DZ16="",DZ18="",DZ19="",DZ20="",DZ21=""),"",SUM($C$6:DZ6))</f>
        <v>3072</v>
      </c>
      <c r="EA4" s="102">
        <f>IF(OR(EA13="",EA17="",EA14="",EA15="",EA16="",EA18="",EA19="",EA20="",EA21=""),"",SUM($C$6:EA6))</f>
        <v>3096</v>
      </c>
      <c r="EB4" s="102">
        <f>IF(OR(EB13="",EB17="",EB14="",EB15="",EB16="",EB18="",EB19="",EB20="",EB21=""),"",SUM($C$6:EB6))</f>
        <v>3120</v>
      </c>
      <c r="EC4" s="102">
        <f>IF(OR(EC13="",EC17="",EC14="",EC15="",EC16="",EC18="",EC19="",EC20="",EC21=""),"",SUM($C$6:EC6))</f>
        <v>3144</v>
      </c>
      <c r="ED4" s="102">
        <f>IF(OR(ED13="",ED17="",ED14="",ED15="",ED16="",ED18="",ED19="",ED20="",ED21=""),"",SUM($C$6:ED6))</f>
        <v>3168</v>
      </c>
      <c r="EE4" s="102">
        <f>IF(OR(EE13="",EE17="",EE14="",EE15="",EE16="",EE18="",EE19="",EE20="",EE21=""),"",SUM($C$6:EE6))</f>
        <v>3192</v>
      </c>
      <c r="EF4" s="102">
        <f>IF(OR(EF13="",EF17="",EF14="",EF15="",EF16="",EF18="",EF19="",EF20="",EF21=""),"",SUM($C$6:EF6))</f>
        <v>3216</v>
      </c>
      <c r="EG4" s="102">
        <f>IF(OR(EG13="",EG17="",EG14="",EG15="",EG16="",EG18="",EG19="",EG20="",EG21=""),"",SUM($C$6:EG6))</f>
        <v>3240</v>
      </c>
      <c r="EH4" s="102">
        <f>IF(OR(EH13="",EH17="",EH14="",EH15="",EH16="",EH18="",EH19="",EH20="",EH21=""),"",SUM($C$6:EH6))</f>
        <v>3264</v>
      </c>
      <c r="EI4" s="102">
        <f>IF(OR(EI13="",EI17="",EI14="",EI15="",EI16="",EI18="",EI19="",EI20="",EI21=""),"",SUM($C$6:EI6))</f>
        <v>3288</v>
      </c>
      <c r="EJ4" s="102">
        <f>IF(OR(EJ13="",EJ17="",EJ14="",EJ15="",EJ16="",EJ18="",EJ19="",EJ20="",EJ21=""),"",SUM($C$6:EJ6))</f>
        <v>3312</v>
      </c>
      <c r="EK4" s="102">
        <f>IF(OR(EK13="",EK17="",EK14="",EK15="",EK16="",EK18="",EK19="",EK20="",EK21=""),"",SUM($C$6:EK6))</f>
        <v>3336</v>
      </c>
      <c r="EL4" s="102">
        <f>IF(OR(EL13="",EL17="",EL14="",EL15="",EL16="",EL18="",EL19="",EL20="",EL21=""),"",SUM($C$6:EL6))</f>
        <v>3360</v>
      </c>
      <c r="EM4" s="102">
        <f>IF(OR(EM13="",EM17="",EM14="",EM15="",EM16="",EM18="",EM19="",EM20="",EM21=""),"",SUM($C$6:EM6))</f>
        <v>3384</v>
      </c>
      <c r="EN4" s="102">
        <f>IF(OR(EN13="",EN17="",EN14="",EN15="",EN16="",EN18="",EN19="",EN20="",EN21=""),"",SUM($C$6:EN6))</f>
        <v>3408</v>
      </c>
      <c r="EO4" s="102">
        <f>IF(OR(EO13="",EO17="",EO14="",EO15="",EO16="",EO18="",EO19="",EO20="",EO21=""),"",SUM($C$6:EO6))</f>
        <v>3432</v>
      </c>
      <c r="EP4" s="102">
        <f>IF(OR(EP13="",EP17="",EP14="",EP15="",EP16="",EP18="",EP19="",EP20="",EP21=""),"",SUM($C$6:EP6))</f>
        <v>3456</v>
      </c>
      <c r="EQ4" s="102">
        <f>IF(OR(EQ13="",EQ17="",EQ14="",EQ15="",EQ16="",EQ18="",EQ19="",EQ20="",EQ21=""),"",SUM($C$6:EQ6))</f>
        <v>3480</v>
      </c>
      <c r="ER4" s="102">
        <f>IF(OR(ER13="",ER17="",ER14="",ER15="",ER16="",ER18="",ER19="",ER20="",ER21=""),"",SUM($C$6:ER6))</f>
        <v>3504</v>
      </c>
      <c r="ES4" s="102">
        <f>IF(OR(ES13="",ES17="",ES14="",ES15="",ES16="",ES18="",ES19="",ES20="",ES21=""),"",SUM($C$6:ES6))</f>
        <v>3528</v>
      </c>
      <c r="ET4" s="102">
        <f>IF(OR(ET13="",ET17="",ET14="",ET15="",ET16="",ET18="",ET19="",ET20="",ET21=""),"",SUM($C$6:ET6))</f>
        <v>3552</v>
      </c>
      <c r="EU4" s="102">
        <f>IF(OR(EU13="",EU17="",EU14="",EU15="",EU16="",EU18="",EU19="",EU20="",EU21=""),"",SUM($C$6:EU6))</f>
        <v>3576</v>
      </c>
      <c r="EV4" s="102">
        <f>IF(OR(EV13="",EV17="",EV14="",EV15="",EV16="",EV18="",EV19="",EV20="",EV21=""),"",SUM($C$6:EV6))</f>
        <v>3600</v>
      </c>
      <c r="EW4" s="102">
        <f>IF(OR(EW13="",EW17="",EW14="",EW15="",EW16="",EW18="",EW19="",EW20="",EW21=""),"",SUM($C$6:EW6))</f>
        <v>3624</v>
      </c>
      <c r="EX4" s="102">
        <f>IF(OR(EX13="",EX17="",EX14="",EX15="",EX16="",EX18="",EX19="",EX20="",EX21=""),"",SUM($C$6:EX6))</f>
        <v>3648</v>
      </c>
      <c r="EY4" s="102">
        <f>IF(OR(EY13="",EY17="",EY14="",EY15="",EY16="",EY18="",EY19="",EY20="",EY21=""),"",SUM($C$6:EY6))</f>
        <v>3672</v>
      </c>
      <c r="EZ4" s="102">
        <f>IF(OR(EZ13="",EZ17="",EZ14="",EZ15="",EZ16="",EZ18="",EZ19="",EZ20="",EZ21=""),"",SUM($C$6:EZ6))</f>
        <v>3696</v>
      </c>
      <c r="FA4" s="102">
        <f>IF(OR(FA13="",FA17="",FA14="",FA15="",FA16="",FA18="",FA19="",FA20="",FA21=""),"",SUM($C$6:FA6))</f>
        <v>3720</v>
      </c>
      <c r="FB4" s="102">
        <f>IF(OR(FB13="",FB17="",FB14="",FB15="",FB16="",FB18="",FB19="",FB20="",FB21=""),"",SUM($C$6:FB6))</f>
        <v>3744</v>
      </c>
      <c r="FC4" s="102">
        <f>IF(OR(FC13="",FC17="",FC14="",FC15="",FC16="",FC18="",FC19="",FC20="",FC21=""),"",SUM($C$6:FC6))</f>
        <v>3768</v>
      </c>
      <c r="FD4" s="102">
        <f>IF(OR(FD13="",FD17="",FD14="",FD15="",FD16="",FD18="",FD19="",FD20="",FD21=""),"",SUM($C$6:FD6))</f>
        <v>3792</v>
      </c>
      <c r="FE4" s="102">
        <f>IF(OR(FE13="",FE17="",FE14="",FE15="",FE16="",FE18="",FE19="",FE20="",FE21=""),"",SUM($C$6:FE6))</f>
        <v>3816</v>
      </c>
      <c r="FF4" s="102">
        <f>IF(OR(FF13="",FF17="",FF14="",FF15="",FF16="",FF18="",FF19="",FF20="",FF21=""),"",SUM($C$6:FF6))</f>
        <v>3840</v>
      </c>
      <c r="FG4" s="102">
        <f>IF(OR(FG13="",FG17="",FG14="",FG15="",FG16="",FG18="",FG19="",FG20="",FG21=""),"",SUM($C$6:FG6))</f>
        <v>3864</v>
      </c>
      <c r="FH4" s="102">
        <f>IF(OR(FH13="",FH17="",FH14="",FH15="",FH16="",FH18="",FH19="",FH20="",FH21=""),"",SUM($C$6:FH6))</f>
        <v>3888</v>
      </c>
      <c r="FI4" s="102">
        <f>IF(OR(FI13="",FI17="",FI14="",FI15="",FI16="",FI18="",FI19="",FI20="",FI21=""),"",SUM($C$6:FI6))</f>
        <v>3912</v>
      </c>
      <c r="FJ4" s="102">
        <f>IF(OR(FJ13="",FJ17="",FJ14="",FJ15="",FJ16="",FJ18="",FJ19="",FJ20="",FJ21=""),"",SUM($C$6:FJ6))</f>
        <v>3936</v>
      </c>
      <c r="FK4" s="102">
        <f>IF(OR(FK13="",FK17="",FK14="",FK15="",FK16="",FK18="",FK19="",FK20="",FK21=""),"",SUM($C$6:FK6))</f>
        <v>3960</v>
      </c>
      <c r="FL4" s="102">
        <f>IF(OR(FL13="",FL17="",FL14="",FL15="",FL16="",FL18="",FL19="",FL20="",FL21=""),"",SUM($C$6:FL6))</f>
        <v>3984</v>
      </c>
      <c r="FM4" s="102">
        <f>IF(OR(FM13="",FM17="",FM14="",FM15="",FM16="",FM18="",FM19="",FM20="",FM21=""),"",SUM($C$6:FM6))</f>
        <v>4008</v>
      </c>
      <c r="FN4" s="102">
        <f>IF(OR(FN13="",FN17="",FN14="",FN15="",FN16="",FN18="",FN19="",FN20="",FN21=""),"",SUM($C$6:FN6))</f>
        <v>4032</v>
      </c>
      <c r="FO4" s="102">
        <f>IF(OR(FO13="",FO17="",FO14="",FO15="",FO16="",FO18="",FO19="",FO20="",FO21=""),"",SUM($C$6:FO6))</f>
        <v>4056</v>
      </c>
      <c r="FP4" s="102">
        <f>IF(OR(FP13="",FP17="",FP14="",FP15="",FP16="",FP18="",FP19="",FP20="",FP21=""),"",SUM($C$6:FP6))</f>
        <v>4080</v>
      </c>
      <c r="FQ4" s="102">
        <f>IF(OR(FQ13="",FQ17="",FQ14="",FQ15="",FQ16="",FQ18="",FQ19="",FQ20="",FQ21=""),"",SUM($C$6:FQ6))</f>
        <v>4104</v>
      </c>
      <c r="FR4" s="102">
        <f>IF(OR(FR13="",FR17="",FR14="",FR15="",FR16="",FR18="",FR19="",FR20="",FR21=""),"",SUM($C$6:FR6))</f>
        <v>4128</v>
      </c>
      <c r="FS4" s="102">
        <f>IF(OR(FS13="",FS17="",FS14="",FS15="",FS16="",FS18="",FS19="",FS20="",FS21=""),"",SUM($C$6:FS6))</f>
        <v>4152</v>
      </c>
      <c r="FT4" s="102">
        <f>IF(OR(FT13="",FT17="",FT14="",FT15="",FT16="",FT18="",FT19="",FT20="",FT21=""),"",SUM($C$6:FT6))</f>
        <v>4176</v>
      </c>
      <c r="FU4" s="102">
        <f>IF(OR(FU13="",FU17="",FU14="",FU15="",FU16="",FU18="",FU19="",FU20="",FU21=""),"",SUM($C$6:FU6))</f>
        <v>4200</v>
      </c>
      <c r="FV4" s="102">
        <f>IF(OR(FV13="",FV17="",FV14="",FV15="",FV16="",FV18="",FV19="",FV20="",FV21=""),"",SUM($C$6:FV6))</f>
        <v>4224</v>
      </c>
      <c r="FW4" s="102">
        <f>IF(OR(FW13="",FW17="",FW14="",FW15="",FW16="",FW18="",FW19="",FW20="",FW21=""),"",SUM($C$6:FW6))</f>
        <v>4248</v>
      </c>
      <c r="FX4" s="102">
        <f>IF(OR(FX13="",FX17="",FX14="",FX15="",FX16="",FX18="",FX19="",FX20="",FX21=""),"",SUM($C$6:FX6))</f>
        <v>4272</v>
      </c>
      <c r="FY4" s="102">
        <f>IF(OR(FY13="",FY17="",FY14="",FY15="",FY16="",FY18="",FY19="",FY20="",FY21=""),"",SUM($C$6:FY6))</f>
        <v>4296</v>
      </c>
      <c r="FZ4" s="102">
        <f>IF(OR(FZ13="",FZ17="",FZ14="",FZ15="",FZ16="",FZ18="",FZ19="",FZ20="",FZ21=""),"",SUM($C$6:FZ6))</f>
        <v>4320</v>
      </c>
      <c r="GA4" s="102">
        <f>IF(OR(GA13="",GA17="",GA14="",GA15="",GA16="",GA18="",GA19="",GA20="",GA21=""),"",SUM($C$6:GA6))</f>
        <v>4344</v>
      </c>
      <c r="GB4" s="102">
        <f>IF(OR(GB13="",GB17="",GB14="",GB15="",GB16="",GB18="",GB19="",GB20="",GB21=""),"",SUM($C$6:GB6))</f>
        <v>4368</v>
      </c>
      <c r="GC4" s="102">
        <f>IF(OR(GC13="",GC17="",GC14="",GC15="",GC16="",GC18="",GC19="",GC20="",GC21=""),"",SUM($C$6:GC6))</f>
        <v>4392</v>
      </c>
      <c r="GD4" s="102">
        <f>IF(OR(GD13="",GD17="",GD14="",GD15="",GD16="",GD18="",GD19="",GD20="",GD21=""),"",SUM($C$6:GD6))</f>
        <v>4416</v>
      </c>
      <c r="GE4" s="102">
        <f>IF(OR(GE13="",GE17="",GE14="",GE15="",GE16="",GE18="",GE19="",GE20="",GE21=""),"",SUM($C$6:GE6))</f>
        <v>4440</v>
      </c>
      <c r="GF4" s="102">
        <f>IF(OR(GF13="",GF17="",GF14="",GF15="",GF16="",GF18="",GF19="",GF20="",GF21=""),"",SUM($C$6:GF6))</f>
        <v>4464</v>
      </c>
      <c r="GG4" s="102">
        <f>IF(OR(GG13="",GG17="",GG14="",GG15="",GG16="",GG18="",GG19="",GG20="",GG21=""),"",SUM($C$6:GG6))</f>
        <v>4488</v>
      </c>
      <c r="GH4" s="102">
        <f>IF(OR(GH13="",GH17="",GH14="",GH15="",GH16="",GH18="",GH19="",GH20="",GH21=""),"",SUM($C$6:GH6))</f>
        <v>4512</v>
      </c>
      <c r="GI4" s="102">
        <f>IF(OR(GI13="",GI17="",GI14="",GI15="",GI16="",GI18="",GI19="",GI20="",GI21=""),"",SUM($C$6:GI6))</f>
        <v>4536</v>
      </c>
      <c r="GJ4" s="102">
        <f>IF(OR(GJ13="",GJ17="",GJ14="",GJ15="",GJ16="",GJ18="",GJ19="",GJ20="",GJ21=""),"",SUM($C$6:GJ6))</f>
        <v>4560</v>
      </c>
      <c r="GK4" s="102">
        <f>IF(OR(GK13="",GK17="",GK14="",GK15="",GK16="",GK18="",GK19="",GK20="",GK21=""),"",SUM($C$6:GK6))</f>
        <v>4584</v>
      </c>
      <c r="GL4" s="102">
        <f>IF(OR(GL13="",GL17="",GL14="",GL15="",GL16="",GL18="",GL19="",GL20="",GL21=""),"",SUM($C$6:GL6))</f>
        <v>4608</v>
      </c>
      <c r="GM4" s="102">
        <f>IF(OR(GM13="",GM17="",GM14="",GM15="",GM16="",GM18="",GM19="",GM20="",GM21=""),"",SUM($C$6:GM6))</f>
        <v>4632</v>
      </c>
      <c r="GN4" s="102">
        <f>IF(OR(GN13="",GN17="",GN14="",GN15="",GN16="",GN18="",GN19="",GN20="",GN21=""),"",SUM($C$6:GN6))</f>
        <v>4656</v>
      </c>
      <c r="GO4" s="102">
        <f>IF(OR(GO13="",GO17="",GO14="",GO15="",GO16="",GO18="",GO19="",GO20="",GO21=""),"",SUM($C$6:GO6))</f>
        <v>4680</v>
      </c>
      <c r="GP4" s="102">
        <f>IF(OR(GP13="",GP17="",GP14="",GP15="",GP16="",GP18="",GP19="",GP20="",GP21=""),"",SUM($C$6:GP6))</f>
        <v>4704</v>
      </c>
      <c r="GQ4" s="102">
        <f>IF(OR(GQ13="",GQ17="",GQ14="",GQ15="",GQ16="",GQ18="",GQ19="",GQ20="",GQ21=""),"",SUM($C$6:GQ6))</f>
        <v>4728</v>
      </c>
      <c r="GR4" s="102">
        <f>IF(OR(GR13="",GR17="",GR14="",GR15="",GR16="",GR18="",GR19="",GR20="",GR21=""),"",SUM($C$6:GR6))</f>
        <v>4752</v>
      </c>
      <c r="GS4" s="102">
        <f>IF(OR(GS13="",GS17="",GS14="",GS15="",GS16="",GS18="",GS19="",GS20="",GS21=""),"",SUM($C$6:GS6))</f>
        <v>4776</v>
      </c>
      <c r="GT4" s="102">
        <f>IF(OR(GT13="",GT17="",GT14="",GT15="",GT16="",GT18="",GT19="",GT20="",GT21=""),"",SUM($C$6:GT6))</f>
        <v>4800</v>
      </c>
      <c r="GU4" s="102">
        <f>IF(OR(GU13="",GU17="",GU14="",GU15="",GU16="",GU18="",GU19="",GU20="",GU21=""),"",SUM($C$6:GU6))</f>
        <v>4824</v>
      </c>
      <c r="GV4" s="102">
        <f>IF(OR(GV13="",GV17="",GV14="",GV15="",GV16="",GV18="",GV19="",GV20="",GV21=""),"",SUM($C$6:GV6))</f>
        <v>4848</v>
      </c>
      <c r="GW4" s="102">
        <f>IF(OR(GW13="",GW17="",GW14="",GW15="",GW16="",GW18="",GW19="",GW20="",GW21=""),"",SUM($C$6:GW6))</f>
        <v>4872</v>
      </c>
      <c r="GX4" s="102">
        <f>IF(OR(GX13="",GX17="",GX14="",GX15="",GX16="",GX18="",GX19="",GX20="",GX21=""),"",SUM($C$6:GX6))</f>
        <v>4896</v>
      </c>
      <c r="GY4" s="102">
        <f>IF(OR(GY13="",GY17="",GY14="",GY15="",GY16="",GY18="",GY19="",GY20="",GY21=""),"",SUM($C$6:GY6))</f>
        <v>4920</v>
      </c>
      <c r="GZ4" s="102">
        <f>IF(OR(GZ13="",GZ17="",GZ14="",GZ15="",GZ16="",GZ18="",GZ19="",GZ20="",GZ21=""),"",SUM($C$6:GZ6))</f>
        <v>4944</v>
      </c>
      <c r="HA4" s="102">
        <f>IF(OR(HA13="",HA17="",HA14="",HA15="",HA16="",HA18="",HA19="",HA20="",HA21=""),"",SUM($C$6:HA6))</f>
        <v>4968</v>
      </c>
      <c r="HB4" s="102">
        <f>IF(OR(HB13="",HB17="",HB14="",HB15="",HB16="",HB18="",HB19="",HB20="",HB21=""),"",SUM($C$6:HB6))</f>
        <v>4992</v>
      </c>
      <c r="HC4" s="102">
        <f>IF(OR(HC13="",HC17="",HC14="",HC15="",HC16="",HC18="",HC19="",HC20="",HC21=""),"",SUM($C$6:HC6))</f>
        <v>5016</v>
      </c>
      <c r="HD4" s="102">
        <f>IF(OR(HD13="",HD17="",HD14="",HD15="",HD16="",HD18="",HD19="",HD20="",HD21=""),"",SUM($C$6:HD6))</f>
        <v>5040</v>
      </c>
      <c r="HE4" s="102">
        <f>IF(OR(HE13="",HE17="",HE14="",HE15="",HE16="",HE18="",HE19="",HE20="",HE21=""),"",SUM($C$6:HE6))</f>
        <v>5064</v>
      </c>
      <c r="HF4" s="102">
        <f>IF(OR(HF13="",HF17="",HF14="",HF15="",HF16="",HF18="",HF19="",HF20="",HF21=""),"",SUM($C$6:HF6))</f>
        <v>5088</v>
      </c>
      <c r="HG4" s="102">
        <f>IF(OR(HG13="",HG17="",HG14="",HG15="",HG16="",HG18="",HG19="",HG20="",HG21=""),"",SUM($C$6:HG6))</f>
        <v>5112</v>
      </c>
      <c r="HH4" s="102">
        <f>IF(OR(HH13="",HH17="",HH14="",HH15="",HH16="",HH18="",HH19="",HH20="",HH21=""),"",SUM($C$6:HH6))</f>
        <v>5136</v>
      </c>
      <c r="HI4" s="102">
        <f>IF(OR(HI13="",HI17="",HI14="",HI15="",HI16="",HI18="",HI19="",HI20="",HI21=""),"",SUM($C$6:HI6))</f>
        <v>5160</v>
      </c>
      <c r="HJ4" s="102">
        <f>IF(OR(HJ13="",HJ17="",HJ14="",HJ15="",HJ16="",HJ18="",HJ19="",HJ20="",HJ21=""),"",SUM($C$6:HJ6))</f>
        <v>5184</v>
      </c>
      <c r="HK4" s="102">
        <f>IF(OR(HK13="",HK17="",HK14="",HK15="",HK16="",HK18="",HK19="",HK20="",HK21=""),"",SUM($C$6:HK6))</f>
        <v>5208</v>
      </c>
      <c r="HL4" s="102">
        <f>IF(OR(HL13="",HL17="",HL14="",HL15="",HL16="",HL18="",HL19="",HL20="",HL21=""),"",SUM($C$6:HL6))</f>
        <v>5232</v>
      </c>
      <c r="HM4" s="102">
        <f>IF(OR(HM13="",HM17="",HM14="",HM15="",HM16="",HM18="",HM19="",HM20="",HM21=""),"",SUM($C$6:HM6))</f>
        <v>5256</v>
      </c>
      <c r="HN4" s="102">
        <f>IF(OR(HN13="",HN17="",HN14="",HN15="",HN16="",HN18="",HN19="",HN20="",HN21=""),"",SUM($C$6:HN6))</f>
        <v>5280</v>
      </c>
      <c r="HO4" s="102">
        <f>IF(OR(HO13="",HO17="",HO14="",HO15="",HO16="",HO18="",HO19="",HO20="",HO21=""),"",SUM($C$6:HO6))</f>
        <v>5304</v>
      </c>
      <c r="HP4" s="102">
        <f>IF(OR(HP13="",HP17="",HP14="",HP15="",HP16="",HP18="",HP19="",HP20="",HP21=""),"",SUM($C$6:HP6))</f>
        <v>5328</v>
      </c>
      <c r="HQ4" s="102">
        <f>IF(OR(HQ13="",HQ17="",HQ14="",HQ15="",HQ16="",HQ18="",HQ19="",HQ20="",HQ21=""),"",SUM($C$6:HQ6))</f>
        <v>5352</v>
      </c>
      <c r="HR4" s="102">
        <f>IF(OR(HR13="",HR17="",HR14="",HR15="",HR16="",HR18="",HR19="",HR20="",HR21=""),"",SUM($C$6:HR6))</f>
        <v>5376</v>
      </c>
      <c r="HS4" s="102">
        <f>IF(OR(HS13="",HS17="",HS14="",HS15="",HS16="",HS18="",HS19="",HS20="",HS21=""),"",SUM($C$6:HS6))</f>
        <v>5400</v>
      </c>
      <c r="HT4" s="102">
        <f>IF(OR(HT13="",HT17="",HT14="",HT15="",HT16="",HT18="",HT19="",HT20="",HT21=""),"",SUM($C$6:HT6))</f>
        <v>5424</v>
      </c>
      <c r="HU4" s="102">
        <f>IF(OR(HU13="",HU17="",HU14="",HU15="",HU16="",HU18="",HU19="",HU20="",HU21=""),"",SUM($C$6:HU6))</f>
        <v>5448</v>
      </c>
      <c r="HV4" s="102">
        <f>IF(OR(HV13="",HV17="",HV14="",HV15="",HV16="",HV18="",HV19="",HV20="",HV21=""),"",SUM($C$6:HV6))</f>
        <v>5472</v>
      </c>
      <c r="HW4" s="102">
        <f>IF(OR(HW13="",HW17="",HW14="",HW15="",HW16="",HW18="",HW19="",HW20="",HW21=""),"",SUM($C$6:HW6))</f>
        <v>5496</v>
      </c>
      <c r="HX4" s="102">
        <f>IF(OR(HX13="",HX17="",HX14="",HX15="",HX16="",HX18="",HX19="",HX20="",HX21=""),"",SUM($C$6:HX6))</f>
        <v>5520</v>
      </c>
      <c r="HY4" s="102">
        <f>IF(OR(HY13="",HY17="",HY14="",HY15="",HY16="",HY18="",HY19="",HY20="",HY21=""),"",SUM($C$6:HY6))</f>
        <v>5544</v>
      </c>
      <c r="HZ4" s="102">
        <f>IF(OR(HZ13="",HZ17="",HZ14="",HZ15="",HZ16="",HZ18="",HZ19="",HZ20="",HZ21=""),"",SUM($C$6:HZ6))</f>
        <v>5568</v>
      </c>
      <c r="IA4" s="102">
        <f>IF(OR(IA13="",IA17="",IA14="",IA15="",IA16="",IA18="",IA19="",IA20="",IA21=""),"",SUM($C$6:IA6))</f>
        <v>5592</v>
      </c>
      <c r="IB4" s="102">
        <f>IF(OR(IB13="",IB17="",IB14="",IB15="",IB16="",IB18="",IB19="",IB20="",IB21=""),"",SUM($C$6:IB6))</f>
        <v>5616</v>
      </c>
      <c r="IC4" s="102">
        <f>IF(OR(IC13="",IC17="",IC14="",IC15="",IC16="",IC18="",IC19="",IC20="",IC21=""),"",SUM($C$6:IC6))</f>
        <v>5640</v>
      </c>
      <c r="ID4" s="102">
        <f>IF(OR(ID13="",ID17="",ID14="",ID15="",ID16="",ID18="",ID19="",ID20="",ID21=""),"",SUM($C$6:ID6))</f>
        <v>5664</v>
      </c>
      <c r="IE4" s="102">
        <f>IF(OR(IE13="",IE17="",IE14="",IE15="",IE16="",IE18="",IE19="",IE20="",IE21=""),"",SUM($C$6:IE6))</f>
        <v>5688</v>
      </c>
      <c r="IF4" s="102">
        <f>IF(OR(IF13="",IF17="",IF14="",IF15="",IF16="",IF18="",IF19="",IF20="",IF21=""),"",SUM($C$6:IF6))</f>
        <v>5712</v>
      </c>
      <c r="IG4" s="102">
        <f>IF(OR(IG13="",IG17="",IG14="",IG15="",IG16="",IG18="",IG19="",IG20="",IG21=""),"",SUM($C$6:IG6))</f>
        <v>5736</v>
      </c>
      <c r="IH4" s="102">
        <f>IF(OR(IH13="",IH17="",IH14="",IH15="",IH16="",IH18="",IH19="",IH20="",IH21=""),"",SUM($C$6:IH6))</f>
        <v>5760</v>
      </c>
      <c r="II4" s="102">
        <f>IF(OR(II13="",II17="",II14="",II15="",II16="",II18="",II19="",II20="",II21=""),"",SUM($C$6:II6))</f>
        <v>5784</v>
      </c>
      <c r="IJ4" s="102">
        <f>IF(OR(IJ13="",IJ17="",IJ14="",IJ15="",IJ16="",IJ18="",IJ19="",IJ20="",IJ21=""),"",SUM($C$6:IJ6))</f>
        <v>5808</v>
      </c>
      <c r="IK4" s="102">
        <f>IF(OR(IK13="",IK17="",IK14="",IK15="",IK16="",IK18="",IK19="",IK20="",IK21=""),"",SUM($C$6:IK6))</f>
        <v>5832</v>
      </c>
      <c r="IL4" s="102">
        <f>IF(OR(IL13="",IL17="",IL14="",IL15="",IL16="",IL18="",IL19="",IL20="",IL21=""),"",SUM($C$6:IL6))</f>
        <v>5856</v>
      </c>
      <c r="IM4" s="102">
        <f>IF(OR(IM13="",IM17="",IM14="",IM15="",IM16="",IM18="",IM19="",IM20="",IM21=""),"",SUM($C$6:IM6))</f>
        <v>5880</v>
      </c>
      <c r="IN4" s="102">
        <f>IF(OR(IN13="",IN17="",IN14="",IN15="",IN16="",IN18="",IN19="",IN20="",IN21=""),"",SUM($C$6:IN6))</f>
        <v>5904</v>
      </c>
      <c r="IO4" s="102">
        <f>IF(OR(IO13="",IO17="",IO14="",IO15="",IO16="",IO18="",IO19="",IO20="",IO21=""),"",SUM($C$6:IO6))</f>
        <v>5928</v>
      </c>
      <c r="IP4" s="102">
        <f>IF(OR(IP13="",IP17="",IP14="",IP15="",IP16="",IP18="",IP19="",IP20="",IP21=""),"",SUM($C$6:IP6))</f>
        <v>5952</v>
      </c>
      <c r="IQ4" s="102">
        <f>IF(OR(IQ13="",IQ17="",IQ14="",IQ15="",IQ16="",IQ18="",IQ19="",IQ20="",IQ21=""),"",SUM($C$6:IQ6))</f>
        <v>5976</v>
      </c>
      <c r="IR4" s="102">
        <f>IF(OR(IR13="",IR17="",IR14="",IR15="",IR16="",IR18="",IR19="",IR20="",IR21=""),"",SUM($C$6:IR6))</f>
        <v>6000</v>
      </c>
      <c r="IS4" s="102">
        <f>IF(OR(IS13="",IS17="",IS14="",IS15="",IS16="",IS18="",IS19="",IS20="",IS21=""),"",SUM($C$6:IS6))</f>
        <v>6024</v>
      </c>
      <c r="IT4" s="102">
        <f>IF(OR(IT13="",IT17="",IT14="",IT15="",IT16="",IT18="",IT19="",IT20="",IT21=""),"",SUM($C$6:IT6))</f>
        <v>6048</v>
      </c>
      <c r="IU4" s="102">
        <f>IF(OR(IU13="",IU17="",IU14="",IU15="",IU16="",IU18="",IU19="",IU20="",IU21=""),"",SUM($C$6:IU6))</f>
        <v>6072</v>
      </c>
      <c r="IV4" s="102">
        <f>IF(OR(IV13="",IV17="",IV14="",IV15="",IV16="",IV18="",IV19="",IV20="",IV21=""),"",SUM($C$6:IV6))</f>
        <v>6096</v>
      </c>
      <c r="IW4" s="102">
        <f>IF(OR(IW13="",IW17="",IW14="",IW15="",IW16="",IW18="",IW19="",IW20="",IW21=""),"",SUM($C$6:IW6))</f>
        <v>6120</v>
      </c>
      <c r="IX4" s="102">
        <f>IF(OR(IX13="",IX17="",IX14="",IX15="",IX16="",IX18="",IX19="",IX20="",IX21=""),"",SUM($C$6:IX6))</f>
        <v>6144</v>
      </c>
      <c r="IY4" s="102">
        <f>IF(OR(IY13="",IY17="",IY14="",IY15="",IY16="",IY18="",IY19="",IY20="",IY21=""),"",SUM($C$6:IY6))</f>
        <v>6168</v>
      </c>
      <c r="IZ4" s="102">
        <f>IF(OR(IZ13="",IZ17="",IZ14="",IZ15="",IZ16="",IZ18="",IZ19="",IZ20="",IZ21=""),"",SUM($C$6:IZ6))</f>
        <v>6192</v>
      </c>
      <c r="JA4" s="102">
        <f>IF(OR(JA13="",JA17="",JA14="",JA15="",JA16="",JA18="",JA19="",JA20="",JA21=""),"",SUM($C$6:JA6))</f>
        <v>6216</v>
      </c>
      <c r="JB4" s="102">
        <f>IF(OR(JB13="",JB17="",JB14="",JB15="",JB16="",JB18="",JB19="",JB20="",JB21=""),"",SUM($C$6:JB6))</f>
        <v>6240</v>
      </c>
      <c r="JC4" s="102">
        <f>IF(OR(JC13="",JC17="",JC14="",JC15="",JC16="",JC18="",JC19="",JC20="",JC21=""),"",SUM($C$6:JC6))</f>
        <v>6264</v>
      </c>
      <c r="JD4" s="102">
        <f>IF(OR(JD13="",JD17="",JD14="",JD15="",JD16="",JD18="",JD19="",JD20="",JD21=""),"",SUM($C$6:JD6))</f>
        <v>6288</v>
      </c>
      <c r="JE4" s="102">
        <f>IF(OR(JE13="",JE17="",JE14="",JE15="",JE16="",JE18="",JE19="",JE20="",JE21=""),"",SUM($C$6:JE6))</f>
        <v>6312</v>
      </c>
      <c r="JF4" s="102">
        <f>IF(OR(JF13="",JF17="",JF14="",JF15="",JF16="",JF18="",JF19="",JF20="",JF21=""),"",SUM($C$6:JF6))</f>
        <v>6336</v>
      </c>
      <c r="JG4" s="102">
        <f>IF(OR(JG13="",JG17="",JG14="",JG15="",JG16="",JG18="",JG19="",JG20="",JG21=""),"",SUM($C$6:JG6))</f>
        <v>6360</v>
      </c>
      <c r="JH4" s="102">
        <f>IF(OR(JH13="",JH17="",JH14="",JH15="",JH16="",JH18="",JH19="",JH20="",JH21=""),"",SUM($C$6:JH6))</f>
        <v>6384</v>
      </c>
      <c r="JI4" s="102">
        <f>IF(OR(JI13="",JI17="",JI14="",JI15="",JI16="",JI18="",JI19="",JI20="",JI21=""),"",SUM($C$6:JI6))</f>
        <v>6408</v>
      </c>
      <c r="JJ4" s="102">
        <f>IF(OR(JJ13="",JJ17="",JJ14="",JJ15="",JJ16="",JJ18="",JJ19="",JJ20="",JJ21=""),"",SUM($C$6:JJ6))</f>
        <v>6432</v>
      </c>
      <c r="JK4" s="102">
        <f>IF(OR(JK13="",JK17="",JK14="",JK15="",JK16="",JK18="",JK19="",JK20="",JK21=""),"",SUM($C$6:JK6))</f>
        <v>6456</v>
      </c>
      <c r="JL4" s="102">
        <f>IF(OR(JL13="",JL17="",JL14="",JL15="",JL16="",JL18="",JL19="",JL20="",JL21=""),"",SUM($C$6:JL6))</f>
        <v>6480</v>
      </c>
      <c r="JM4" s="102">
        <f>IF(OR(JM13="",JM17="",JM14="",JM15="",JM16="",JM18="",JM19="",JM20="",JM21=""),"",SUM($C$6:JM6))</f>
        <v>6504</v>
      </c>
      <c r="JN4" s="102">
        <f>IF(OR(JN13="",JN17="",JN14="",JN15="",JN16="",JN18="",JN19="",JN20="",JN21=""),"",SUM($C$6:JN6))</f>
        <v>6528</v>
      </c>
      <c r="JO4" s="102">
        <f>IF(OR(JO13="",JO17="",JO14="",JO15="",JO16="",JO18="",JO19="",JO20="",JO21=""),"",SUM($C$6:JO6))</f>
        <v>6552</v>
      </c>
      <c r="JP4" s="102">
        <f>IF(OR(JP13="",JP17="",JP14="",JP15="",JP16="",JP18="",JP19="",JP20="",JP21=""),"",SUM($C$6:JP6))</f>
        <v>6576</v>
      </c>
      <c r="JQ4" s="102">
        <f>IF(OR(JQ13="",JQ17="",JQ14="",JQ15="",JQ16="",JQ18="",JQ19="",JQ20="",JQ21=""),"",SUM($C$6:JQ6))</f>
        <v>6600</v>
      </c>
      <c r="JR4" s="102">
        <f>IF(OR(JR13="",JR17="",JR14="",JR15="",JR16="",JR18="",JR19="",JR20="",JR21=""),"",SUM($C$6:JR6))</f>
        <v>6624</v>
      </c>
      <c r="JS4" s="102">
        <f>IF(OR(JS13="",JS17="",JS14="",JS15="",JS16="",JS18="",JS19="",JS20="",JS21=""),"",SUM($C$6:JS6))</f>
        <v>6648</v>
      </c>
      <c r="JT4" s="102">
        <f>IF(OR(JT13="",JT17="",JT14="",JT15="",JT16="",JT18="",JT19="",JT20="",JT21=""),"",SUM($C$6:JT6))</f>
        <v>6672</v>
      </c>
      <c r="JU4" s="102">
        <f>IF(OR(JU13="",JU17="",JU14="",JU15="",JU16="",JU18="",JU19="",JU20="",JU21=""),"",SUM($C$6:JU6))</f>
        <v>6696</v>
      </c>
      <c r="JV4" s="102">
        <f>IF(OR(JV13="",JV17="",JV14="",JV15="",JV16="",JV18="",JV19="",JV20="",JV21=""),"",SUM($C$6:JV6))</f>
        <v>6720</v>
      </c>
      <c r="JW4" s="102">
        <f>IF(OR(JW13="",JW17="",JW14="",JW15="",JW16="",JW18="",JW19="",JW20="",JW21=""),"",SUM($C$6:JW6))</f>
        <v>6744</v>
      </c>
      <c r="JX4" s="102">
        <f>IF(OR(JX13="",JX17="",JX14="",JX15="",JX16="",JX18="",JX19="",JX20="",JX21=""),"",SUM($C$6:JX6))</f>
        <v>6768</v>
      </c>
      <c r="JY4" s="102">
        <f>IF(OR(JY13="",JY17="",JY14="",JY15="",JY16="",JY18="",JY19="",JY20="",JY21=""),"",SUM($C$6:JY6))</f>
        <v>6792</v>
      </c>
      <c r="JZ4" s="102">
        <f>IF(OR(JZ13="",JZ17="",JZ14="",JZ15="",JZ16="",JZ18="",JZ19="",JZ20="",JZ21=""),"",SUM($C$6:JZ6))</f>
        <v>6816</v>
      </c>
      <c r="KA4" s="102">
        <f>IF(OR(KA13="",KA17="",KA14="",KA15="",KA16="",KA18="",KA19="",KA20="",KA21=""),"",SUM($C$6:KA6))</f>
        <v>6840</v>
      </c>
      <c r="KB4" s="102">
        <f>IF(OR(KB13="",KB17="",KB14="",KB15="",KB16="",KB18="",KB19="",KB20="",KB21=""),"",SUM($C$6:KB6))</f>
        <v>6864</v>
      </c>
      <c r="KC4" s="102">
        <f>IF(OR(KC13="",KC17="",KC14="",KC15="",KC16="",KC18="",KC19="",KC20="",KC21=""),"",SUM($C$6:KC6))</f>
        <v>6888</v>
      </c>
      <c r="KD4" s="102">
        <f>IF(OR(KD13="",KD17="",KD14="",KD15="",KD16="",KD18="",KD19="",KD20="",KD21=""),"",SUM($C$6:KD6))</f>
        <v>6912</v>
      </c>
      <c r="KE4" s="102">
        <f>IF(OR(KE13="",KE17="",KE14="",KE15="",KE16="",KE18="",KE19="",KE20="",KE21=""),"",SUM($C$6:KE6))</f>
        <v>6936</v>
      </c>
      <c r="KF4" s="102">
        <f>IF(OR(KF13="",KF17="",KF14="",KF15="",KF16="",KF18="",KF19="",KF20="",KF21=""),"",SUM($C$6:KF6))</f>
        <v>6960</v>
      </c>
      <c r="KG4" s="102">
        <f>IF(OR(KG13="",KG17="",KG14="",KG15="",KG16="",KG18="",KG19="",KG20="",KG21=""),"",SUM($C$6:KG6))</f>
        <v>6984</v>
      </c>
      <c r="KH4" s="102">
        <f>IF(OR(KH13="",KH17="",KH14="",KH15="",KH16="",KH18="",KH19="",KH20="",KH21=""),"",SUM($C$6:KH6))</f>
        <v>7008</v>
      </c>
      <c r="KI4" s="102">
        <f>IF(OR(KI13="",KI17="",KI14="",KI15="",KI16="",KI18="",KI19="",KI20="",KI21=""),"",SUM($C$6:KI6))</f>
        <v>7032</v>
      </c>
      <c r="KJ4" s="102">
        <f>IF(OR(KJ13="",KJ17="",KJ14="",KJ15="",KJ16="",KJ18="",KJ19="",KJ20="",KJ21=""),"",SUM($C$6:KJ6))</f>
        <v>7056</v>
      </c>
      <c r="KK4" s="102">
        <f>IF(OR(KK13="",KK17="",KK14="",KK15="",KK16="",KK18="",KK19="",KK20="",KK21=""),"",SUM($C$6:KK6))</f>
        <v>7080</v>
      </c>
      <c r="KL4" s="102">
        <f>IF(OR(KL13="",KL17="",KL14="",KL15="",KL16="",KL18="",KL19="",KL20="",KL21=""),"",SUM($C$6:KL6))</f>
        <v>7104</v>
      </c>
      <c r="KM4" s="102">
        <f>IF(OR(KM13="",KM17="",KM14="",KM15="",KM16="",KM18="",KM19="",KM20="",KM21=""),"",SUM($C$6:KM6))</f>
        <v>7128</v>
      </c>
      <c r="KN4" s="102">
        <f>IF(OR(KN13="",KN17="",KN14="",KN15="",KN16="",KN18="",KN19="",KN20="",KN21=""),"",SUM($C$6:KN6))</f>
        <v>7152</v>
      </c>
      <c r="KO4" s="102">
        <f>IF(OR(KO13="",KO17="",KO14="",KO15="",KO16="",KO18="",KO19="",KO20="",KO21=""),"",SUM($C$6:KO6))</f>
        <v>7176</v>
      </c>
      <c r="KP4" s="102">
        <f>IF(OR(KP13="",KP17="",KP14="",KP15="",KP16="",KP18="",KP19="",KP20="",KP21=""),"",SUM($C$6:KP6))</f>
        <v>7200</v>
      </c>
      <c r="KQ4" s="102">
        <f>IF(OR(KQ13="",KQ17="",KQ14="",KQ15="",KQ16="",KQ18="",KQ19="",KQ20="",KQ21=""),"",SUM($C$6:KQ6))</f>
        <v>7224</v>
      </c>
      <c r="KR4" s="102">
        <f>IF(OR(KR13="",KR17="",KR14="",KR15="",KR16="",KR18="",KR19="",KR20="",KR21=""),"",SUM($C$6:KR6))</f>
        <v>7248</v>
      </c>
      <c r="KS4" s="102">
        <f>IF(OR(KS13="",KS17="",KS14="",KS15="",KS16="",KS18="",KS19="",KS20="",KS21=""),"",SUM($C$6:KS6))</f>
        <v>7272</v>
      </c>
      <c r="KT4" s="102">
        <f>IF(OR(KT13="",KT17="",KT14="",KT15="",KT16="",KT18="",KT19="",KT20="",KT21=""),"",SUM($C$6:KT6))</f>
        <v>7296</v>
      </c>
      <c r="KU4" s="102" t="str">
        <f>IF(OR(KU13="",KU17="",KU14="",KU15="",KU16="",KU18="",KU19="",KU20="",KU21=""),"",SUM($C$6:KU6))</f>
        <v/>
      </c>
      <c r="KV4" s="102" t="str">
        <f>IF(OR(KV13="",KV17="",KV14="",KV15="",KV16="",KV18="",KV19="",KV20="",KV21=""),"",SUM($C$6:KV6))</f>
        <v/>
      </c>
      <c r="KW4" s="102" t="str">
        <f>IF(OR(KW13="",KW17="",KW14="",KW15="",KW16="",KW18="",KW19="",KW20="",KW21=""),"",SUM($C$6:KW6))</f>
        <v/>
      </c>
      <c r="KX4" s="102" t="str">
        <f>IF(OR(KX13="",KX17="",KX14="",KX15="",KX16="",KX18="",KX19="",KX20="",KX21=""),"",SUM($C$6:KX6))</f>
        <v/>
      </c>
      <c r="KY4" s="102" t="str">
        <f>IF(OR(KY13="",KY17="",KY14="",KY15="",KY16="",KY18="",KY19="",KY20="",KY21=""),"",SUM($C$6:KY6))</f>
        <v/>
      </c>
      <c r="KZ4" s="102" t="str">
        <f>IF(OR(KZ13="",KZ17="",KZ14="",KZ15="",KZ16="",KZ18="",KZ19="",KZ20="",KZ21=""),"",SUM($C$6:KZ6))</f>
        <v/>
      </c>
      <c r="LA4" s="102" t="str">
        <f>IF(OR(LA13="",LA17="",LA14="",LA15="",LA16="",LA18="",LA19="",LA20="",LA21=""),"",SUM($C$6:LA6))</f>
        <v/>
      </c>
      <c r="LB4" s="102" t="str">
        <f>IF(OR(LB13="",LB17="",LB14="",LB15="",LB16="",LB18="",LB19="",LB20="",LB21=""),"",SUM($C$6:LB6))</f>
        <v/>
      </c>
      <c r="LC4" s="102" t="str">
        <f>IF(OR(LC13="",LC17="",LC14="",LC15="",LC16="",LC18="",LC19="",LC20="",LC21=""),"",SUM($C$6:LC6))</f>
        <v/>
      </c>
      <c r="LD4" s="102" t="str">
        <f>IF(OR(LD13="",LD17="",LD14="",LD15="",LD16="",LD18="",LD19="",LD20="",LD21=""),"",SUM($C$6:LD6))</f>
        <v/>
      </c>
      <c r="LE4" s="102" t="str">
        <f>IF(OR(LE13="",LE17="",LE14="",LE15="",LE16="",LE18="",LE19="",LE20="",LE21=""),"",SUM($C$6:LE6))</f>
        <v/>
      </c>
      <c r="LF4" s="102" t="str">
        <f>IF(OR(LF13="",LF17="",LF14="",LF15="",LF16="",LF18="",LF19="",LF20="",LF21=""),"",SUM($C$6:LF6))</f>
        <v/>
      </c>
      <c r="LG4" s="102" t="str">
        <f>IF(OR(LG13="",LG17="",LG14="",LG15="",LG16="",LG18="",LG19="",LG20="",LG21=""),"",SUM($C$6:LG6))</f>
        <v/>
      </c>
      <c r="LH4" s="102" t="str">
        <f>IF(OR(LH13="",LH17="",LH14="",LH15="",LH16="",LH18="",LH19="",LH20="",LH21=""),"",SUM($C$6:LH6))</f>
        <v/>
      </c>
      <c r="LI4" s="102" t="str">
        <f>IF(OR(LI13="",LI17="",LI14="",LI15="",LI16="",LI18="",LI19="",LI20="",LI21=""),"",SUM($C$6:LI6))</f>
        <v/>
      </c>
      <c r="LJ4" s="102" t="str">
        <f>IF(OR(LJ13="",LJ17="",LJ14="",LJ15="",LJ16="",LJ18="",LJ19="",LJ20="",LJ21=""),"",SUM($C$6:LJ6))</f>
        <v/>
      </c>
      <c r="LK4" s="102" t="str">
        <f>IF(OR(LK13="",LK17="",LK14="",LK15="",LK16="",LK18="",LK19="",LK20="",LK21=""),"",SUM($C$6:LK6))</f>
        <v/>
      </c>
      <c r="LL4" s="102" t="str">
        <f>IF(OR(LL13="",LL17="",LL14="",LL15="",LL16="",LL18="",LL19="",LL20="",LL21=""),"",SUM($C$6:LL6))</f>
        <v/>
      </c>
      <c r="LM4" s="102" t="str">
        <f>IF(OR(LM13="",LM17="",LM14="",LM15="",LM16="",LM18="",LM19="",LM20="",LM21=""),"",SUM($C$6:LM6))</f>
        <v/>
      </c>
      <c r="LN4" s="102" t="str">
        <f>IF(OR(LN13="",LN17="",LN14="",LN15="",LN16="",LN18="",LN19="",LN20="",LN21=""),"",SUM($C$6:LN6))</f>
        <v/>
      </c>
      <c r="LO4" s="102" t="str">
        <f>IF(OR(LO13="",LO17="",LO14="",LO15="",LO16="",LO18="",LO19="",LO20="",LO21=""),"",SUM($C$6:LO6))</f>
        <v/>
      </c>
      <c r="LP4" s="102" t="str">
        <f>IF(OR(LP13="",LP17="",LP14="",LP15="",LP16="",LP18="",LP19="",LP20="",LP21=""),"",SUM($C$6:LP6))</f>
        <v/>
      </c>
      <c r="LQ4" s="102" t="str">
        <f>IF(OR(LQ13="",LQ17="",LQ14="",LQ15="",LQ16="",LQ18="",LQ19="",LQ20="",LQ21=""),"",SUM($C$6:LQ6))</f>
        <v/>
      </c>
      <c r="LR4" s="102" t="str">
        <f>IF(OR(LR13="",LR17="",LR14="",LR15="",LR16="",LR18="",LR19="",LR20="",LR21=""),"",SUM($C$6:LR6))</f>
        <v/>
      </c>
      <c r="LS4" s="102" t="str">
        <f>IF(OR(LS13="",LS17="",LS14="",LS15="",LS16="",LS18="",LS19="",LS20="",LS21=""),"",SUM($C$6:LS6))</f>
        <v/>
      </c>
      <c r="LT4" s="102" t="str">
        <f>IF(OR(LT13="",LT17="",LT14="",LT15="",LT16="",LT18="",LT19="",LT20="",LT21=""),"",SUM($C$6:LT6))</f>
        <v/>
      </c>
      <c r="LU4" s="102" t="str">
        <f>IF(OR(LU13="",LU17="",LU14="",LU15="",LU16="",LU18="",LU19="",LU20="",LU21=""),"",SUM($C$6:LU6))</f>
        <v/>
      </c>
      <c r="LV4" s="102" t="str">
        <f>IF(OR(LV13="",LV17="",LV14="",LV15="",LV16="",LV18="",LV19="",LV20="",LV21=""),"",SUM($C$6:LV6))</f>
        <v/>
      </c>
      <c r="LW4" s="102" t="str">
        <f>IF(OR(LW13="",LW17="",LW14="",LW15="",LW16="",LW18="",LW19="",LW20="",LW21=""),"",SUM($C$6:LW6))</f>
        <v/>
      </c>
      <c r="LX4" s="102" t="str">
        <f>IF(OR(LX13="",LX17="",LX14="",LX15="",LX16="",LX18="",LX19="",LX20="",LX21=""),"",SUM($C$6:LX6))</f>
        <v/>
      </c>
      <c r="LY4" s="102" t="str">
        <f>IF(OR(LY13="",LY17="",LY14="",LY15="",LY16="",LY18="",LY19="",LY20="",LY21=""),"",SUM($C$6:LY6))</f>
        <v/>
      </c>
      <c r="LZ4" s="102" t="str">
        <f>IF(OR(LZ13="",LZ17="",LZ14="",LZ15="",LZ16="",LZ18="",LZ19="",LZ20="",LZ21=""),"",SUM($C$6:LZ6))</f>
        <v/>
      </c>
      <c r="MA4" s="102" t="str">
        <f>IF(OR(MA13="",MA17="",MA14="",MA15="",MA16="",MA18="",MA19="",MA20="",MA21=""),"",SUM($C$6:MA6))</f>
        <v/>
      </c>
      <c r="MB4" s="102" t="str">
        <f>IF(OR(MB13="",MB17="",MB14="",MB15="",MB16="",MB18="",MB19="",MB20="",MB21=""),"",SUM($C$6:MB6))</f>
        <v/>
      </c>
      <c r="MC4" s="102" t="str">
        <f>IF(OR(MC13="",MC17="",MC14="",MC15="",MC16="",MC18="",MC19="",MC20="",MC21=""),"",SUM($C$6:MC6))</f>
        <v/>
      </c>
      <c r="MD4" s="102" t="str">
        <f>IF(OR(MD13="",MD17="",MD14="",MD15="",MD16="",MD18="",MD19="",MD20="",MD21=""),"",SUM($C$6:MD6))</f>
        <v/>
      </c>
      <c r="ME4" s="102" t="str">
        <f>IF(OR(ME13="",ME17="",ME14="",ME15="",ME16="",ME18="",ME19="",ME20="",ME21=""),"",SUM($C$6:ME6))</f>
        <v/>
      </c>
      <c r="MF4" s="102" t="str">
        <f>IF(OR(MF13="",MF17="",MF14="",MF15="",MF16="",MF18="",MF19="",MF20="",MF21=""),"",SUM($C$6:MF6))</f>
        <v/>
      </c>
      <c r="MG4" s="102" t="str">
        <f>IF(OR(MG13="",MG17="",MG14="",MG15="",MG16="",MG18="",MG19="",MG20="",MG21=""),"",SUM($C$6:MG6))</f>
        <v/>
      </c>
      <c r="MH4" s="102" t="str">
        <f>IF(OR(MH13="",MH17="",MH14="",MH15="",MH16="",MH18="",MH19="",MH20="",MH21=""),"",SUM($C$6:MH6))</f>
        <v/>
      </c>
      <c r="MI4" s="102" t="str">
        <f>IF(OR(MI13="",MI17="",MI14="",MI15="",MI16="",MI18="",MI19="",MI20="",MI21=""),"",SUM($C$6:MI6))</f>
        <v/>
      </c>
      <c r="MJ4" s="102" t="str">
        <f>IF(OR(MJ13="",MJ17="",MJ14="",MJ15="",MJ16="",MJ18="",MJ19="",MJ20="",MJ21=""),"",SUM($C$6:MJ6))</f>
        <v/>
      </c>
      <c r="MK4" s="102" t="str">
        <f>IF(OR(MK13="",MK17="",MK14="",MK15="",MK16="",MK18="",MK19="",MK20="",MK21=""),"",SUM($C$6:MK6))</f>
        <v/>
      </c>
      <c r="ML4" s="102" t="str">
        <f>IF(OR(ML13="",ML17="",ML14="",ML15="",ML16="",ML18="",ML19="",ML20="",ML21=""),"",SUM($C$6:ML6))</f>
        <v/>
      </c>
      <c r="MM4" s="102" t="str">
        <f>IF(OR(MM13="",MM17="",MM14="",MM15="",MM16="",MM18="",MM19="",MM20="",MM21=""),"",SUM($C$6:MM6))</f>
        <v/>
      </c>
      <c r="MN4" s="102" t="str">
        <f>IF(OR(MN13="",MN17="",MN14="",MN15="",MN16="",MN18="",MN19="",MN20="",MN21=""),"",SUM($C$6:MN6))</f>
        <v/>
      </c>
      <c r="MO4" s="102" t="str">
        <f>IF(OR(MO13="",MO17="",MO14="",MO15="",MO16="",MO18="",MO19="",MO20="",MO21=""),"",SUM($C$6:MO6))</f>
        <v/>
      </c>
      <c r="MP4" s="102" t="str">
        <f>IF(OR(MP13="",MP17="",MP14="",MP15="",MP16="",MP18="",MP19="",MP20="",MP21=""),"",SUM($C$6:MP6))</f>
        <v/>
      </c>
      <c r="MQ4" s="102" t="str">
        <f>IF(OR(MQ13="",MQ17="",MQ14="",MQ15="",MQ16="",MQ18="",MQ19="",MQ20="",MQ21=""),"",SUM($C$6:MQ6))</f>
        <v/>
      </c>
      <c r="MR4" s="102" t="str">
        <f>IF(OR(MR13="",MR17="",MR14="",MR15="",MR16="",MR18="",MR19="",MR20="",MR21=""),"",SUM($C$6:MR6))</f>
        <v/>
      </c>
      <c r="MS4" s="102" t="str">
        <f>IF(OR(MS13="",MS17="",MS14="",MS15="",MS16="",MS18="",MS19="",MS20="",MS21=""),"",SUM($C$6:MS6))</f>
        <v/>
      </c>
      <c r="MT4" s="102" t="str">
        <f>IF(OR(MT13="",MT17="",MT14="",MT15="",MT16="",MT18="",MT19="",MT20="",MT21=""),"",SUM($C$6:MT6))</f>
        <v/>
      </c>
      <c r="MU4" s="102" t="str">
        <f>IF(OR(MU13="",MU17="",MU14="",MU15="",MU16="",MU18="",MU19="",MU20="",MU21=""),"",SUM($C$6:MU6))</f>
        <v/>
      </c>
      <c r="MV4" s="102" t="str">
        <f>IF(OR(MV13="",MV17="",MV14="",MV15="",MV16="",MV18="",MV19="",MV20="",MV21=""),"",SUM($C$6:MV6))</f>
        <v/>
      </c>
      <c r="MW4" s="102" t="str">
        <f>IF(OR(MW13="",MW17="",MW14="",MW15="",MW16="",MW18="",MW19="",MW20="",MW21=""),"",SUM($C$6:MW6))</f>
        <v/>
      </c>
      <c r="MX4" s="102" t="str">
        <f>IF(OR(MX13="",MX17="",MX14="",MX15="",MX16="",MX18="",MX19="",MX20="",MX21=""),"",SUM($C$6:MX6))</f>
        <v/>
      </c>
      <c r="MY4" s="102" t="str">
        <f>IF(OR(MY13="",MY17="",MY14="",MY15="",MY16="",MY18="",MY19="",MY20="",MY21=""),"",SUM($C$6:MY6))</f>
        <v/>
      </c>
      <c r="MZ4" s="102" t="str">
        <f>IF(OR(MZ13="",MZ17="",MZ14="",MZ15="",MZ16="",MZ18="",MZ19="",MZ20="",MZ21=""),"",SUM($C$6:MZ6))</f>
        <v/>
      </c>
      <c r="NA4" s="102" t="str">
        <f>IF(OR(NA13="",NA17="",NA14="",NA15="",NA16="",NA18="",NA19="",NA20="",NA21=""),"",SUM($C$6:NA6))</f>
        <v/>
      </c>
      <c r="NB4" s="102" t="str">
        <f>IF(OR(NB13="",NB17="",NB14="",NB15="",NB16="",NB18="",NB19="",NB20="",NB21=""),"",SUM($C$6:NB6))</f>
        <v/>
      </c>
      <c r="NC4" s="102" t="str">
        <f>IF(OR(NC13="",NC17="",NC14="",NC15="",NC16="",NC18="",NC19="",NC20="",NC21=""),"",SUM($C$6:NC6))</f>
        <v/>
      </c>
      <c r="ND4" s="102" t="str">
        <f>IF(OR(ND13="",ND17="",ND14="",ND15="",ND16="",ND18="",ND19="",ND20="",ND21=""),"",SUM($C$6:ND6))</f>
        <v/>
      </c>
      <c r="NE4" s="102" t="str">
        <f>IF(OR(NE13="",NE17="",NE14="",NE15="",NE16="",NE18="",NE19="",NE20="",NE21=""),"",SUM($C$6:NE6))</f>
        <v/>
      </c>
      <c r="NF4" s="102" t="str">
        <f>IF(OR(NF13="",NF17="",NF14="",NF15="",NF16="",NF18="",NF19="",NF20="",NF21=""),"",SUM($C$6:NF6))</f>
        <v/>
      </c>
      <c r="NG4" s="102" t="str">
        <f>IF(OR(NG13="",NG17="",NG14="",NG15="",NG16="",NG18="",NG19="",NG20="",NG21=""),"",SUM($C$6:NG6))</f>
        <v/>
      </c>
      <c r="NH4" s="102" t="str">
        <f>IF(OR(NH13="",NH17="",NH14="",NH15="",NH16="",NH18="",NH19="",NH20="",NH21=""),"",SUM($C$6:NH6))</f>
        <v/>
      </c>
      <c r="NI4" s="102" t="str">
        <f>IF(OR(NI13="",NI17="",NI14="",NI15="",NI16="",NI18="",NI19="",NI20="",NI21=""),"",SUM($C$6:NI6))</f>
        <v/>
      </c>
      <c r="NJ4" s="102" t="str">
        <f>IF(OR(NJ13="",NJ17="",NJ14="",NJ15="",NJ16="",NJ18="",NJ19="",NJ20="",NJ21=""),"",SUM($C$6:NJ6))</f>
        <v/>
      </c>
      <c r="NK4" s="102" t="str">
        <f>IF(OR(NK13="",NK17="",NK14="",NK15="",NK16="",NK18="",NK19="",NK20="",NK21=""),"",SUM($C$6:NK6))</f>
        <v/>
      </c>
      <c r="NL4" s="102" t="str">
        <f>IF(OR(NL13="",NL17="",NL14="",NL15="",NL16="",NL18="",NL19="",NL20="",NL21=""),"",SUM($C$6:NL6))</f>
        <v/>
      </c>
      <c r="NM4" s="102" t="str">
        <f>IF(OR(NM13="",NM17="",NM14="",NM15="",NM16="",NM18="",NM19="",NM20="",NM21=""),"",SUM($C$6:NM6))</f>
        <v/>
      </c>
      <c r="NN4" s="102" t="str">
        <f>IF(OR(NN13="",NN17="",NN14="",NN15="",NN16="",NN18="",NN19="",NN20="",NN21=""),"",SUM($C$6:NN6))</f>
        <v/>
      </c>
      <c r="NO4" s="102" t="str">
        <f>IF(OR(NO13="",NO17="",NO14="",NO15="",NO16="",NO18="",NO19="",NO20="",NO21=""),"",SUM($C$6:NO6))</f>
        <v/>
      </c>
      <c r="NP4" s="102" t="str">
        <f>IF(OR(NP13="",NP17="",NP14="",NP15="",NP16="",NP18="",NP19="",NP20="",NP21=""),"",SUM($C$6:NP6))</f>
        <v/>
      </c>
      <c r="NQ4" s="102" t="str">
        <f>IF(OR(NQ13="",NQ17="",NQ14="",NQ15="",NQ16="",NQ18="",NQ19="",NQ20="",NQ21=""),"",SUM($C$6:NQ6))</f>
        <v/>
      </c>
      <c r="NR4" s="102" t="str">
        <f>IF(OR(NR13="",NR17="",NR14="",NR15="",NR16="",NR18="",NR19="",NR20="",NR21=""),"",SUM($C$6:NR6))</f>
        <v/>
      </c>
      <c r="NS4" s="102" t="str">
        <f>IF(OR(NS13="",NS17="",NS14="",NS15="",NS16="",NS18="",NS19="",NS20="",NS21=""),"",SUM($C$6:NS6))</f>
        <v/>
      </c>
      <c r="NT4" s="102" t="str">
        <f>IF(OR(NT13="",NT17="",NT14="",NT15="",NT16="",NT18="",NT19="",NT20="",NT21=""),"",SUM($C$6:NT6))</f>
        <v/>
      </c>
      <c r="NU4" s="102" t="str">
        <f>IF(OR(NU13="",NU17="",NU14="",NU15="",NU16="",NU18="",NU19="",NU20="",NU21=""),"",SUM($C$6:NU6))</f>
        <v/>
      </c>
      <c r="NV4" s="102" t="str">
        <f>IF(OR(NV13="",NV17="",NV14="",NV15="",NV16="",NV18="",NV19="",NV20="",NV21=""),"",SUM($C$6:NV6))</f>
        <v/>
      </c>
      <c r="NW4" s="102" t="str">
        <f>IF(OR(NW13="",NW17="",NW14="",NW15="",NW16="",NW18="",NW19="",NW20="",NW21=""),"",SUM($C$6:NW6))</f>
        <v/>
      </c>
      <c r="NX4" s="102" t="str">
        <f>IF(OR(NX13="",NX17="",NX14="",NX15="",NX16="",NX18="",NX19="",NX20="",NX21=""),"",SUM($C$6:NX6))</f>
        <v/>
      </c>
      <c r="NY4" s="102" t="str">
        <f>IF(OR(NY13="",NY17="",NY14="",NY15="",NY16="",NY18="",NY19="",NY20="",NY21=""),"",SUM($C$6:NY6))</f>
        <v/>
      </c>
      <c r="NZ4" s="102" t="str">
        <f>IF(OR(NZ13="",NZ17="",NZ14="",NZ15="",NZ16="",NZ18="",NZ19="",NZ20="",NZ21=""),"",SUM($C$6:NZ6))</f>
        <v/>
      </c>
      <c r="OA4" s="102" t="str">
        <f>IF(OR(OA13="",OA17="",OA14="",OA15="",OA16="",OA18="",OA19="",OA20="",OA21=""),"",SUM($C$6:OA6))</f>
        <v/>
      </c>
      <c r="OB4" s="102" t="str">
        <f>IF(OR(OB13="",OB17="",OB14="",OB15="",OB16="",OB18="",OB19="",OB20="",OB21=""),"",SUM($C$6:OB6))</f>
        <v/>
      </c>
      <c r="OC4" s="102" t="str">
        <f>IF(OR(OC13="",OC17="",OC14="",OC15="",OC16="",OC18="",OC19="",OC20="",OC21=""),"",SUM($C$6:OC6))</f>
        <v/>
      </c>
      <c r="OD4" s="102" t="str">
        <f>IF(OR(OD13="",OD17="",OD14="",OD15="",OD16="",OD18="",OD19="",OD20="",OD21=""),"",SUM($C$6:OD6))</f>
        <v/>
      </c>
      <c r="OE4" s="102" t="str">
        <f>IF(OR(OE13="",OE17="",OE14="",OE15="",OE16="",OE18="",OE19="",OE20="",OE21=""),"",SUM($C$6:OE6))</f>
        <v/>
      </c>
      <c r="OF4" s="102" t="str">
        <f>IF(OR(OF13="",OF17="",OF14="",OF15="",OF16="",OF18="",OF19="",OF20="",OF21=""),"",SUM($C$6:OF6))</f>
        <v/>
      </c>
      <c r="OG4" s="102" t="str">
        <f>IF(OR(OG13="",OG17="",OG14="",OG15="",OG16="",OG18="",OG19="",OG20="",OG21=""),"",SUM($C$6:OG6))</f>
        <v/>
      </c>
      <c r="OH4" s="102" t="str">
        <f>IF(OR(OH13="",OH17="",OH14="",OH15="",OH16="",OH18="",OH19="",OH20="",OH21=""),"",SUM($C$6:OH6))</f>
        <v/>
      </c>
      <c r="OI4" s="102" t="str">
        <f>IF(OR(OI13="",OI17="",OI14="",OI15="",OI16="",OI18="",OI19="",OI20="",OI21=""),"",SUM($C$6:OI6))</f>
        <v/>
      </c>
      <c r="OJ4" s="102" t="str">
        <f>IF(OR(OJ13="",OJ17="",OJ14="",OJ15="",OJ16="",OJ18="",OJ19="",OJ20="",OJ21=""),"",SUM($C$6:OJ6))</f>
        <v/>
      </c>
      <c r="OK4" s="102" t="str">
        <f>IF(OR(OK13="",OK17="",OK14="",OK15="",OK16="",OK18="",OK19="",OK20="",OK21=""),"",SUM($C$6:OK6))</f>
        <v/>
      </c>
      <c r="OL4" s="102" t="str">
        <f>IF(OR(OL13="",OL17="",OL14="",OL15="",OL16="",OL18="",OL19="",OL20="",OL21=""),"",SUM($C$6:OL6))</f>
        <v/>
      </c>
      <c r="OM4" s="102" t="str">
        <f>IF(OR(OM13="",OM17="",OM14="",OM15="",OM16="",OM18="",OM19="",OM20="",OM21=""),"",SUM($C$6:OM6))</f>
        <v/>
      </c>
      <c r="ON4" s="102" t="str">
        <f>IF(OR(ON13="",ON17="",ON14="",ON15="",ON16="",ON18="",ON19="",ON20="",ON21=""),"",SUM($C$6:ON6))</f>
        <v/>
      </c>
      <c r="OO4" s="102" t="str">
        <f>IF(OR(OO13="",OO17="",OO14="",OO15="",OO16="",OO18="",OO19="",OO20="",OO21=""),"",SUM($C$6:OO6))</f>
        <v/>
      </c>
      <c r="OP4" s="102" t="str">
        <f>IF(OR(OP13="",OP17="",OP14="",OP15="",OP16="",OP18="",OP19="",OP20="",OP21=""),"",SUM($C$6:OP6))</f>
        <v/>
      </c>
      <c r="OQ4" s="102" t="str">
        <f>IF(OR(OQ13="",OQ17="",OQ14="",OQ15="",OQ16="",OQ18="",OQ19="",OQ20="",OQ21=""),"",SUM($C$6:OQ6))</f>
        <v/>
      </c>
      <c r="OR4" s="102" t="str">
        <f>IF(OR(OR13="",OR17="",OR14="",OR15="",OR16="",OR18="",OR19="",OR20="",OR21=""),"",SUM($C$6:OR6))</f>
        <v/>
      </c>
      <c r="OS4" s="102" t="str">
        <f>IF(OR(OS13="",OS17="",OS14="",OS15="",OS16="",OS18="",OS19="",OS20="",OS21=""),"",SUM($C$6:OS6))</f>
        <v/>
      </c>
      <c r="OT4" s="102" t="str">
        <f>IF(OR(OT13="",OT17="",OT14="",OT15="",OT16="",OT18="",OT19="",OT20="",OT21=""),"",SUM($C$6:OT6))</f>
        <v/>
      </c>
      <c r="OU4" s="102" t="str">
        <f>IF(OR(OU13="",OU17="",OU14="",OU15="",OU16="",OU18="",OU19="",OU20="",OU21=""),"",SUM($C$6:OU6))</f>
        <v/>
      </c>
      <c r="OV4" s="102" t="str">
        <f>IF(OR(OV13="",OV17="",OV14="",OV15="",OV16="",OV18="",OV19="",OV20="",OV21=""),"",SUM($C$6:OV6))</f>
        <v/>
      </c>
      <c r="OW4" s="102" t="str">
        <f>IF(OR(OW13="",OW17="",OW14="",OW15="",OW16="",OW18="",OW19="",OW20="",OW21=""),"",SUM($C$6:OW6))</f>
        <v/>
      </c>
      <c r="OX4" s="102" t="str">
        <f>IF(OR(OX13="",OX17="",OX14="",OX15="",OX16="",OX18="",OX19="",OX20="",OX21=""),"",SUM($C$6:OX6))</f>
        <v/>
      </c>
      <c r="OY4" s="102" t="str">
        <f>IF(OR(OY13="",OY17="",OY14="",OY15="",OY16="",OY18="",OY19="",OY20="",OY21=""),"",SUM($C$6:OY6))</f>
        <v/>
      </c>
      <c r="OZ4" s="102" t="str">
        <f>IF(OR(OZ13="",OZ17="",OZ14="",OZ15="",OZ16="",OZ18="",OZ19="",OZ20="",OZ21=""),"",SUM($C$6:OZ6))</f>
        <v/>
      </c>
      <c r="PA4" s="102" t="str">
        <f>IF(OR(PA13="",PA17="",PA14="",PA15="",PA16="",PA18="",PA19="",PA20="",PA21=""),"",SUM($C$6:PA6))</f>
        <v/>
      </c>
      <c r="PB4" s="102" t="str">
        <f>IF(OR(PB13="",PB17="",PB14="",PB15="",PB16="",PB18="",PB19="",PB20="",PB21=""),"",SUM($C$6:PB6))</f>
        <v/>
      </c>
      <c r="PC4" s="102" t="str">
        <f>IF(OR(PC13="",PC17="",PC14="",PC15="",PC16="",PC18="",PC19="",PC20="",PC21=""),"",SUM($C$6:PC6))</f>
        <v/>
      </c>
      <c r="PD4" s="102" t="str">
        <f>IF(OR(PD13="",PD17="",PD14="",PD15="",PD16="",PD18="",PD19="",PD20="",PD21=""),"",SUM($C$6:PD6))</f>
        <v/>
      </c>
      <c r="PE4" s="102" t="str">
        <f>IF(OR(PE13="",PE17="",PE14="",PE15="",PE16="",PE18="",PE19="",PE20="",PE21=""),"",SUM($C$6:PE6))</f>
        <v/>
      </c>
      <c r="PF4" s="102" t="str">
        <f>IF(OR(PF13="",PF17="",PF14="",PF15="",PF16="",PF18="",PF19="",PF20="",PF21=""),"",SUM($C$6:PF6))</f>
        <v/>
      </c>
      <c r="PG4" s="102" t="str">
        <f>IF(OR(PG13="",PG17="",PG14="",PG15="",PG16="",PG18="",PG19="",PG20="",PG21=""),"",SUM($C$6:PG6))</f>
        <v/>
      </c>
      <c r="PH4" s="102" t="str">
        <f>IF(OR(PH13="",PH17="",PH14="",PH15="",PH16="",PH18="",PH19="",PH20="",PH21=""),"",SUM($C$6:PH6))</f>
        <v/>
      </c>
      <c r="PI4" s="102" t="str">
        <f>IF(OR(PI13="",PI17="",PI14="",PI15="",PI16="",PI18="",PI19="",PI20="",PI21=""),"",SUM($C$6:PI6))</f>
        <v/>
      </c>
      <c r="PJ4" s="102" t="str">
        <f>IF(OR(PJ13="",PJ17="",PJ14="",PJ15="",PJ16="",PJ18="",PJ19="",PJ20="",PJ21=""),"",SUM($C$6:PJ6))</f>
        <v/>
      </c>
      <c r="PK4" s="102" t="str">
        <f>IF(OR(PK13="",PK17="",PK14="",PK15="",PK16="",PK18="",PK19="",PK20="",PK21=""),"",SUM($C$6:PK6))</f>
        <v/>
      </c>
      <c r="PL4" s="102" t="str">
        <f>IF(OR(PL13="",PL17="",PL14="",PL15="",PL16="",PL18="",PL19="",PL20="",PL21=""),"",SUM($C$6:PL6))</f>
        <v/>
      </c>
      <c r="PM4" s="102" t="str">
        <f>IF(OR(PM13="",PM17="",PM14="",PM15="",PM16="",PM18="",PM19="",PM20="",PM21=""),"",SUM($C$6:PM6))</f>
        <v/>
      </c>
      <c r="PN4" s="102" t="str">
        <f>IF(OR(PN13="",PN17="",PN14="",PN15="",PN16="",PN18="",PN19="",PN20="",PN21=""),"",SUM($C$6:PN6))</f>
        <v/>
      </c>
      <c r="PO4" s="102" t="str">
        <f>IF(OR(PO13="",PO17="",PO14="",PO15="",PO16="",PO18="",PO19="",PO20="",PO21=""),"",SUM($C$6:PO6))</f>
        <v/>
      </c>
      <c r="PP4" s="102" t="str">
        <f>IF(OR(PP13="",PP17="",PP14="",PP15="",PP16="",PP18="",PP19="",PP20="",PP21=""),"",SUM($C$6:PP6))</f>
        <v/>
      </c>
      <c r="PQ4" s="102" t="str">
        <f>IF(OR(PQ13="",PQ17="",PQ14="",PQ15="",PQ16="",PQ18="",PQ19="",PQ20="",PQ21=""),"",SUM($C$6:PQ6))</f>
        <v/>
      </c>
      <c r="PR4" s="102" t="str">
        <f>IF(OR(PR13="",PR17="",PR14="",PR15="",PR16="",PR18="",PR19="",PR20="",PR21=""),"",SUM($C$6:PR6))</f>
        <v/>
      </c>
      <c r="PS4" s="102" t="str">
        <f>IF(OR(PS13="",PS17="",PS14="",PS15="",PS16="",PS18="",PS19="",PS20="",PS21=""),"",SUM($C$6:PS6))</f>
        <v/>
      </c>
      <c r="PT4" s="102" t="str">
        <f>IF(OR(PT13="",PT17="",PT14="",PT15="",PT16="",PT18="",PT19="",PT20="",PT21=""),"",SUM($C$6:PT6))</f>
        <v/>
      </c>
      <c r="PU4" s="102" t="str">
        <f>IF(OR(PU13="",PU17="",PU14="",PU15="",PU16="",PU18="",PU19="",PU20="",PU21=""),"",SUM($C$6:PU6))</f>
        <v/>
      </c>
      <c r="PV4" s="102" t="str">
        <f>IF(OR(PV13="",PV17="",PV14="",PV15="",PV16="",PV18="",PV19="",PV20="",PV21=""),"",SUM($C$6:PV6))</f>
        <v/>
      </c>
      <c r="PW4" s="102" t="str">
        <f>IF(OR(PW13="",PW17="",PW14="",PW15="",PW16="",PW18="",PW19="",PW20="",PW21=""),"",SUM($C$6:PW6))</f>
        <v/>
      </c>
      <c r="PX4" s="102" t="str">
        <f>IF(OR(PX13="",PX17="",PX14="",PX15="",PX16="",PX18="",PX19="",PX20="",PX21=""),"",SUM($C$6:PX6))</f>
        <v/>
      </c>
      <c r="PY4" s="102" t="str">
        <f>IF(OR(PY13="",PY17="",PY14="",PY15="",PY16="",PY18="",PY19="",PY20="",PY21=""),"",SUM($C$6:PY6))</f>
        <v/>
      </c>
      <c r="PZ4" s="102" t="str">
        <f>IF(OR(PZ13="",PZ17="",PZ14="",PZ15="",PZ16="",PZ18="",PZ19="",PZ20="",PZ21=""),"",SUM($C$6:PZ6))</f>
        <v/>
      </c>
      <c r="QA4" s="102" t="str">
        <f>IF(OR(QA13="",QA17="",QA14="",QA15="",QA16="",QA18="",QA19="",QA20="",QA21=""),"",SUM($C$6:QA6))</f>
        <v/>
      </c>
      <c r="QB4" s="102" t="str">
        <f>IF(OR(QB13="",QB17="",QB14="",QB15="",QB16="",QB18="",QB19="",QB20="",QB21=""),"",SUM($C$6:QB6))</f>
        <v/>
      </c>
      <c r="QC4" s="102" t="str">
        <f>IF(OR(QC13="",QC17="",QC14="",QC15="",QC16="",QC18="",QC19="",QC20="",QC21=""),"",SUM($C$6:QC6))</f>
        <v/>
      </c>
      <c r="QD4" s="102" t="str">
        <f>IF(OR(QD13="",QD17="",QD14="",QD15="",QD16="",QD18="",QD19="",QD20="",QD21=""),"",SUM($C$6:QD6))</f>
        <v/>
      </c>
      <c r="QE4" s="102" t="str">
        <f>IF(OR(QE13="",QE17="",QE14="",QE15="",QE16="",QE18="",QE19="",QE20="",QE21=""),"",SUM($C$6:QE6))</f>
        <v/>
      </c>
      <c r="QF4" s="102" t="str">
        <f>IF(OR(QF13="",QF17="",QF14="",QF15="",QF16="",QF18="",QF19="",QF20="",QF21=""),"",SUM($C$6:QF6))</f>
        <v/>
      </c>
      <c r="QG4" s="102" t="str">
        <f>IF(OR(QG13="",QG17="",QG14="",QG15="",QG16="",QG18="",QG19="",QG20="",QG21=""),"",SUM($C$6:QG6))</f>
        <v/>
      </c>
      <c r="QH4" s="102" t="str">
        <f>IF(OR(QH13="",QH17="",QH14="",QH15="",QH16="",QH18="",QH19="",QH20="",QH21=""),"",SUM($C$6:QH6))</f>
        <v/>
      </c>
      <c r="QI4" s="102" t="str">
        <f>IF(OR(QI13="",QI17="",QI14="",QI15="",QI16="",QI18="",QI19="",QI20="",QI21=""),"",SUM($C$6:QI6))</f>
        <v/>
      </c>
      <c r="QJ4" s="102" t="str">
        <f>IF(OR(QJ13="",QJ17="",QJ14="",QJ15="",QJ16="",QJ18="",QJ19="",QJ20="",QJ21=""),"",SUM($C$6:QJ6))</f>
        <v/>
      </c>
      <c r="QK4" s="102" t="str">
        <f>IF(OR(QK13="",QK17="",QK14="",QK15="",QK16="",QK18="",QK19="",QK20="",QK21=""),"",SUM($C$6:QK6))</f>
        <v/>
      </c>
      <c r="QL4" s="102" t="str">
        <f>IF(OR(QL13="",QL17="",QL14="",QL15="",QL16="",QL18="",QL19="",QL20="",QL21=""),"",SUM($C$6:QL6))</f>
        <v/>
      </c>
      <c r="QM4" s="102" t="str">
        <f>IF(OR(QM13="",QM17="",QM14="",QM15="",QM16="",QM18="",QM19="",QM20="",QM21=""),"",SUM($C$6:QM6))</f>
        <v/>
      </c>
      <c r="QN4" s="102" t="str">
        <f>IF(OR(QN13="",QN17="",QN14="",QN15="",QN16="",QN18="",QN19="",QN20="",QN21=""),"",SUM($C$6:QN6))</f>
        <v/>
      </c>
      <c r="QO4" s="102" t="str">
        <f>IF(OR(QO13="",QO17="",QO14="",QO15="",QO16="",QO18="",QO19="",QO20="",QO21=""),"",SUM($C$6:QO6))</f>
        <v/>
      </c>
      <c r="QP4" s="102" t="str">
        <f>IF(OR(QP13="",QP17="",QP14="",QP15="",QP16="",QP18="",QP19="",QP20="",QP21=""),"",SUM($C$6:QP6))</f>
        <v/>
      </c>
      <c r="QQ4" s="102" t="str">
        <f>IF(OR(QQ13="",QQ17="",QQ14="",QQ15="",QQ16="",QQ18="",QQ19="",QQ20="",QQ21=""),"",SUM($C$6:QQ6))</f>
        <v/>
      </c>
      <c r="QR4" s="102" t="str">
        <f>IF(OR(QR13="",QR17="",QR14="",QR15="",QR16="",QR18="",QR19="",QR20="",QR21=""),"",SUM($C$6:QR6))</f>
        <v/>
      </c>
      <c r="QS4" s="102" t="str">
        <f>IF(OR(QS13="",QS17="",QS14="",QS15="",QS16="",QS18="",QS19="",QS20="",QS21=""),"",SUM($C$6:QS6))</f>
        <v/>
      </c>
      <c r="QT4" s="102" t="str">
        <f>IF(OR(QT13="",QT17="",QT14="",QT15="",QT16="",QT18="",QT19="",QT20="",QT21=""),"",SUM($C$6:QT6))</f>
        <v/>
      </c>
      <c r="QU4" s="102" t="str">
        <f>IF(OR(QU13="",QU17="",QU14="",QU15="",QU16="",QU18="",QU19="",QU20="",QU21=""),"",SUM($C$6:QU6))</f>
        <v/>
      </c>
      <c r="QV4" s="102" t="str">
        <f>IF(OR(QV13="",QV17="",QV14="",QV15="",QV16="",QV18="",QV19="",QV20="",QV21=""),"",SUM($C$6:QV6))</f>
        <v/>
      </c>
      <c r="QW4" s="102" t="str">
        <f>IF(OR(QW13="",QW17="",QW14="",QW15="",QW16="",QW18="",QW19="",QW20="",QW21=""),"",SUM($C$6:QW6))</f>
        <v/>
      </c>
      <c r="QX4" s="102" t="str">
        <f>IF(OR(QX13="",QX17="",QX14="",QX15="",QX16="",QX18="",QX19="",QX20="",QX21=""),"",SUM($C$6:QX6))</f>
        <v/>
      </c>
      <c r="QY4" s="102" t="str">
        <f>IF(OR(QY13="",QY17="",QY14="",QY15="",QY16="",QY18="",QY19="",QY20="",QY21=""),"",SUM($C$6:QY6))</f>
        <v/>
      </c>
      <c r="QZ4" s="102" t="str">
        <f>IF(OR(QZ13="",QZ17="",QZ14="",QZ15="",QZ16="",QZ18="",QZ19="",QZ20="",QZ21=""),"",SUM($C$6:QZ6))</f>
        <v/>
      </c>
      <c r="RA4" s="102" t="str">
        <f>IF(OR(RA13="",RA17="",RA14="",RA15="",RA16="",RA18="",RA19="",RA20="",RA21=""),"",SUM($C$6:RA6))</f>
        <v/>
      </c>
      <c r="RB4" s="102" t="str">
        <f>IF(OR(RB13="",RB17="",RB14="",RB15="",RB16="",RB18="",RB19="",RB20="",RB21=""),"",SUM($C$6:RB6))</f>
        <v/>
      </c>
      <c r="RC4" s="102" t="str">
        <f>IF(OR(RC13="",RC17="",RC14="",RC15="",RC16="",RC18="",RC19="",RC20="",RC21=""),"",SUM($C$6:RC6))</f>
        <v/>
      </c>
      <c r="RD4" s="102" t="str">
        <f>IF(OR(RD13="",RD17="",RD14="",RD15="",RD16="",RD18="",RD19="",RD20="",RD21=""),"",SUM($C$6:RD6))</f>
        <v/>
      </c>
      <c r="RE4" s="102" t="str">
        <f>IF(OR(RE13="",RE17="",RE14="",RE15="",RE16="",RE18="",RE19="",RE20="",RE21=""),"",SUM($C$6:RE6))</f>
        <v/>
      </c>
      <c r="RF4" s="102" t="str">
        <f>IF(OR(RF13="",RF17="",RF14="",RF15="",RF16="",RF18="",RF19="",RF20="",RF21=""),"",SUM($C$6:RF6))</f>
        <v/>
      </c>
      <c r="RG4" s="102" t="str">
        <f>IF(OR(RG13="",RG17="",RG14="",RG15="",RG16="",RG18="",RG19="",RG20="",RG21=""),"",SUM($C$6:RG6))</f>
        <v/>
      </c>
      <c r="RH4" s="102" t="str">
        <f>IF(OR(RH13="",RH17="",RH14="",RH15="",RH16="",RH18="",RH19="",RH20="",RH21=""),"",SUM($C$6:RH6))</f>
        <v/>
      </c>
      <c r="RI4" s="102" t="str">
        <f>IF(OR(RI13="",RI17="",RI14="",RI15="",RI16="",RI18="",RI19="",RI20="",RI21=""),"",SUM($C$6:RI6))</f>
        <v/>
      </c>
      <c r="RJ4" s="102" t="str">
        <f>IF(OR(RJ13="",RJ17="",RJ14="",RJ15="",RJ16="",RJ18="",RJ19="",RJ20="",RJ21=""),"",SUM($C$6:RJ6))</f>
        <v/>
      </c>
      <c r="RK4" s="102" t="str">
        <f>IF(OR(RK13="",RK17="",RK14="",RK15="",RK16="",RK18="",RK19="",RK20="",RK21=""),"",SUM($C$6:RK6))</f>
        <v/>
      </c>
      <c r="RL4" s="102" t="str">
        <f>IF(OR(RL13="",RL17="",RL14="",RL15="",RL16="",RL18="",RL19="",RL20="",RL21=""),"",SUM($C$6:RL6))</f>
        <v/>
      </c>
      <c r="RM4" s="102" t="str">
        <f>IF(OR(RM13="",RM17="",RM14="",RM15="",RM16="",RM18="",RM19="",RM20="",RM21=""),"",SUM($C$6:RM6))</f>
        <v/>
      </c>
      <c r="RN4" s="102" t="str">
        <f>IF(OR(RN13="",RN17="",RN14="",RN15="",RN16="",RN18="",RN19="",RN20="",RN21=""),"",SUM($C$6:RN6))</f>
        <v/>
      </c>
      <c r="RO4" s="102" t="str">
        <f>IF(OR(RO13="",RO17="",RO14="",RO15="",RO16="",RO18="",RO19="",RO20="",RO21=""),"",SUM($C$6:RO6))</f>
        <v/>
      </c>
      <c r="RP4" s="102" t="str">
        <f>IF(OR(RP13="",RP17="",RP14="",RP15="",RP16="",RP18="",RP19="",RP20="",RP21=""),"",SUM($C$6:RP6))</f>
        <v/>
      </c>
      <c r="RQ4" s="102" t="str">
        <f>IF(OR(RQ13="",RQ17="",RQ14="",RQ15="",RQ16="",RQ18="",RQ19="",RQ20="",RQ21=""),"",SUM($C$6:RQ6))</f>
        <v/>
      </c>
      <c r="RR4" s="102" t="str">
        <f>IF(OR(RR13="",RR17="",RR14="",RR15="",RR16="",RR18="",RR19="",RR20="",RR21=""),"",SUM($C$6:RR6))</f>
        <v/>
      </c>
      <c r="RS4" s="102" t="str">
        <f>IF(OR(RS13="",RS17="",RS14="",RS15="",RS16="",RS18="",RS19="",RS20="",RS21=""),"",SUM($C$6:RS6))</f>
        <v/>
      </c>
      <c r="RT4" s="102" t="str">
        <f>IF(OR(RT13="",RT17="",RT14="",RT15="",RT16="",RT18="",RT19="",RT20="",RT21=""),"",SUM($C$6:RT6))</f>
        <v/>
      </c>
      <c r="RU4" s="102" t="str">
        <f>IF(OR(RU13="",RU17="",RU14="",RU15="",RU16="",RU18="",RU19="",RU20="",RU21=""),"",SUM($C$6:RU6))</f>
        <v/>
      </c>
      <c r="RV4" s="102" t="str">
        <f>IF(OR(RV13="",RV17="",RV14="",RV15="",RV16="",RV18="",RV19="",RV20="",RV21=""),"",SUM($C$6:RV6))</f>
        <v/>
      </c>
      <c r="RW4" s="102" t="str">
        <f>IF(OR(RW13="",RW17="",RW14="",RW15="",RW16="",RW18="",RW19="",RW20="",RW21=""),"",SUM($C$6:RW6))</f>
        <v/>
      </c>
      <c r="RX4" s="102" t="str">
        <f>IF(OR(RX13="",RX17="",RX14="",RX15="",RX16="",RX18="",RX19="",RX20="",RX21=""),"",SUM($C$6:RX6))</f>
        <v/>
      </c>
      <c r="RY4" s="102" t="str">
        <f>IF(OR(RY13="",RY17="",RY14="",RY15="",RY16="",RY18="",RY19="",RY20="",RY21=""),"",SUM($C$6:RY6))</f>
        <v/>
      </c>
      <c r="RZ4" s="102" t="str">
        <f>IF(OR(RZ13="",RZ17="",RZ14="",RZ15="",RZ16="",RZ18="",RZ19="",RZ20="",RZ21=""),"",SUM($C$6:RZ6))</f>
        <v/>
      </c>
      <c r="SA4" s="102" t="str">
        <f>IF(OR(SA13="",SA17="",SA14="",SA15="",SA16="",SA18="",SA19="",SA20="",SA21=""),"",SUM($C$6:SA6))</f>
        <v/>
      </c>
      <c r="SB4" s="102" t="str">
        <f>IF(OR(SB13="",SB17="",SB14="",SB15="",SB16="",SB18="",SB19="",SB20="",SB21=""),"",SUM($C$6:SB6))</f>
        <v/>
      </c>
      <c r="SC4" s="102" t="str">
        <f>IF(OR(SC13="",SC17="",SC14="",SC15="",SC16="",SC18="",SC19="",SC20="",SC21=""),"",SUM($C$6:SC6))</f>
        <v/>
      </c>
      <c r="SD4" s="102" t="str">
        <f>IF(OR(SD13="",SD17="",SD14="",SD15="",SD16="",SD18="",SD19="",SD20="",SD21=""),"",SUM($C$6:SD6))</f>
        <v/>
      </c>
      <c r="SE4" s="102" t="str">
        <f>IF(OR(SE13="",SE17="",SE14="",SE15="",SE16="",SE18="",SE19="",SE20="",SE21=""),"",SUM($C$6:SE6))</f>
        <v/>
      </c>
      <c r="SF4" s="102" t="str">
        <f>IF(OR(SF13="",SF17="",SF14="",SF15="",SF16="",SF18="",SF19="",SF20="",SF21=""),"",SUM($C$6:SF6))</f>
        <v/>
      </c>
      <c r="SG4" s="102" t="str">
        <f>IF(OR(SG13="",SG17="",SG14="",SG15="",SG16="",SG18="",SG19="",SG20="",SG21=""),"",SUM($C$6:SG6))</f>
        <v/>
      </c>
      <c r="SH4" s="102" t="str">
        <f>IF(OR(SH13="",SH17="",SH14="",SH15="",SH16="",SH18="",SH19="",SH20="",SH21=""),"",SUM($C$6:SH6))</f>
        <v/>
      </c>
      <c r="SI4" s="102" t="str">
        <f>IF(OR(SI13="",SI17="",SI14="",SI15="",SI16="",SI18="",SI19="",SI20="",SI21=""),"",SUM($C$6:SI6))</f>
        <v/>
      </c>
      <c r="SJ4" s="102" t="str">
        <f>IF(OR(SJ13="",SJ17="",SJ14="",SJ15="",SJ16="",SJ18="",SJ19="",SJ20="",SJ21=""),"",SUM($C$6:SJ6))</f>
        <v/>
      </c>
      <c r="SK4" s="102" t="str">
        <f>IF(OR(SK13="",SK17="",SK14="",SK15="",SK16="",SK18="",SK19="",SK20="",SK21=""),"",SUM($C$6:SK6))</f>
        <v/>
      </c>
      <c r="SL4" s="102" t="str">
        <f>IF(OR(SL13="",SL17="",SL14="",SL15="",SL16="",SL18="",SL19="",SL20="",SL21=""),"",SUM($C$6:SL6))</f>
        <v/>
      </c>
      <c r="SM4" s="102" t="str">
        <f>IF(OR(SM13="",SM17="",SM14="",SM15="",SM16="",SM18="",SM19="",SM20="",SM21=""),"",SUM($C$6:SM6))</f>
        <v/>
      </c>
      <c r="SN4" s="102" t="str">
        <f>IF(OR(SN13="",SN17="",SN14="",SN15="",SN16="",SN18="",SN19="",SN20="",SN21=""),"",SUM($C$6:SN6))</f>
        <v/>
      </c>
      <c r="SO4" s="102" t="str">
        <f>IF(OR(SO13="",SO17="",SO14="",SO15="",SO16="",SO18="",SO19="",SO20="",SO21=""),"",SUM($C$6:SO6))</f>
        <v/>
      </c>
      <c r="SP4" s="102" t="str">
        <f>IF(OR(SP13="",SP17="",SP14="",SP15="",SP16="",SP18="",SP19="",SP20="",SP21=""),"",SUM($C$6:SP6))</f>
        <v/>
      </c>
      <c r="SQ4" s="102" t="str">
        <f>IF(OR(SQ13="",SQ17="",SQ14="",SQ15="",SQ16="",SQ18="",SQ19="",SQ20="",SQ21=""),"",SUM($C$6:SQ6))</f>
        <v/>
      </c>
      <c r="SR4" s="102" t="str">
        <f>IF(OR(SR13="",SR17="",SR14="",SR15="",SR16="",SR18="",SR19="",SR20="",SR21=""),"",SUM($C$6:SR6))</f>
        <v/>
      </c>
      <c r="SS4" s="102" t="str">
        <f>IF(OR(SS13="",SS17="",SS14="",SS15="",SS16="",SS18="",SS19="",SS20="",SS21=""),"",SUM($C$6:SS6))</f>
        <v/>
      </c>
      <c r="ST4" s="102" t="str">
        <f>IF(OR(ST13="",ST17="",ST14="",ST15="",ST16="",ST18="",ST19="",ST20="",ST21=""),"",SUM($C$6:ST6))</f>
        <v/>
      </c>
      <c r="SU4" s="102" t="str">
        <f>IF(OR(SU13="",SU17="",SU14="",SU15="",SU16="",SU18="",SU19="",SU20="",SU21=""),"",SUM($C$6:SU6))</f>
        <v/>
      </c>
      <c r="SV4" s="102" t="str">
        <f>IF(OR(SV13="",SV17="",SV14="",SV15="",SV16="",SV18="",SV19="",SV20="",SV21=""),"",SUM($C$6:SV6))</f>
        <v/>
      </c>
      <c r="SW4" s="102" t="str">
        <f>IF(OR(SW13="",SW17="",SW14="",SW15="",SW16="",SW18="",SW19="",SW20="",SW21=""),"",SUM($C$6:SW6))</f>
        <v/>
      </c>
    </row>
    <row r="5" spans="1:517" ht="24.6" customHeight="1" x14ac:dyDescent="0.2">
      <c r="A5" s="93"/>
      <c r="B5" s="103" t="s">
        <v>26</v>
      </c>
      <c r="C5" s="102">
        <f>IF(C4="","",C6)</f>
        <v>24</v>
      </c>
      <c r="D5" s="102">
        <f>IF(OR(D13="",D17="",D14="",D15="",D16="",D18="",D19="",D20="",D21=""),"",SUM($C$6:D6))</f>
        <v>48</v>
      </c>
      <c r="E5" s="102">
        <f>IF(OR(E13="",E17="",E14="",E15="",E16="",E18="",E19="",E20="",E21=""),"",SUM($C$6:E6))</f>
        <v>72</v>
      </c>
      <c r="F5" s="102">
        <f>IF(OR(F13="",F17="",F14="",F15="",F16="",F18="",F19="",F20="",F21=""),"",SUM($C$6:F6))</f>
        <v>96</v>
      </c>
      <c r="G5" s="102">
        <f>IF(OR(G13="",G17="",G14="",G15="",G16="",G18="",G19="",G20="",G21=""),"",SUM($C$6:G6))</f>
        <v>120</v>
      </c>
      <c r="H5" s="102">
        <f>IF(OR(H13="",H17="",H14="",H15="",H16="",H18="",H19="",H20="",H21=""),"",SUM($C$6:H6))</f>
        <v>144</v>
      </c>
      <c r="I5" s="102">
        <f>IF(OR(I13="",I17="",I14="",I15="",I16="",I18="",I19="",I20="",I21=""),"",SUM($C$6:I6))</f>
        <v>168</v>
      </c>
      <c r="J5" s="102">
        <f>IF(OR(J13="",J17="",J14="",J15="",J16="",J18="",J19="",J20="",J21=""),"",SUM($C$6:J6))</f>
        <v>192</v>
      </c>
      <c r="K5" s="102">
        <f>IF(OR(K13="",K17="",K14="",K15="",K16="",K18="",K19="",K20="",K21=""),"",SUM($C$6:K6))</f>
        <v>216</v>
      </c>
      <c r="L5" s="102">
        <f>IF(OR(L13="",L17="",L14="",L15="",L16="",L18="",L19="",L20="",L21=""),"",SUM($C$6:L6))</f>
        <v>240</v>
      </c>
      <c r="M5" s="102">
        <f>IF(OR(M13="",M17="",M14="",M15="",M16="",M18="",M19="",M20="",M21=""),"",SUM($C$6:M6))</f>
        <v>264</v>
      </c>
      <c r="N5" s="102">
        <f>IF(OR(N13="",N17="",N14="",N15="",N16="",N18="",N19="",N20="",N21=""),"",SUM($C$6:N6))</f>
        <v>288</v>
      </c>
      <c r="O5" s="102">
        <f>IF(OR(O13="",O17="",O14="",O15="",O16="",O18="",O19="",O20="",O21=""),"",SUM($C$6:O6))</f>
        <v>312</v>
      </c>
      <c r="P5" s="102">
        <f>IF(OR(P13="",P17="",P14="",P15="",P16="",P18="",P19="",P20="",P21=""),"",SUM($C$6:P6))</f>
        <v>336</v>
      </c>
      <c r="Q5" s="102">
        <f>IF(OR(Q13="",Q17="",Q14="",Q15="",Q16="",Q18="",Q19="",Q20="",Q21=""),"",SUM($C$6:Q6))</f>
        <v>360</v>
      </c>
      <c r="R5" s="102">
        <f>IF(OR(R13="",R17="",R14="",R15="",R16="",R18="",R19="",R20="",R21=""),"",SUM($C$6:R6))</f>
        <v>384</v>
      </c>
      <c r="S5" s="102">
        <f>IF(OR(S13="",S17="",S14="",S15="",S16="",S18="",S19="",S20="",S21=""),"",SUM($C$6:S6))</f>
        <v>408</v>
      </c>
      <c r="T5" s="102">
        <f>IF(OR(T13="",T17="",T14="",T15="",T16="",T18="",T19="",T20="",T21=""),"",SUM($C$6:T6))</f>
        <v>432</v>
      </c>
      <c r="U5" s="102">
        <f>IF(OR(U13="",U17="",U14="",U15="",U16="",U18="",U19="",U20="",U21=""),"",SUM($C$6:U6))</f>
        <v>456</v>
      </c>
      <c r="V5" s="102">
        <f>IF(OR(V13="",V17="",V14="",V15="",V16="",V18="",V19="",V20="",V21=""),"",SUM($C$6:V6))</f>
        <v>480</v>
      </c>
      <c r="W5" s="102">
        <f>IF(OR(W13="",W17="",W14="",W15="",W16="",W18="",W19="",W20="",W21=""),"",SUM($C$6:W6))</f>
        <v>504</v>
      </c>
      <c r="X5" s="102">
        <f>IF(OR(X13="",X17="",X14="",X15="",X16="",X18="",X19="",X20="",X21=""),"",SUM($C$6:X6))</f>
        <v>528</v>
      </c>
      <c r="Y5" s="102">
        <f>IF(OR(Y13="",Y17="",Y14="",Y15="",Y16="",Y18="",Y19="",Y20="",Y21=""),"",SUM($C$6:Y6))</f>
        <v>552</v>
      </c>
      <c r="Z5" s="102">
        <f>IF(OR(Z13="",Z17="",Z14="",Z15="",Z16="",Z18="",Z19="",Z20="",Z21=""),"",SUM($C$6:Z6))</f>
        <v>576</v>
      </c>
      <c r="AA5" s="102">
        <f>IF(OR(AA13="",AA17="",AA14="",AA15="",AA16="",AA18="",AA19="",AA20="",AA21=""),"",SUM($C$6:AA6))</f>
        <v>600</v>
      </c>
      <c r="AB5" s="102">
        <f>IF(OR(AB13="",AB17="",AB14="",AB15="",AB16="",AB18="",AB19="",AB20="",AB21=""),"",SUM($C$6:AB6))</f>
        <v>624</v>
      </c>
      <c r="AC5" s="102">
        <f>IF(OR(AC13="",AC17="",AC14="",AC15="",AC16="",AC18="",AC19="",AC20="",AC21=""),"",SUM($C$6:AC6))</f>
        <v>648</v>
      </c>
      <c r="AD5" s="102">
        <f>IF(OR(AD13="",AD17="",AD14="",AD15="",AD16="",AD18="",AD19="",AD20="",AD21=""),"",SUM($C$6:AD6))</f>
        <v>672</v>
      </c>
      <c r="AE5" s="102">
        <f>IF(OR(AE13="",AE17="",AE14="",AE15="",AE16="",AE18="",AE19="",AE20="",AE21=""),"",SUM($C$6:AE6))</f>
        <v>696</v>
      </c>
      <c r="AF5" s="102">
        <f>IF(OR(AF13="",AF17="",AF14="",AF15="",AF16="",AF18="",AF19="",AF20="",AF21=""),"",SUM($C$6:AF6))</f>
        <v>720</v>
      </c>
      <c r="AG5" s="102">
        <f>IF(OR(AG13="",AG17="",AG14="",AG15="",AG16="",AG18="",AG19="",AG20="",AG21=""),"",SUM($C$6:AG6))</f>
        <v>744</v>
      </c>
      <c r="AH5" s="102">
        <f>IF(AH4="","",AH6)</f>
        <v>24</v>
      </c>
      <c r="AI5" s="102">
        <f>IF(OR(AI13="",AI17="",AI14="",AI15="",AI16="",AI18="",AI19="",AI20="",AI21=""),"",SUM($AH$6:AI6))</f>
        <v>48</v>
      </c>
      <c r="AJ5" s="102">
        <f>IF(OR(AJ13="",AJ17="",AJ14="",AJ15="",AJ16="",AJ18="",AJ19="",AJ20="",AJ21=""),"",SUM($AH$6:AJ6))</f>
        <v>72</v>
      </c>
      <c r="AK5" s="102">
        <f>IF(OR(AK13="",AK17="",AK14="",AK15="",AK16="",AK18="",AK19="",AK20="",AK21=""),"",SUM($AH$6:AK6))</f>
        <v>96</v>
      </c>
      <c r="AL5" s="102">
        <f>IF(OR(AL13="",AL17="",AL14="",AL15="",AL16="",AL18="",AL19="",AL20="",AL21=""),"",SUM($AH$6:AL6))</f>
        <v>120</v>
      </c>
      <c r="AM5" s="102">
        <f>IF(OR(AM13="",AM17="",AM14="",AM15="",AM16="",AM18="",AM19="",AM20="",AM21=""),"",SUM($AH$6:AM6))</f>
        <v>144</v>
      </c>
      <c r="AN5" s="102">
        <f>IF(OR(AN13="",AN17="",AN14="",AN15="",AN16="",AN18="",AN19="",AN20="",AN21=""),"",SUM($AH$6:AN6))</f>
        <v>168</v>
      </c>
      <c r="AO5" s="102">
        <f>IF(OR(AO13="",AO17="",AO14="",AO15="",AO16="",AO18="",AO19="",AO20="",AO21=""),"",SUM($AH$6:AO6))</f>
        <v>192</v>
      </c>
      <c r="AP5" s="102">
        <f>IF(OR(AP13="",AP17="",AP14="",AP15="",AP16="",AP18="",AP19="",AP20="",AP21=""),"",SUM($AH$6:AP6))</f>
        <v>216</v>
      </c>
      <c r="AQ5" s="102">
        <f>IF(OR(AQ13="",AQ17="",AQ14="",AQ15="",AQ16="",AQ18="",AQ19="",AQ20="",AQ21=""),"",SUM($AH$6:AQ6))</f>
        <v>240</v>
      </c>
      <c r="AR5" s="102">
        <f>IF(OR(AR13="",AR17="",AR14="",AR15="",AR16="",AR18="",AR19="",AR20="",AR21=""),"",SUM($AH$6:AR6))</f>
        <v>264</v>
      </c>
      <c r="AS5" s="102">
        <f>IF(OR(AS13="",AS17="",AS14="",AS15="",AS16="",AS18="",AS19="",AS20="",AS21=""),"",SUM($AH$6:AS6))</f>
        <v>288</v>
      </c>
      <c r="AT5" s="102">
        <f>IF(OR(AT13="",AT17="",AT14="",AT15="",AT16="",AT18="",AT19="",AT20="",AT21=""),"",SUM($AH$6:AT6))</f>
        <v>312</v>
      </c>
      <c r="AU5" s="102">
        <f>IF(OR(AU13="",AU17="",AU14="",AU15="",AU16="",AU18="",AU19="",AU20="",AU21=""),"",SUM($AH$6:AU6))</f>
        <v>336</v>
      </c>
      <c r="AV5" s="102">
        <f>IF(OR(AV13="",AV17="",AV14="",AV15="",AV16="",AV18="",AV19="",AV20="",AV21=""),"",SUM($AH$6:AV6))</f>
        <v>360</v>
      </c>
      <c r="AW5" s="102">
        <f>IF(OR(AW13="",AW17="",AW14="",AW15="",AW16="",AW18="",AW19="",AW20="",AW21=""),"",SUM($AH$6:AW6))</f>
        <v>384</v>
      </c>
      <c r="AX5" s="102">
        <f>IF(OR(AX13="",AX17="",AX14="",AX15="",AX16="",AX18="",AX19="",AX20="",AX21=""),"",SUM($AH$6:AX6))</f>
        <v>408</v>
      </c>
      <c r="AY5" s="102">
        <f>IF(OR(AY13="",AY17="",AY14="",AY15="",AY16="",AY18="",AY19="",AY20="",AY21=""),"",SUM($AH$6:AY6))</f>
        <v>432</v>
      </c>
      <c r="AZ5" s="102">
        <f>IF(OR(AZ13="",AZ17="",AZ14="",AZ15="",AZ16="",AZ18="",AZ19="",AZ20="",AZ21=""),"",SUM($AH$6:AZ6))</f>
        <v>456</v>
      </c>
      <c r="BA5" s="102">
        <f>IF(OR(BA13="",BA17="",BA14="",BA15="",BA16="",BA18="",BA19="",BA20="",BA21=""),"",SUM($AH$6:BA6))</f>
        <v>480</v>
      </c>
      <c r="BB5" s="102">
        <f>IF(OR(BB13="",BB17="",BB14="",BB15="",BB16="",BB18="",BB19="",BB20="",BB21=""),"",SUM($AH$6:BB6))</f>
        <v>504</v>
      </c>
      <c r="BC5" s="102">
        <f>IF(OR(BC13="",BC17="",BC14="",BC15="",BC16="",BC18="",BC19="",BC20="",BC21=""),"",SUM($AH$6:BC6))</f>
        <v>528</v>
      </c>
      <c r="BD5" s="102">
        <f>IF(OR(BD13="",BD17="",BD14="",BD15="",BD16="",BD18="",BD19="",BD20="",BD21=""),"",SUM($AH$6:BD6))</f>
        <v>552</v>
      </c>
      <c r="BE5" s="102">
        <f>IF(OR(BE13="",BE17="",BE14="",BE15="",BE16="",BE18="",BE19="",BE20="",BE21=""),"",SUM($AH$6:BE6))</f>
        <v>576</v>
      </c>
      <c r="BF5" s="102">
        <f>IF(OR(BF13="",BF17="",BF14="",BF15="",BF16="",BF18="",BF19="",BF20="",BF21=""),"",SUM($AH$6:BF6))</f>
        <v>600</v>
      </c>
      <c r="BG5" s="102">
        <f>IF(OR(BG13="",BG17="",BG14="",BG15="",BG16="",BG18="",BG19="",BG20="",BG21=""),"",SUM($AH$6:BG6))</f>
        <v>624</v>
      </c>
      <c r="BH5" s="102">
        <f>IF(OR(BH13="",BH17="",BH14="",BH15="",BH16="",BH18="",BH19="",BH20="",BH21=""),"",SUM($AH$6:BH6))</f>
        <v>648</v>
      </c>
      <c r="BI5" s="102">
        <f>IF(OR(BI13="",BI17="",BI14="",BI15="",BI16="",BI18="",BI19="",BI20="",BI21=""),"",SUM($AH$6:BI6))</f>
        <v>672</v>
      </c>
      <c r="BJ5" s="102">
        <f>IF(BJ4="","",BJ6)</f>
        <v>24</v>
      </c>
      <c r="BK5" s="102">
        <f>IF(OR(BK13="",BK17="",BK14="",BK15="",BK16="",BK18="",BK19="",BK20="",BK21=""),"",SUM($BJ$6:BK6))</f>
        <v>48</v>
      </c>
      <c r="BL5" s="102">
        <f>IF(OR(BL13="",BL17="",BL14="",BL15="",BL16="",BL18="",BL19="",BL20="",BL21=""),"",SUM($BJ$6:BL6))</f>
        <v>72</v>
      </c>
      <c r="BM5" s="102">
        <f>IF(OR(BM13="",BM17="",BM14="",BM15="",BM16="",BM18="",BM19="",BM20="",BM21=""),"",SUM($BJ$6:BM6))</f>
        <v>96</v>
      </c>
      <c r="BN5" s="102">
        <f>IF(OR(BN13="",BN17="",BN14="",BN15="",BN16="",BN18="",BN19="",BN20="",BN21=""),"",SUM($BJ$6:BN6))</f>
        <v>120</v>
      </c>
      <c r="BO5" s="102">
        <f>IF(OR(BO13="",BO17="",BO14="",BO15="",BO16="",BO18="",BO19="",BO20="",BO21=""),"",SUM($BJ$6:BO6))</f>
        <v>144</v>
      </c>
      <c r="BP5" s="102">
        <f>IF(OR(BP13="",BP17="",BP14="",BP15="",BP16="",BP18="",BP19="",BP20="",BP21=""),"",SUM($BJ$6:BP6))</f>
        <v>168</v>
      </c>
      <c r="BQ5" s="102">
        <f>IF(OR(BQ13="",BQ17="",BQ14="",BQ15="",BQ16="",BQ18="",BQ19="",BQ20="",BQ21=""),"",SUM($BJ$6:BQ6))</f>
        <v>192</v>
      </c>
      <c r="BR5" s="102">
        <f>IF(OR(BR13="",BR17="",BR14="",BR15="",BR16="",BR18="",BR19="",BR20="",BR21=""),"",SUM($BJ$6:BR6))</f>
        <v>216</v>
      </c>
      <c r="BS5" s="102">
        <f>IF(OR(BS13="",BS17="",BS14="",BS15="",BS16="",BS18="",BS19="",BS20="",BS21=""),"",SUM($BJ$6:BS6))</f>
        <v>240</v>
      </c>
      <c r="BT5" s="102">
        <f>IF(OR(BT13="",BT17="",BT14="",BT15="",BT16="",BT18="",BT19="",BT20="",BT21=""),"",SUM($BJ$6:BT6))</f>
        <v>264</v>
      </c>
      <c r="BU5" s="102">
        <f>IF(OR(BU13="",BU17="",BU14="",BU15="",BU16="",BU18="",BU19="",BU20="",BU21=""),"",SUM($BJ$6:BU6))</f>
        <v>288</v>
      </c>
      <c r="BV5" s="102">
        <f>IF(OR(BV13="",BV17="",BV14="",BV15="",BV16="",BV18="",BV19="",BV20="",BV21=""),"",SUM($BJ$6:BV6))</f>
        <v>312</v>
      </c>
      <c r="BW5" s="102">
        <f>IF(OR(BW13="",BW17="",BW14="",BW15="",BW16="",BW18="",BW19="",BW20="",BW21=""),"",SUM($BJ$6:BW6))</f>
        <v>336</v>
      </c>
      <c r="BX5" s="102">
        <f>IF(OR(BX13="",BX17="",BX14="",BX15="",BX16="",BX18="",BX19="",BX20="",BX21=""),"",SUM($BJ$6:BX6))</f>
        <v>360</v>
      </c>
      <c r="BY5" s="102">
        <f>IF(OR(BY13="",BY17="",BY14="",BY15="",BY16="",BY18="",BY19="",BY20="",BY21=""),"",SUM($BJ$6:BY6))</f>
        <v>384</v>
      </c>
      <c r="BZ5" s="102">
        <f>IF(OR(BZ13="",BZ17="",BZ14="",BZ15="",BZ16="",BZ18="",BZ19="",BZ20="",BZ21=""),"",SUM($BJ$6:BZ6))</f>
        <v>408</v>
      </c>
      <c r="CA5" s="102">
        <f>IF(OR(CA13="",CA17="",CA14="",CA15="",CA16="",CA18="",CA19="",CA20="",CA21=""),"",SUM($BJ$6:CA6))</f>
        <v>432</v>
      </c>
      <c r="CB5" s="102">
        <f>IF(OR(CB13="",CB17="",CB14="",CB15="",CB16="",CB18="",CB19="",CB20="",CB21=""),"",SUM($BJ$6:CB6))</f>
        <v>456</v>
      </c>
      <c r="CC5" s="102">
        <f>IF(OR(CC13="",CC17="",CC14="",CC15="",CC16="",CC18="",CC19="",CC20="",CC21=""),"",SUM($BJ$6:CC6))</f>
        <v>480</v>
      </c>
      <c r="CD5" s="102">
        <f>IF(OR(CD13="",CD17="",CD14="",CD15="",CD16="",CD18="",CD19="",CD20="",CD21=""),"",SUM($BJ$6:CD6))</f>
        <v>504</v>
      </c>
      <c r="CE5" s="102">
        <f>IF(OR(CE13="",CE17="",CE14="",CE15="",CE16="",CE18="",CE19="",CE20="",CE21=""),"",SUM($BJ$6:CE6))</f>
        <v>528</v>
      </c>
      <c r="CF5" s="102">
        <f>IF(OR(CF13="",CF17="",CF14="",CF15="",CF16="",CF18="",CF19="",CF20="",CF21=""),"",SUM($BJ$6:CF6))</f>
        <v>552</v>
      </c>
      <c r="CG5" s="102">
        <f>IF(OR(CG13="",CG17="",CG14="",CG15="",CG16="",CG18="",CG19="",CG20="",CG21=""),"",SUM($BJ$6:CG6))</f>
        <v>576</v>
      </c>
      <c r="CH5" s="102">
        <f>IF(OR(CH13="",CH17="",CH14="",CH15="",CH16="",CH18="",CH19="",CH20="",CH21=""),"",SUM($BJ$6:CH6))</f>
        <v>600</v>
      </c>
      <c r="CI5" s="102">
        <f>IF(OR(CI13="",CI17="",CI14="",CI15="",CI16="",CI18="",CI19="",CI20="",CI21=""),"",SUM($BJ$6:CI6))</f>
        <v>624</v>
      </c>
      <c r="CJ5" s="102">
        <f>IF(OR(CJ13="",CJ17="",CJ14="",CJ15="",CJ16="",CJ18="",CJ19="",CJ20="",CJ21=""),"",SUM($BJ$6:CJ6))</f>
        <v>648</v>
      </c>
      <c r="CK5" s="102">
        <f>IF(OR(CK13="",CK17="",CK14="",CK15="",CK16="",CK18="",CK19="",CK20="",CK21=""),"",SUM($BJ$6:CK6))</f>
        <v>672</v>
      </c>
      <c r="CL5" s="102">
        <f>IF(OR(CL13="",CL17="",CL14="",CL15="",CL16="",CL18="",CL19="",CL20="",CL21=""),"",SUM($BJ$6:CL6))</f>
        <v>696</v>
      </c>
      <c r="CM5" s="102">
        <f>IF(OR(CM13="",CM17="",CM14="",CM15="",CM16="",CM18="",CM19="",CM20="",CM21=""),"",SUM($BJ$6:CM6))</f>
        <v>720</v>
      </c>
      <c r="CN5" s="102">
        <f>IF(OR(CN13="",CN17="",CN14="",CN15="",CN16="",CN18="",CN19="",CN20="",CN21=""),"",SUM($BJ$6:CN6))</f>
        <v>744</v>
      </c>
      <c r="CO5" s="102">
        <f>IF(CO4="","",CO6)</f>
        <v>24</v>
      </c>
      <c r="CP5" s="102">
        <f>IF(OR(CP13="",CP17="",CP14="",CP15="",CP16="",CP18="",CP19="",CP20="",CP21=""),"",SUM($CO$6:CP6))</f>
        <v>48</v>
      </c>
      <c r="CQ5" s="102">
        <f>IF(OR(CQ13="",CQ17="",CQ14="",CQ15="",CQ16="",CQ18="",CQ19="",CQ20="",CQ21=""),"",SUM($CO$6:CQ6))</f>
        <v>72</v>
      </c>
      <c r="CR5" s="102">
        <f>IF(OR(CR13="",CR17="",CR14="",CR15="",CR16="",CR18="",CR19="",CR20="",CR21=""),"",SUM($CO$6:CR6))</f>
        <v>96</v>
      </c>
      <c r="CS5" s="102">
        <f>IF(OR(CS13="",CS17="",CS14="",CS15="",CS16="",CS18="",CS19="",CS20="",CS21=""),"",SUM($CO$6:CS6))</f>
        <v>120</v>
      </c>
      <c r="CT5" s="102">
        <f>IF(OR(CT13="",CT17="",CT14="",CT15="",CT16="",CT18="",CT19="",CT20="",CT21=""),"",SUM($CO$6:CT6))</f>
        <v>144</v>
      </c>
      <c r="CU5" s="102">
        <f>IF(OR(CU13="",CU17="",CU14="",CU15="",CU16="",CU18="",CU19="",CU20="",CU21=""),"",SUM($CO$6:CU6))</f>
        <v>168</v>
      </c>
      <c r="CV5" s="102">
        <f>IF(OR(CV13="",CV17="",CV14="",CV15="",CV16="",CV18="",CV19="",CV20="",CV21=""),"",SUM($CO$6:CV6))</f>
        <v>192</v>
      </c>
      <c r="CW5" s="102">
        <f>IF(OR(CW13="",CW17="",CW14="",CW15="",CW16="",CW18="",CW19="",CW20="",CW21=""),"",SUM($CO$6:CW6))</f>
        <v>216</v>
      </c>
      <c r="CX5" s="102">
        <f>IF(OR(CX13="",CX17="",CX14="",CX15="",CX16="",CX18="",CX19="",CX20="",CX21=""),"",SUM($CO$6:CX6))</f>
        <v>240</v>
      </c>
      <c r="CY5" s="102">
        <f>IF(OR(CY13="",CY17="",CY14="",CY15="",CY16="",CY18="",CY19="",CY20="",CY21=""),"",SUM($CO$6:CY6))</f>
        <v>264</v>
      </c>
      <c r="CZ5" s="102">
        <f>IF(OR(CZ13="",CZ17="",CZ14="",CZ15="",CZ16="",CZ18="",CZ19="",CZ20="",CZ21=""),"",SUM($CO$6:CZ6))</f>
        <v>288</v>
      </c>
      <c r="DA5" s="102">
        <f>IF(OR(DA13="",DA17="",DA14="",DA15="",DA16="",DA18="",DA19="",DA20="",DA21=""),"",SUM($CO$6:DA6))</f>
        <v>312</v>
      </c>
      <c r="DB5" s="102">
        <f>IF(OR(DB13="",DB17="",DB14="",DB15="",DB16="",DB18="",DB19="",DB20="",DB21=""),"",SUM($CO$6:DB6))</f>
        <v>336</v>
      </c>
      <c r="DC5" s="102">
        <f>IF(OR(DC13="",DC17="",DC14="",DC15="",DC16="",DC18="",DC19="",DC20="",DC21=""),"",SUM($CO$6:DC6))</f>
        <v>360</v>
      </c>
      <c r="DD5" s="102">
        <f>IF(OR(DD13="",DD17="",DD14="",DD15="",DD16="",DD18="",DD19="",DD20="",DD21=""),"",SUM($CO$6:DD6))</f>
        <v>384</v>
      </c>
      <c r="DE5" s="102">
        <f>IF(OR(DE13="",DE17="",DE14="",DE15="",DE16="",DE18="",DE19="",DE20="",DE21=""),"",SUM($CO$6:DE6))</f>
        <v>408</v>
      </c>
      <c r="DF5" s="102">
        <f>IF(OR(DF13="",DF17="",DF14="",DF15="",DF16="",DF18="",DF19="",DF20="",DF21=""),"",SUM($CO$6:DF6))</f>
        <v>432</v>
      </c>
      <c r="DG5" s="102">
        <f>IF(OR(DG13="",DG17="",DG14="",DG15="",DG16="",DG18="",DG19="",DG20="",DG21=""),"",SUM($CO$6:DG6))</f>
        <v>456</v>
      </c>
      <c r="DH5" s="102">
        <f>IF(OR(DH13="",DH17="",DH14="",DH15="",DH16="",DH18="",DH19="",DH20="",DH21=""),"",SUM($CO$6:DH6))</f>
        <v>480</v>
      </c>
      <c r="DI5" s="102">
        <f>IF(OR(DI13="",DI17="",DI14="",DI15="",DI16="",DI18="",DI19="",DI20="",DI21=""),"",SUM($CO$6:DI6))</f>
        <v>504</v>
      </c>
      <c r="DJ5" s="102">
        <f>IF(OR(DJ13="",DJ17="",DJ14="",DJ15="",DJ16="",DJ18="",DJ19="",DJ20="",DJ21=""),"",SUM($CO$6:DJ6))</f>
        <v>528</v>
      </c>
      <c r="DK5" s="102">
        <f>IF(OR(DK13="",DK17="",DK14="",DK15="",DK16="",DK18="",DK19="",DK20="",DK21=""),"",SUM($CO$6:DK6))</f>
        <v>552</v>
      </c>
      <c r="DL5" s="102">
        <f>IF(OR(DL13="",DL17="",DL14="",DL15="",DL16="",DL18="",DL19="",DL20="",DL21=""),"",SUM($CO$6:DL6))</f>
        <v>576</v>
      </c>
      <c r="DM5" s="102">
        <f>IF(OR(DM13="",DM17="",DM14="",DM15="",DM16="",DM18="",DM19="",DM20="",DM21=""),"",SUM($CO$6:DM6))</f>
        <v>600</v>
      </c>
      <c r="DN5" s="102">
        <f>IF(OR(DN13="",DN17="",DN14="",DN15="",DN16="",DN18="",DN19="",DN20="",DN21=""),"",SUM($CO$6:DN6))</f>
        <v>624</v>
      </c>
      <c r="DO5" s="102">
        <f>IF(OR(DO13="",DO17="",DO14="",DO15="",DO16="",DO18="",DO19="",DO20="",DO21=""),"",SUM($CO$6:DO6))</f>
        <v>648</v>
      </c>
      <c r="DP5" s="102">
        <f>IF(OR(DP13="",DP17="",DP14="",DP15="",DP16="",DP18="",DP19="",DP20="",DP21=""),"",SUM($CO$6:DP6))</f>
        <v>672</v>
      </c>
      <c r="DQ5" s="102">
        <f>IF(OR(DQ13="",DQ17="",DQ14="",DQ15="",DQ16="",DQ18="",DQ19="",DQ20="",DQ21=""),"",SUM($CO$6:DQ6))</f>
        <v>696</v>
      </c>
      <c r="DR5" s="102">
        <f>IF(OR(DR13="",DR17="",DR14="",DR15="",DR16="",DR18="",DR19="",DR20="",DR21=""),"",SUM($CO$6:DR6))</f>
        <v>720</v>
      </c>
      <c r="DS5" s="102">
        <f>IF(OR(DS13="",DS17="",DS14="",DS15="",DS16="",DS18="",DS19="",DS20="",DS21=""),"",SUM($DS$6:DS6))</f>
        <v>24</v>
      </c>
      <c r="DT5" s="102">
        <f>IF(OR(DT13="",DT17="",DT14="",DT15="",DT16="",DT18="",DT19="",DT20="",DT21=""),"",SUM($DS$6:DT6))</f>
        <v>48</v>
      </c>
      <c r="DU5" s="102">
        <f>IF(OR(DU13="",DU17="",DU14="",DU15="",DU16="",DU18="",DU19="",DU20="",DU21=""),"",SUM($DS$6:DU6))</f>
        <v>72</v>
      </c>
      <c r="DV5" s="102">
        <f>IF(OR(DV13="",DV17="",DV14="",DV15="",DV16="",DV18="",DV19="",DV20="",DV21=""),"",SUM($DS$6:DV6))</f>
        <v>96</v>
      </c>
      <c r="DW5" s="102">
        <f>IF(OR(DW13="",DW17="",DW14="",DW15="",DW16="",DW18="",DW19="",DW20="",DW21=""),"",SUM($DS$6:DW6))</f>
        <v>120</v>
      </c>
      <c r="DX5" s="102">
        <f>IF(OR(DX13="",DX17="",DX14="",DX15="",DX16="",DX18="",DX19="",DX20="",DX21=""),"",SUM($DS$6:DX6))</f>
        <v>144</v>
      </c>
      <c r="DY5" s="102">
        <f>IF(OR(DY13="",DY17="",DY14="",DY15="",DY16="",DY18="",DY19="",DY20="",DY21=""),"",SUM($DS$6:DY6))</f>
        <v>168</v>
      </c>
      <c r="DZ5" s="102">
        <f>IF(OR(DZ13="",DZ17="",DZ14="",DZ15="",DZ16="",DZ18="",DZ19="",DZ20="",DZ21=""),"",SUM($DS$6:DZ6))</f>
        <v>192</v>
      </c>
      <c r="EA5" s="102">
        <f>IF(OR(EA13="",EA17="",EA14="",EA15="",EA16="",EA18="",EA19="",EA20="",EA21=""),"",SUM($DS$6:EA6))</f>
        <v>216</v>
      </c>
      <c r="EB5" s="102">
        <f>IF(OR(EB13="",EB17="",EB14="",EB15="",EB16="",EB18="",EB19="",EB20="",EB21=""),"",SUM($DS$6:EB6))</f>
        <v>240</v>
      </c>
      <c r="EC5" s="102">
        <f>IF(OR(EC13="",EC17="",EC14="",EC15="",EC16="",EC18="",EC19="",EC20="",EC21=""),"",SUM($DS$6:EC6))</f>
        <v>264</v>
      </c>
      <c r="ED5" s="102">
        <f>IF(OR(ED13="",ED17="",ED14="",ED15="",ED16="",ED18="",ED19="",ED20="",ED21=""),"",SUM($DS$6:ED6))</f>
        <v>288</v>
      </c>
      <c r="EE5" s="102">
        <f>IF(OR(EE13="",EE17="",EE14="",EE15="",EE16="",EE18="",EE19="",EE20="",EE21=""),"",SUM($DS$6:EE6))</f>
        <v>312</v>
      </c>
      <c r="EF5" s="102">
        <f>IF(OR(EF13="",EF17="",EF14="",EF15="",EF16="",EF18="",EF19="",EF20="",EF21=""),"",SUM($DS$6:EF6))</f>
        <v>336</v>
      </c>
      <c r="EG5" s="102">
        <f>IF(OR(EG13="",EG17="",EG14="",EG15="",EG16="",EG18="",EG19="",EG20="",EG21=""),"",SUM($DS$6:EG6))</f>
        <v>360</v>
      </c>
      <c r="EH5" s="102">
        <f>IF(OR(EH13="",EH17="",EH14="",EH15="",EH16="",EH18="",EH19="",EH20="",EH21=""),"",SUM($DS$6:EH6))</f>
        <v>384</v>
      </c>
      <c r="EI5" s="102">
        <f>IF(OR(EI13="",EI17="",EI14="",EI15="",EI16="",EI18="",EI19="",EI20="",EI21=""),"",SUM($DS$6:EI6))</f>
        <v>408</v>
      </c>
      <c r="EJ5" s="102">
        <f>IF(OR(EJ13="",EJ17="",EJ14="",EJ15="",EJ16="",EJ18="",EJ19="",EJ20="",EJ21=""),"",SUM($DS$6:EJ6))</f>
        <v>432</v>
      </c>
      <c r="EK5" s="102">
        <f>IF(OR(EK13="",EK17="",EK14="",EK15="",EK16="",EK18="",EK19="",EK20="",EK21=""),"",SUM($DS$6:EK6))</f>
        <v>456</v>
      </c>
      <c r="EL5" s="102">
        <f>IF(OR(EL13="",EL17="",EL14="",EL15="",EL16="",EL18="",EL19="",EL20="",EL21=""),"",SUM($DS$6:EL6))</f>
        <v>480</v>
      </c>
      <c r="EM5" s="102">
        <f>IF(OR(EM13="",EM17="",EM14="",EM15="",EM16="",EM18="",EM19="",EM20="",EM21=""),"",SUM($DS$6:EM6))</f>
        <v>504</v>
      </c>
      <c r="EN5" s="102">
        <f>IF(OR(EN13="",EN17="",EN14="",EN15="",EN16="",EN18="",EN19="",EN20="",EN21=""),"",SUM($DS$6:EN6))</f>
        <v>528</v>
      </c>
      <c r="EO5" s="102">
        <f>IF(OR(EO13="",EO17="",EO14="",EO15="",EO16="",EO18="",EO19="",EO20="",EO21=""),"",SUM($DS$6:EO6))</f>
        <v>552</v>
      </c>
      <c r="EP5" s="102">
        <f>IF(OR(EP13="",EP17="",EP14="",EP15="",EP16="",EP18="",EP19="",EP20="",EP21=""),"",SUM($DS$6:EP6))</f>
        <v>576</v>
      </c>
      <c r="EQ5" s="102">
        <f>IF(OR(EQ13="",EQ17="",EQ14="",EQ15="",EQ16="",EQ18="",EQ19="",EQ20="",EQ21=""),"",SUM($DS$6:EQ6))</f>
        <v>600</v>
      </c>
      <c r="ER5" s="102">
        <f>IF(OR(ER13="",ER17="",ER14="",ER15="",ER16="",ER18="",ER19="",ER20="",ER21=""),"",SUM($DS$6:ER6))</f>
        <v>624</v>
      </c>
      <c r="ES5" s="102">
        <f>IF(OR(ES13="",ES17="",ES14="",ES15="",ES16="",ES18="",ES19="",ES20="",ES21=""),"",SUM($DS$6:ES6))</f>
        <v>648</v>
      </c>
      <c r="ET5" s="102">
        <f>IF(OR(ET13="",ET17="",ET14="",ET15="",ET16="",ET18="",ET19="",ET20="",ET21=""),"",SUM($DS$6:ET6))</f>
        <v>672</v>
      </c>
      <c r="EU5" s="102">
        <f>IF(OR(EU13="",EU17="",EU14="",EU15="",EU16="",EU18="",EU19="",EU20="",EU21=""),"",SUM($DS$6:EU6))</f>
        <v>696</v>
      </c>
      <c r="EV5" s="102">
        <f>IF(OR(EV13="",EV17="",EV14="",EV15="",EV16="",EV18="",EV19="",EV20="",EV21=""),"",SUM($DS$6:EV6))</f>
        <v>720</v>
      </c>
      <c r="EW5" s="102">
        <f>IF(OR(EW13="",EW17="",EW14="",EW15="",EW16="",EW18="",EW19="",EW20="",EW21=""),"",SUM($DS$6:EW6))</f>
        <v>744</v>
      </c>
      <c r="EX5" s="102">
        <f>IF(EX4="","",EX6)</f>
        <v>24</v>
      </c>
      <c r="EY5" s="102">
        <f>IF(OR(EY13="",EY17="",EY14="",EY15="",EY16="",EY18="",EY19="",EY20="",EY21=""),"",SUM($EX$6:EY6))</f>
        <v>48</v>
      </c>
      <c r="EZ5" s="102">
        <f>IF(OR(EZ13="",EZ17="",EZ14="",EZ15="",EZ16="",EZ18="",EZ19="",EZ20="",EZ21=""),"",SUM($EX$6:EZ6))</f>
        <v>72</v>
      </c>
      <c r="FA5" s="102">
        <f>IF(OR(FA13="",FA17="",FA14="",FA15="",FA16="",FA18="",FA19="",FA20="",FA21=""),"",SUM($EX$6:FA6))</f>
        <v>96</v>
      </c>
      <c r="FB5" s="102">
        <f>IF(OR(FB13="",FB17="",FB14="",FB15="",FB16="",FB18="",FB19="",FB20="",FB21=""),"",SUM($EX$6:FB6))</f>
        <v>120</v>
      </c>
      <c r="FC5" s="102">
        <f>IF(OR(FC13="",FC17="",FC14="",FC15="",FC16="",FC18="",FC19="",FC20="",FC21=""),"",SUM($EX$6:FC6))</f>
        <v>144</v>
      </c>
      <c r="FD5" s="102">
        <f>IF(OR(FD13="",FD17="",FD14="",FD15="",FD16="",FD18="",FD19="",FD20="",FD21=""),"",SUM($EX$6:FD6))</f>
        <v>168</v>
      </c>
      <c r="FE5" s="102">
        <f>IF(OR(FE13="",FE17="",FE14="",FE15="",FE16="",FE18="",FE19="",FE20="",FE21=""),"",SUM($EX$6:FE6))</f>
        <v>192</v>
      </c>
      <c r="FF5" s="102">
        <f>IF(OR(FF13="",FF17="",FF14="",FF15="",FF16="",FF18="",FF19="",FF20="",FF21=""),"",SUM($EX$6:FF6))</f>
        <v>216</v>
      </c>
      <c r="FG5" s="102">
        <f>IF(OR(FG13="",FG17="",FG14="",FG15="",FG16="",FG18="",FG19="",FG20="",FG21=""),"",SUM($EX$6:FG6))</f>
        <v>240</v>
      </c>
      <c r="FH5" s="102">
        <f>IF(OR(FH13="",FH17="",FH14="",FH15="",FH16="",FH18="",FH19="",FH20="",FH21=""),"",SUM($EX$6:FH6))</f>
        <v>264</v>
      </c>
      <c r="FI5" s="102">
        <f>IF(OR(FI13="",FI17="",FI14="",FI15="",FI16="",FI18="",FI19="",FI20="",FI21=""),"",SUM($EX$6:FI6))</f>
        <v>288</v>
      </c>
      <c r="FJ5" s="102">
        <f>IF(OR(FJ13="",FJ17="",FJ14="",FJ15="",FJ16="",FJ18="",FJ19="",FJ20="",FJ21=""),"",SUM($EX$6:FJ6))</f>
        <v>312</v>
      </c>
      <c r="FK5" s="102">
        <f>IF(OR(FK13="",FK17="",FK14="",FK15="",FK16="",FK18="",FK19="",FK20="",FK21=""),"",SUM($EX$6:FK6))</f>
        <v>336</v>
      </c>
      <c r="FL5" s="102">
        <f>IF(OR(FL13="",FL17="",FL14="",FL15="",FL16="",FL18="",FL19="",FL20="",FL21=""),"",SUM($EX$6:FL6))</f>
        <v>360</v>
      </c>
      <c r="FM5" s="102">
        <f>IF(OR(FM13="",FM17="",FM14="",FM15="",FM16="",FM18="",FM19="",FM20="",FM21=""),"",SUM($EX$6:FM6))</f>
        <v>384</v>
      </c>
      <c r="FN5" s="102">
        <f>IF(OR(FN13="",FN17="",FN14="",FN15="",FN16="",FN18="",FN19="",FN20="",FN21=""),"",SUM($EX$6:FN6))</f>
        <v>408</v>
      </c>
      <c r="FO5" s="102">
        <f>IF(OR(FO13="",FO17="",FO14="",FO15="",FO16="",FO18="",FO19="",FO20="",FO21=""),"",SUM($EX$6:FO6))</f>
        <v>432</v>
      </c>
      <c r="FP5" s="102">
        <f>IF(OR(FP13="",FP17="",FP14="",FP15="",FP16="",FP18="",FP19="",FP20="",FP21=""),"",SUM($EX$6:FP6))</f>
        <v>456</v>
      </c>
      <c r="FQ5" s="102">
        <f>IF(OR(FQ13="",FQ17="",FQ14="",FQ15="",FQ16="",FQ18="",FQ19="",FQ20="",FQ21=""),"",SUM($EX$6:FQ6))</f>
        <v>480</v>
      </c>
      <c r="FR5" s="102">
        <f>IF(OR(FR13="",FR17="",FR14="",FR15="",FR16="",FR18="",FR19="",FR20="",FR21=""),"",SUM($EX$6:FR6))</f>
        <v>504</v>
      </c>
      <c r="FS5" s="102">
        <f>IF(OR(FS13="",FS17="",FS14="",FS15="",FS16="",FS18="",FS19="",FS20="",FS21=""),"",SUM($EX$6:FS6))</f>
        <v>528</v>
      </c>
      <c r="FT5" s="102">
        <f>IF(OR(FT13="",FT17="",FT14="",FT15="",FT16="",FT18="",FT19="",FT20="",FT21=""),"",SUM($EX$6:FT6))</f>
        <v>552</v>
      </c>
      <c r="FU5" s="102">
        <f>IF(OR(FU13="",FU17="",FU14="",FU15="",FU16="",FU18="",FU19="",FU20="",FU21=""),"",SUM($EX$6:FU6))</f>
        <v>576</v>
      </c>
      <c r="FV5" s="102">
        <f>IF(OR(FV13="",FV17="",FV14="",FV15="",FV16="",FV18="",FV19="",FV20="",FV21=""),"",SUM($EX$6:FV6))</f>
        <v>600</v>
      </c>
      <c r="FW5" s="102">
        <f>IF(OR(FW13="",FW17="",FW14="",FW15="",FW16="",FW18="",FW19="",FW20="",FW21=""),"",SUM($EX$6:FW6))</f>
        <v>624</v>
      </c>
      <c r="FX5" s="102">
        <f>IF(OR(FX13="",FX17="",FX14="",FX15="",FX16="",FX18="",FX19="",FX20="",FX21=""),"",SUM($EX$6:FX6))</f>
        <v>648</v>
      </c>
      <c r="FY5" s="102">
        <f>IF(OR(FY13="",FY17="",FY14="",FY15="",FY16="",FY18="",FY19="",FY20="",FY21=""),"",SUM($EX$6:FY6))</f>
        <v>672</v>
      </c>
      <c r="FZ5" s="102">
        <f>IF(OR(FZ13="",FZ17="",FZ14="",FZ15="",FZ16="",FZ18="",FZ19="",FZ20="",FZ21=""),"",SUM($EX$6:FZ6))</f>
        <v>696</v>
      </c>
      <c r="GA5" s="102">
        <f>IF(OR(GA13="",GA17="",GA14="",GA15="",GA16="",GA18="",GA19="",GA20="",GA21=""),"",SUM($EX$6:GA6))</f>
        <v>720</v>
      </c>
      <c r="GB5" s="102">
        <f>IF(GB4="","",GB6)</f>
        <v>24</v>
      </c>
      <c r="GC5" s="102">
        <f>IF(OR(GC13="",GC17="",GC14="",GC15="",GC16="",GC18="",GC19="",GC20="",GC21=""),"",SUM($GB$6:GC6))</f>
        <v>48</v>
      </c>
      <c r="GD5" s="102">
        <f>IF(OR(GD13="",GD17="",GD14="",GD15="",GD16="",GD18="",GD19="",GD20="",GD21=""),"",SUM($GB$6:GD6))</f>
        <v>72</v>
      </c>
      <c r="GE5" s="102">
        <f>IF(OR(GE13="",GE17="",GE14="",GE15="",GE16="",GE18="",GE19="",GE20="",GE21=""),"",SUM($GB$6:GE6))</f>
        <v>96</v>
      </c>
      <c r="GF5" s="102">
        <f>IF(OR(GF13="",GF17="",GF14="",GF15="",GF16="",GF18="",GF19="",GF20="",GF21=""),"",SUM($GB$6:GF6))</f>
        <v>120</v>
      </c>
      <c r="GG5" s="102">
        <f>IF(OR(GG13="",GG17="",GG14="",GG15="",GG16="",GG18="",GG19="",GG20="",GG21=""),"",SUM($GB$6:GG6))</f>
        <v>144</v>
      </c>
      <c r="GH5" s="102">
        <f>IF(OR(GH13="",GH17="",GH14="",GH15="",GH16="",GH18="",GH19="",GH20="",GH21=""),"",SUM($GB$6:GH6))</f>
        <v>168</v>
      </c>
      <c r="GI5" s="102">
        <f>IF(OR(GI13="",GI17="",GI14="",GI15="",GI16="",GI18="",GI19="",GI20="",GI21=""),"",SUM($GB$6:GI6))</f>
        <v>192</v>
      </c>
      <c r="GJ5" s="102">
        <f>IF(OR(GJ13="",GJ17="",GJ14="",GJ15="",GJ16="",GJ18="",GJ19="",GJ20="",GJ21=""),"",SUM($GB$6:GJ6))</f>
        <v>216</v>
      </c>
      <c r="GK5" s="102">
        <f>IF(OR(GK13="",GK17="",GK14="",GK15="",GK16="",GK18="",GK19="",GK20="",GK21=""),"",SUM($GB$6:GK6))</f>
        <v>240</v>
      </c>
      <c r="GL5" s="102">
        <f>IF(OR(GL13="",GL17="",GL14="",GL15="",GL16="",GL18="",GL19="",GL20="",GL21=""),"",SUM($GB$6:GL6))</f>
        <v>264</v>
      </c>
      <c r="GM5" s="102">
        <f>IF(OR(GM13="",GM17="",GM14="",GM15="",GM16="",GM18="",GM19="",GM20="",GM21=""),"",SUM($GB$6:GM6))</f>
        <v>288</v>
      </c>
      <c r="GN5" s="102">
        <f>IF(OR(GN13="",GN17="",GN14="",GN15="",GN16="",GN18="",GN19="",GN20="",GN21=""),"",SUM($GB$6:GN6))</f>
        <v>312</v>
      </c>
      <c r="GO5" s="102">
        <f>IF(OR(GO13="",GO17="",GO14="",GO15="",GO16="",GO18="",GO19="",GO20="",GO21=""),"",SUM($GB$6:GO6))</f>
        <v>336</v>
      </c>
      <c r="GP5" s="102">
        <f>IF(OR(GP13="",GP17="",GP14="",GP15="",GP16="",GP18="",GP19="",GP20="",GP21=""),"",SUM($GB$6:GP6))</f>
        <v>360</v>
      </c>
      <c r="GQ5" s="102">
        <f>IF(OR(GQ13="",GQ17="",GQ14="",GQ15="",GQ16="",GQ18="",GQ19="",GQ20="",GQ21=""),"",SUM($GB$6:GQ6))</f>
        <v>384</v>
      </c>
      <c r="GR5" s="102">
        <f>IF(OR(GR13="",GR17="",GR14="",GR15="",GR16="",GR18="",GR19="",GR20="",GR21=""),"",SUM($GB$6:GR6))</f>
        <v>408</v>
      </c>
      <c r="GS5" s="102">
        <f>IF(OR(GS13="",GS17="",GS14="",GS15="",GS16="",GS18="",GS19="",GS20="",GS21=""),"",SUM($GB$6:GS6))</f>
        <v>432</v>
      </c>
      <c r="GT5" s="102">
        <f>IF(OR(GT13="",GT17="",GT14="",GT15="",GT16="",GT18="",GT19="",GT20="",GT21=""),"",SUM($GB$6:GT6))</f>
        <v>456</v>
      </c>
      <c r="GU5" s="102">
        <f>IF(OR(GU13="",GU17="",GU14="",GU15="",GU16="",GU18="",GU19="",GU20="",GU21=""),"",SUM($GB$6:GU6))</f>
        <v>480</v>
      </c>
      <c r="GV5" s="102">
        <f>IF(OR(GV13="",GV17="",GV14="",GV15="",GV16="",GV18="",GV19="",GV20="",GV21=""),"",SUM($GB$6:GV6))</f>
        <v>504</v>
      </c>
      <c r="GW5" s="102">
        <f>IF(OR(GW13="",GW17="",GW14="",GW15="",GW16="",GW18="",GW19="",GW20="",GW21=""),"",SUM($GB$6:GW6))</f>
        <v>528</v>
      </c>
      <c r="GX5" s="102">
        <f>IF(OR(GX13="",GX17="",GX14="",GX15="",GX16="",GX18="",GX19="",GX20="",GX21=""),"",SUM($GB$6:GX6))</f>
        <v>552</v>
      </c>
      <c r="GY5" s="102">
        <f>IF(OR(GY13="",GY17="",GY14="",GY15="",GY16="",GY18="",GY19="",GY20="",GY21=""),"",SUM($GB$6:GY6))</f>
        <v>576</v>
      </c>
      <c r="GZ5" s="102">
        <f>IF(OR(GZ13="",GZ17="",GZ14="",GZ15="",GZ16="",GZ18="",GZ19="",GZ20="",GZ21=""),"",SUM($GB$6:GZ6))</f>
        <v>600</v>
      </c>
      <c r="HA5" s="102">
        <f>IF(OR(HA13="",HA17="",HA14="",HA15="",HA16="",HA18="",HA19="",HA20="",HA21=""),"",SUM($GB$6:HA6))</f>
        <v>624</v>
      </c>
      <c r="HB5" s="102">
        <f>IF(OR(HB13="",HB17="",HB14="",HB15="",HB16="",HB18="",HB19="",HB20="",HB21=""),"",SUM($GB$6:HB6))</f>
        <v>648</v>
      </c>
      <c r="HC5" s="102">
        <f>IF(OR(HC13="",HC17="",HC14="",HC15="",HC16="",HC18="",HC19="",HC20="",HC21=""),"",SUM($GB$6:HC6))</f>
        <v>672</v>
      </c>
      <c r="HD5" s="102">
        <f>IF(OR(HD13="",HD17="",HD14="",HD15="",HD16="",HD18="",HD19="",HD20="",HD21=""),"",SUM($GB$6:HD6))</f>
        <v>696</v>
      </c>
      <c r="HE5" s="102">
        <f>IF(OR(HE13="",HE17="",HE14="",HE15="",HE16="",HE18="",HE19="",HE20="",HE21=""),"",SUM($GB$6:HE6))</f>
        <v>720</v>
      </c>
      <c r="HF5" s="102">
        <f>IF(OR(HF13="",HF17="",HF14="",HF15="",HF16="",HF18="",HF19="",HF20="",HF21=""),"",SUM($GB$6:HF6))</f>
        <v>744</v>
      </c>
      <c r="HG5" s="102">
        <f>IF(HG4="","",HG6)</f>
        <v>24</v>
      </c>
      <c r="HH5" s="102">
        <f>IF(OR(HH13="",HH17="",HH14="",HH15="",HH16="",HH18="",HH19="",HH20="",HH21=""),"",SUM($HG$6:HH6))</f>
        <v>48</v>
      </c>
      <c r="HI5" s="102">
        <f>IF(OR(HI13="",HI17="",HI14="",HI15="",HI16="",HI18="",HI19="",HI20="",HI21=""),"",SUM($HG$6:HI6))</f>
        <v>72</v>
      </c>
      <c r="HJ5" s="102">
        <f>IF(OR(HJ13="",HJ17="",HJ14="",HJ15="",HJ16="",HJ18="",HJ19="",HJ20="",HJ21=""),"",SUM($HG$6:HJ6))</f>
        <v>96</v>
      </c>
      <c r="HK5" s="102">
        <f>IF(OR(HK13="",HK17="",HK14="",HK15="",HK16="",HK18="",HK19="",HK20="",HK21=""),"",SUM($HG$6:HK6))</f>
        <v>120</v>
      </c>
      <c r="HL5" s="102">
        <f>IF(OR(HL13="",HL17="",HL14="",HL15="",HL16="",HL18="",HL19="",HL20="",HL21=""),"",SUM($HG$6:HL6))</f>
        <v>144</v>
      </c>
      <c r="HM5" s="102">
        <f>IF(OR(HM13="",HM17="",HM14="",HM15="",HM16="",HM18="",HM19="",HM20="",HM21=""),"",SUM($HG$6:HM6))</f>
        <v>168</v>
      </c>
      <c r="HN5" s="102">
        <f>IF(OR(HN13="",HN17="",HN14="",HN15="",HN16="",HN18="",HN19="",HN20="",HN21=""),"",SUM($HG$6:HN6))</f>
        <v>192</v>
      </c>
      <c r="HO5" s="102">
        <f>IF(OR(HO13="",HO17="",HO14="",HO15="",HO16="",HO18="",HO19="",HO20="",HO21=""),"",SUM($HG$6:HO6))</f>
        <v>216</v>
      </c>
      <c r="HP5" s="102">
        <f>IF(OR(HP13="",HP17="",HP14="",HP15="",HP16="",HP18="",HP19="",HP20="",HP21=""),"",SUM($HG$6:HP6))</f>
        <v>240</v>
      </c>
      <c r="HQ5" s="102">
        <f>IF(OR(HQ13="",HQ17="",HQ14="",HQ15="",HQ16="",HQ18="",HQ19="",HQ20="",HQ21=""),"",SUM($HG$6:HQ6))</f>
        <v>264</v>
      </c>
      <c r="HR5" s="102">
        <f>IF(OR(HR13="",HR17="",HR14="",HR15="",HR16="",HR18="",HR19="",HR20="",HR21=""),"",SUM($HG$6:HR6))</f>
        <v>288</v>
      </c>
      <c r="HS5" s="102">
        <f>IF(OR(HS13="",HS17="",HS14="",HS15="",HS16="",HS18="",HS19="",HS20="",HS21=""),"",SUM($HG$6:HS6))</f>
        <v>312</v>
      </c>
      <c r="HT5" s="102">
        <f>IF(OR(HT13="",HT17="",HT14="",HT15="",HT16="",HT18="",HT19="",HT20="",HT21=""),"",SUM($HG$6:HT6))</f>
        <v>336</v>
      </c>
      <c r="HU5" s="102">
        <f>IF(OR(HU13="",HU17="",HU14="",HU15="",HU16="",HU18="",HU19="",HU20="",HU21=""),"",SUM($HG$6:HU6))</f>
        <v>360</v>
      </c>
      <c r="HV5" s="102">
        <f>IF(OR(HV13="",HV17="",HV14="",HV15="",HV16="",HV18="",HV19="",HV20="",HV21=""),"",SUM($HG$6:HV6))</f>
        <v>384</v>
      </c>
      <c r="HW5" s="102">
        <f>IF(OR(HW13="",HW17="",HW14="",HW15="",HW16="",HW18="",HW19="",HW20="",HW21=""),"",SUM($HG$6:HW6))</f>
        <v>408</v>
      </c>
      <c r="HX5" s="102">
        <f>IF(OR(HX13="",HX17="",HX14="",HX15="",HX16="",HX18="",HX19="",HX20="",HX21=""),"",SUM($HG$6:HX6))</f>
        <v>432</v>
      </c>
      <c r="HY5" s="102">
        <f>IF(OR(HY13="",HY17="",HY14="",HY15="",HY16="",HY18="",HY19="",HY20="",HY21=""),"",SUM($HG$6:HY6))</f>
        <v>456</v>
      </c>
      <c r="HZ5" s="102">
        <f>IF(OR(HZ13="",HZ17="",HZ14="",HZ15="",HZ16="",HZ18="",HZ19="",HZ20="",HZ21=""),"",SUM($HG$6:HZ6))</f>
        <v>480</v>
      </c>
      <c r="IA5" s="102">
        <f>IF(OR(IA13="",IA17="",IA14="",IA15="",IA16="",IA18="",IA19="",IA20="",IA21=""),"",SUM($HG$6:IA6))</f>
        <v>504</v>
      </c>
      <c r="IB5" s="102">
        <f>IF(OR(IB13="",IB17="",IB14="",IB15="",IB16="",IB18="",IB19="",IB20="",IB21=""),"",SUM($HG$6:IB6))</f>
        <v>528</v>
      </c>
      <c r="IC5" s="102">
        <f>IF(OR(IC13="",IC17="",IC14="",IC15="",IC16="",IC18="",IC19="",IC20="",IC21=""),"",SUM($HG$6:IC6))</f>
        <v>552</v>
      </c>
      <c r="ID5" s="102">
        <f>IF(OR(ID13="",ID17="",ID14="",ID15="",ID16="",ID18="",ID19="",ID20="",ID21=""),"",SUM($HG$6:ID6))</f>
        <v>576</v>
      </c>
      <c r="IE5" s="102">
        <f>IF(OR(IE13="",IE17="",IE14="",IE15="",IE16="",IE18="",IE19="",IE20="",IE21=""),"",SUM($HG$6:IE6))</f>
        <v>600</v>
      </c>
      <c r="IF5" s="102">
        <f>IF(OR(IF13="",IF17="",IF14="",IF15="",IF16="",IF18="",IF19="",IF20="",IF21=""),"",SUM($HG$6:IF6))</f>
        <v>624</v>
      </c>
      <c r="IG5" s="102">
        <f>IF(OR(IG13="",IG17="",IG14="",IG15="",IG16="",IG18="",IG19="",IG20="",IG21=""),"",SUM($HG$6:IG6))</f>
        <v>648</v>
      </c>
      <c r="IH5" s="102">
        <f>IF(OR(IH13="",IH17="",IH14="",IH15="",IH16="",IH18="",IH19="",IH20="",IH21=""),"",SUM($HG$6:IH6))</f>
        <v>672</v>
      </c>
      <c r="II5" s="102">
        <f>IF(OR(II13="",II17="",II14="",II15="",II16="",II18="",II19="",II20="",II21=""),"",SUM($HG$6:II6))</f>
        <v>696</v>
      </c>
      <c r="IJ5" s="102">
        <f>IF(OR(IJ13="",IJ17="",IJ14="",IJ15="",IJ16="",IJ18="",IJ19="",IJ20="",IJ21=""),"",SUM($HG$6:IJ6))</f>
        <v>720</v>
      </c>
      <c r="IK5" s="102">
        <f>IF(OR(IK13="",IK17="",IK14="",IK15="",IK16="",IK18="",IK19="",IK20="",IK21=""),"",SUM($HG$6:IK6))</f>
        <v>744</v>
      </c>
      <c r="IL5" s="102">
        <f>IF(IL4="","",IL6)</f>
        <v>24</v>
      </c>
      <c r="IM5" s="102">
        <f>IF(OR(IM13="",IM17="",IM14="",IM15="",IM16="",IM18="",IM19="",IM20="",IM21=""),"",SUM($IL$6:IM6))</f>
        <v>48</v>
      </c>
      <c r="IN5" s="102">
        <f>IF(OR(IN13="",IN17="",IN14="",IN15="",IN16="",IN18="",IN19="",IN20="",IN21=""),"",SUM($IL$6:IN6))</f>
        <v>72</v>
      </c>
      <c r="IO5" s="102">
        <f>IF(OR(IO13="",IO17="",IO14="",IO15="",IO16="",IO18="",IO19="",IO20="",IO21=""),"",SUM($IL$6:IO6))</f>
        <v>96</v>
      </c>
      <c r="IP5" s="102">
        <f>IF(OR(IP13="",IP17="",IP14="",IP15="",IP16="",IP18="",IP19="",IP20="",IP21=""),"",SUM($IL$6:IP6))</f>
        <v>120</v>
      </c>
      <c r="IQ5" s="102">
        <f>IF(OR(IQ13="",IQ17="",IQ14="",IQ15="",IQ16="",IQ18="",IQ19="",IQ20="",IQ21=""),"",SUM($IL$6:IQ6))</f>
        <v>144</v>
      </c>
      <c r="IR5" s="102">
        <f>IF(OR(IR13="",IR17="",IR14="",IR15="",IR16="",IR18="",IR19="",IR20="",IR21=""),"",SUM($IL$6:IR6))</f>
        <v>168</v>
      </c>
      <c r="IS5" s="102">
        <f>IF(OR(IS13="",IS17="",IS14="",IS15="",IS16="",IS18="",IS19="",IS20="",IS21=""),"",SUM($IL$6:IS6))</f>
        <v>192</v>
      </c>
      <c r="IT5" s="102">
        <f>IF(OR(IT13="",IT17="",IT14="",IT15="",IT16="",IT18="",IT19="",IT20="",IT21=""),"",SUM($IL$6:IT6))</f>
        <v>216</v>
      </c>
      <c r="IU5" s="102">
        <f>IF(OR(IU13="",IU17="",IU14="",IU15="",IU16="",IU18="",IU19="",IU20="",IU21=""),"",SUM($IL$6:IU6))</f>
        <v>240</v>
      </c>
      <c r="IV5" s="102">
        <f>IF(OR(IV13="",IV17="",IV14="",IV15="",IV16="",IV18="",IV19="",IV20="",IV21=""),"",SUM($IL$6:IV6))</f>
        <v>264</v>
      </c>
      <c r="IW5" s="102">
        <f>IF(OR(IW13="",IW17="",IW14="",IW15="",IW16="",IW18="",IW19="",IW20="",IW21=""),"",SUM($IL$6:IW6))</f>
        <v>288</v>
      </c>
      <c r="IX5" s="102">
        <f>IF(OR(IX13="",IX17="",IX14="",IX15="",IX16="",IX18="",IX19="",IX20="",IX21=""),"",SUM($IL$6:IX6))</f>
        <v>312</v>
      </c>
      <c r="IY5" s="102">
        <f>IF(OR(IY13="",IY17="",IY14="",IY15="",IY16="",IY18="",IY19="",IY20="",IY21=""),"",SUM($IL$6:IY6))</f>
        <v>336</v>
      </c>
      <c r="IZ5" s="102">
        <f>IF(OR(IZ13="",IZ17="",IZ14="",IZ15="",IZ16="",IZ18="",IZ19="",IZ20="",IZ21=""),"",SUM($IL$6:IZ6))</f>
        <v>360</v>
      </c>
      <c r="JA5" s="102">
        <f>IF(OR(JA13="",JA17="",JA14="",JA15="",JA16="",JA18="",JA19="",JA20="",JA21=""),"",SUM($IL$6:JA6))</f>
        <v>384</v>
      </c>
      <c r="JB5" s="102">
        <f>IF(OR(JB13="",JB17="",JB14="",JB15="",JB16="",JB18="",JB19="",JB20="",JB21=""),"",SUM($IL$6:JB6))</f>
        <v>408</v>
      </c>
      <c r="JC5" s="102">
        <f>IF(OR(JC13="",JC17="",JC14="",JC15="",JC16="",JC18="",JC19="",JC20="",JC21=""),"",SUM($IL$6:JC6))</f>
        <v>432</v>
      </c>
      <c r="JD5" s="102">
        <f>IF(OR(JD13="",JD17="",JD14="",JD15="",JD16="",JD18="",JD19="",JD20="",JD21=""),"",SUM($IL$6:JD6))</f>
        <v>456</v>
      </c>
      <c r="JE5" s="102">
        <f>IF(OR(JE13="",JE17="",JE14="",JE15="",JE16="",JE18="",JE19="",JE20="",JE21=""),"",SUM($IL$6:JE6))</f>
        <v>480</v>
      </c>
      <c r="JF5" s="102">
        <f>IF(OR(JF13="",JF17="",JF14="",JF15="",JF16="",JF18="",JF19="",JF20="",JF21=""),"",SUM($IL$6:JF6))</f>
        <v>504</v>
      </c>
      <c r="JG5" s="102">
        <f>IF(OR(JG13="",JG17="",JG14="",JG15="",JG16="",JG18="",JG19="",JG20="",JG21=""),"",SUM($IL$6:JG6))</f>
        <v>528</v>
      </c>
      <c r="JH5" s="102">
        <f>IF(OR(JH13="",JH17="",JH14="",JH15="",JH16="",JH18="",JH19="",JH20="",JH21=""),"",SUM($IL$6:JH6))</f>
        <v>552</v>
      </c>
      <c r="JI5" s="102">
        <f>IF(OR(JI13="",JI17="",JI14="",JI15="",JI16="",JI18="",JI19="",JI20="",JI21=""),"",SUM($IL$6:JI6))</f>
        <v>576</v>
      </c>
      <c r="JJ5" s="102">
        <f>IF(OR(JJ13="",JJ17="",JJ14="",JJ15="",JJ16="",JJ18="",JJ19="",JJ20="",JJ21=""),"",SUM($IL$6:JJ6))</f>
        <v>600</v>
      </c>
      <c r="JK5" s="102">
        <f>IF(OR(JK13="",JK17="",JK14="",JK15="",JK16="",JK18="",JK19="",JK20="",JK21=""),"",SUM($IL$6:JK6))</f>
        <v>624</v>
      </c>
      <c r="JL5" s="102">
        <f>IF(OR(JL13="",JL17="",JL14="",JL15="",JL16="",JL18="",JL19="",JL20="",JL21=""),"",SUM($IL$6:JL6))</f>
        <v>648</v>
      </c>
      <c r="JM5" s="102">
        <f>IF(OR(JM13="",JM17="",JM14="",JM15="",JM16="",JM18="",JM19="",JM20="",JM21=""),"",SUM($IL$6:JM6))</f>
        <v>672</v>
      </c>
      <c r="JN5" s="102">
        <f>IF(OR(JN13="",JN17="",JN14="",JN15="",JN16="",JN18="",JN19="",JN20="",JN21=""),"",SUM($IL$6:JN6))</f>
        <v>696</v>
      </c>
      <c r="JO5" s="102">
        <f>IF(OR(JO13="",JO17="",JO14="",JO15="",JO16="",JO18="",JO19="",JO20="",JO21=""),"",SUM($IL$6:JO6))</f>
        <v>720</v>
      </c>
      <c r="JP5" s="102">
        <f>IF(JP4="","",JP6)</f>
        <v>24</v>
      </c>
      <c r="JQ5" s="102">
        <f>IF(OR(JQ13="",JQ17="",JQ14="",JQ15="",JQ16="",JQ18="",JQ19="",JQ20="",JQ21=""),"",SUM($JP$6:JQ6))</f>
        <v>48</v>
      </c>
      <c r="JR5" s="102">
        <f>IF(OR(JR13="",JR17="",JR14="",JR15="",JR16="",JR18="",JR19="",JR20="",JR21=""),"",SUM($JP$6:JR6))</f>
        <v>72</v>
      </c>
      <c r="JS5" s="102">
        <f>IF(OR(JS13="",JS17="",JS14="",JS15="",JS16="",JS18="",JS19="",JS20="",JS21=""),"",SUM($JP$6:JS6))</f>
        <v>96</v>
      </c>
      <c r="JT5" s="102">
        <f>IF(OR(JT13="",JT17="",JT14="",JT15="",JT16="",JT18="",JT19="",JT20="",JT21=""),"",SUM($JP$6:JT6))</f>
        <v>120</v>
      </c>
      <c r="JU5" s="102">
        <f>IF(OR(JU13="",JU17="",JU14="",JU15="",JU16="",JU18="",JU19="",JU20="",JU21=""),"",SUM($JP$6:JU6))</f>
        <v>144</v>
      </c>
      <c r="JV5" s="102">
        <f>IF(OR(JV13="",JV17="",JV14="",JV15="",JV16="",JV18="",JV19="",JV20="",JV21=""),"",SUM($JP$6:JV6))</f>
        <v>168</v>
      </c>
      <c r="JW5" s="102">
        <f>IF(OR(JW13="",JW17="",JW14="",JW15="",JW16="",JW18="",JW19="",JW20="",JW21=""),"",SUM($JP$6:JW6))</f>
        <v>192</v>
      </c>
      <c r="JX5" s="102">
        <f>IF(OR(JX13="",JX17="",JX14="",JX15="",JX16="",JX18="",JX19="",JX20="",JX21=""),"",SUM($JP$6:JX6))</f>
        <v>216</v>
      </c>
      <c r="JY5" s="102">
        <f>IF(OR(JY13="",JY17="",JY14="",JY15="",JY16="",JY18="",JY19="",JY20="",JY21=""),"",SUM($JP$6:JY6))</f>
        <v>240</v>
      </c>
      <c r="JZ5" s="102">
        <f>IF(OR(JZ13="",JZ17="",JZ14="",JZ15="",JZ16="",JZ18="",JZ19="",JZ20="",JZ21=""),"",SUM($JP$6:JZ6))</f>
        <v>264</v>
      </c>
      <c r="KA5" s="102">
        <f>IF(OR(KA13="",KA17="",KA14="",KA15="",KA16="",KA18="",KA19="",KA20="",KA21=""),"",SUM($JP$6:KA6))</f>
        <v>288</v>
      </c>
      <c r="KB5" s="102">
        <f>IF(OR(KB13="",KB17="",KB14="",KB15="",KB16="",KB18="",KB19="",KB20="",KB21=""),"",SUM($JP$6:KB6))</f>
        <v>312</v>
      </c>
      <c r="KC5" s="102">
        <f>IF(OR(KC13="",KC17="",KC14="",KC15="",KC16="",KC18="",KC19="",KC20="",KC21=""),"",SUM($JP$6:KC6))</f>
        <v>336</v>
      </c>
      <c r="KD5" s="102">
        <f>IF(OR(KD13="",KD17="",KD14="",KD15="",KD16="",KD18="",KD19="",KD20="",KD21=""),"",SUM($JP$6:KD6))</f>
        <v>360</v>
      </c>
      <c r="KE5" s="102">
        <f>IF(OR(KE13="",KE17="",KE14="",KE15="",KE16="",KE18="",KE19="",KE20="",KE21=""),"",SUM($JP$6:KE6))</f>
        <v>384</v>
      </c>
      <c r="KF5" s="102">
        <f>IF(OR(KF13="",KF17="",KF14="",KF15="",KF16="",KF18="",KF19="",KF20="",KF21=""),"",SUM($JP$6:KF6))</f>
        <v>408</v>
      </c>
      <c r="KG5" s="102">
        <f>IF(OR(KG13="",KG17="",KG14="",KG15="",KG16="",KG18="",KG19="",KG20="",KG21=""),"",SUM($JP$6:KG6))</f>
        <v>432</v>
      </c>
      <c r="KH5" s="102">
        <f>IF(OR(KH13="",KH17="",KH14="",KH15="",KH16="",KH18="",KH19="",KH20="",KH21=""),"",SUM($JP$6:KH6))</f>
        <v>456</v>
      </c>
      <c r="KI5" s="102">
        <f>IF(OR(KI13="",KI17="",KI14="",KI15="",KI16="",KI18="",KI19="",KI20="",KI21=""),"",SUM($JP$6:KI6))</f>
        <v>480</v>
      </c>
      <c r="KJ5" s="102">
        <f>IF(OR(KJ13="",KJ17="",KJ14="",KJ15="",KJ16="",KJ18="",KJ19="",KJ20="",KJ21=""),"",SUM($JP$6:KJ6))</f>
        <v>504</v>
      </c>
      <c r="KK5" s="102">
        <f>IF(OR(KK13="",KK17="",KK14="",KK15="",KK16="",KK18="",KK19="",KK20="",KK21=""),"",SUM($JP$6:KK6))</f>
        <v>528</v>
      </c>
      <c r="KL5" s="102">
        <f>IF(OR(KL13="",KL17="",KL14="",KL15="",KL16="",KL18="",KL19="",KL20="",KL21=""),"",SUM($JP$6:KL6))</f>
        <v>552</v>
      </c>
      <c r="KM5" s="102">
        <f>IF(OR(KM13="",KM17="",KM14="",KM15="",KM16="",KM18="",KM19="",KM20="",KM21=""),"",SUM($JP$6:KM6))</f>
        <v>576</v>
      </c>
      <c r="KN5" s="102">
        <f>IF(OR(KN13="",KN17="",KN14="",KN15="",KN16="",KN18="",KN19="",KN20="",KN21=""),"",SUM($JP$6:KN6))</f>
        <v>600</v>
      </c>
      <c r="KO5" s="102">
        <f>IF(OR(KO13="",KO17="",KO14="",KO15="",KO16="",KO18="",KO19="",KO20="",KO21=""),"",SUM($JP$6:KO6))</f>
        <v>624</v>
      </c>
      <c r="KP5" s="102">
        <f>IF(OR(KP13="",KP17="",KP14="",KP15="",KP16="",KP18="",KP19="",KP20="",KP21=""),"",SUM($JP$6:KP6))</f>
        <v>648</v>
      </c>
      <c r="KQ5" s="102">
        <f>IF(OR(KQ13="",KQ17="",KQ14="",KQ15="",KQ16="",KQ18="",KQ19="",KQ20="",KQ21=""),"",SUM($JP$6:KQ6))</f>
        <v>672</v>
      </c>
      <c r="KR5" s="102">
        <f>IF(OR(KR13="",KR17="",KR14="",KR15="",KR16="",KR18="",KR19="",KR20="",KR21=""),"",SUM($JP$6:KR6))</f>
        <v>696</v>
      </c>
      <c r="KS5" s="102">
        <f>IF(OR(KS13="",KS17="",KS14="",KS15="",KS16="",KS18="",KS19="",KS20="",KS21=""),"",SUM($JP$6:KS6))</f>
        <v>720</v>
      </c>
      <c r="KT5" s="102">
        <f>IF(OR(KT13="",KT17="",KT14="",KT15="",KT16="",KT18="",KT19="",KT20="",KT21=""),"",SUM($JP$6:KT6))</f>
        <v>744</v>
      </c>
      <c r="KU5" s="102" t="str">
        <f>IF(KU4="","",KU6)</f>
        <v/>
      </c>
      <c r="KV5" s="102" t="str">
        <f>IF(OR(KV13="",KV17="",KV14="",KV15="",KV16="",KV18="",KV19="",KV20="",KV21=""),"",SUM($KU$6:KV6))</f>
        <v/>
      </c>
      <c r="KW5" s="102" t="str">
        <f>IF(OR(KW13="",KW17="",KW14="",KW15="",KW16="",KW18="",KW19="",KW20="",KW21=""),"",SUM($KU$6:KW6))</f>
        <v/>
      </c>
      <c r="KX5" s="102" t="str">
        <f>IF(OR(KX13="",KX17="",KX14="",KX15="",KX16="",KX18="",KX19="",KX20="",KX21=""),"",SUM($KU$6:KX6))</f>
        <v/>
      </c>
      <c r="KY5" s="102" t="str">
        <f>IF(OR(KY13="",KY17="",KY14="",KY15="",KY16="",KY18="",KY19="",KY20="",KY21=""),"",SUM($KU$6:KY6))</f>
        <v/>
      </c>
      <c r="KZ5" s="102" t="str">
        <f>IF(OR(KZ13="",KZ17="",KZ14="",KZ15="",KZ16="",KZ18="",KZ19="",KZ20="",KZ21=""),"",SUM($KU$6:KZ6))</f>
        <v/>
      </c>
      <c r="LA5" s="102" t="str">
        <f>IF(OR(LA13="",LA17="",LA14="",LA15="",LA16="",LA18="",LA19="",LA20="",LA21=""),"",SUM($KU$6:LA6))</f>
        <v/>
      </c>
      <c r="LB5" s="102" t="str">
        <f>IF(OR(LB13="",LB17="",LB14="",LB15="",LB16="",LB18="",LB19="",LB20="",LB21=""),"",SUM($KU$6:LB6))</f>
        <v/>
      </c>
      <c r="LC5" s="102" t="str">
        <f>IF(OR(LC13="",LC17="",LC14="",LC15="",LC16="",LC18="",LC19="",LC20="",LC21=""),"",SUM($KU$6:LC6))</f>
        <v/>
      </c>
      <c r="LD5" s="102" t="str">
        <f>IF(OR(LD13="",LD17="",LD14="",LD15="",LD16="",LD18="",LD19="",LD20="",LD21=""),"",SUM($KU$6:LD6))</f>
        <v/>
      </c>
      <c r="LE5" s="102" t="str">
        <f>IF(OR(LE13="",LE17="",LE14="",LE15="",LE16="",LE18="",LE19="",LE20="",LE21=""),"",SUM($KU$6:LE6))</f>
        <v/>
      </c>
      <c r="LF5" s="102" t="str">
        <f>IF(OR(LF13="",LF17="",LF14="",LF15="",LF16="",LF18="",LF19="",LF20="",LF21=""),"",SUM($KU$6:LF6))</f>
        <v/>
      </c>
      <c r="LG5" s="102" t="str">
        <f>IF(OR(LG13="",LG17="",LG14="",LG15="",LG16="",LG18="",LG19="",LG20="",LG21=""),"",SUM($KU$6:LG6))</f>
        <v/>
      </c>
      <c r="LH5" s="102" t="str">
        <f>IF(OR(LH13="",LH17="",LH14="",LH15="",LH16="",LH18="",LH19="",LH20="",LH21=""),"",SUM($KU$6:LH6))</f>
        <v/>
      </c>
      <c r="LI5" s="102" t="str">
        <f>IF(OR(LI13="",LI17="",LI14="",LI15="",LI16="",LI18="",LI19="",LI20="",LI21=""),"",SUM($KU$6:LI6))</f>
        <v/>
      </c>
      <c r="LJ5" s="102" t="str">
        <f>IF(OR(LJ13="",LJ17="",LJ14="",LJ15="",LJ16="",LJ18="",LJ19="",LJ20="",LJ21=""),"",SUM($KU$6:LJ6))</f>
        <v/>
      </c>
      <c r="LK5" s="102" t="str">
        <f>IF(OR(LK13="",LK17="",LK14="",LK15="",LK16="",LK18="",LK19="",LK20="",LK21=""),"",SUM($KU$6:LK6))</f>
        <v/>
      </c>
      <c r="LL5" s="102" t="str">
        <f>IF(OR(LL13="",LL17="",LL14="",LL15="",LL16="",LL18="",LL19="",LL20="",LL21=""),"",SUM($KU$6:LL6))</f>
        <v/>
      </c>
      <c r="LM5" s="102" t="str">
        <f>IF(OR(LM13="",LM17="",LM14="",LM15="",LM16="",LM18="",LM19="",LM20="",LM21=""),"",SUM($KU$6:LM6))</f>
        <v/>
      </c>
      <c r="LN5" s="102" t="str">
        <f>IF(OR(LN13="",LN17="",LN14="",LN15="",LN16="",LN18="",LN19="",LN20="",LN21=""),"",SUM($KU$6:LN6))</f>
        <v/>
      </c>
      <c r="LO5" s="102" t="str">
        <f>IF(OR(LO13="",LO17="",LO14="",LO15="",LO16="",LO18="",LO19="",LO20="",LO21=""),"",SUM($KU$6:LO6))</f>
        <v/>
      </c>
      <c r="LP5" s="102" t="str">
        <f>IF(OR(LP13="",LP17="",LP14="",LP15="",LP16="",LP18="",LP19="",LP20="",LP21=""),"",SUM($KU$6:LP6))</f>
        <v/>
      </c>
      <c r="LQ5" s="102" t="str">
        <f>IF(OR(LQ13="",LQ17="",LQ14="",LQ15="",LQ16="",LQ18="",LQ19="",LQ20="",LQ21=""),"",SUM($KU$6:LQ6))</f>
        <v/>
      </c>
      <c r="LR5" s="102" t="str">
        <f>IF(OR(LR13="",LR17="",LR14="",LR15="",LR16="",LR18="",LR19="",LR20="",LR21=""),"",SUM($KU$6:LR6))</f>
        <v/>
      </c>
      <c r="LS5" s="102" t="str">
        <f>IF(OR(LS13="",LS17="",LS14="",LS15="",LS16="",LS18="",LS19="",LS20="",LS21=""),"",SUM($KU$6:LS6))</f>
        <v/>
      </c>
      <c r="LT5" s="102" t="str">
        <f>IF(OR(LT13="",LT17="",LT14="",LT15="",LT16="",LT18="",LT19="",LT20="",LT21=""),"",SUM($KU$6:LT6))</f>
        <v/>
      </c>
      <c r="LU5" s="102" t="str">
        <f>IF(OR(LU13="",LU17="",LU14="",LU15="",LU16="",LU18="",LU19="",LU20="",LU21=""),"",SUM($KU$6:LU6))</f>
        <v/>
      </c>
      <c r="LV5" s="102" t="str">
        <f>IF(OR(LV13="",LV17="",LV14="",LV15="",LV16="",LV18="",LV19="",LV20="",LV21=""),"",SUM($KU$6:LV6))</f>
        <v/>
      </c>
      <c r="LW5" s="102" t="str">
        <f>IF(OR(LW13="",LW17="",LW14="",LW15="",LW16="",LW18="",LW19="",LW20="",LW21=""),"",SUM($KU$6:LW6))</f>
        <v/>
      </c>
      <c r="LX5" s="102" t="str">
        <f>IF(OR(LX13="",LX17="",LX14="",LX15="",LX16="",LX18="",LX19="",LX20="",LX21=""),"",SUM($KU$6:LX6))</f>
        <v/>
      </c>
      <c r="LY5" s="102" t="str">
        <f>IF(LY4="","",LY6)</f>
        <v/>
      </c>
      <c r="LZ5" s="102" t="str">
        <f>IF(OR(LZ13="",LZ17="",LZ14="",LZ15="",LZ16="",LZ18="",LZ19="",LZ20="",LZ21=""),"",SUM($LY$6:ZA6))</f>
        <v/>
      </c>
      <c r="MA5" s="102" t="str">
        <f>IF(OR(MA13="",MA17="",MA14="",MA15="",MA16="",MA18="",MA19="",MA20="",MA21=""),"",SUM($LY$6:ZB6))</f>
        <v/>
      </c>
      <c r="MB5" s="102" t="str">
        <f>IF(OR(MB13="",MB17="",MB14="",MB15="",MB16="",MB18="",MB19="",MB20="",MB21=""),"",SUM($LY$6:ZC6))</f>
        <v/>
      </c>
      <c r="MC5" s="102" t="str">
        <f>IF(OR(MC13="",MC17="",MC14="",MC15="",MC16="",MC18="",MC19="",MC20="",MC21=""),"",SUM($LY$6:ZD6))</f>
        <v/>
      </c>
      <c r="MD5" s="102" t="str">
        <f>IF(OR(MD13="",MD17="",MD14="",MD15="",MD16="",MD18="",MD19="",MD20="",MD21=""),"",SUM($LY$6:ZE6))</f>
        <v/>
      </c>
      <c r="ME5" s="102" t="str">
        <f>IF(OR(ME13="",ME17="",ME14="",ME15="",ME16="",ME18="",ME19="",ME20="",ME21=""),"",SUM($LY$6:ZF6))</f>
        <v/>
      </c>
      <c r="MF5" s="102" t="str">
        <f>IF(OR(MF13="",MF17="",MF14="",MF15="",MF16="",MF18="",MF19="",MF20="",MF21=""),"",SUM($LY$6:ZG6))</f>
        <v/>
      </c>
      <c r="MG5" s="102" t="str">
        <f>IF(OR(MG13="",MG17="",MG14="",MG15="",MG16="",MG18="",MG19="",MG20="",MG21=""),"",SUM($LY$6:ZH6))</f>
        <v/>
      </c>
      <c r="MH5" s="102" t="str">
        <f>IF(OR(MH13="",MH17="",MH14="",MH15="",MH16="",MH18="",MH19="",MH20="",MH21=""),"",SUM($LY$6:ZI6))</f>
        <v/>
      </c>
      <c r="MI5" s="102" t="str">
        <f>IF(OR(MI13="",MI17="",MI14="",MI15="",MI16="",MI18="",MI19="",MI20="",MI21=""),"",SUM($LY$6:ZJ6))</f>
        <v/>
      </c>
      <c r="MJ5" s="102" t="str">
        <f>IF(OR(MJ13="",MJ17="",MJ14="",MJ15="",MJ16="",MJ18="",MJ19="",MJ20="",MJ21=""),"",SUM($LY$6:ZK6))</f>
        <v/>
      </c>
      <c r="MK5" s="102" t="str">
        <f>IF(OR(MK13="",MK17="",MK14="",MK15="",MK16="",MK18="",MK19="",MK20="",MK21=""),"",SUM($LY$6:ZL6))</f>
        <v/>
      </c>
      <c r="ML5" s="102" t="str">
        <f>IF(OR(ML13="",ML17="",ML14="",ML15="",ML16="",ML18="",ML19="",ML20="",ML21=""),"",SUM($LY$6:ZM6))</f>
        <v/>
      </c>
      <c r="MM5" s="102" t="str">
        <f>IF(OR(MM13="",MM17="",MM14="",MM15="",MM16="",MM18="",MM19="",MM20="",MM21=""),"",SUM($LY$6:ZN6))</f>
        <v/>
      </c>
      <c r="MN5" s="102" t="str">
        <f>IF(OR(MN13="",MN17="",MN14="",MN15="",MN16="",MN18="",MN19="",MN20="",MN21=""),"",SUM($LY$6:ZO6))</f>
        <v/>
      </c>
      <c r="MO5" s="102" t="str">
        <f>IF(OR(MO13="",MO17="",MO14="",MO15="",MO16="",MO18="",MO19="",MO20="",MO21=""),"",SUM($LY$6:ZP6))</f>
        <v/>
      </c>
      <c r="MP5" s="102" t="str">
        <f>IF(OR(MP13="",MP17="",MP14="",MP15="",MP16="",MP18="",MP19="",MP20="",MP21=""),"",SUM($LY$6:ZQ6))</f>
        <v/>
      </c>
      <c r="MQ5" s="102" t="str">
        <f>IF(OR(MQ13="",MQ17="",MQ14="",MQ15="",MQ16="",MQ18="",MQ19="",MQ20="",MQ21=""),"",SUM($LY$6:ZR6))</f>
        <v/>
      </c>
      <c r="MR5" s="102" t="str">
        <f>IF(OR(MR13="",MR17="",MR14="",MR15="",MR16="",MR18="",MR19="",MR20="",MR21=""),"",SUM($LY$6:ZS6))</f>
        <v/>
      </c>
      <c r="MS5" s="102" t="str">
        <f>IF(OR(MS13="",MS17="",MS14="",MS15="",MS16="",MS18="",MS19="",MS20="",MS21=""),"",SUM($LY$6:ZT6))</f>
        <v/>
      </c>
      <c r="MT5" s="102" t="str">
        <f>IF(OR(MT13="",MT17="",MT14="",MT15="",MT16="",MT18="",MT19="",MT20="",MT21=""),"",SUM($LY$6:ZU6))</f>
        <v/>
      </c>
      <c r="MU5" s="102" t="str">
        <f>IF(OR(MU13="",MU17="",MU14="",MU15="",MU16="",MU18="",MU19="",MU20="",MU21=""),"",SUM($LY$6:ZV6))</f>
        <v/>
      </c>
      <c r="MV5" s="102" t="str">
        <f>IF(OR(MV13="",MV17="",MV14="",MV15="",MV16="",MV18="",MV19="",MV20="",MV21=""),"",SUM($LY$6:ZW6))</f>
        <v/>
      </c>
      <c r="MW5" s="102" t="str">
        <f>IF(OR(MW13="",MW17="",MW14="",MW15="",MW16="",MW18="",MW19="",MW20="",MW21=""),"",SUM($LY$6:ZX6))</f>
        <v/>
      </c>
      <c r="MX5" s="102" t="str">
        <f>IF(OR(MX13="",MX17="",MX14="",MX15="",MX16="",MX18="",MX19="",MX20="",MX21=""),"",SUM($LY$6:ZY6))</f>
        <v/>
      </c>
      <c r="MY5" s="102" t="str">
        <f>IF(OR(MY13="",MY17="",MY14="",MY15="",MY16="",MY18="",MY19="",MY20="",MY21=""),"",SUM($LY$6:ZZ6))</f>
        <v/>
      </c>
      <c r="MZ5" s="102" t="str">
        <f>IF(OR(MZ13="",MZ17="",MZ14="",MZ15="",MZ16="",MZ18="",MZ19="",MZ20="",MZ21=""),"",SUM($LY$6:AAA6))</f>
        <v/>
      </c>
      <c r="NA5" s="102" t="str">
        <f>IF(OR(NA13="",NA17="",NA14="",NA15="",NA16="",NA18="",NA19="",NA20="",NA21=""),"",SUM($LY$6:AAB6))</f>
        <v/>
      </c>
      <c r="NB5" s="102" t="str">
        <f>IF(OR(NB13="",NB17="",NB14="",NB15="",NB16="",NB18="",NB19="",NB20="",NB21=""),"",SUM($LY$6:AAC6))</f>
        <v/>
      </c>
      <c r="NC5" s="102" t="str">
        <f>IF(OR(NC13="",NC17="",NC14="",NC15="",NC16="",NC18="",NC19="",NC20="",NC21=""),"",SUM($LY$6:AAD6))</f>
        <v/>
      </c>
      <c r="ND5" s="102" t="str">
        <f>IF(ND4="","",ND6)</f>
        <v/>
      </c>
      <c r="NE5" s="102" t="str">
        <f>IF(OR(NE13="",NE17="",NE14="",NE15="",NE16="",NE18="",NE19="",NE20="",NE21=""),"",SUM($ND$6:NE6))</f>
        <v/>
      </c>
      <c r="NF5" s="102" t="str">
        <f>IF(OR(NF13="",NF17="",NF14="",NF15="",NF16="",NF18="",NF19="",NF20="",NF21=""),"",SUM($ND$6:NF6))</f>
        <v/>
      </c>
      <c r="NG5" s="102" t="str">
        <f>IF(OR(NG13="",NG17="",NG14="",NG15="",NG16="",NG18="",NG19="",NG20="",NG21=""),"",SUM($ND$6:NG6))</f>
        <v/>
      </c>
      <c r="NH5" s="102" t="str">
        <f>IF(OR(NH13="",NH17="",NH14="",NH15="",NH16="",NH18="",NH19="",NH20="",NH21=""),"",SUM($ND$6:NH6))</f>
        <v/>
      </c>
      <c r="NI5" s="102" t="str">
        <f>IF(OR(NI13="",NI17="",NI14="",NI15="",NI16="",NI18="",NI19="",NI20="",NI21=""),"",SUM($ND$6:NI6))</f>
        <v/>
      </c>
      <c r="NJ5" s="102" t="str">
        <f>IF(OR(NJ13="",NJ17="",NJ14="",NJ15="",NJ16="",NJ18="",NJ19="",NJ20="",NJ21=""),"",SUM($ND$6:NJ6))</f>
        <v/>
      </c>
      <c r="NK5" s="102" t="str">
        <f>IF(OR(NK13="",NK17="",NK14="",NK15="",NK16="",NK18="",NK19="",NK20="",NK21=""),"",SUM($ND$6:NK6))</f>
        <v/>
      </c>
      <c r="NL5" s="102" t="str">
        <f>IF(OR(NL13="",NL17="",NL14="",NL15="",NL16="",NL18="",NL19="",NL20="",NL21=""),"",SUM($ND$6:NL6))</f>
        <v/>
      </c>
      <c r="NM5" s="102" t="str">
        <f>IF(OR(NM13="",NM17="",NM14="",NM15="",NM16="",NM18="",NM19="",NM20="",NM21=""),"",SUM($ND$6:NM6))</f>
        <v/>
      </c>
      <c r="NN5" s="102" t="str">
        <f>IF(OR(NN13="",NN17="",NN14="",NN15="",NN16="",NN18="",NN19="",NN20="",NN21=""),"",SUM($ND$6:NN6))</f>
        <v/>
      </c>
      <c r="NO5" s="102" t="str">
        <f>IF(OR(NO13="",NO17="",NO14="",NO15="",NO16="",NO18="",NO19="",NO20="",NO21=""),"",SUM($ND$6:NO6))</f>
        <v/>
      </c>
      <c r="NP5" s="102" t="str">
        <f>IF(OR(NP13="",NP17="",NP14="",NP15="",NP16="",NP18="",NP19="",NP20="",NP21=""),"",SUM($ND$6:NP6))</f>
        <v/>
      </c>
      <c r="NQ5" s="102" t="str">
        <f>IF(OR(NQ13="",NQ17="",NQ14="",NQ15="",NQ16="",NQ18="",NQ19="",NQ20="",NQ21=""),"",SUM($ND$6:NQ6))</f>
        <v/>
      </c>
      <c r="NR5" s="102" t="str">
        <f>IF(OR(NR13="",NR17="",NR14="",NR15="",NR16="",NR18="",NR19="",NR20="",NR21=""),"",SUM($ND$6:NR6))</f>
        <v/>
      </c>
      <c r="NS5" s="102" t="str">
        <f>IF(OR(NS13="",NS17="",NS14="",NS15="",NS16="",NS18="",NS19="",NS20="",NS21=""),"",SUM($ND$6:NS6))</f>
        <v/>
      </c>
      <c r="NT5" s="102" t="str">
        <f>IF(OR(NT13="",NT17="",NT14="",NT15="",NT16="",NT18="",NT19="",NT20="",NT21=""),"",SUM($ND$6:NT6))</f>
        <v/>
      </c>
      <c r="NU5" s="102" t="str">
        <f>IF(OR(NU13="",NU17="",NU14="",NU15="",NU16="",NU18="",NU19="",NU20="",NU21=""),"",SUM($ND$6:NU6))</f>
        <v/>
      </c>
      <c r="NV5" s="102" t="str">
        <f>IF(OR(NV13="",NV17="",NV14="",NV15="",NV16="",NV18="",NV19="",NV20="",NV21=""),"",SUM($ND$6:NV6))</f>
        <v/>
      </c>
      <c r="NW5" s="102" t="str">
        <f>IF(OR(NW13="",NW17="",NW14="",NW15="",NW16="",NW18="",NW19="",NW20="",NW21=""),"",SUM($ND$6:NW6))</f>
        <v/>
      </c>
      <c r="NX5" s="102" t="str">
        <f>IF(OR(NX13="",NX17="",NX14="",NX15="",NX16="",NX18="",NX19="",NX20="",NX21=""),"",SUM($ND$6:NX6))</f>
        <v/>
      </c>
      <c r="NY5" s="102" t="str">
        <f>IF(OR(NY13="",NY17="",NY14="",NY15="",NY16="",NY18="",NY19="",NY20="",NY21=""),"",SUM($ND$6:NY6))</f>
        <v/>
      </c>
      <c r="NZ5" s="102" t="str">
        <f>IF(OR(NZ13="",NZ17="",NZ14="",NZ15="",NZ16="",NZ18="",NZ19="",NZ20="",NZ21=""),"",SUM($ND$6:NZ6))</f>
        <v/>
      </c>
      <c r="OA5" s="102" t="str">
        <f>IF(OR(OA13="",OA17="",OA14="",OA15="",OA16="",OA18="",OA19="",OA20="",OA21=""),"",SUM($ND$6:OA6))</f>
        <v/>
      </c>
      <c r="OB5" s="102" t="str">
        <f>IF(OR(OB13="",OB17="",OB14="",OB15="",OB16="",OB18="",OB19="",OB20="",OB21=""),"",SUM($ND$6:OB6))</f>
        <v/>
      </c>
      <c r="OC5" s="102" t="str">
        <f>IF(OR(OC13="",OC17="",OC14="",OC15="",OC16="",OC18="",OC19="",OC20="",OC21=""),"",SUM($ND$6:OC6))</f>
        <v/>
      </c>
      <c r="OD5" s="102" t="str">
        <f>IF(OR(OD13="",OD17="",OD14="",OD15="",OD16="",OD18="",OD19="",OD20="",OD21=""),"",SUM($ND$6:OD6))</f>
        <v/>
      </c>
      <c r="OE5" s="102" t="str">
        <f>IF(OR(OE13="",OE17="",OE14="",OE15="",OE16="",OE18="",OE19="",OE20="",OE21=""),"",SUM($ND$6:OE6))</f>
        <v/>
      </c>
      <c r="OF5" s="102" t="str">
        <f>IF(OR(OF13="",OF17="",OF14="",OF15="",OF16="",OF18="",OF19="",OF20="",OF21=""),"",SUM($ND$6:OF6))</f>
        <v/>
      </c>
      <c r="OG5" s="102" t="str">
        <f>IF(OR(OG13="",OG17="",OG14="",OG15="",OG16="",OG18="",OG19="",OG20="",OG21=""),"",SUM($ND$6:OG6))</f>
        <v/>
      </c>
      <c r="OH5" s="102" t="str">
        <f>IF(OR(OH13="",OH17="",OH14="",OH15="",OH16="",OH18="",OH19="",OH20="",OH21=""),"",SUM($ND$6:OH6))</f>
        <v/>
      </c>
      <c r="OI5" s="102" t="str">
        <f>IF(OI4="","",OI6)</f>
        <v/>
      </c>
      <c r="OJ5" s="102" t="str">
        <f>IF(OR(OJ13="",OJ17="",OJ14="",OJ15="",OJ16="",OJ18="",OJ19="",OJ20="",OJ21=""),"",SUM($OI$6:OJ6))</f>
        <v/>
      </c>
      <c r="OK5" s="102" t="str">
        <f>IF(OR(OK13="",OK17="",OK14="",OK15="",OK16="",OK18="",OK19="",OK20="",OK21=""),"",SUM($OI$6:OK6))</f>
        <v/>
      </c>
      <c r="OL5" s="102" t="str">
        <f>IF(OR(OL13="",OL17="",OL14="",OL15="",OL16="",OL18="",OL19="",OL20="",OL21=""),"",SUM($OI$6:OL6))</f>
        <v/>
      </c>
      <c r="OM5" s="102" t="str">
        <f>IF(OR(OM13="",OM17="",OM14="",OM15="",OM16="",OM18="",OM19="",OM20="",OM21=""),"",SUM($OI$6:OM6))</f>
        <v/>
      </c>
      <c r="ON5" s="102" t="str">
        <f>IF(OR(ON13="",ON17="",ON14="",ON15="",ON16="",ON18="",ON19="",ON20="",ON21=""),"",SUM($OI$6:ON6))</f>
        <v/>
      </c>
      <c r="OO5" s="102" t="str">
        <f>IF(OR(OO13="",OO17="",OO14="",OO15="",OO16="",OO18="",OO19="",OO20="",OO21=""),"",SUM($OI$6:OO6))</f>
        <v/>
      </c>
      <c r="OP5" s="102" t="str">
        <f>IF(OR(OP13="",OP17="",OP14="",OP15="",OP16="",OP18="",OP19="",OP20="",OP21=""),"",SUM($OI$6:OP6))</f>
        <v/>
      </c>
      <c r="OQ5" s="102" t="str">
        <f>IF(OR(OQ13="",OQ17="",OQ14="",OQ15="",OQ16="",OQ18="",OQ19="",OQ20="",OQ21=""),"",SUM($OI$6:OQ6))</f>
        <v/>
      </c>
      <c r="OR5" s="102" t="str">
        <f>IF(OR(OR13="",OR17="",OR14="",OR15="",OR16="",OR18="",OR19="",OR20="",OR21=""),"",SUM($OI$6:OR6))</f>
        <v/>
      </c>
      <c r="OS5" s="102" t="str">
        <f>IF(OR(OS13="",OS17="",OS14="",OS15="",OS16="",OS18="",OS19="",OS20="",OS21=""),"",SUM($OI$6:OS6))</f>
        <v/>
      </c>
      <c r="OT5" s="102" t="str">
        <f>IF(OR(OT13="",OT17="",OT14="",OT15="",OT16="",OT18="",OT19="",OT20="",OT21=""),"",SUM($OI$6:OT6))</f>
        <v/>
      </c>
      <c r="OU5" s="102" t="str">
        <f>IF(OR(OU13="",OU17="",OU14="",OU15="",OU16="",OU18="",OU19="",OU20="",OU21=""),"",SUM($OI$6:OU6))</f>
        <v/>
      </c>
      <c r="OV5" s="102" t="str">
        <f>IF(OR(OV13="",OV17="",OV14="",OV15="",OV16="",OV18="",OV19="",OV20="",OV21=""),"",SUM($OI$6:OV6))</f>
        <v/>
      </c>
      <c r="OW5" s="102" t="str">
        <f>IF(OR(OW13="",OW17="",OW14="",OW15="",OW16="",OW18="",OW19="",OW20="",OW21=""),"",SUM($OI$6:OW6))</f>
        <v/>
      </c>
      <c r="OX5" s="102" t="str">
        <f>IF(OR(OX13="",OX17="",OX14="",OX15="",OX16="",OX18="",OX19="",OX20="",OX21=""),"",SUM($OI$6:OX6))</f>
        <v/>
      </c>
      <c r="OY5" s="102" t="str">
        <f>IF(OR(OY13="",OY17="",OY14="",OY15="",OY16="",OY18="",OY19="",OY20="",OY21=""),"",SUM($OI$6:OY6))</f>
        <v/>
      </c>
      <c r="OZ5" s="102" t="str">
        <f>IF(OR(OZ13="",OZ17="",OZ14="",OZ15="",OZ16="",OZ18="",OZ19="",OZ20="",OZ21=""),"",SUM($OI$6:OZ6))</f>
        <v/>
      </c>
      <c r="PA5" s="102" t="str">
        <f>IF(OR(PA13="",PA17="",PA14="",PA15="",PA16="",PA18="",PA19="",PA20="",PA21=""),"",SUM($OI$6:PA6))</f>
        <v/>
      </c>
      <c r="PB5" s="102" t="str">
        <f>IF(OR(PB13="",PB17="",PB14="",PB15="",PB16="",PB18="",PB19="",PB20="",PB21=""),"",SUM($OI$6:PB6))</f>
        <v/>
      </c>
      <c r="PC5" s="102" t="str">
        <f>IF(OR(PC13="",PC17="",PC14="",PC15="",PC16="",PC18="",PC19="",PC20="",PC21=""),"",SUM($OI$6:PC6))</f>
        <v/>
      </c>
      <c r="PD5" s="102" t="str">
        <f>IF(OR(PD13="",PD17="",PD14="",PD15="",PD16="",PD18="",PD19="",PD20="",PD21=""),"",SUM($OI$6:PD6))</f>
        <v/>
      </c>
      <c r="PE5" s="102" t="str">
        <f>IF(OR(PE13="",PE17="",PE14="",PE15="",PE16="",PE18="",PE19="",PE20="",PE21=""),"",SUM($OI$6:PE6))</f>
        <v/>
      </c>
      <c r="PF5" s="102" t="str">
        <f>IF(OR(PF13="",PF17="",PF14="",PF15="",PF16="",PF18="",PF19="",PF20="",PF21=""),"",SUM($OI$6:PF6))</f>
        <v/>
      </c>
      <c r="PG5" s="102" t="str">
        <f>IF(OR(PG13="",PG17="",PG14="",PG15="",PG16="",PG18="",PG19="",PG20="",PG21=""),"",SUM($OI$6:PG6))</f>
        <v/>
      </c>
      <c r="PH5" s="102" t="str">
        <f>IF(OR(PH13="",PH17="",PH14="",PH15="",PH16="",PH18="",PH19="",PH20="",PH21=""),"",SUM($OI$6:PH6))</f>
        <v/>
      </c>
      <c r="PI5" s="102" t="str">
        <f>IF(OR(PI13="",PI17="",PI14="",PI15="",PI16="",PI18="",PI19="",PI20="",PI21=""),"",SUM($OI$6:PI6))</f>
        <v/>
      </c>
      <c r="PJ5" s="102" t="str">
        <f>IF(OR(PJ13="",PJ17="",PJ14="",PJ15="",PJ16="",PJ18="",PJ19="",PJ20="",PJ21=""),"",SUM($OI$6:PJ6))</f>
        <v/>
      </c>
      <c r="PK5" s="102" t="str">
        <f>IF(OR(PK13="",PK17="",PK14="",PK15="",PK16="",PK18="",PK19="",PK20="",PK21=""),"",SUM($PK$6:PK6))</f>
        <v/>
      </c>
      <c r="PL5" s="102" t="str">
        <f>IF(OR(PL13="",PL17="",PL14="",PL15="",PL16="",PL18="",PL19="",PL20="",PL21=""),"",SUM($PK$6:PL6))</f>
        <v/>
      </c>
      <c r="PM5" s="102" t="str">
        <f>IF(OR(PM13="",PM17="",PM14="",PM15="",PM16="",PM18="",PM19="",PM20="",PM21=""),"",SUM($PK$6:PM6))</f>
        <v/>
      </c>
      <c r="PN5" s="102" t="str">
        <f>IF(OR(PN13="",PN17="",PN14="",PN15="",PN16="",PN18="",PN19="",PN20="",PN21=""),"",SUM($PK$6:PN6))</f>
        <v/>
      </c>
      <c r="PO5" s="102" t="str">
        <f>IF(OR(PO13="",PO17="",PO14="",PO15="",PO16="",PO18="",PO19="",PO20="",PO21=""),"",SUM($PK$6:PO6))</f>
        <v/>
      </c>
      <c r="PP5" s="102" t="str">
        <f>IF(OR(PP13="",PP17="",PP14="",PP15="",PP16="",PP18="",PP19="",PP20="",PP21=""),"",SUM($PK$6:PP6))</f>
        <v/>
      </c>
      <c r="PQ5" s="102" t="str">
        <f>IF(OR(PQ13="",PQ17="",PQ14="",PQ15="",PQ16="",PQ18="",PQ19="",PQ20="",PQ21=""),"",SUM($PK$6:PQ6))</f>
        <v/>
      </c>
      <c r="PR5" s="102" t="str">
        <f>IF(OR(PR13="",PR17="",PR14="",PR15="",PR16="",PR18="",PR19="",PR20="",PR21=""),"",SUM($PK$6:PR6))</f>
        <v/>
      </c>
      <c r="PS5" s="102" t="str">
        <f>IF(OR(PS13="",PS17="",PS14="",PS15="",PS16="",PS18="",PS19="",PS20="",PS21=""),"",SUM($PK$6:PS6))</f>
        <v/>
      </c>
      <c r="PT5" s="102" t="str">
        <f>IF(OR(PT13="",PT17="",PT14="",PT15="",PT16="",PT18="",PT19="",PT20="",PT21=""),"",SUM($PK$6:PT6))</f>
        <v/>
      </c>
      <c r="PU5" s="102" t="str">
        <f>IF(OR(PU13="",PU17="",PU14="",PU15="",PU16="",PU18="",PU19="",PU20="",PU21=""),"",SUM($PK$6:PU6))</f>
        <v/>
      </c>
      <c r="PV5" s="102" t="str">
        <f>IF(OR(PV13="",PV17="",PV14="",PV15="",PV16="",PV18="",PV19="",PV20="",PV21=""),"",SUM($PK$6:PV6))</f>
        <v/>
      </c>
      <c r="PW5" s="102" t="str">
        <f>IF(OR(PW13="",PW17="",PW14="",PW15="",PW16="",PW18="",PW19="",PW20="",PW21=""),"",SUM($PK$6:PW6))</f>
        <v/>
      </c>
      <c r="PX5" s="102" t="str">
        <f>IF(OR(PX13="",PX17="",PX14="",PX15="",PX16="",PX18="",PX19="",PX20="",PX21=""),"",SUM($PK$6:PX6))</f>
        <v/>
      </c>
      <c r="PY5" s="102" t="str">
        <f>IF(OR(PY13="",PY17="",PY14="",PY15="",PY16="",PY18="",PY19="",PY20="",PY21=""),"",SUM($PK$6:PY6))</f>
        <v/>
      </c>
      <c r="PZ5" s="102" t="str">
        <f>IF(OR(PZ13="",PZ17="",PZ14="",PZ15="",PZ16="",PZ18="",PZ19="",PZ20="",PZ21=""),"",SUM($PK$6:PZ6))</f>
        <v/>
      </c>
      <c r="QA5" s="102" t="str">
        <f>IF(OR(QA13="",QA17="",QA14="",QA15="",QA16="",QA18="",QA19="",QA20="",QA21=""),"",SUM($PK$6:QA6))</f>
        <v/>
      </c>
      <c r="QB5" s="102" t="str">
        <f>IF(OR(QB13="",QB17="",QB14="",QB15="",QB16="",QB18="",QB19="",QB20="",QB21=""),"",SUM($PK$6:QB6))</f>
        <v/>
      </c>
      <c r="QC5" s="102" t="str">
        <f>IF(OR(QC13="",QC17="",QC14="",QC15="",QC16="",QC18="",QC19="",QC20="",QC21=""),"",SUM($PK$6:QC6))</f>
        <v/>
      </c>
      <c r="QD5" s="102" t="str">
        <f>IF(OR(QD13="",QD17="",QD14="",QD15="",QD16="",QD18="",QD19="",QD20="",QD21=""),"",SUM($PK$6:QD6))</f>
        <v/>
      </c>
      <c r="QE5" s="102" t="str">
        <f>IF(OR(QE13="",QE17="",QE14="",QE15="",QE16="",QE18="",QE19="",QE20="",QE21=""),"",SUM($PK$6:QE6))</f>
        <v/>
      </c>
      <c r="QF5" s="102" t="str">
        <f>IF(OR(QF13="",QF17="",QF14="",QF15="",QF16="",QF18="",QF19="",QF20="",QF21=""),"",SUM($PK$6:QF6))</f>
        <v/>
      </c>
      <c r="QG5" s="102" t="str">
        <f>IF(OR(QG13="",QG17="",QG14="",QG15="",QG16="",QG18="",QG19="",QG20="",QG21=""),"",SUM($PK$6:QG6))</f>
        <v/>
      </c>
      <c r="QH5" s="102" t="str">
        <f>IF(OR(QH13="",QH17="",QH14="",QH15="",QH16="",QH18="",QH19="",QH20="",QH21=""),"",SUM($PK$6:QH6))</f>
        <v/>
      </c>
      <c r="QI5" s="102" t="str">
        <f>IF(OR(QI13="",QI17="",QI14="",QI15="",QI16="",QI18="",QI19="",QI20="",QI21=""),"",SUM($PK$6:QI6))</f>
        <v/>
      </c>
      <c r="QJ5" s="102" t="str">
        <f>IF(OR(QJ13="",QJ17="",QJ14="",QJ15="",QJ16="",QJ18="",QJ19="",QJ20="",QJ21=""),"",SUM($PK$6:QJ6))</f>
        <v/>
      </c>
      <c r="QK5" s="102" t="str">
        <f>IF(OR(QK13="",QK17="",QK14="",QK15="",QK16="",QK18="",QK19="",QK20="",QK21=""),"",SUM($PK$6:QK6))</f>
        <v/>
      </c>
      <c r="QL5" s="102" t="str">
        <f>IF(OR(QL13="",QL17="",QL14="",QL15="",QL16="",QL18="",QL19="",QL20="",QL21=""),"",SUM($PK$6:QL6))</f>
        <v/>
      </c>
      <c r="QM5" s="102" t="str">
        <f>IF(OR(QM13="",QM17="",QM14="",QM15="",QM16="",QM18="",QM19="",QM20="",QM21=""),"",SUM($PK$6:QM6))</f>
        <v/>
      </c>
      <c r="QN5" s="102" t="str">
        <f>IF(OR(QN13="",QN17="",QN14="",QN15="",QN16="",QN18="",QN19="",QN20="",QN21=""),"",SUM($PK$6:QN6))</f>
        <v/>
      </c>
      <c r="QO5" s="102" t="str">
        <f>IF(OR(QO13="",QO17="",QO14="",QO15="",QO16="",QO18="",QO19="",QO20="",QO21=""),"",SUM($PK$6:QO6))</f>
        <v/>
      </c>
      <c r="QP5" s="102" t="str">
        <f>IF(OR(QP13="",QP17="",QP14="",QP15="",QP16="",QP18="",QP19="",QP20="",QP21=""),"",SUM($QP$6:QP6))</f>
        <v/>
      </c>
      <c r="QQ5" s="102" t="str">
        <f>IF(OR(QQ13="",QQ17="",QQ14="",QQ15="",QQ16="",QQ18="",QQ19="",QQ20="",QQ21=""),"",SUM($QP$6:QQ6))</f>
        <v/>
      </c>
      <c r="QR5" s="102" t="str">
        <f>IF(OR(QR13="",QR17="",QR14="",QR15="",QR16="",QR18="",QR19="",QR20="",QR21=""),"",SUM($QP$6:QR6))</f>
        <v/>
      </c>
      <c r="QS5" s="102" t="str">
        <f>IF(OR(QS13="",QS17="",QS14="",QS15="",QS16="",QS18="",QS19="",QS20="",QS21=""),"",SUM($QP$6:QS6))</f>
        <v/>
      </c>
      <c r="QT5" s="102" t="str">
        <f>IF(OR(QT13="",QT17="",QT14="",QT15="",QT16="",QT18="",QT19="",QT20="",QT21=""),"",SUM($QP$6:QT6))</f>
        <v/>
      </c>
      <c r="QU5" s="102" t="str">
        <f>IF(OR(QU13="",QU17="",QU14="",QU15="",QU16="",QU18="",QU19="",QU20="",QU21=""),"",SUM($QP$6:QU6))</f>
        <v/>
      </c>
      <c r="QV5" s="102" t="str">
        <f>IF(OR(QV13="",QV17="",QV14="",QV15="",QV16="",QV18="",QV19="",QV20="",QV21=""),"",SUM($QP$6:QV6))</f>
        <v/>
      </c>
      <c r="QW5" s="102" t="str">
        <f>IF(OR(QW13="",QW17="",QW14="",QW15="",QW16="",QW18="",QW19="",QW20="",QW21=""),"",SUM($QP$6:QW6))</f>
        <v/>
      </c>
      <c r="QX5" s="102" t="str">
        <f>IF(OR(QX13="",QX17="",QX14="",QX15="",QX16="",QX18="",QX19="",QX20="",QX21=""),"",SUM($QP$6:QX6))</f>
        <v/>
      </c>
      <c r="QY5" s="102" t="str">
        <f>IF(OR(QY13="",QY17="",QY14="",QY15="",QY16="",QY18="",QY19="",QY20="",QY21=""),"",SUM($QP$6:QY6))</f>
        <v/>
      </c>
      <c r="QZ5" s="102" t="str">
        <f>IF(OR(QZ13="",QZ17="",QZ14="",QZ15="",QZ16="",QZ18="",QZ19="",QZ20="",QZ21=""),"",SUM($QP$6:QZ6))</f>
        <v/>
      </c>
      <c r="RA5" s="102" t="str">
        <f>IF(OR(RA13="",RA17="",RA14="",RA15="",RA16="",RA18="",RA19="",RA20="",RA21=""),"",SUM($QP$6:RA6))</f>
        <v/>
      </c>
      <c r="RB5" s="102" t="str">
        <f>IF(OR(RB13="",RB17="",RB14="",RB15="",RB16="",RB18="",RB19="",RB20="",RB21=""),"",SUM($QP$6:RB6))</f>
        <v/>
      </c>
      <c r="RC5" s="102" t="str">
        <f>IF(OR(RC13="",RC17="",RC14="",RC15="",RC16="",RC18="",RC19="",RC20="",RC21=""),"",SUM($QP$6:RC6))</f>
        <v/>
      </c>
      <c r="RD5" s="102" t="str">
        <f>IF(OR(RD13="",RD17="",RD14="",RD15="",RD16="",RD18="",RD19="",RD20="",RD21=""),"",SUM($QP$6:RD6))</f>
        <v/>
      </c>
      <c r="RE5" s="102" t="str">
        <f>IF(OR(RE13="",RE17="",RE14="",RE15="",RE16="",RE18="",RE19="",RE20="",RE21=""),"",SUM($QP$6:RE6))</f>
        <v/>
      </c>
      <c r="RF5" s="102" t="str">
        <f>IF(OR(RF13="",RF17="",RF14="",RF15="",RF16="",RF18="",RF19="",RF20="",RF21=""),"",SUM($QP$6:RF6))</f>
        <v/>
      </c>
      <c r="RG5" s="102" t="str">
        <f>IF(OR(RG13="",RG17="",RG14="",RG15="",RG16="",RG18="",RG19="",RG20="",RG21=""),"",SUM($QP$6:RG6))</f>
        <v/>
      </c>
      <c r="RH5" s="102" t="str">
        <f>IF(OR(RH13="",RH17="",RH14="",RH15="",RH16="",RH18="",RH19="",RH20="",RH21=""),"",SUM($QP$6:RH6))</f>
        <v/>
      </c>
      <c r="RI5" s="102" t="str">
        <f>IF(OR(RI13="",RI17="",RI14="",RI15="",RI16="",RI18="",RI19="",RI20="",RI21=""),"",SUM($QP$6:RI6))</f>
        <v/>
      </c>
      <c r="RJ5" s="102" t="str">
        <f>IF(OR(RJ13="",RJ17="",RJ14="",RJ15="",RJ16="",RJ18="",RJ19="",RJ20="",RJ21=""),"",SUM($QP$6:RJ6))</f>
        <v/>
      </c>
      <c r="RK5" s="102" t="str">
        <f>IF(OR(RK13="",RK17="",RK14="",RK15="",RK16="",RK18="",RK19="",RK20="",RK21=""),"",SUM($QP$6:RK6))</f>
        <v/>
      </c>
      <c r="RL5" s="102" t="str">
        <f>IF(OR(RL13="",RL17="",RL14="",RL15="",RL16="",RL18="",RL19="",RL20="",RL21=""),"",SUM($QP$6:RL6))</f>
        <v/>
      </c>
      <c r="RM5" s="102" t="str">
        <f>IF(OR(RM13="",RM17="",RM14="",RM15="",RM16="",RM18="",RM19="",RM20="",RM21=""),"",SUM($QP$6:RM6))</f>
        <v/>
      </c>
      <c r="RN5" s="102" t="str">
        <f>IF(OR(RN13="",RN17="",RN14="",RN15="",RN16="",RN18="",RN19="",RN20="",RN21=""),"",SUM($QP$6:RN6))</f>
        <v/>
      </c>
      <c r="RO5" s="102" t="str">
        <f>IF(OR(RO13="",RO17="",RO14="",RO15="",RO16="",RO18="",RO19="",RO20="",RO21=""),"",SUM($QP$6:RO6))</f>
        <v/>
      </c>
      <c r="RP5" s="102" t="str">
        <f>IF(OR(RP13="",RP17="",RP14="",RP15="",RP16="",RP18="",RP19="",RP20="",RP21=""),"",SUM($QP$6:RP6))</f>
        <v/>
      </c>
      <c r="RQ5" s="102" t="str">
        <f>IF(OR(RQ13="",RQ17="",RQ14="",RQ15="",RQ16="",RQ18="",RQ19="",RQ20="",RQ21=""),"",SUM($QP$6:RQ6))</f>
        <v/>
      </c>
      <c r="RR5" s="102" t="str">
        <f>IF(OR(RR13="",RR17="",RR14="",RR15="",RR16="",RR18="",RR19="",RR20="",RR21=""),"",SUM($QP$6:RR6))</f>
        <v/>
      </c>
      <c r="RS5" s="102" t="str">
        <f>IF(OR(RS13="",RS17="",RS14="",RS15="",RS16="",RS18="",RS19="",RS20="",RS21=""),"",SUM($QP$6:RS6))</f>
        <v/>
      </c>
      <c r="RT5" s="102" t="str">
        <f>IF(OR(RT13="",RT17="",RT14="",RT15="",RT16="",RT18="",RT19="",RT20="",RT21=""),"",SUM($RT$6:RT6))</f>
        <v/>
      </c>
      <c r="RU5" s="102" t="str">
        <f>IF(OR(RU13="",RU17="",RU14="",RU15="",RU16="",RU18="",RU19="",RU20="",RU21=""),"",SUM($RT$6:RU6))</f>
        <v/>
      </c>
      <c r="RV5" s="102" t="str">
        <f>IF(OR(RV13="",RV17="",RV14="",RV15="",RV16="",RV18="",RV19="",RV20="",RV21=""),"",SUM($RT$6:RV6))</f>
        <v/>
      </c>
      <c r="RW5" s="102" t="str">
        <f>IF(OR(RW13="",RW17="",RW14="",RW15="",RW16="",RW18="",RW19="",RW20="",RW21=""),"",SUM($RT$6:RW6))</f>
        <v/>
      </c>
      <c r="RX5" s="102" t="str">
        <f>IF(OR(RX13="",RX17="",RX14="",RX15="",RX16="",RX18="",RX19="",RX20="",RX21=""),"",SUM($RT$6:RX6))</f>
        <v/>
      </c>
      <c r="RY5" s="102" t="str">
        <f>IF(OR(RY13="",RY17="",RY14="",RY15="",RY16="",RY18="",RY19="",RY20="",RY21=""),"",SUM($RT$6:RY6))</f>
        <v/>
      </c>
      <c r="RZ5" s="102" t="str">
        <f>IF(OR(RZ13="",RZ17="",RZ14="",RZ15="",RZ16="",RZ18="",RZ19="",RZ20="",RZ21=""),"",SUM($RT$6:RZ6))</f>
        <v/>
      </c>
      <c r="SA5" s="102" t="str">
        <f>IF(OR(SA13="",SA17="",SA14="",SA15="",SA16="",SA18="",SA19="",SA20="",SA21=""),"",SUM($RT$6:SA6))</f>
        <v/>
      </c>
      <c r="SB5" s="102" t="str">
        <f>IF(OR(SB13="",SB17="",SB14="",SB15="",SB16="",SB18="",SB19="",SB20="",SB21=""),"",SUM($RT$6:SB6))</f>
        <v/>
      </c>
      <c r="SC5" s="102" t="str">
        <f>IF(OR(SC13="",SC17="",SC14="",SC15="",SC16="",SC18="",SC19="",SC20="",SC21=""),"",SUM($RT$6:SC6))</f>
        <v/>
      </c>
      <c r="SD5" s="102" t="str">
        <f>IF(OR(SD13="",SD17="",SD14="",SD15="",SD16="",SD18="",SD19="",SD20="",SD21=""),"",SUM($RT$6:SD6))</f>
        <v/>
      </c>
      <c r="SE5" s="102" t="str">
        <f>IF(OR(SE13="",SE17="",SE14="",SE15="",SE16="",SE18="",SE19="",SE20="",SE21=""),"",SUM($RT$6:SE6))</f>
        <v/>
      </c>
      <c r="SF5" s="102" t="str">
        <f>IF(OR(SF13="",SF17="",SF14="",SF15="",SF16="",SF18="",SF19="",SF20="",SF21=""),"",SUM($RT$6:SF6))</f>
        <v/>
      </c>
      <c r="SG5" s="102" t="str">
        <f>IF(OR(SG13="",SG17="",SG14="",SG15="",SG16="",SG18="",SG19="",SG20="",SG21=""),"",SUM($RT$6:SG6))</f>
        <v/>
      </c>
      <c r="SH5" s="102" t="str">
        <f>IF(OR(SH13="",SH17="",SH14="",SH15="",SH16="",SH18="",SH19="",SH20="",SH21=""),"",SUM($RT$6:SH6))</f>
        <v/>
      </c>
      <c r="SI5" s="102" t="str">
        <f>IF(OR(SI13="",SI17="",SI14="",SI15="",SI16="",SI18="",SI19="",SI20="",SI21=""),"",SUM($RT$6:SI6))</f>
        <v/>
      </c>
      <c r="SJ5" s="102" t="str">
        <f>IF(OR(SJ13="",SJ17="",SJ14="",SJ15="",SJ16="",SJ18="",SJ19="",SJ20="",SJ21=""),"",SUM($RT$6:SJ6))</f>
        <v/>
      </c>
      <c r="SK5" s="102" t="str">
        <f>IF(OR(SK13="",SK17="",SK14="",SK15="",SK16="",SK18="",SK19="",SK20="",SK21=""),"",SUM($RT$6:SK6))</f>
        <v/>
      </c>
      <c r="SL5" s="102" t="str">
        <f>IF(OR(SL13="",SL17="",SL14="",SL15="",SL16="",SL18="",SL19="",SL20="",SL21=""),"",SUM($RT$6:SL6))</f>
        <v/>
      </c>
      <c r="SM5" s="102" t="str">
        <f>IF(OR(SM13="",SM17="",SM14="",SM15="",SM16="",SM18="",SM19="",SM20="",SM21=""),"",SUM($RT$6:SM6))</f>
        <v/>
      </c>
      <c r="SN5" s="102" t="str">
        <f>IF(OR(SN13="",SN17="",SN14="",SN15="",SN16="",SN18="",SN19="",SN20="",SN21=""),"",SUM($RT$6:SN6))</f>
        <v/>
      </c>
      <c r="SO5" s="102" t="str">
        <f>IF(OR(SO13="",SO17="",SO14="",SO15="",SO16="",SO18="",SO19="",SO20="",SO21=""),"",SUM($RT$6:SO6))</f>
        <v/>
      </c>
      <c r="SP5" s="102" t="str">
        <f>IF(OR(SP13="",SP17="",SP14="",SP15="",SP16="",SP18="",SP19="",SP20="",SP21=""),"",SUM($RT$6:SP6))</f>
        <v/>
      </c>
      <c r="SQ5" s="102" t="str">
        <f>IF(OR(SQ13="",SQ17="",SQ14="",SQ15="",SQ16="",SQ18="",SQ19="",SQ20="",SQ21=""),"",SUM($RT$6:SQ6))</f>
        <v/>
      </c>
      <c r="SR5" s="102" t="str">
        <f>IF(OR(SR13="",SR17="",SR14="",SR15="",SR16="",SR18="",SR19="",SR20="",SR21=""),"",SUM($RT$6:SR6))</f>
        <v/>
      </c>
      <c r="SS5" s="102" t="str">
        <f>IF(OR(SS13="",SS17="",SS14="",SS15="",SS16="",SS18="",SS19="",SS20="",SS21=""),"",SUM($RT$6:SS6))</f>
        <v/>
      </c>
      <c r="ST5" s="102" t="str">
        <f>IF(OR(ST13="",ST17="",ST14="",ST15="",ST16="",ST18="",ST19="",ST20="",ST21=""),"",SUM($RT$6:ST6))</f>
        <v/>
      </c>
      <c r="SU5" s="102" t="str">
        <f>IF(OR(SU13="",SU17="",SU14="",SU15="",SU16="",SU18="",SU19="",SU20="",SU21=""),"",SUM($RT$6:SU6))</f>
        <v/>
      </c>
      <c r="SV5" s="102" t="str">
        <f>IF(OR(SV13="",SV17="",SV14="",SV15="",SV16="",SV18="",SV19="",SV20="",SV21=""),"",SUM($RT$6:SV6))</f>
        <v/>
      </c>
      <c r="SW5" s="102" t="str">
        <f>IF(OR(SW13="",SW17="",SW14="",SW15="",SW16="",SW18="",SW19="",SW20="",SW21=""),"",SUM($RT$6:SW6))</f>
        <v/>
      </c>
    </row>
    <row r="6" spans="1:517" ht="24.6" customHeight="1" x14ac:dyDescent="0.2">
      <c r="B6" s="103" t="s">
        <v>28</v>
      </c>
      <c r="C6" s="102">
        <f t="shared" ref="C6:D6" si="19">IF(OR(C13="",C17="",C14="",C15="",C16="",C18="",C19="",C20="",C21=""),"",C1*24)</f>
        <v>24</v>
      </c>
      <c r="D6" s="102">
        <f t="shared" si="19"/>
        <v>24</v>
      </c>
      <c r="E6" s="102">
        <f t="shared" ref="E6:AF6" si="20">IF(OR(E13="",E17="",E14="",E15="",E16="",E18="",E19="",E20="",E21=""),"",E1*24)</f>
        <v>24</v>
      </c>
      <c r="F6" s="102">
        <f t="shared" si="20"/>
        <v>24</v>
      </c>
      <c r="G6" s="102">
        <f t="shared" si="20"/>
        <v>24</v>
      </c>
      <c r="H6" s="102">
        <f t="shared" si="20"/>
        <v>24</v>
      </c>
      <c r="I6" s="102">
        <f t="shared" si="20"/>
        <v>24</v>
      </c>
      <c r="J6" s="102">
        <f t="shared" si="20"/>
        <v>24</v>
      </c>
      <c r="K6" s="102">
        <f t="shared" si="20"/>
        <v>24</v>
      </c>
      <c r="L6" s="102">
        <f t="shared" si="20"/>
        <v>24</v>
      </c>
      <c r="M6" s="102">
        <f t="shared" si="20"/>
        <v>24</v>
      </c>
      <c r="N6" s="102">
        <f t="shared" si="20"/>
        <v>24</v>
      </c>
      <c r="O6" s="102">
        <f t="shared" si="20"/>
        <v>24</v>
      </c>
      <c r="P6" s="102">
        <f t="shared" si="20"/>
        <v>24</v>
      </c>
      <c r="Q6" s="102">
        <f t="shared" si="20"/>
        <v>24</v>
      </c>
      <c r="R6" s="102">
        <f t="shared" si="20"/>
        <v>24</v>
      </c>
      <c r="S6" s="102">
        <f t="shared" si="20"/>
        <v>24</v>
      </c>
      <c r="T6" s="102">
        <f t="shared" si="20"/>
        <v>24</v>
      </c>
      <c r="U6" s="102">
        <f t="shared" si="20"/>
        <v>24</v>
      </c>
      <c r="V6" s="102">
        <f t="shared" si="20"/>
        <v>24</v>
      </c>
      <c r="W6" s="102">
        <f t="shared" si="20"/>
        <v>24</v>
      </c>
      <c r="X6" s="102">
        <f t="shared" si="20"/>
        <v>24</v>
      </c>
      <c r="Y6" s="102">
        <f t="shared" si="20"/>
        <v>24</v>
      </c>
      <c r="Z6" s="102">
        <f t="shared" si="20"/>
        <v>24</v>
      </c>
      <c r="AA6" s="102">
        <f t="shared" si="20"/>
        <v>24</v>
      </c>
      <c r="AB6" s="102">
        <f t="shared" si="20"/>
        <v>24</v>
      </c>
      <c r="AC6" s="102">
        <f t="shared" si="20"/>
        <v>24</v>
      </c>
      <c r="AD6" s="102">
        <f t="shared" si="20"/>
        <v>24</v>
      </c>
      <c r="AE6" s="102">
        <f t="shared" si="20"/>
        <v>24</v>
      </c>
      <c r="AF6" s="102">
        <f t="shared" si="20"/>
        <v>24</v>
      </c>
      <c r="AG6" s="102">
        <f t="shared" ref="AG6" si="21">IF(OR(AG13="",AG17="",AG14="",AG15="",AG16="",AG18="",AG19="",AG20="",AG21=""),"",AG1*24)</f>
        <v>24</v>
      </c>
      <c r="AH6" s="102">
        <f t="shared" ref="AH6" si="22">IF(OR(AH13="",AH17="",AH14="",AH15="",AH16="",AH18="",AH19="",AH20="",AH21=""),"",AH1*24)</f>
        <v>24</v>
      </c>
      <c r="AI6" s="102">
        <f t="shared" ref="AI6:BH6" si="23">IF(OR(AI13="",AI17="",AI14="",AI15="",AI16="",AI18="",AI19="",AI20="",AI21=""),"",AI1*24)</f>
        <v>24</v>
      </c>
      <c r="AJ6" s="102">
        <f t="shared" si="23"/>
        <v>24</v>
      </c>
      <c r="AK6" s="102">
        <f t="shared" si="23"/>
        <v>24</v>
      </c>
      <c r="AL6" s="102">
        <f t="shared" si="23"/>
        <v>24</v>
      </c>
      <c r="AM6" s="102">
        <f t="shared" si="23"/>
        <v>24</v>
      </c>
      <c r="AN6" s="102">
        <f t="shared" si="23"/>
        <v>24</v>
      </c>
      <c r="AO6" s="102">
        <f t="shared" si="23"/>
        <v>24</v>
      </c>
      <c r="AP6" s="102">
        <f t="shared" si="23"/>
        <v>24</v>
      </c>
      <c r="AQ6" s="102">
        <f t="shared" si="23"/>
        <v>24</v>
      </c>
      <c r="AR6" s="102">
        <f t="shared" si="23"/>
        <v>24</v>
      </c>
      <c r="AS6" s="102">
        <f t="shared" si="23"/>
        <v>24</v>
      </c>
      <c r="AT6" s="102">
        <f t="shared" si="23"/>
        <v>24</v>
      </c>
      <c r="AU6" s="102">
        <f t="shared" si="23"/>
        <v>24</v>
      </c>
      <c r="AV6" s="102">
        <f t="shared" si="23"/>
        <v>24</v>
      </c>
      <c r="AW6" s="102">
        <f t="shared" si="23"/>
        <v>24</v>
      </c>
      <c r="AX6" s="102">
        <f t="shared" si="23"/>
        <v>24</v>
      </c>
      <c r="AY6" s="102">
        <f t="shared" si="23"/>
        <v>24</v>
      </c>
      <c r="AZ6" s="102">
        <f t="shared" si="23"/>
        <v>24</v>
      </c>
      <c r="BA6" s="102">
        <f t="shared" si="23"/>
        <v>24</v>
      </c>
      <c r="BB6" s="102">
        <f t="shared" si="23"/>
        <v>24</v>
      </c>
      <c r="BC6" s="102">
        <f t="shared" si="23"/>
        <v>24</v>
      </c>
      <c r="BD6" s="102">
        <f t="shared" si="23"/>
        <v>24</v>
      </c>
      <c r="BE6" s="102">
        <f t="shared" si="23"/>
        <v>24</v>
      </c>
      <c r="BF6" s="102">
        <f t="shared" si="23"/>
        <v>24</v>
      </c>
      <c r="BG6" s="102">
        <f t="shared" si="23"/>
        <v>24</v>
      </c>
      <c r="BH6" s="102">
        <f t="shared" si="23"/>
        <v>24</v>
      </c>
      <c r="BI6" s="102">
        <f t="shared" ref="BI6:CQ6" si="24">IF(OR(BI13="",BI17="",BI14="",BI15="",BI16="",BI18="",BI19="",BI20="",BI21=""),"",BI1*24)</f>
        <v>24</v>
      </c>
      <c r="BJ6" s="102">
        <f t="shared" si="24"/>
        <v>24</v>
      </c>
      <c r="BK6" s="102">
        <f t="shared" si="24"/>
        <v>24</v>
      </c>
      <c r="BL6" s="102">
        <f t="shared" si="24"/>
        <v>24</v>
      </c>
      <c r="BM6" s="102">
        <f t="shared" si="24"/>
        <v>24</v>
      </c>
      <c r="BN6" s="102">
        <f t="shared" si="24"/>
        <v>24</v>
      </c>
      <c r="BO6" s="102">
        <f t="shared" si="24"/>
        <v>24</v>
      </c>
      <c r="BP6" s="102">
        <f t="shared" si="24"/>
        <v>24</v>
      </c>
      <c r="BQ6" s="102">
        <f t="shared" si="24"/>
        <v>24</v>
      </c>
      <c r="BR6" s="102">
        <f t="shared" si="24"/>
        <v>24</v>
      </c>
      <c r="BS6" s="102">
        <f t="shared" si="24"/>
        <v>24</v>
      </c>
      <c r="BT6" s="102">
        <f t="shared" si="24"/>
        <v>24</v>
      </c>
      <c r="BU6" s="102">
        <f t="shared" si="24"/>
        <v>24</v>
      </c>
      <c r="BV6" s="102">
        <f t="shared" si="24"/>
        <v>24</v>
      </c>
      <c r="BW6" s="102">
        <f t="shared" si="24"/>
        <v>24</v>
      </c>
      <c r="BX6" s="102">
        <f t="shared" si="24"/>
        <v>24</v>
      </c>
      <c r="BY6" s="102">
        <f t="shared" si="24"/>
        <v>24</v>
      </c>
      <c r="BZ6" s="102">
        <f t="shared" si="24"/>
        <v>24</v>
      </c>
      <c r="CA6" s="102">
        <f t="shared" si="24"/>
        <v>24</v>
      </c>
      <c r="CB6" s="102">
        <f t="shared" si="24"/>
        <v>24</v>
      </c>
      <c r="CC6" s="102">
        <f t="shared" si="24"/>
        <v>24</v>
      </c>
      <c r="CD6" s="102">
        <f t="shared" si="24"/>
        <v>24</v>
      </c>
      <c r="CE6" s="102">
        <f t="shared" si="24"/>
        <v>24</v>
      </c>
      <c r="CF6" s="102">
        <f t="shared" si="24"/>
        <v>24</v>
      </c>
      <c r="CG6" s="102">
        <f t="shared" si="24"/>
        <v>24</v>
      </c>
      <c r="CH6" s="102">
        <f t="shared" si="24"/>
        <v>24</v>
      </c>
      <c r="CI6" s="102">
        <f t="shared" si="24"/>
        <v>24</v>
      </c>
      <c r="CJ6" s="102">
        <f t="shared" si="24"/>
        <v>24</v>
      </c>
      <c r="CK6" s="102">
        <f t="shared" si="24"/>
        <v>24</v>
      </c>
      <c r="CL6" s="102">
        <f t="shared" ref="CL6:CM6" si="25">IF(OR(CL13="",CL17="",CL14="",CL15="",CL16="",CL18="",CL19="",CL20="",CL21=""),"",CL1*24)</f>
        <v>24</v>
      </c>
      <c r="CM6" s="102">
        <f t="shared" si="25"/>
        <v>24</v>
      </c>
      <c r="CN6" s="102">
        <f t="shared" ref="CN6" si="26">IF(OR(CN13="",CN17="",CN14="",CN15="",CN16="",CN18="",CN19="",CN20="",CN21=""),"",CN1*24)</f>
        <v>24</v>
      </c>
      <c r="CO6" s="102">
        <f t="shared" si="24"/>
        <v>24</v>
      </c>
      <c r="CP6" s="102">
        <f t="shared" si="24"/>
        <v>24</v>
      </c>
      <c r="CQ6" s="102">
        <f t="shared" si="24"/>
        <v>24</v>
      </c>
      <c r="CR6" s="102">
        <f t="shared" ref="CR6:EY6" si="27">IF(OR(CR13="",CR17="",CR14="",CR15="",CR16="",CR18="",CR19="",CR20="",CR21=""),"",CR1*24)</f>
        <v>24</v>
      </c>
      <c r="CS6" s="102">
        <f t="shared" si="27"/>
        <v>24</v>
      </c>
      <c r="CT6" s="102">
        <f t="shared" si="27"/>
        <v>24</v>
      </c>
      <c r="CU6" s="102">
        <f t="shared" si="27"/>
        <v>24</v>
      </c>
      <c r="CV6" s="102">
        <f t="shared" si="27"/>
        <v>24</v>
      </c>
      <c r="CW6" s="102">
        <f t="shared" si="27"/>
        <v>24</v>
      </c>
      <c r="CX6" s="102">
        <f t="shared" si="27"/>
        <v>24</v>
      </c>
      <c r="CY6" s="102">
        <f t="shared" si="27"/>
        <v>24</v>
      </c>
      <c r="CZ6" s="102">
        <f t="shared" si="27"/>
        <v>24</v>
      </c>
      <c r="DA6" s="102">
        <f t="shared" si="27"/>
        <v>24</v>
      </c>
      <c r="DB6" s="102">
        <f t="shared" si="27"/>
        <v>24</v>
      </c>
      <c r="DC6" s="102">
        <f t="shared" si="27"/>
        <v>24</v>
      </c>
      <c r="DD6" s="102">
        <f t="shared" si="27"/>
        <v>24</v>
      </c>
      <c r="DE6" s="102">
        <f t="shared" si="27"/>
        <v>24</v>
      </c>
      <c r="DF6" s="102">
        <f t="shared" si="27"/>
        <v>24</v>
      </c>
      <c r="DG6" s="102">
        <f t="shared" si="27"/>
        <v>24</v>
      </c>
      <c r="DH6" s="102">
        <f t="shared" si="27"/>
        <v>24</v>
      </c>
      <c r="DI6" s="102">
        <f t="shared" si="27"/>
        <v>24</v>
      </c>
      <c r="DJ6" s="102">
        <f t="shared" si="27"/>
        <v>24</v>
      </c>
      <c r="DK6" s="102">
        <f t="shared" si="27"/>
        <v>24</v>
      </c>
      <c r="DL6" s="102">
        <f t="shared" si="27"/>
        <v>24</v>
      </c>
      <c r="DM6" s="102">
        <f t="shared" si="27"/>
        <v>24</v>
      </c>
      <c r="DN6" s="102">
        <f t="shared" si="27"/>
        <v>24</v>
      </c>
      <c r="DO6" s="102">
        <f t="shared" si="27"/>
        <v>24</v>
      </c>
      <c r="DP6" s="102">
        <f t="shared" si="27"/>
        <v>24</v>
      </c>
      <c r="DQ6" s="102">
        <f t="shared" si="27"/>
        <v>24</v>
      </c>
      <c r="DR6" s="102">
        <f t="shared" si="27"/>
        <v>24</v>
      </c>
      <c r="DS6" s="102">
        <f t="shared" ref="DS6:DT6" si="28">IF(OR(DS13="",DS17="",DS14="",DS15="",DS16="",DS18="",DS19="",DS20="",DS21=""),"",DS1*24)</f>
        <v>24</v>
      </c>
      <c r="DT6" s="102">
        <f t="shared" si="28"/>
        <v>24</v>
      </c>
      <c r="DU6" s="102">
        <f t="shared" ref="DU6:EW6" si="29">IF(OR(DU13="",DU17="",DU14="",DU15="",DU16="",DU18="",DU19="",DU20="",DU21=""),"",DU1*24)</f>
        <v>24</v>
      </c>
      <c r="DV6" s="102">
        <f t="shared" si="29"/>
        <v>24</v>
      </c>
      <c r="DW6" s="102">
        <f t="shared" si="29"/>
        <v>24</v>
      </c>
      <c r="DX6" s="102">
        <f t="shared" si="29"/>
        <v>24</v>
      </c>
      <c r="DY6" s="102">
        <f t="shared" si="29"/>
        <v>24</v>
      </c>
      <c r="DZ6" s="102">
        <f t="shared" si="29"/>
        <v>24</v>
      </c>
      <c r="EA6" s="102">
        <f t="shared" si="29"/>
        <v>24</v>
      </c>
      <c r="EB6" s="102">
        <f t="shared" si="29"/>
        <v>24</v>
      </c>
      <c r="EC6" s="102">
        <f t="shared" si="29"/>
        <v>24</v>
      </c>
      <c r="ED6" s="102">
        <f t="shared" si="29"/>
        <v>24</v>
      </c>
      <c r="EE6" s="102">
        <f t="shared" si="29"/>
        <v>24</v>
      </c>
      <c r="EF6" s="102">
        <f t="shared" si="29"/>
        <v>24</v>
      </c>
      <c r="EG6" s="102">
        <f t="shared" si="29"/>
        <v>24</v>
      </c>
      <c r="EH6" s="102">
        <f t="shared" si="29"/>
        <v>24</v>
      </c>
      <c r="EI6" s="102">
        <f t="shared" si="29"/>
        <v>24</v>
      </c>
      <c r="EJ6" s="102">
        <f t="shared" si="29"/>
        <v>24</v>
      </c>
      <c r="EK6" s="102">
        <f t="shared" si="29"/>
        <v>24</v>
      </c>
      <c r="EL6" s="102">
        <f t="shared" si="29"/>
        <v>24</v>
      </c>
      <c r="EM6" s="102">
        <f t="shared" si="29"/>
        <v>24</v>
      </c>
      <c r="EN6" s="102">
        <f t="shared" si="29"/>
        <v>24</v>
      </c>
      <c r="EO6" s="102">
        <f t="shared" si="29"/>
        <v>24</v>
      </c>
      <c r="EP6" s="102">
        <f t="shared" si="29"/>
        <v>24</v>
      </c>
      <c r="EQ6" s="102">
        <f t="shared" si="29"/>
        <v>24</v>
      </c>
      <c r="ER6" s="102">
        <f t="shared" si="29"/>
        <v>24</v>
      </c>
      <c r="ES6" s="102">
        <f t="shared" si="29"/>
        <v>24</v>
      </c>
      <c r="ET6" s="102">
        <f t="shared" si="29"/>
        <v>24</v>
      </c>
      <c r="EU6" s="102">
        <f t="shared" si="29"/>
        <v>24</v>
      </c>
      <c r="EV6" s="102">
        <f t="shared" si="29"/>
        <v>24</v>
      </c>
      <c r="EW6" s="102">
        <f t="shared" si="29"/>
        <v>24</v>
      </c>
      <c r="EX6" s="102">
        <f t="shared" si="27"/>
        <v>24</v>
      </c>
      <c r="EY6" s="102">
        <f t="shared" si="27"/>
        <v>24</v>
      </c>
      <c r="EZ6" s="102">
        <f t="shared" ref="EZ6:GC6" si="30">IF(OR(EZ13="",EZ17="",EZ14="",EZ15="",EZ16="",EZ18="",EZ19="",EZ20="",EZ21=""),"",EZ1*24)</f>
        <v>24</v>
      </c>
      <c r="FA6" s="102">
        <f t="shared" si="30"/>
        <v>24</v>
      </c>
      <c r="FB6" s="102">
        <f t="shared" si="30"/>
        <v>24</v>
      </c>
      <c r="FC6" s="102">
        <f t="shared" si="30"/>
        <v>24</v>
      </c>
      <c r="FD6" s="102">
        <f t="shared" si="30"/>
        <v>24</v>
      </c>
      <c r="FE6" s="102">
        <f t="shared" si="30"/>
        <v>24</v>
      </c>
      <c r="FF6" s="102">
        <f t="shared" si="30"/>
        <v>24</v>
      </c>
      <c r="FG6" s="102">
        <f t="shared" si="30"/>
        <v>24</v>
      </c>
      <c r="FH6" s="102">
        <f t="shared" si="30"/>
        <v>24</v>
      </c>
      <c r="FI6" s="102">
        <f t="shared" si="30"/>
        <v>24</v>
      </c>
      <c r="FJ6" s="102">
        <f t="shared" si="30"/>
        <v>24</v>
      </c>
      <c r="FK6" s="102">
        <f t="shared" si="30"/>
        <v>24</v>
      </c>
      <c r="FL6" s="102">
        <f t="shared" si="30"/>
        <v>24</v>
      </c>
      <c r="FM6" s="102">
        <f t="shared" si="30"/>
        <v>24</v>
      </c>
      <c r="FN6" s="102">
        <f t="shared" si="30"/>
        <v>24</v>
      </c>
      <c r="FO6" s="102">
        <f t="shared" si="30"/>
        <v>24</v>
      </c>
      <c r="FP6" s="102">
        <f t="shared" si="30"/>
        <v>24</v>
      </c>
      <c r="FQ6" s="102">
        <f t="shared" si="30"/>
        <v>24</v>
      </c>
      <c r="FR6" s="102">
        <f t="shared" si="30"/>
        <v>24</v>
      </c>
      <c r="FS6" s="102">
        <f t="shared" si="30"/>
        <v>24</v>
      </c>
      <c r="FT6" s="102">
        <f t="shared" si="30"/>
        <v>24</v>
      </c>
      <c r="FU6" s="102">
        <f t="shared" si="30"/>
        <v>24</v>
      </c>
      <c r="FV6" s="102">
        <f t="shared" si="30"/>
        <v>24</v>
      </c>
      <c r="FW6" s="102">
        <f t="shared" si="30"/>
        <v>24</v>
      </c>
      <c r="FX6" s="102">
        <f t="shared" si="30"/>
        <v>24</v>
      </c>
      <c r="FY6" s="102">
        <f t="shared" si="30"/>
        <v>24</v>
      </c>
      <c r="FZ6" s="102">
        <f t="shared" si="30"/>
        <v>24</v>
      </c>
      <c r="GA6" s="102">
        <f>IF(OR(GA13="",GA17="",GA14="",GA15="",GA16="",GA18="",GA19="",GA20="",GA21=""),"",GA1*24)</f>
        <v>24</v>
      </c>
      <c r="GB6" s="102">
        <f>IF(OR(GB13="",GB17="",GB14="",GB15="",GB16="",GB18="",GB19="",GB20="",GB21=""),"",GB1*24)</f>
        <v>24</v>
      </c>
      <c r="GC6" s="102">
        <f t="shared" si="30"/>
        <v>24</v>
      </c>
      <c r="GD6" s="102">
        <f t="shared" ref="GD6:HF6" si="31">IF(OR(GD13="",GD17="",GD14="",GD15="",GD16="",GD18="",GD19="",GD20="",GD21=""),"",GD1*24)</f>
        <v>24</v>
      </c>
      <c r="GE6" s="102">
        <f t="shared" si="31"/>
        <v>24</v>
      </c>
      <c r="GF6" s="102">
        <f t="shared" si="31"/>
        <v>24</v>
      </c>
      <c r="GG6" s="102">
        <f t="shared" si="31"/>
        <v>24</v>
      </c>
      <c r="GH6" s="102">
        <f t="shared" si="31"/>
        <v>24</v>
      </c>
      <c r="GI6" s="102">
        <f t="shared" si="31"/>
        <v>24</v>
      </c>
      <c r="GJ6" s="102">
        <f t="shared" si="31"/>
        <v>24</v>
      </c>
      <c r="GK6" s="102">
        <f t="shared" si="31"/>
        <v>24</v>
      </c>
      <c r="GL6" s="102">
        <f t="shared" si="31"/>
        <v>24</v>
      </c>
      <c r="GM6" s="102">
        <f t="shared" si="31"/>
        <v>24</v>
      </c>
      <c r="GN6" s="102">
        <f t="shared" si="31"/>
        <v>24</v>
      </c>
      <c r="GO6" s="102">
        <f t="shared" si="31"/>
        <v>24</v>
      </c>
      <c r="GP6" s="102">
        <f t="shared" si="31"/>
        <v>24</v>
      </c>
      <c r="GQ6" s="102">
        <f t="shared" si="31"/>
        <v>24</v>
      </c>
      <c r="GR6" s="102">
        <f t="shared" si="31"/>
        <v>24</v>
      </c>
      <c r="GS6" s="102">
        <f t="shared" si="31"/>
        <v>24</v>
      </c>
      <c r="GT6" s="102">
        <f t="shared" si="31"/>
        <v>24</v>
      </c>
      <c r="GU6" s="102">
        <f t="shared" si="31"/>
        <v>24</v>
      </c>
      <c r="GV6" s="102">
        <f t="shared" si="31"/>
        <v>24</v>
      </c>
      <c r="GW6" s="102">
        <f t="shared" si="31"/>
        <v>24</v>
      </c>
      <c r="GX6" s="102">
        <f t="shared" si="31"/>
        <v>24</v>
      </c>
      <c r="GY6" s="102">
        <f t="shared" si="31"/>
        <v>24</v>
      </c>
      <c r="GZ6" s="102">
        <f t="shared" si="31"/>
        <v>24</v>
      </c>
      <c r="HA6" s="102">
        <f t="shared" si="31"/>
        <v>24</v>
      </c>
      <c r="HB6" s="102">
        <f t="shared" si="31"/>
        <v>24</v>
      </c>
      <c r="HC6" s="102">
        <f t="shared" si="31"/>
        <v>24</v>
      </c>
      <c r="HD6" s="102">
        <f t="shared" si="31"/>
        <v>24</v>
      </c>
      <c r="HE6" s="102">
        <f t="shared" si="31"/>
        <v>24</v>
      </c>
      <c r="HF6" s="102">
        <f t="shared" si="31"/>
        <v>24</v>
      </c>
      <c r="HG6" s="102">
        <f t="shared" ref="HG6:HH6" si="32">IF(OR(HG13="",HG17="",HG14="",HG15="",HG16="",HG18="",HG19="",HG20="",HG21=""),"",HG1*24)</f>
        <v>24</v>
      </c>
      <c r="HH6" s="102">
        <f t="shared" si="32"/>
        <v>24</v>
      </c>
      <c r="HI6" s="102">
        <f t="shared" ref="HI6:IK6" si="33">IF(OR(HI13="",HI17="",HI14="",HI15="",HI16="",HI18="",HI19="",HI20="",HI21=""),"",HI1*24)</f>
        <v>24</v>
      </c>
      <c r="HJ6" s="102">
        <f t="shared" si="33"/>
        <v>24</v>
      </c>
      <c r="HK6" s="102">
        <f t="shared" si="33"/>
        <v>24</v>
      </c>
      <c r="HL6" s="102">
        <f t="shared" si="33"/>
        <v>24</v>
      </c>
      <c r="HM6" s="102">
        <f t="shared" si="33"/>
        <v>24</v>
      </c>
      <c r="HN6" s="102">
        <f t="shared" si="33"/>
        <v>24</v>
      </c>
      <c r="HO6" s="102">
        <f t="shared" si="33"/>
        <v>24</v>
      </c>
      <c r="HP6" s="102">
        <f t="shared" si="33"/>
        <v>24</v>
      </c>
      <c r="HQ6" s="102">
        <f t="shared" si="33"/>
        <v>24</v>
      </c>
      <c r="HR6" s="102">
        <f t="shared" si="33"/>
        <v>24</v>
      </c>
      <c r="HS6" s="102">
        <f t="shared" si="33"/>
        <v>24</v>
      </c>
      <c r="HT6" s="102">
        <f t="shared" si="33"/>
        <v>24</v>
      </c>
      <c r="HU6" s="102">
        <f t="shared" si="33"/>
        <v>24</v>
      </c>
      <c r="HV6" s="102">
        <f t="shared" si="33"/>
        <v>24</v>
      </c>
      <c r="HW6" s="102">
        <f t="shared" si="33"/>
        <v>24</v>
      </c>
      <c r="HX6" s="102">
        <f t="shared" si="33"/>
        <v>24</v>
      </c>
      <c r="HY6" s="102">
        <f t="shared" si="33"/>
        <v>24</v>
      </c>
      <c r="HZ6" s="102">
        <f t="shared" si="33"/>
        <v>24</v>
      </c>
      <c r="IA6" s="102">
        <f t="shared" si="33"/>
        <v>24</v>
      </c>
      <c r="IB6" s="102">
        <f t="shared" si="33"/>
        <v>24</v>
      </c>
      <c r="IC6" s="102">
        <f t="shared" si="33"/>
        <v>24</v>
      </c>
      <c r="ID6" s="102">
        <f t="shared" si="33"/>
        <v>24</v>
      </c>
      <c r="IE6" s="102">
        <f t="shared" si="33"/>
        <v>24</v>
      </c>
      <c r="IF6" s="102">
        <f t="shared" si="33"/>
        <v>24</v>
      </c>
      <c r="IG6" s="102">
        <f t="shared" si="33"/>
        <v>24</v>
      </c>
      <c r="IH6" s="102">
        <f t="shared" si="33"/>
        <v>24</v>
      </c>
      <c r="II6" s="102">
        <f t="shared" si="33"/>
        <v>24</v>
      </c>
      <c r="IJ6" s="102">
        <f t="shared" si="33"/>
        <v>24</v>
      </c>
      <c r="IK6" s="102">
        <f t="shared" si="33"/>
        <v>24</v>
      </c>
      <c r="IL6" s="102">
        <f t="shared" ref="IL6:JO6" si="34">IF(OR(IL13="",IL17="",IL14="",IL15="",IL16="",IL18="",IL19="",IL20="",IL21=""),"",IL1*24)</f>
        <v>24</v>
      </c>
      <c r="IM6" s="102">
        <f t="shared" si="34"/>
        <v>24</v>
      </c>
      <c r="IN6" s="102">
        <f t="shared" si="34"/>
        <v>24</v>
      </c>
      <c r="IO6" s="102">
        <f t="shared" si="34"/>
        <v>24</v>
      </c>
      <c r="IP6" s="102">
        <f t="shared" si="34"/>
        <v>24</v>
      </c>
      <c r="IQ6" s="102">
        <f t="shared" si="34"/>
        <v>24</v>
      </c>
      <c r="IR6" s="102">
        <f t="shared" si="34"/>
        <v>24</v>
      </c>
      <c r="IS6" s="102">
        <f t="shared" si="34"/>
        <v>24</v>
      </c>
      <c r="IT6" s="102">
        <f t="shared" si="34"/>
        <v>24</v>
      </c>
      <c r="IU6" s="102">
        <f t="shared" si="34"/>
        <v>24</v>
      </c>
      <c r="IV6" s="102">
        <f t="shared" si="34"/>
        <v>24</v>
      </c>
      <c r="IW6" s="102">
        <f t="shared" si="34"/>
        <v>24</v>
      </c>
      <c r="IX6" s="102">
        <f t="shared" si="34"/>
        <v>24</v>
      </c>
      <c r="IY6" s="102">
        <f t="shared" si="34"/>
        <v>24</v>
      </c>
      <c r="IZ6" s="102">
        <f t="shared" si="34"/>
        <v>24</v>
      </c>
      <c r="JA6" s="102">
        <f t="shared" si="34"/>
        <v>24</v>
      </c>
      <c r="JB6" s="102">
        <f t="shared" si="34"/>
        <v>24</v>
      </c>
      <c r="JC6" s="102">
        <f t="shared" si="34"/>
        <v>24</v>
      </c>
      <c r="JD6" s="102">
        <f t="shared" si="34"/>
        <v>24</v>
      </c>
      <c r="JE6" s="102">
        <f t="shared" si="34"/>
        <v>24</v>
      </c>
      <c r="JF6" s="102">
        <f t="shared" si="34"/>
        <v>24</v>
      </c>
      <c r="JG6" s="102">
        <f t="shared" si="34"/>
        <v>24</v>
      </c>
      <c r="JH6" s="102">
        <f t="shared" si="34"/>
        <v>24</v>
      </c>
      <c r="JI6" s="102">
        <f t="shared" si="34"/>
        <v>24</v>
      </c>
      <c r="JJ6" s="102">
        <f t="shared" si="34"/>
        <v>24</v>
      </c>
      <c r="JK6" s="102">
        <f t="shared" si="34"/>
        <v>24</v>
      </c>
      <c r="JL6" s="102">
        <f t="shared" si="34"/>
        <v>24</v>
      </c>
      <c r="JM6" s="102">
        <f t="shared" si="34"/>
        <v>24</v>
      </c>
      <c r="JN6" s="102">
        <f t="shared" si="34"/>
        <v>24</v>
      </c>
      <c r="JO6" s="102">
        <f t="shared" si="34"/>
        <v>24</v>
      </c>
      <c r="JP6" s="102">
        <f t="shared" ref="JP6:JQ6" si="35">IF(OR(JP13="",JP17="",JP14="",JP15="",JP16="",JP18="",JP19="",JP20="",JP21=""),"",JP1*24)</f>
        <v>24</v>
      </c>
      <c r="JQ6" s="102">
        <f t="shared" si="35"/>
        <v>24</v>
      </c>
      <c r="JR6" s="102">
        <f t="shared" ref="JR6:KV6" si="36">IF(OR(JR13="",JR17="",JR14="",JR15="",JR16="",JR18="",JR19="",JR20="",JR21=""),"",JR1*24)</f>
        <v>24</v>
      </c>
      <c r="JS6" s="102">
        <f t="shared" si="36"/>
        <v>24</v>
      </c>
      <c r="JT6" s="102">
        <f t="shared" si="36"/>
        <v>24</v>
      </c>
      <c r="JU6" s="102">
        <f t="shared" si="36"/>
        <v>24</v>
      </c>
      <c r="JV6" s="102">
        <f t="shared" si="36"/>
        <v>24</v>
      </c>
      <c r="JW6" s="102">
        <f t="shared" si="36"/>
        <v>24</v>
      </c>
      <c r="JX6" s="102">
        <f t="shared" si="36"/>
        <v>24</v>
      </c>
      <c r="JY6" s="102">
        <f t="shared" si="36"/>
        <v>24</v>
      </c>
      <c r="JZ6" s="102">
        <f t="shared" si="36"/>
        <v>24</v>
      </c>
      <c r="KA6" s="102">
        <f t="shared" si="36"/>
        <v>24</v>
      </c>
      <c r="KB6" s="102">
        <f t="shared" si="36"/>
        <v>24</v>
      </c>
      <c r="KC6" s="102">
        <f t="shared" si="36"/>
        <v>24</v>
      </c>
      <c r="KD6" s="102">
        <f t="shared" si="36"/>
        <v>24</v>
      </c>
      <c r="KE6" s="102">
        <f t="shared" si="36"/>
        <v>24</v>
      </c>
      <c r="KF6" s="102">
        <f t="shared" si="36"/>
        <v>24</v>
      </c>
      <c r="KG6" s="102">
        <f t="shared" si="36"/>
        <v>24</v>
      </c>
      <c r="KH6" s="102">
        <f t="shared" si="36"/>
        <v>24</v>
      </c>
      <c r="KI6" s="102">
        <f t="shared" si="36"/>
        <v>24</v>
      </c>
      <c r="KJ6" s="102">
        <f t="shared" si="36"/>
        <v>24</v>
      </c>
      <c r="KK6" s="102">
        <f t="shared" si="36"/>
        <v>24</v>
      </c>
      <c r="KL6" s="102">
        <f t="shared" si="36"/>
        <v>24</v>
      </c>
      <c r="KM6" s="102">
        <f t="shared" si="36"/>
        <v>24</v>
      </c>
      <c r="KN6" s="102">
        <f t="shared" si="36"/>
        <v>24</v>
      </c>
      <c r="KO6" s="102">
        <f t="shared" si="36"/>
        <v>24</v>
      </c>
      <c r="KP6" s="102">
        <f t="shared" si="36"/>
        <v>24</v>
      </c>
      <c r="KQ6" s="102">
        <f t="shared" si="36"/>
        <v>24</v>
      </c>
      <c r="KR6" s="102">
        <f t="shared" si="36"/>
        <v>24</v>
      </c>
      <c r="KS6" s="102">
        <f t="shared" si="36"/>
        <v>24</v>
      </c>
      <c r="KT6" s="102">
        <f t="shared" si="36"/>
        <v>24</v>
      </c>
      <c r="KU6" s="102" t="str">
        <f t="shared" si="36"/>
        <v/>
      </c>
      <c r="KV6" s="102" t="str">
        <f t="shared" si="36"/>
        <v/>
      </c>
      <c r="KW6" s="102" t="str">
        <f t="shared" ref="KW6:LZ6" si="37">IF(OR(KW13="",KW17="",KW14="",KW15="",KW16="",KW18="",KW19="",KW20="",KW21=""),"",KW1*24)</f>
        <v/>
      </c>
      <c r="KX6" s="102" t="str">
        <f t="shared" si="37"/>
        <v/>
      </c>
      <c r="KY6" s="102" t="str">
        <f t="shared" si="37"/>
        <v/>
      </c>
      <c r="KZ6" s="102" t="str">
        <f t="shared" si="37"/>
        <v/>
      </c>
      <c r="LA6" s="102" t="str">
        <f t="shared" si="37"/>
        <v/>
      </c>
      <c r="LB6" s="102" t="str">
        <f t="shared" si="37"/>
        <v/>
      </c>
      <c r="LC6" s="102" t="str">
        <f t="shared" si="37"/>
        <v/>
      </c>
      <c r="LD6" s="102" t="str">
        <f t="shared" si="37"/>
        <v/>
      </c>
      <c r="LE6" s="102" t="str">
        <f t="shared" si="37"/>
        <v/>
      </c>
      <c r="LF6" s="102" t="str">
        <f t="shared" si="37"/>
        <v/>
      </c>
      <c r="LG6" s="102" t="str">
        <f t="shared" si="37"/>
        <v/>
      </c>
      <c r="LH6" s="102" t="str">
        <f t="shared" si="37"/>
        <v/>
      </c>
      <c r="LI6" s="102" t="str">
        <f t="shared" si="37"/>
        <v/>
      </c>
      <c r="LJ6" s="102" t="str">
        <f t="shared" si="37"/>
        <v/>
      </c>
      <c r="LK6" s="102" t="str">
        <f t="shared" si="37"/>
        <v/>
      </c>
      <c r="LL6" s="102" t="str">
        <f t="shared" si="37"/>
        <v/>
      </c>
      <c r="LM6" s="102" t="str">
        <f t="shared" si="37"/>
        <v/>
      </c>
      <c r="LN6" s="102" t="str">
        <f t="shared" si="37"/>
        <v/>
      </c>
      <c r="LO6" s="102" t="str">
        <f t="shared" si="37"/>
        <v/>
      </c>
      <c r="LP6" s="102" t="str">
        <f t="shared" si="37"/>
        <v/>
      </c>
      <c r="LQ6" s="102" t="str">
        <f t="shared" si="37"/>
        <v/>
      </c>
      <c r="LR6" s="102" t="str">
        <f t="shared" si="37"/>
        <v/>
      </c>
      <c r="LS6" s="102" t="str">
        <f t="shared" si="37"/>
        <v/>
      </c>
      <c r="LT6" s="102" t="str">
        <f t="shared" si="37"/>
        <v/>
      </c>
      <c r="LU6" s="102" t="str">
        <f t="shared" si="37"/>
        <v/>
      </c>
      <c r="LV6" s="102" t="str">
        <f t="shared" si="37"/>
        <v/>
      </c>
      <c r="LW6" s="102" t="str">
        <f t="shared" si="37"/>
        <v/>
      </c>
      <c r="LX6" s="102" t="str">
        <f t="shared" si="37"/>
        <v/>
      </c>
      <c r="LY6" s="102" t="str">
        <f t="shared" si="37"/>
        <v/>
      </c>
      <c r="LZ6" s="102" t="str">
        <f t="shared" si="37"/>
        <v/>
      </c>
      <c r="MA6" s="102" t="str">
        <f t="shared" ref="MA6:NE6" si="38">IF(OR(MA13="",MA17="",MA14="",MA15="",MA16="",MA18="",MA19="",MA20="",MA21=""),"",MA1*24)</f>
        <v/>
      </c>
      <c r="MB6" s="102" t="str">
        <f t="shared" si="38"/>
        <v/>
      </c>
      <c r="MC6" s="102" t="str">
        <f t="shared" si="38"/>
        <v/>
      </c>
      <c r="MD6" s="102" t="str">
        <f t="shared" si="38"/>
        <v/>
      </c>
      <c r="ME6" s="102" t="str">
        <f t="shared" si="38"/>
        <v/>
      </c>
      <c r="MF6" s="102" t="str">
        <f t="shared" si="38"/>
        <v/>
      </c>
      <c r="MG6" s="102" t="str">
        <f t="shared" si="38"/>
        <v/>
      </c>
      <c r="MH6" s="102" t="str">
        <f t="shared" si="38"/>
        <v/>
      </c>
      <c r="MI6" s="102" t="str">
        <f t="shared" si="38"/>
        <v/>
      </c>
      <c r="MJ6" s="102" t="str">
        <f t="shared" si="38"/>
        <v/>
      </c>
      <c r="MK6" s="102" t="str">
        <f t="shared" si="38"/>
        <v/>
      </c>
      <c r="ML6" s="102" t="str">
        <f t="shared" si="38"/>
        <v/>
      </c>
      <c r="MM6" s="102" t="str">
        <f t="shared" si="38"/>
        <v/>
      </c>
      <c r="MN6" s="102" t="str">
        <f t="shared" si="38"/>
        <v/>
      </c>
      <c r="MO6" s="102" t="str">
        <f t="shared" si="38"/>
        <v/>
      </c>
      <c r="MP6" s="102" t="str">
        <f t="shared" si="38"/>
        <v/>
      </c>
      <c r="MQ6" s="102" t="str">
        <f t="shared" si="38"/>
        <v/>
      </c>
      <c r="MR6" s="102" t="str">
        <f t="shared" si="38"/>
        <v/>
      </c>
      <c r="MS6" s="102" t="str">
        <f t="shared" si="38"/>
        <v/>
      </c>
      <c r="MT6" s="102" t="str">
        <f t="shared" si="38"/>
        <v/>
      </c>
      <c r="MU6" s="102" t="str">
        <f t="shared" si="38"/>
        <v/>
      </c>
      <c r="MV6" s="102" t="str">
        <f t="shared" si="38"/>
        <v/>
      </c>
      <c r="MW6" s="102" t="str">
        <f t="shared" si="38"/>
        <v/>
      </c>
      <c r="MX6" s="102" t="str">
        <f t="shared" si="38"/>
        <v/>
      </c>
      <c r="MY6" s="102" t="str">
        <f t="shared" si="38"/>
        <v/>
      </c>
      <c r="MZ6" s="102" t="str">
        <f t="shared" si="38"/>
        <v/>
      </c>
      <c r="NA6" s="102" t="str">
        <f t="shared" si="38"/>
        <v/>
      </c>
      <c r="NB6" s="102" t="str">
        <f t="shared" si="38"/>
        <v/>
      </c>
      <c r="NC6" s="102" t="str">
        <f t="shared" si="38"/>
        <v/>
      </c>
      <c r="ND6" s="102" t="str">
        <f t="shared" si="38"/>
        <v/>
      </c>
      <c r="NE6" s="102" t="str">
        <f t="shared" si="38"/>
        <v/>
      </c>
      <c r="NF6" s="102" t="str">
        <f t="shared" ref="NF6:OY6" si="39">IF(OR(NF13="",NF17="",NF14="",NF15="",NF16="",NF18="",NF19="",NF20="",NF21=""),"",NF1*24)</f>
        <v/>
      </c>
      <c r="NG6" s="102" t="str">
        <f t="shared" ref="NG6:OH6" si="40">IF(OR(NG13="",NG17="",NG14="",NG15="",NG16="",NG18="",NG19="",NG20="",NG21=""),"",NG1*24)</f>
        <v/>
      </c>
      <c r="NH6" s="102" t="str">
        <f t="shared" si="40"/>
        <v/>
      </c>
      <c r="NI6" s="102" t="str">
        <f t="shared" si="40"/>
        <v/>
      </c>
      <c r="NJ6" s="102" t="str">
        <f t="shared" si="40"/>
        <v/>
      </c>
      <c r="NK6" s="102" t="str">
        <f t="shared" si="40"/>
        <v/>
      </c>
      <c r="NL6" s="102" t="str">
        <f t="shared" si="40"/>
        <v/>
      </c>
      <c r="NM6" s="102" t="str">
        <f t="shared" si="40"/>
        <v/>
      </c>
      <c r="NN6" s="102" t="str">
        <f t="shared" si="40"/>
        <v/>
      </c>
      <c r="NO6" s="102" t="str">
        <f t="shared" si="40"/>
        <v/>
      </c>
      <c r="NP6" s="102" t="str">
        <f t="shared" si="40"/>
        <v/>
      </c>
      <c r="NQ6" s="102" t="str">
        <f t="shared" si="40"/>
        <v/>
      </c>
      <c r="NR6" s="102" t="str">
        <f t="shared" si="40"/>
        <v/>
      </c>
      <c r="NS6" s="102" t="str">
        <f t="shared" si="40"/>
        <v/>
      </c>
      <c r="NT6" s="102" t="str">
        <f t="shared" si="40"/>
        <v/>
      </c>
      <c r="NU6" s="102" t="str">
        <f t="shared" si="40"/>
        <v/>
      </c>
      <c r="NV6" s="102" t="str">
        <f t="shared" si="40"/>
        <v/>
      </c>
      <c r="NW6" s="102" t="str">
        <f t="shared" si="40"/>
        <v/>
      </c>
      <c r="NX6" s="102" t="str">
        <f t="shared" si="40"/>
        <v/>
      </c>
      <c r="NY6" s="102" t="str">
        <f t="shared" si="40"/>
        <v/>
      </c>
      <c r="NZ6" s="102" t="str">
        <f t="shared" si="40"/>
        <v/>
      </c>
      <c r="OA6" s="102" t="str">
        <f t="shared" si="40"/>
        <v/>
      </c>
      <c r="OB6" s="102" t="str">
        <f t="shared" si="40"/>
        <v/>
      </c>
      <c r="OC6" s="102" t="str">
        <f t="shared" si="40"/>
        <v/>
      </c>
      <c r="OD6" s="102" t="str">
        <f t="shared" si="40"/>
        <v/>
      </c>
      <c r="OE6" s="102" t="str">
        <f t="shared" si="40"/>
        <v/>
      </c>
      <c r="OF6" s="102" t="str">
        <f t="shared" si="40"/>
        <v/>
      </c>
      <c r="OG6" s="102" t="str">
        <f t="shared" si="40"/>
        <v/>
      </c>
      <c r="OH6" s="102" t="str">
        <f t="shared" si="40"/>
        <v/>
      </c>
      <c r="OI6" s="102" t="str">
        <f t="shared" si="39"/>
        <v/>
      </c>
      <c r="OJ6" s="102" t="str">
        <f t="shared" si="39"/>
        <v/>
      </c>
      <c r="OK6" s="102" t="str">
        <f t="shared" si="39"/>
        <v/>
      </c>
      <c r="OL6" s="102" t="str">
        <f t="shared" si="39"/>
        <v/>
      </c>
      <c r="OM6" s="102" t="str">
        <f t="shared" si="39"/>
        <v/>
      </c>
      <c r="ON6" s="102" t="str">
        <f t="shared" si="39"/>
        <v/>
      </c>
      <c r="OO6" s="102" t="str">
        <f t="shared" si="39"/>
        <v/>
      </c>
      <c r="OP6" s="102" t="str">
        <f t="shared" si="39"/>
        <v/>
      </c>
      <c r="OQ6" s="102" t="str">
        <f t="shared" si="39"/>
        <v/>
      </c>
      <c r="OR6" s="102" t="str">
        <f t="shared" si="39"/>
        <v/>
      </c>
      <c r="OS6" s="102" t="str">
        <f t="shared" si="39"/>
        <v/>
      </c>
      <c r="OT6" s="102" t="str">
        <f t="shared" si="39"/>
        <v/>
      </c>
      <c r="OU6" s="102" t="str">
        <f t="shared" si="39"/>
        <v/>
      </c>
      <c r="OV6" s="102" t="str">
        <f t="shared" si="39"/>
        <v/>
      </c>
      <c r="OW6" s="102" t="str">
        <f t="shared" si="39"/>
        <v/>
      </c>
      <c r="OX6" s="102" t="str">
        <f t="shared" si="39"/>
        <v/>
      </c>
      <c r="OY6" s="102" t="str">
        <f t="shared" si="39"/>
        <v/>
      </c>
      <c r="OZ6" s="102" t="str">
        <f t="shared" ref="OZ6:PL6" si="41">IF(OR(OZ13="",OZ17="",OZ14="",OZ15="",OZ16="",OZ18="",OZ19="",OZ20="",OZ21=""),"",OZ1*24)</f>
        <v/>
      </c>
      <c r="PA6" s="102" t="str">
        <f t="shared" si="41"/>
        <v/>
      </c>
      <c r="PB6" s="102" t="str">
        <f t="shared" si="41"/>
        <v/>
      </c>
      <c r="PC6" s="102" t="str">
        <f t="shared" si="41"/>
        <v/>
      </c>
      <c r="PD6" s="102" t="str">
        <f t="shared" si="41"/>
        <v/>
      </c>
      <c r="PE6" s="102" t="str">
        <f t="shared" si="41"/>
        <v/>
      </c>
      <c r="PF6" s="102" t="str">
        <f t="shared" si="41"/>
        <v/>
      </c>
      <c r="PG6" s="102" t="str">
        <f t="shared" si="41"/>
        <v/>
      </c>
      <c r="PH6" s="102" t="str">
        <f t="shared" si="41"/>
        <v/>
      </c>
      <c r="PI6" s="102" t="str">
        <f t="shared" si="41"/>
        <v/>
      </c>
      <c r="PJ6" s="102" t="str">
        <f t="shared" si="41"/>
        <v/>
      </c>
      <c r="PK6" s="102" t="str">
        <f t="shared" si="41"/>
        <v/>
      </c>
      <c r="PL6" s="102" t="str">
        <f t="shared" si="41"/>
        <v/>
      </c>
      <c r="PM6" s="102" t="str">
        <f t="shared" ref="PM6:QO6" si="42">IF(OR(PM13="",PM17="",PM14="",PM15="",PM16="",PM18="",PM19="",PM20="",PM21=""),"",PM1*24)</f>
        <v/>
      </c>
      <c r="PN6" s="102" t="str">
        <f t="shared" si="42"/>
        <v/>
      </c>
      <c r="PO6" s="102" t="str">
        <f t="shared" si="42"/>
        <v/>
      </c>
      <c r="PP6" s="102" t="str">
        <f t="shared" si="42"/>
        <v/>
      </c>
      <c r="PQ6" s="102" t="str">
        <f t="shared" si="42"/>
        <v/>
      </c>
      <c r="PR6" s="102" t="str">
        <f t="shared" si="42"/>
        <v/>
      </c>
      <c r="PS6" s="102" t="str">
        <f t="shared" si="42"/>
        <v/>
      </c>
      <c r="PT6" s="102" t="str">
        <f t="shared" si="42"/>
        <v/>
      </c>
      <c r="PU6" s="102" t="str">
        <f t="shared" si="42"/>
        <v/>
      </c>
      <c r="PV6" s="102" t="str">
        <f t="shared" si="42"/>
        <v/>
      </c>
      <c r="PW6" s="102" t="str">
        <f t="shared" si="42"/>
        <v/>
      </c>
      <c r="PX6" s="102" t="str">
        <f t="shared" si="42"/>
        <v/>
      </c>
      <c r="PY6" s="102" t="str">
        <f t="shared" si="42"/>
        <v/>
      </c>
      <c r="PZ6" s="102" t="str">
        <f t="shared" si="42"/>
        <v/>
      </c>
      <c r="QA6" s="102" t="str">
        <f t="shared" si="42"/>
        <v/>
      </c>
      <c r="QB6" s="102" t="str">
        <f t="shared" si="42"/>
        <v/>
      </c>
      <c r="QC6" s="102" t="str">
        <f t="shared" si="42"/>
        <v/>
      </c>
      <c r="QD6" s="102" t="str">
        <f t="shared" si="42"/>
        <v/>
      </c>
      <c r="QE6" s="102" t="str">
        <f t="shared" si="42"/>
        <v/>
      </c>
      <c r="QF6" s="102" t="str">
        <f t="shared" si="42"/>
        <v/>
      </c>
      <c r="QG6" s="102" t="str">
        <f t="shared" si="42"/>
        <v/>
      </c>
      <c r="QH6" s="102" t="str">
        <f t="shared" si="42"/>
        <v/>
      </c>
      <c r="QI6" s="102" t="str">
        <f t="shared" si="42"/>
        <v/>
      </c>
      <c r="QJ6" s="102" t="str">
        <f t="shared" si="42"/>
        <v/>
      </c>
      <c r="QK6" s="102" t="str">
        <f t="shared" si="42"/>
        <v/>
      </c>
      <c r="QL6" s="102" t="str">
        <f t="shared" si="42"/>
        <v/>
      </c>
      <c r="QM6" s="102" t="str">
        <f t="shared" si="42"/>
        <v/>
      </c>
      <c r="QN6" s="102" t="str">
        <f t="shared" si="42"/>
        <v/>
      </c>
      <c r="QO6" s="102" t="str">
        <f t="shared" si="42"/>
        <v/>
      </c>
      <c r="QP6" s="102" t="str">
        <f t="shared" ref="QP6:QQ6" si="43">IF(OR(QP13="",QP17="",QP14="",QP15="",QP16="",QP18="",QP19="",QP20="",QP21=""),"",QP1*24)</f>
        <v/>
      </c>
      <c r="QQ6" s="102" t="str">
        <f t="shared" si="43"/>
        <v/>
      </c>
      <c r="QR6" s="102" t="str">
        <f t="shared" ref="QR6:RS6" si="44">IF(OR(QR13="",QR17="",QR14="",QR15="",QR16="",QR18="",QR19="",QR20="",QR21=""),"",QR1*24)</f>
        <v/>
      </c>
      <c r="QS6" s="102" t="str">
        <f t="shared" si="44"/>
        <v/>
      </c>
      <c r="QT6" s="102" t="str">
        <f t="shared" si="44"/>
        <v/>
      </c>
      <c r="QU6" s="102" t="str">
        <f t="shared" si="44"/>
        <v/>
      </c>
      <c r="QV6" s="102" t="str">
        <f t="shared" si="44"/>
        <v/>
      </c>
      <c r="QW6" s="102" t="str">
        <f t="shared" si="44"/>
        <v/>
      </c>
      <c r="QX6" s="102" t="str">
        <f t="shared" si="44"/>
        <v/>
      </c>
      <c r="QY6" s="102" t="str">
        <f t="shared" si="44"/>
        <v/>
      </c>
      <c r="QZ6" s="102" t="str">
        <f t="shared" si="44"/>
        <v/>
      </c>
      <c r="RA6" s="102" t="str">
        <f t="shared" si="44"/>
        <v/>
      </c>
      <c r="RB6" s="102" t="str">
        <f t="shared" si="44"/>
        <v/>
      </c>
      <c r="RC6" s="102" t="str">
        <f t="shared" si="44"/>
        <v/>
      </c>
      <c r="RD6" s="102" t="str">
        <f t="shared" si="44"/>
        <v/>
      </c>
      <c r="RE6" s="102" t="str">
        <f t="shared" si="44"/>
        <v/>
      </c>
      <c r="RF6" s="102" t="str">
        <f t="shared" si="44"/>
        <v/>
      </c>
      <c r="RG6" s="102" t="str">
        <f t="shared" si="44"/>
        <v/>
      </c>
      <c r="RH6" s="102" t="str">
        <f t="shared" si="44"/>
        <v/>
      </c>
      <c r="RI6" s="102" t="str">
        <f t="shared" si="44"/>
        <v/>
      </c>
      <c r="RJ6" s="102" t="str">
        <f t="shared" si="44"/>
        <v/>
      </c>
      <c r="RK6" s="102" t="str">
        <f t="shared" si="44"/>
        <v/>
      </c>
      <c r="RL6" s="102" t="str">
        <f t="shared" si="44"/>
        <v/>
      </c>
      <c r="RM6" s="102" t="str">
        <f t="shared" si="44"/>
        <v/>
      </c>
      <c r="RN6" s="102" t="str">
        <f t="shared" si="44"/>
        <v/>
      </c>
      <c r="RO6" s="102" t="str">
        <f t="shared" si="44"/>
        <v/>
      </c>
      <c r="RP6" s="102" t="str">
        <f t="shared" si="44"/>
        <v/>
      </c>
      <c r="RQ6" s="102" t="str">
        <f t="shared" si="44"/>
        <v/>
      </c>
      <c r="RR6" s="102" t="str">
        <f t="shared" si="44"/>
        <v/>
      </c>
      <c r="RS6" s="102" t="str">
        <f t="shared" si="44"/>
        <v/>
      </c>
      <c r="RT6" s="102" t="str">
        <f t="shared" ref="RT6:RU6" si="45">IF(OR(RT13="",RT17="",RT14="",RT15="",RT16="",RT18="",RT19="",RT20="",RT21=""),"",RT1*24)</f>
        <v/>
      </c>
      <c r="RU6" s="102" t="str">
        <f t="shared" si="45"/>
        <v/>
      </c>
      <c r="RV6" s="102" t="str">
        <f t="shared" ref="RV6:SW6" si="46">IF(OR(RV13="",RV17="",RV14="",RV15="",RV16="",RV18="",RV19="",RV20="",RV21=""),"",RV1*24)</f>
        <v/>
      </c>
      <c r="RW6" s="102" t="str">
        <f t="shared" si="46"/>
        <v/>
      </c>
      <c r="RX6" s="102" t="str">
        <f t="shared" si="46"/>
        <v/>
      </c>
      <c r="RY6" s="102" t="str">
        <f t="shared" si="46"/>
        <v/>
      </c>
      <c r="RZ6" s="102" t="str">
        <f t="shared" si="46"/>
        <v/>
      </c>
      <c r="SA6" s="102" t="str">
        <f t="shared" si="46"/>
        <v/>
      </c>
      <c r="SB6" s="102" t="str">
        <f t="shared" si="46"/>
        <v/>
      </c>
      <c r="SC6" s="102" t="str">
        <f t="shared" si="46"/>
        <v/>
      </c>
      <c r="SD6" s="102" t="str">
        <f t="shared" si="46"/>
        <v/>
      </c>
      <c r="SE6" s="102" t="str">
        <f t="shared" si="46"/>
        <v/>
      </c>
      <c r="SF6" s="102" t="str">
        <f t="shared" si="46"/>
        <v/>
      </c>
      <c r="SG6" s="102" t="str">
        <f t="shared" si="46"/>
        <v/>
      </c>
      <c r="SH6" s="102" t="str">
        <f t="shared" si="46"/>
        <v/>
      </c>
      <c r="SI6" s="102" t="str">
        <f t="shared" si="46"/>
        <v/>
      </c>
      <c r="SJ6" s="102" t="str">
        <f t="shared" si="46"/>
        <v/>
      </c>
      <c r="SK6" s="102" t="str">
        <f t="shared" si="46"/>
        <v/>
      </c>
      <c r="SL6" s="102" t="str">
        <f t="shared" si="46"/>
        <v/>
      </c>
      <c r="SM6" s="102" t="str">
        <f t="shared" si="46"/>
        <v/>
      </c>
      <c r="SN6" s="102" t="str">
        <f t="shared" si="46"/>
        <v/>
      </c>
      <c r="SO6" s="102" t="str">
        <f t="shared" si="46"/>
        <v/>
      </c>
      <c r="SP6" s="102" t="str">
        <f t="shared" si="46"/>
        <v/>
      </c>
      <c r="SQ6" s="102" t="str">
        <f t="shared" si="46"/>
        <v/>
      </c>
      <c r="SR6" s="102" t="str">
        <f t="shared" si="46"/>
        <v/>
      </c>
      <c r="SS6" s="102" t="str">
        <f t="shared" si="46"/>
        <v/>
      </c>
      <c r="ST6" s="102" t="str">
        <f t="shared" si="46"/>
        <v/>
      </c>
      <c r="SU6" s="102" t="str">
        <f t="shared" si="46"/>
        <v/>
      </c>
      <c r="SV6" s="102" t="str">
        <f t="shared" si="46"/>
        <v/>
      </c>
      <c r="SW6" s="102" t="str">
        <f t="shared" si="46"/>
        <v/>
      </c>
    </row>
    <row r="7" spans="1:517" s="107" customFormat="1" ht="24.6" customHeight="1" x14ac:dyDescent="0.2">
      <c r="A7" s="88"/>
      <c r="B7" s="104" t="s">
        <v>27</v>
      </c>
      <c r="C7" s="105">
        <f>IF(OR(C13="",C17="",C14="",C15="",C16="",C18="",C19="",C20="",C21=""),"",$A$2)</f>
        <v>2</v>
      </c>
      <c r="D7" s="106">
        <f>IF(OR(D13="",D17="",D14="",D15="",D16="",D18="",D19="",D20="",D21=""),"",$A$2*COUNT(C$6:$D6))</f>
        <v>4</v>
      </c>
      <c r="E7" s="106">
        <f>IF(OR(E13="",E17="",E14="",E15="",E16="",E18="",E19="",E20="",E21=""),"",$A$2*COUNT(D$6:$D6))</f>
        <v>2</v>
      </c>
      <c r="F7" s="106">
        <f>IF(OR(F13="",F17="",F14="",F15="",F16="",F18="",F19="",F20="",F21=""),"",$A$2*COUNT($D$6:E6))</f>
        <v>4</v>
      </c>
      <c r="G7" s="106">
        <f>IF(OR(G13="",G17="",G14="",G15="",G16="",G18="",G19="",G20="",G21=""),"",$A$2*COUNT($D$6:F6))</f>
        <v>6</v>
      </c>
      <c r="H7" s="106">
        <f>IF(OR(H13="",H17="",H14="",H15="",H16="",H18="",H19="",H20="",H21=""),"",$A$2*COUNT($D$6:G6))</f>
        <v>8</v>
      </c>
      <c r="I7" s="106">
        <f>IF(OR(I13="",I17="",I14="",I15="",I16="",I18="",I19="",I20="",I21=""),"",$A$2*COUNT($D$6:H6))</f>
        <v>10</v>
      </c>
      <c r="J7" s="106">
        <f>IF(OR(J13="",J17="",J14="",J15="",J16="",J18="",J19="",J20="",J21=""),"",$A$2*COUNT($D$6:I6))</f>
        <v>12</v>
      </c>
      <c r="K7" s="106">
        <f>IF(OR(K13="",K17="",K14="",K15="",K16="",K18="",K19="",K20="",K21=""),"",$A$2*COUNT($D$6:J6))</f>
        <v>14</v>
      </c>
      <c r="L7" s="106">
        <f>IF(OR(L13="",L17="",L14="",L15="",L16="",L18="",L19="",L20="",L21=""),"",$A$2*COUNT($D$6:K6))</f>
        <v>16</v>
      </c>
      <c r="M7" s="106">
        <f>IF(OR(M13="",M17="",M14="",M15="",M16="",M18="",M19="",M20="",M21=""),"",$A$2*COUNT($D$6:L6))</f>
        <v>18</v>
      </c>
      <c r="N7" s="106">
        <f>IF(OR(N13="",N17="",N14="",N15="",N16="",N18="",N19="",N20="",N21=""),"",$A$2*COUNT($D$6:M6))</f>
        <v>20</v>
      </c>
      <c r="O7" s="106">
        <f>IF(OR(O13="",O17="",O14="",O15="",O16="",O18="",O19="",O20="",O21=""),"",$A$2*COUNT($D$6:N6))</f>
        <v>22</v>
      </c>
      <c r="P7" s="106">
        <f>IF(OR(P13="",P17="",P14="",P15="",P16="",P18="",P19="",P20="",P21=""),"",$A$2*COUNT($D$6:O6))</f>
        <v>24</v>
      </c>
      <c r="Q7" s="106">
        <f>IF(OR(Q13="",Q17="",Q14="",Q15="",Q16="",Q18="",Q19="",Q20="",Q21=""),"",$A$2*COUNT($D$6:P6))</f>
        <v>26</v>
      </c>
      <c r="R7" s="106">
        <f>IF(OR(R13="",R17="",R14="",R15="",R16="",R18="",R19="",R20="",R21=""),"",$A$2*COUNT($D$6:Q6))</f>
        <v>28</v>
      </c>
      <c r="S7" s="106">
        <f>IF(OR(S13="",S17="",S14="",S15="",S16="",S18="",S19="",S20="",S21=""),"",$A$2*COUNT($D$6:R6))</f>
        <v>30</v>
      </c>
      <c r="T7" s="106">
        <f>IF(OR(T13="",T17="",T14="",T15="",T16="",T18="",T19="",T20="",T21=""),"",$A$2*COUNT($D$6:S6))</f>
        <v>32</v>
      </c>
      <c r="U7" s="106">
        <f>IF(OR(U13="",U17="",U14="",U15="",U16="",U18="",U19="",U20="",U21=""),"",$A$2*COUNT($D$6:T6))</f>
        <v>34</v>
      </c>
      <c r="V7" s="106">
        <f>IF(OR(V13="",V17="",V14="",V15="",V16="",V18="",V19="",V20="",V21=""),"",$A$2*COUNT($D$6:U6))</f>
        <v>36</v>
      </c>
      <c r="W7" s="106">
        <f>IF(OR(W13="",W17="",W14="",W15="",W16="",W18="",W19="",W20="",W21=""),"",$A$2*COUNT($D$6:V6))</f>
        <v>38</v>
      </c>
      <c r="X7" s="106">
        <f>IF(OR(X13="",X17="",X14="",X15="",X16="",X18="",X19="",X20="",X21=""),"",$A$2*COUNT($D$6:W6))</f>
        <v>40</v>
      </c>
      <c r="Y7" s="106">
        <f>IF(OR(Y13="",Y17="",Y14="",Y15="",Y16="",Y18="",Y19="",Y20="",Y21=""),"",$A$2*COUNT($D$6:X6))</f>
        <v>42</v>
      </c>
      <c r="Z7" s="106">
        <f>IF(OR(Z13="",Z17="",Z14="",Z15="",Z16="",Z18="",Z19="",Z20="",Z21=""),"",$A$2*COUNT($D$6:Y6))</f>
        <v>44</v>
      </c>
      <c r="AA7" s="106">
        <f>IF(OR(AA13="",AA17="",AA14="",AA15="",AA16="",AA18="",AA19="",AA20="",AA21=""),"",$A$2*COUNT($D$6:Z6))</f>
        <v>46</v>
      </c>
      <c r="AB7" s="106">
        <f>IF(OR(AB13="",AB17="",AB14="",AB15="",AB16="",AB18="",AB19="",AB20="",AB21=""),"",$A$2*COUNT($D$6:AA6))</f>
        <v>48</v>
      </c>
      <c r="AC7" s="106">
        <f>IF(OR(AC13="",AC17="",AC14="",AC15="",AC16="",AC18="",AC19="",AC20="",AC21=""),"",$A$2*COUNT($D$6:AB6))</f>
        <v>50</v>
      </c>
      <c r="AD7" s="106">
        <f>IF(OR(AD13="",AD17="",AD14="",AD15="",AD16="",AD18="",AD19="",AD20="",AD21=""),"",$A$2*COUNT($D$6:AC6))</f>
        <v>52</v>
      </c>
      <c r="AE7" s="106">
        <f>IF(OR(AE13="",AE17="",AE14="",AE15="",AE16="",AE18="",AE19="",AE20="",AE21=""),"",$A$2*COUNT($D$6:AD6))</f>
        <v>54</v>
      </c>
      <c r="AF7" s="106">
        <f>IF(OR(AF13="",AF17="",AF14="",AF15="",AF16="",AF18="",AF19="",AF20="",AF21=""),"",$A$2*COUNT($D$6:AE6))</f>
        <v>56</v>
      </c>
      <c r="AG7" s="106">
        <f>IF(OR(AG13="",AG17="",AG14="",AG15="",AG16="",AG18="",AG19="",AG20="",AG21=""),"",$A$2*COUNT($D$6:AF6))</f>
        <v>58</v>
      </c>
      <c r="AH7" s="105">
        <f>IF(OR(AH13="",AH17="",AH14="",AH15="",AH16="",AH18="",AH19="",AH20="",AH21=""),"",$A$2)</f>
        <v>2</v>
      </c>
      <c r="AI7" s="106">
        <f>IF(OR(AI13="",AI17="",AI14="",AI15="",AI16="",AI18="",AI19="",AI20="",AI21=""),"",$BJ$7+$A$2*COUNT($AH$7:AH7))</f>
        <v>4</v>
      </c>
      <c r="AJ7" s="106">
        <f>IF(OR(AJ13="",AJ17="",AJ14="",AJ15="",AJ16="",AJ18="",AJ19="",AJ20="",AJ21=""),"",$BJ$7+$A$2*COUNT($AH$7:AI7))</f>
        <v>6</v>
      </c>
      <c r="AK7" s="106">
        <f>IF(OR(AK13="",AK17="",AK14="",AK15="",AK16="",AK18="",AK19="",AK20="",AK21=""),"",$BJ$7+$A$2*COUNT($AH$7:AJ7))</f>
        <v>8</v>
      </c>
      <c r="AL7" s="106">
        <f>IF(OR(AL13="",AL17="",AL14="",AL15="",AL16="",AL18="",AL19="",AL20="",AL21=""),"",$BJ$7+$A$2*COUNT($AH$7:AK7))</f>
        <v>10</v>
      </c>
      <c r="AM7" s="106">
        <f>IF(OR(AM13="",AM17="",AM14="",AM15="",AM16="",AM18="",AM19="",AM20="",AM21=""),"",$BJ$7+$A$2*COUNT($AH$7:AL7))</f>
        <v>12</v>
      </c>
      <c r="AN7" s="106">
        <f>IF(OR(AN13="",AN17="",AN14="",AN15="",AN16="",AN18="",AN19="",AN20="",AN21=""),"",$BJ$7+$A$2*COUNT($AH$7:AM7))</f>
        <v>14</v>
      </c>
      <c r="AO7" s="106">
        <f>IF(OR(AO13="",AO17="",AO14="",AO15="",AO16="",AO18="",AO19="",AO20="",AO21=""),"",$BJ$7+$A$2*COUNT($AH$7:AN7))</f>
        <v>16</v>
      </c>
      <c r="AP7" s="106">
        <f>IF(OR(AP13="",AP17="",AP14="",AP15="",AP16="",AP18="",AP19="",AP20="",AP21=""),"",$BJ$7+$A$2*COUNT($AH$7:AO7))</f>
        <v>18</v>
      </c>
      <c r="AQ7" s="106">
        <f>IF(OR(AQ13="",AQ17="",AQ14="",AQ15="",AQ16="",AQ18="",AQ19="",AQ20="",AQ21=""),"",$BJ$7+$A$2*COUNT($AH$7:AP7))</f>
        <v>20</v>
      </c>
      <c r="AR7" s="106">
        <f>IF(OR(AR13="",AR17="",AR14="",AR15="",AR16="",AR18="",AR19="",AR20="",AR21=""),"",$BJ$7+$A$2*COUNT($AH$7:AQ7))</f>
        <v>22</v>
      </c>
      <c r="AS7" s="106">
        <f>IF(OR(AS13="",AS17="",AS14="",AS15="",AS16="",AS18="",AS19="",AS20="",AS21=""),"",$BJ$7+$A$2*COUNT($AH$7:AR7))</f>
        <v>24</v>
      </c>
      <c r="AT7" s="106">
        <f>IF(OR(AT13="",AT17="",AT14="",AT15="",AT16="",AT18="",AT19="",AT20="",AT21=""),"",$BJ$7+$A$2*COUNT($AH$7:AS7))</f>
        <v>26</v>
      </c>
      <c r="AU7" s="106">
        <f>IF(OR(AU13="",AU17="",AU14="",AU15="",AU16="",AU18="",AU19="",AU20="",AU21=""),"",$BJ$7+$A$2*COUNT($AH$7:AT7))</f>
        <v>28</v>
      </c>
      <c r="AV7" s="106">
        <f>IF(OR(AV13="",AV17="",AV14="",AV15="",AV16="",AV18="",AV19="",AV20="",AV21=""),"",$BJ$7+$A$2*COUNT($AH$7:AU7))</f>
        <v>30</v>
      </c>
      <c r="AW7" s="106">
        <f>IF(OR(AW13="",AW17="",AW14="",AW15="",AW16="",AW18="",AW19="",AW20="",AW21=""),"",$BJ$7+$A$2*COUNT($AH$7:AV7))</f>
        <v>32</v>
      </c>
      <c r="AX7" s="106">
        <f>IF(OR(AX13="",AX17="",AX14="",AX15="",AX16="",AX18="",AX19="",AX20="",AX21=""),"",$BJ$7+$A$2*COUNT($AH$7:AW7))</f>
        <v>34</v>
      </c>
      <c r="AY7" s="106">
        <f>IF(OR(AY13="",AY17="",AY14="",AY15="",AY16="",AY18="",AY19="",AY20="",AY21=""),"",$BJ$7+$A$2*COUNT($AH$7:AX7))</f>
        <v>36</v>
      </c>
      <c r="AZ7" s="106">
        <f>IF(OR(AZ13="",AZ17="",AZ14="",AZ15="",AZ16="",AZ18="",AZ19="",AZ20="",AZ21=""),"",$BJ$7+$A$2*COUNT($AH$7:AY7))</f>
        <v>38</v>
      </c>
      <c r="BA7" s="106">
        <f>IF(OR(BA13="",BA17="",BA14="",BA15="",BA16="",BA18="",BA19="",BA20="",BA21=""),"",$BJ$7+$A$2*COUNT($AH$7:AZ7))</f>
        <v>40</v>
      </c>
      <c r="BB7" s="106">
        <f>IF(OR(BB13="",BB17="",BB14="",BB15="",BB16="",BB18="",BB19="",BB20="",BB21=""),"",$BJ$7+$A$2*COUNT($AH$7:BA7))</f>
        <v>42</v>
      </c>
      <c r="BC7" s="106">
        <f>IF(OR(BC13="",BC17="",BC14="",BC15="",BC16="",BC18="",BC19="",BC20="",BC21=""),"",$BJ$7+$A$2*COUNT($AH$7:BB7))</f>
        <v>44</v>
      </c>
      <c r="BD7" s="106">
        <f>IF(OR(BD13="",BD17="",BD14="",BD15="",BD16="",BD18="",BD19="",BD20="",BD21=""),"",$BJ$7+$A$2*COUNT($AH$7:BC7))</f>
        <v>46</v>
      </c>
      <c r="BE7" s="106">
        <f>IF(OR(BE13="",BE17="",BE14="",BE15="",BE16="",BE18="",BE19="",BE20="",BE21=""),"",$BJ$7+$A$2*COUNT($AH$7:BD7))</f>
        <v>48</v>
      </c>
      <c r="BF7" s="106">
        <f>IF(OR(BF13="",BF17="",BF14="",BF15="",BF16="",BF18="",BF19="",BF20="",BF21=""),"",$BJ$7+$A$2*COUNT($AH$7:BE7))</f>
        <v>50</v>
      </c>
      <c r="BG7" s="106">
        <f>IF(OR(BG13="",BG17="",BG14="",BG15="",BG16="",BG18="",BG19="",BG20="",BG21=""),"",$BJ$7+$A$2*COUNT($AH$7:BF7))</f>
        <v>52</v>
      </c>
      <c r="BH7" s="106">
        <f>IF(OR(BH13="",BH17="",BH14="",BH15="",BH16="",BH18="",BH19="",BH20="",BH21=""),"",$BJ$7+$A$2*COUNT($AH$7:BG7))</f>
        <v>54</v>
      </c>
      <c r="BI7" s="106">
        <f>IF(OR(BI13="",BI17="",BI14="",BI15="",BI16="",BI18="",BI19="",BI20="",BI21=""),"",$BJ$7+$A$2*COUNT($AH$7:BH7))</f>
        <v>56</v>
      </c>
      <c r="BJ7" s="105">
        <f>IF(OR(BJ13="",BJ17="",BJ14="",BJ15="",BJ16="",BJ18="",BJ19="",BJ20="",BJ21=""),"",$A$2)</f>
        <v>2</v>
      </c>
      <c r="BK7" s="106">
        <f>IF(OR(BK13="",BK17="",BK14="",BK15="",BK16="",BK18="",BK19="",BK20="",BK21=""),"",$BJ$7+$A$2*COUNT($BJ$7:BJ7))</f>
        <v>4</v>
      </c>
      <c r="BL7" s="106">
        <f>IF(OR(BL13="",BL17="",BL14="",BL15="",BL16="",BL18="",BL19="",BL20="",BL21=""),"",$BJ$7+$A$2*COUNT($BJ$7:BK7))</f>
        <v>6</v>
      </c>
      <c r="BM7" s="106">
        <f>IF(OR(BM13="",BM17="",BM14="",BM15="",BM16="",BM18="",BM19="",BM20="",BM21=""),"",$BJ$7+$A$2*COUNT($BJ$7:BL7))</f>
        <v>8</v>
      </c>
      <c r="BN7" s="106">
        <f>IF(OR(BN13="",BN17="",BN14="",BN15="",BN16="",BN18="",BN19="",BN20="",BN21=""),"",$BJ$7+$A$2*COUNT($BJ$7:BM7))</f>
        <v>10</v>
      </c>
      <c r="BO7" s="106">
        <f>IF(OR(BO13="",BO17="",BO14="",BO15="",BO16="",BO18="",BO19="",BO20="",BO21=""),"",$BJ$7+$A$2*COUNT($BJ$7:BN7))</f>
        <v>12</v>
      </c>
      <c r="BP7" s="106">
        <f>IF(OR(BP13="",BP17="",BP14="",BP15="",BP16="",BP18="",BP19="",BP20="",BP21=""),"",$BJ$7+$A$2*COUNT($BJ$7:BO7))</f>
        <v>14</v>
      </c>
      <c r="BQ7" s="106">
        <f>IF(OR(BQ13="",BQ17="",BQ14="",BQ15="",BQ16="",BQ18="",BQ19="",BQ20="",BQ21=""),"",$BJ$7+$A$2*COUNT($BJ$7:BP7))</f>
        <v>16</v>
      </c>
      <c r="BR7" s="106">
        <f>IF(OR(BR13="",BR17="",BR14="",BR15="",BR16="",BR18="",BR19="",BR20="",BR21=""),"",$BJ$7+$A$2*COUNT($BJ$7:BQ7))</f>
        <v>18</v>
      </c>
      <c r="BS7" s="106">
        <f>IF(OR(BS13="",BS17="",BS14="",BS15="",BS16="",BS18="",BS19="",BS20="",BS21=""),"",$BJ$7+$A$2*COUNT($BJ$7:BR7))</f>
        <v>20</v>
      </c>
      <c r="BT7" s="106">
        <f>IF(OR(BT13="",BT17="",BT14="",BT15="",BT16="",BT18="",BT19="",BT20="",BT21=""),"",$BJ$7+$A$2*COUNT($BJ$7:BS7))</f>
        <v>22</v>
      </c>
      <c r="BU7" s="106">
        <f>IF(OR(BU13="",BU17="",BU14="",BU15="",BU16="",BU18="",BU19="",BU20="",BU21=""),"",$BJ$7+$A$2*COUNT($BJ$7:BT7))</f>
        <v>24</v>
      </c>
      <c r="BV7" s="106">
        <f>IF(OR(BV13="",BV17="",BV14="",BV15="",BV16="",BV18="",BV19="",BV20="",BV21=""),"",$BJ$7+$A$2*COUNT($BJ$7:BU7))</f>
        <v>26</v>
      </c>
      <c r="BW7" s="106">
        <f>IF(OR(BW13="",BW17="",BW14="",BW15="",BW16="",BW18="",BW19="",BW20="",BW21=""),"",$BJ$7+$A$2*COUNT($BJ$7:BV7))</f>
        <v>28</v>
      </c>
      <c r="BX7" s="106">
        <f>IF(OR(BX13="",BX17="",BX14="",BX15="",BX16="",BX18="",BX19="",BX20="",BX21=""),"",$BJ$7+$A$2*COUNT($BJ$7:BW7))</f>
        <v>30</v>
      </c>
      <c r="BY7" s="106">
        <f>IF(OR(BY13="",BY17="",BY14="",BY15="",BY16="",BY18="",BY19="",BY20="",BY21=""),"",$BJ$7+$A$2*COUNT($BJ$7:BX7))</f>
        <v>32</v>
      </c>
      <c r="BZ7" s="106">
        <f>IF(OR(BZ13="",BZ17="",BZ14="",BZ15="",BZ16="",BZ18="",BZ19="",BZ20="",BZ21=""),"",$BJ$7+$A$2*COUNT($BJ$7:BY7))</f>
        <v>34</v>
      </c>
      <c r="CA7" s="106">
        <f>IF(OR(CA13="",CA17="",CA14="",CA15="",CA16="",CA18="",CA19="",CA20="",CA21=""),"",$BJ$7+$A$2*COUNT($BJ$7:BZ7))</f>
        <v>36</v>
      </c>
      <c r="CB7" s="106">
        <f>IF(OR(CB13="",CB17="",CB14="",CB15="",CB16="",CB18="",CB19="",CB20="",CB21=""),"",$BJ$7+$A$2*COUNT($BJ$7:CA7))</f>
        <v>38</v>
      </c>
      <c r="CC7" s="106">
        <f>IF(OR(CC13="",CC17="",CC14="",CC15="",CC16="",CC18="",CC19="",CC20="",CC21=""),"",$BJ$7+$A$2*COUNT($BJ$7:CB7))</f>
        <v>40</v>
      </c>
      <c r="CD7" s="106">
        <f>IF(OR(CD13="",CD17="",CD14="",CD15="",CD16="",CD18="",CD19="",CD20="",CD21=""),"",$BJ$7+$A$2*COUNT($BJ$7:CC7))</f>
        <v>42</v>
      </c>
      <c r="CE7" s="106">
        <f>IF(OR(CE13="",CE17="",CE14="",CE15="",CE16="",CE18="",CE19="",CE20="",CE21=""),"",$BJ$7+$A$2*COUNT($BJ$7:CD7))</f>
        <v>44</v>
      </c>
      <c r="CF7" s="106">
        <f>IF(OR(CF13="",CF17="",CF14="",CF15="",CF16="",CF18="",CF19="",CF20="",CF21=""),"",$BJ$7+$A$2*COUNT($BJ$7:CE7))</f>
        <v>46</v>
      </c>
      <c r="CG7" s="106">
        <f>IF(OR(CG13="",CG17="",CG14="",CG15="",CG16="",CG18="",CG19="",CG20="",CG21=""),"",$BJ$7+$A$2*COUNT($BJ$7:CF7))</f>
        <v>48</v>
      </c>
      <c r="CH7" s="106">
        <f>IF(OR(CH13="",CH17="",CH14="",CH15="",CH16="",CH18="",CH19="",CH20="",CH21=""),"",$BJ$7+$A$2*COUNT($BJ$7:CG7))</f>
        <v>50</v>
      </c>
      <c r="CI7" s="106">
        <f>IF(OR(CI13="",CI17="",CI14="",CI15="",CI16="",CI18="",CI19="",CI20="",CI21=""),"",$BJ$7+$A$2*COUNT($BJ$7:CH7))</f>
        <v>52</v>
      </c>
      <c r="CJ7" s="106">
        <f>IF(OR(CJ13="",CJ17="",CJ14="",CJ15="",CJ16="",CJ18="",CJ19="",CJ20="",CJ21=""),"",$BJ$7+$A$2*COUNT($BJ$7:CI7))</f>
        <v>54</v>
      </c>
      <c r="CK7" s="106">
        <f>IF(OR(CK13="",CK17="",CK14="",CK15="",CK16="",CK18="",CK19="",CK20="",CK21=""),"",$BJ$7+$A$2*COUNT($BJ$7:CJ7))</f>
        <v>56</v>
      </c>
      <c r="CL7" s="106">
        <f>IF(OR(CL13="",CL17="",CL14="",CL15="",CL16="",CL18="",CL19="",CL20="",CL21=""),"",$BJ$7+$A$2*COUNT($BJ$7:CK7))</f>
        <v>58</v>
      </c>
      <c r="CM7" s="106">
        <f>IF(OR(CM13="",CM17="",CM14="",CM15="",CM16="",CM18="",CM19="",CM20="",CM21=""),"",$BJ$7+$A$2*COUNT($BJ$7:CL7))</f>
        <v>60</v>
      </c>
      <c r="CN7" s="106">
        <f>IF(OR(CN13="",CN17="",CN14="",CN15="",CN16="",CN18="",CN19="",CN20="",CN21=""),"",$BJ$7+$A$2*COUNT($BJ$7:CM7))</f>
        <v>62</v>
      </c>
      <c r="CO7" s="105">
        <f>IF(OR(CO13="",CO17="",CO14="",CO15="",CO16="",CO18="",CO19="",CO20="",CO21=""),"",$A$2)</f>
        <v>2</v>
      </c>
      <c r="CP7" s="106">
        <f>IF(OR(CP13="",CP17="",CP14="",CP15="",CP16="",CP18="",CP19="",CP20="",CP21=""),"",$CO$7+$A$2*COUNT($CO$7:CO7))</f>
        <v>4</v>
      </c>
      <c r="CQ7" s="106">
        <f>IF(OR(CQ13="",CQ17="",CQ14="",CQ15="",CQ16="",CQ18="",CQ19="",CQ20="",CQ21=""),"",$CO$7+$A$2*COUNT($CO$7:CP7))</f>
        <v>6</v>
      </c>
      <c r="CR7" s="106">
        <f>IF(OR(CR13="",CR17="",CR14="",CR15="",CR16="",CR18="",CR19="",CR20="",CR21=""),"",$CO$7+$A$2*COUNT($CO$7:CQ7))</f>
        <v>8</v>
      </c>
      <c r="CS7" s="106">
        <f>IF(OR(CS13="",CS17="",CS14="",CS15="",CS16="",CS18="",CS19="",CS20="",CS21=""),"",$CO$7+$A$2*COUNT($CO$7:CR7))</f>
        <v>10</v>
      </c>
      <c r="CT7" s="106">
        <f>IF(OR(CT13="",CT17="",CT14="",CT15="",CT16="",CT18="",CT19="",CT20="",CT21=""),"",$CO$7+$A$2*COUNT($CO$7:CS7))</f>
        <v>12</v>
      </c>
      <c r="CU7" s="106">
        <f>IF(OR(CU13="",CU17="",CU14="",CU15="",CU16="",CU18="",CU19="",CU20="",CU21=""),"",$CO$7+$A$2*COUNT($CO$7:CT7))</f>
        <v>14</v>
      </c>
      <c r="CV7" s="106">
        <f>IF(OR(CV13="",CV17="",CV14="",CV15="",CV16="",CV18="",CV19="",CV20="",CV21=""),"",$CO$7+$A$2*COUNT($CO$7:CU7))</f>
        <v>16</v>
      </c>
      <c r="CW7" s="106">
        <f>IF(OR(CW13="",CW17="",CW14="",CW15="",CW16="",CW18="",CW19="",CW20="",CW21=""),"",$CO$7+$A$2*COUNT($CO$7:CV7))</f>
        <v>18</v>
      </c>
      <c r="CX7" s="106">
        <f>IF(OR(CX13="",CX17="",CX14="",CX15="",CX16="",CX18="",CX19="",CX20="",CX21=""),"",$CO$7+$A$2*COUNT($CO$7:CW7))</f>
        <v>20</v>
      </c>
      <c r="CY7" s="106">
        <f>IF(OR(CY13="",CY17="",CY14="",CY15="",CY16="",CY18="",CY19="",CY20="",CY21=""),"",$CO$7+$A$2*COUNT($CO$7:CX7))</f>
        <v>22</v>
      </c>
      <c r="CZ7" s="106">
        <f>IF(OR(CZ13="",CZ17="",CZ14="",CZ15="",CZ16="",CZ18="",CZ19="",CZ20="",CZ21=""),"",$CO$7+$A$2*COUNT($CO$7:CY7))</f>
        <v>24</v>
      </c>
      <c r="DA7" s="106">
        <f>IF(OR(DA13="",DA17="",DA14="",DA15="",DA16="",DA18="",DA19="",DA20="",DA21=""),"",$CO$7+$A$2*COUNT($CO$7:CZ7))</f>
        <v>26</v>
      </c>
      <c r="DB7" s="106">
        <f>IF(OR(DB13="",DB17="",DB14="",DB15="",DB16="",DB18="",DB19="",DB20="",DB21=""),"",$CO$7+$A$2*COUNT($CO$7:DA7))</f>
        <v>28</v>
      </c>
      <c r="DC7" s="106">
        <f>IF(OR(DC13="",DC17="",DC14="",DC15="",DC16="",DC18="",DC19="",DC20="",DC21=""),"",$CO$7+$A$2*COUNT($CO$7:DB7))</f>
        <v>30</v>
      </c>
      <c r="DD7" s="106">
        <f>IF(OR(DD13="",DD17="",DD14="",DD15="",DD16="",DD18="",DD19="",DD20="",DD21=""),"",$CO$7+$A$2*COUNT($CO$7:DC7))</f>
        <v>32</v>
      </c>
      <c r="DE7" s="106">
        <f>IF(OR(DE13="",DE17="",DE14="",DE15="",DE16="",DE18="",DE19="",DE20="",DE21=""),"",$CO$7+$A$2*COUNT($CO$7:DD7))</f>
        <v>34</v>
      </c>
      <c r="DF7" s="106">
        <f>IF(OR(DF13="",DF17="",DF14="",DF15="",DF16="",DF18="",DF19="",DF20="",DF21=""),"",$CO$7+$A$2*COUNT($CO$7:DE7))</f>
        <v>36</v>
      </c>
      <c r="DG7" s="106">
        <f>IF(OR(DG13="",DG17="",DG14="",DG15="",DG16="",DG18="",DG19="",DG20="",DG21=""),"",$CO$7+$A$2*COUNT($CO$7:DF7))</f>
        <v>38</v>
      </c>
      <c r="DH7" s="106">
        <f>IF(OR(DH13="",DH17="",DH14="",DH15="",DH16="",DH18="",DH19="",DH20="",DH21=""),"",$CO$7+$A$2*COUNT($CO$7:DG7))</f>
        <v>40</v>
      </c>
      <c r="DI7" s="106">
        <f>IF(OR(DI13="",DI17="",DI14="",DI15="",DI16="",DI18="",DI19="",DI20="",DI21=""),"",$CO$7+$A$2*COUNT($CO$7:DH7))</f>
        <v>42</v>
      </c>
      <c r="DJ7" s="106">
        <f>IF(OR(DJ13="",DJ17="",DJ14="",DJ15="",DJ16="",DJ18="",DJ19="",DJ20="",DJ21=""),"",$CO$7+$A$2*COUNT($CO$7:DI7))</f>
        <v>44</v>
      </c>
      <c r="DK7" s="106">
        <f>IF(OR(DK13="",DK17="",DK14="",DK15="",DK16="",DK18="",DK19="",DK20="",DK21=""),"",$CO$7+$A$2*COUNT($CO$7:DJ7))</f>
        <v>46</v>
      </c>
      <c r="DL7" s="106">
        <f>IF(OR(DL13="",DL17="",DL14="",DL15="",DL16="",DL18="",DL19="",DL20="",DL21=""),"",$CO$7+$A$2*COUNT($CO$7:DK7))</f>
        <v>48</v>
      </c>
      <c r="DM7" s="106">
        <f>IF(OR(DM13="",DM17="",DM14="",DM15="",DM16="",DM18="",DM19="",DM20="",DM21=""),"",$CO$7+$A$2*COUNT($CO$7:DL7))</f>
        <v>50</v>
      </c>
      <c r="DN7" s="106">
        <f>IF(OR(DN13="",DN17="",DN14="",DN15="",DN16="",DN18="",DN19="",DN20="",DN21=""),"",$CO$7+$A$2*COUNT($CO$7:DM7))</f>
        <v>52</v>
      </c>
      <c r="DO7" s="106">
        <f>IF(OR(DO13="",DO17="",DO14="",DO15="",DO16="",DO18="",DO19="",DO20="",DO21=""),"",$CO$7+$A$2*COUNT($CO$7:DN7))</f>
        <v>54</v>
      </c>
      <c r="DP7" s="106">
        <f>IF(OR(DP13="",DP17="",DP14="",DP15="",DP16="",DP18="",DP19="",DP20="",DP21=""),"",$CO$7+$A$2*COUNT($CO$7:DO7))</f>
        <v>56</v>
      </c>
      <c r="DQ7" s="106">
        <f>IF(OR(DQ13="",DQ17="",DQ14="",DQ15="",DQ16="",DQ18="",DQ19="",DQ20="",DQ21=""),"",$CO$7+$A$2*COUNT($CO$7:DP7))</f>
        <v>58</v>
      </c>
      <c r="DR7" s="106">
        <f>IF(OR(DR13="",DR17="",DR14="",DR15="",DR16="",DR18="",DR19="",DR20="",DR21=""),"",$CO$7+$A$2*COUNT($CO$7:DQ7))</f>
        <v>60</v>
      </c>
      <c r="DS7" s="106">
        <f>IF(OR(DS13="",DS17="",DS14="",DS15="",DS16="",DS18="",DS19="",DS20="",DS21=""),"",$A$2)</f>
        <v>2</v>
      </c>
      <c r="DT7" s="106">
        <f>IF(OR(DT13="",DT17="",DT14="",DT15="",DT16="",DT18="",DT19="",DT20="",DT21=""),"",$CO$7+$A$2*COUNT($DS$7:DS7))</f>
        <v>4</v>
      </c>
      <c r="DU7" s="106">
        <f>IF(OR(DU13="",DU17="",DU14="",DU15="",DU16="",DU18="",DU19="",DU20="",DU21=""),"",$CO$7+$A$2*COUNT($DS$7:DT7))</f>
        <v>6</v>
      </c>
      <c r="DV7" s="106">
        <f>IF(OR(DV13="",DV17="",DV14="",DV15="",DV16="",DV18="",DV19="",DV20="",DV21=""),"",$CO$7+$A$2*COUNT($DS$7:DU7))</f>
        <v>8</v>
      </c>
      <c r="DW7" s="106">
        <f>IF(OR(DW13="",DW17="",DW14="",DW15="",DW16="",DW18="",DW19="",DW20="",DW21=""),"",$CO$7+$A$2*COUNT($DS$7:DV7))</f>
        <v>10</v>
      </c>
      <c r="DX7" s="106">
        <f>IF(OR(DX13="",DX17="",DX14="",DX15="",DX16="",DX18="",DX19="",DX20="",DX21=""),"",$CO$7+$A$2*COUNT($DS$7:DW7))</f>
        <v>12</v>
      </c>
      <c r="DY7" s="106">
        <f>IF(OR(DY13="",DY17="",DY14="",DY15="",DY16="",DY18="",DY19="",DY20="",DY21=""),"",$CO$7+$A$2*COUNT($DS$7:DX7))</f>
        <v>14</v>
      </c>
      <c r="DZ7" s="106">
        <f>IF(OR(DZ13="",DZ17="",DZ14="",DZ15="",DZ16="",DZ18="",DZ19="",DZ20="",DZ21=""),"",$CO$7+$A$2*COUNT($DS$7:DY7))</f>
        <v>16</v>
      </c>
      <c r="EA7" s="106">
        <f>IF(OR(EA13="",EA17="",EA14="",EA15="",EA16="",EA18="",EA19="",EA20="",EA21=""),"",$CO$7+$A$2*COUNT($DS$7:DZ7))</f>
        <v>18</v>
      </c>
      <c r="EB7" s="106">
        <f>IF(OR(EB13="",EB17="",EB14="",EB15="",EB16="",EB18="",EB19="",EB20="",EB21=""),"",$CO$7+$A$2*COUNT($DS$7:EA7))</f>
        <v>20</v>
      </c>
      <c r="EC7" s="106">
        <f>IF(OR(EC13="",EC17="",EC14="",EC15="",EC16="",EC18="",EC19="",EC20="",EC21=""),"",$CO$7+$A$2*COUNT($DS$7:EB7))</f>
        <v>22</v>
      </c>
      <c r="ED7" s="106">
        <f>IF(OR(ED13="",ED17="",ED14="",ED15="",ED16="",ED18="",ED19="",ED20="",ED21=""),"",$CO$7+$A$2*COUNT($DS$7:EC7))</f>
        <v>24</v>
      </c>
      <c r="EE7" s="106">
        <f>IF(OR(EE13="",EE17="",EE14="",EE15="",EE16="",EE18="",EE19="",EE20="",EE21=""),"",$CO$7+$A$2*COUNT($DS$7:ED7))</f>
        <v>26</v>
      </c>
      <c r="EF7" s="106">
        <f>IF(OR(EF13="",EF17="",EF14="",EF15="",EF16="",EF18="",EF19="",EF20="",EF21=""),"",$CO$7+$A$2*COUNT($DS$7:EE7))</f>
        <v>28</v>
      </c>
      <c r="EG7" s="106">
        <f>IF(OR(EG13="",EG17="",EG14="",EG15="",EG16="",EG18="",EG19="",EG20="",EG21=""),"",$CO$7+$A$2*COUNT($DS$7:EF7))</f>
        <v>30</v>
      </c>
      <c r="EH7" s="106">
        <f>IF(OR(EH13="",EH17="",EH14="",EH15="",EH16="",EH18="",EH19="",EH20="",EH21=""),"",$CO$7+$A$2*COUNT($DS$7:EG7))</f>
        <v>32</v>
      </c>
      <c r="EI7" s="106">
        <f>IF(OR(EI13="",EI17="",EI14="",EI15="",EI16="",EI18="",EI19="",EI20="",EI21=""),"",$CO$7+$A$2*COUNT($DS$7:EH7))</f>
        <v>34</v>
      </c>
      <c r="EJ7" s="106">
        <f>IF(OR(EJ13="",EJ17="",EJ14="",EJ15="",EJ16="",EJ18="",EJ19="",EJ20="",EJ21=""),"",$CO$7+$A$2*COUNT($DS$7:EI7))</f>
        <v>36</v>
      </c>
      <c r="EK7" s="106">
        <f>IF(OR(EK13="",EK17="",EK14="",EK15="",EK16="",EK18="",EK19="",EK20="",EK21=""),"",$CO$7+$A$2*COUNT($DS$7:EJ7))</f>
        <v>38</v>
      </c>
      <c r="EL7" s="106">
        <f>IF(OR(EL13="",EL17="",EL14="",EL15="",EL16="",EL18="",EL19="",EL20="",EL21=""),"",$CO$7+$A$2*COUNT($DS$7:EK7))</f>
        <v>40</v>
      </c>
      <c r="EM7" s="106">
        <f>IF(OR(EM13="",EM17="",EM14="",EM15="",EM16="",EM18="",EM19="",EM20="",EM21=""),"",$CO$7+$A$2*COUNT($DS$7:EL7))</f>
        <v>42</v>
      </c>
      <c r="EN7" s="106">
        <f>IF(OR(EN13="",EN17="",EN14="",EN15="",EN16="",EN18="",EN19="",EN20="",EN21=""),"",$CO$7+$A$2*COUNT($DS$7:EM7))</f>
        <v>44</v>
      </c>
      <c r="EO7" s="106">
        <f>IF(OR(EO13="",EO17="",EO14="",EO15="",EO16="",EO18="",EO19="",EO20="",EO21=""),"",$CO$7+$A$2*COUNT($DS$7:EN7))</f>
        <v>46</v>
      </c>
      <c r="EP7" s="106">
        <f>IF(OR(EP13="",EP17="",EP14="",EP15="",EP16="",EP18="",EP19="",EP20="",EP21=""),"",$CO$7+$A$2*COUNT($DS$7:EO7))</f>
        <v>48</v>
      </c>
      <c r="EQ7" s="106">
        <f>IF(OR(EQ13="",EQ17="",EQ14="",EQ15="",EQ16="",EQ18="",EQ19="",EQ20="",EQ21=""),"",$CO$7+$A$2*COUNT($DS$7:EP7))</f>
        <v>50</v>
      </c>
      <c r="ER7" s="106">
        <f>IF(OR(ER13="",ER17="",ER14="",ER15="",ER16="",ER18="",ER19="",ER20="",ER21=""),"",$CO$7+$A$2*COUNT($DS$7:EQ7))</f>
        <v>52</v>
      </c>
      <c r="ES7" s="106">
        <f>IF(OR(ES13="",ES17="",ES14="",ES15="",ES16="",ES18="",ES19="",ES20="",ES21=""),"",$CO$7+$A$2*COUNT($DS$7:ER7))</f>
        <v>54</v>
      </c>
      <c r="ET7" s="106">
        <f>IF(OR(ET13="",ET17="",ET14="",ET15="",ET16="",ET18="",ET19="",ET20="",ET21=""),"",$CO$7+$A$2*COUNT($DS$7:ES7))</f>
        <v>56</v>
      </c>
      <c r="EU7" s="106">
        <f>IF(OR(EU13="",EU17="",EU14="",EU15="",EU16="",EU18="",EU19="",EU20="",EU21=""),"",$CO$7+$A$2*COUNT($DS$7:ET7))</f>
        <v>58</v>
      </c>
      <c r="EV7" s="106">
        <f>IF(OR(EV13="",EV17="",EV14="",EV15="",EV16="",EV18="",EV19="",EV20="",EV21=""),"",$CO$7+$A$2*COUNT($DS$7:EU7))</f>
        <v>60</v>
      </c>
      <c r="EW7" s="106">
        <f>IF(OR(EW13="",EW17="",EW14="",EW15="",EW16="",EW18="",EW19="",EW20="",EW21=""),"",$CO$7+$A$2*COUNT($DS$7:EV7))</f>
        <v>62</v>
      </c>
      <c r="EX7" s="105">
        <f>IF(OR(EX13="",EX17="",EX14="",EX15="",EX16="",EX18="",EX19="",EX20="",EX21=""),"",$A$2)</f>
        <v>2</v>
      </c>
      <c r="EY7" s="106">
        <f>IF(OR(EY13="",EY17="",EY14="",EY15="",EY16="",EY18="",EY19="",EY20="",EY21=""),"",$EX$7+$A$2*COUNT($EX$7:EX7))</f>
        <v>4</v>
      </c>
      <c r="EZ7" s="106">
        <f>IF(OR(EZ13="",EZ17="",EZ14="",EZ15="",EZ16="",EZ18="",EZ19="",EZ20="",EZ21=""),"",$EX$7+$A$2*COUNT($EX$7:EY7))</f>
        <v>6</v>
      </c>
      <c r="FA7" s="106">
        <f>IF(OR(FA13="",FA17="",FA14="",FA15="",FA16="",FA18="",FA19="",FA20="",FA21=""),"",$EX$7+$A$2*COUNT($EX$7:EZ7))</f>
        <v>8</v>
      </c>
      <c r="FB7" s="106">
        <f>IF(OR(FB13="",FB17="",FB14="",FB15="",FB16="",FB18="",FB19="",FB20="",FB21=""),"",$EX$7+$A$2*COUNT($EX$7:FA7))</f>
        <v>10</v>
      </c>
      <c r="FC7" s="106">
        <f>IF(OR(FC13="",FC17="",FC14="",FC15="",FC16="",FC18="",FC19="",FC20="",FC21=""),"",$EX$7+$A$2*COUNT($EX$7:FB7))</f>
        <v>12</v>
      </c>
      <c r="FD7" s="106">
        <f>IF(OR(FD13="",FD17="",FD14="",FD15="",FD16="",FD18="",FD19="",FD20="",FD21=""),"",$EX$7+$A$2*COUNT($EX$7:FC7))</f>
        <v>14</v>
      </c>
      <c r="FE7" s="106">
        <f>IF(OR(FE13="",FE17="",FE14="",FE15="",FE16="",FE18="",FE19="",FE20="",FE21=""),"",$EX$7+$A$2*COUNT($EX$7:FD7))</f>
        <v>16</v>
      </c>
      <c r="FF7" s="106">
        <f>IF(OR(FF13="",FF17="",FF14="",FF15="",FF16="",FF18="",FF19="",FF20="",FF21=""),"",$EX$7+$A$2*COUNT($EX$7:FE7))</f>
        <v>18</v>
      </c>
      <c r="FG7" s="106">
        <f>IF(OR(FG13="",FG17="",FG14="",FG15="",FG16="",FG18="",FG19="",FG20="",FG21=""),"",$EX$7+$A$2*COUNT($EX$7:FF7))</f>
        <v>20</v>
      </c>
      <c r="FH7" s="106">
        <f>IF(OR(FH13="",FH17="",FH14="",FH15="",FH16="",FH18="",FH19="",FH20="",FH21=""),"",$EX$7+$A$2*COUNT($EX$7:FG7))</f>
        <v>22</v>
      </c>
      <c r="FI7" s="106">
        <f>IF(OR(FI13="",FI17="",FI14="",FI15="",FI16="",FI18="",FI19="",FI20="",FI21=""),"",$EX$7+$A$2*COUNT($EX$7:FH7))</f>
        <v>24</v>
      </c>
      <c r="FJ7" s="106">
        <f>IF(OR(FJ13="",FJ17="",FJ14="",FJ15="",FJ16="",FJ18="",FJ19="",FJ20="",FJ21=""),"",$EX$7+$A$2*COUNT($EX$7:FI7))</f>
        <v>26</v>
      </c>
      <c r="FK7" s="106">
        <f>IF(OR(FK13="",FK17="",FK14="",FK15="",FK16="",FK18="",FK19="",FK20="",FK21=""),"",$EX$7+$A$2*COUNT($EX$7:FJ7))</f>
        <v>28</v>
      </c>
      <c r="FL7" s="106">
        <f>IF(OR(FL13="",FL17="",FL14="",FL15="",FL16="",FL18="",FL19="",FL20="",FL21=""),"",$EX$7+$A$2*COUNT($EX$7:FK7))</f>
        <v>30</v>
      </c>
      <c r="FM7" s="106">
        <f>IF(OR(FM13="",FM17="",FM14="",FM15="",FM16="",FM18="",FM19="",FM20="",FM21=""),"",$EX$7+$A$2*COUNT($EX$7:FL7))</f>
        <v>32</v>
      </c>
      <c r="FN7" s="106">
        <f>IF(OR(FN13="",FN17="",FN14="",FN15="",FN16="",FN18="",FN19="",FN20="",FN21=""),"",$EX$7+$A$2*COUNT($EX$7:FM7))</f>
        <v>34</v>
      </c>
      <c r="FO7" s="106">
        <f>IF(OR(FO13="",FO17="",FO14="",FO15="",FO16="",FO18="",FO19="",FO20="",FO21=""),"",$EX$7+$A$2*COUNT($EX$7:FN7))</f>
        <v>36</v>
      </c>
      <c r="FP7" s="106">
        <f>IF(OR(FP13="",FP17="",FP14="",FP15="",FP16="",FP18="",FP19="",FP20="",FP21=""),"",$EX$7+$A$2*COUNT($EX$7:FO7))</f>
        <v>38</v>
      </c>
      <c r="FQ7" s="106">
        <f>IF(OR(FQ13="",FQ17="",FQ14="",FQ15="",FQ16="",FQ18="",FQ19="",FQ20="",FQ21=""),"",$EX$7+$A$2*COUNT($EX$7:FP7))</f>
        <v>40</v>
      </c>
      <c r="FR7" s="106">
        <f>IF(OR(FR13="",FR17="",FR14="",FR15="",FR16="",FR18="",FR19="",FR20="",FR21=""),"",$EX$7+$A$2*COUNT($EX$7:FQ7))</f>
        <v>42</v>
      </c>
      <c r="FS7" s="106">
        <f>IF(OR(FS13="",FS17="",FS14="",FS15="",FS16="",FS18="",FS19="",FS20="",FS21=""),"",$EX$7+$A$2*COUNT($EX$7:FR7))</f>
        <v>44</v>
      </c>
      <c r="FT7" s="106">
        <f>IF(OR(FT13="",FT17="",FT14="",FT15="",FT16="",FT18="",FT19="",FT20="",FT21=""),"",$EX$7+$A$2*COUNT($EX$7:FS7))</f>
        <v>46</v>
      </c>
      <c r="FU7" s="106">
        <f>IF(OR(FU13="",FU17="",FU14="",FU15="",FU16="",FU18="",FU19="",FU20="",FU21=""),"",$EX$7+$A$2*COUNT($EX$7:FT7))</f>
        <v>48</v>
      </c>
      <c r="FV7" s="106">
        <f>IF(OR(FV13="",FV17="",FV14="",FV15="",FV16="",FV18="",FV19="",FV20="",FV21=""),"",$EX$7+$A$2*COUNT($EX$7:FU7))</f>
        <v>50</v>
      </c>
      <c r="FW7" s="106">
        <f>IF(OR(FW13="",FW17="",FW14="",FW15="",FW16="",FW18="",FW19="",FW20="",FW21=""),"",$EX$7+$A$2*COUNT($EX$7:FV7))</f>
        <v>52</v>
      </c>
      <c r="FX7" s="106">
        <f>IF(OR(FX13="",FX17="",FX14="",FX15="",FX16="",FX18="",FX19="",FX20="",FX21=""),"",$EX$7+$A$2*COUNT($EX$7:FW7))</f>
        <v>54</v>
      </c>
      <c r="FY7" s="106">
        <f>IF(OR(FY13="",FY17="",FY14="",FY15="",FY16="",FY18="",FY19="",FY20="",FY21=""),"",$EX$7+$A$2*COUNT($EX$7:FX7))</f>
        <v>56</v>
      </c>
      <c r="FZ7" s="106">
        <f>IF(OR(FZ13="",FZ17="",FZ14="",FZ15="",FZ16="",FZ18="",FZ19="",FZ20="",FZ21=""),"",$EX$7+$A$2*COUNT($EX$7:FY7))</f>
        <v>58</v>
      </c>
      <c r="GA7" s="106">
        <f>IF(OR(GA13="",GA17="",GA14="",GA15="",GA16="",GA18="",GA19="",GA20="",GA21=""),"",$EX$7+$A$2*COUNT($EX$7:FZ7))</f>
        <v>60</v>
      </c>
      <c r="GB7" s="105">
        <f>IF(OR(GB13="",GB17="",GB14="",GB15="",GB16="",GB18="",GB19="",GB20="",GB21=""),"",$A$2)</f>
        <v>2</v>
      </c>
      <c r="GC7" s="106" t="str">
        <f ca="1">IF(OR(GC13="",GC17="",GC14="",GC15="",GC16="",GC18="",GC19="",GC20="",GC21=""),"",$GC$7+$A$2*COUNT(GB$7:$GC7))</f>
        <v/>
      </c>
      <c r="GD7" s="106" t="str">
        <f ca="1">IF(OR(GD13="",GD17="",GD14="",GD15="",GD16="",GD18="",GD19="",GD20="",GD21=""),"",$GC$7+$A$2*COUNT(GC$7:$GC7))</f>
        <v/>
      </c>
      <c r="GE7" s="106" t="str">
        <f ca="1">IF(OR(GE13="",GE17="",GE14="",GE15="",GE16="",GE18="",GE19="",GE20="",GE21=""),"",$GC$7+$A$2*COUNT($GC$7:GD7))</f>
        <v/>
      </c>
      <c r="GF7" s="106" t="str">
        <f ca="1">IF(OR(GF13="",GF17="",GF14="",GF15="",GF16="",GF18="",GF19="",GF20="",GF21=""),"",$GC$7+$A$2*COUNT($GC$7:GE7))</f>
        <v/>
      </c>
      <c r="GG7" s="106" t="str">
        <f ca="1">IF(OR(GG13="",GG17="",GG14="",GG15="",GG16="",GG18="",GG19="",GG20="",GG21=""),"",$GC$7+$A$2*COUNT($GC$7:GF7))</f>
        <v/>
      </c>
      <c r="GH7" s="106" t="str">
        <f ca="1">IF(OR(GH13="",GH17="",GH14="",GH15="",GH16="",GH18="",GH19="",GH20="",GH21=""),"",$GC$7+$A$2*COUNT($GC$7:GG7))</f>
        <v/>
      </c>
      <c r="GI7" s="106" t="str">
        <f ca="1">IF(OR(GI13="",GI17="",GI14="",GI15="",GI16="",GI18="",GI19="",GI20="",GI21=""),"",$GC$7+$A$2*COUNT($GC$7:GH7))</f>
        <v/>
      </c>
      <c r="GJ7" s="106" t="str">
        <f ca="1">IF(OR(GJ13="",GJ17="",GJ14="",GJ15="",GJ16="",GJ18="",GJ19="",GJ20="",GJ21=""),"",$GC$7+$A$2*COUNT($GC$7:GI7))</f>
        <v/>
      </c>
      <c r="GK7" s="106" t="str">
        <f ca="1">IF(OR(GK13="",GK17="",GK14="",GK15="",GK16="",GK18="",GK19="",GK20="",GK21=""),"",$GC$7+$A$2*COUNT($GC$7:GJ7))</f>
        <v/>
      </c>
      <c r="GL7" s="106" t="str">
        <f ca="1">IF(OR(GL13="",GL17="",GL14="",GL15="",GL16="",GL18="",GL19="",GL20="",GL21=""),"",$GC$7+$A$2*COUNT($GC$7:GK7))</f>
        <v/>
      </c>
      <c r="GM7" s="106" t="str">
        <f ca="1">IF(OR(GM13="",GM17="",GM14="",GM15="",GM16="",GM18="",GM19="",GM20="",GM21=""),"",$GC$7+$A$2*COUNT($GC$7:GL7))</f>
        <v/>
      </c>
      <c r="GN7" s="106" t="str">
        <f ca="1">IF(OR(GN13="",GN17="",GN14="",GN15="",GN16="",GN18="",GN19="",GN20="",GN21=""),"",$GC$7+$A$2*COUNT($GC$7:GM7))</f>
        <v/>
      </c>
      <c r="GO7" s="106" t="str">
        <f ca="1">IF(OR(GO13="",GO17="",GO14="",GO15="",GO16="",GO18="",GO19="",GO20="",GO21=""),"",$GC$7+$A$2*COUNT($GC$7:GN7))</f>
        <v/>
      </c>
      <c r="GP7" s="106" t="str">
        <f ca="1">IF(OR(GP13="",GP17="",GP14="",GP15="",GP16="",GP18="",GP19="",GP20="",GP21=""),"",$GC$7+$A$2*COUNT($GC$7:GO7))</f>
        <v/>
      </c>
      <c r="GQ7" s="106" t="str">
        <f ca="1">IF(OR(GQ13="",GQ17="",GQ14="",GQ15="",GQ16="",GQ18="",GQ19="",GQ20="",GQ21=""),"",$GC$7+$A$2*COUNT($GC$7:GP7))</f>
        <v/>
      </c>
      <c r="GR7" s="106" t="str">
        <f ca="1">IF(OR(GR13="",GR17="",GR14="",GR15="",GR16="",GR18="",GR19="",GR20="",GR21=""),"",$GC$7+$A$2*COUNT($GC$7:GQ7))</f>
        <v/>
      </c>
      <c r="GS7" s="106" t="str">
        <f ca="1">IF(OR(GS13="",GS17="",GS14="",GS15="",GS16="",GS18="",GS19="",GS20="",GS21=""),"",$GC$7+$A$2*COUNT($GC$7:GR7))</f>
        <v/>
      </c>
      <c r="GT7" s="106" t="str">
        <f ca="1">IF(OR(GT13="",GT17="",GT14="",GT15="",GT16="",GT18="",GT19="",GT20="",GT21=""),"",$GC$7+$A$2*COUNT($GC$7:GS7))</f>
        <v/>
      </c>
      <c r="GU7" s="106" t="str">
        <f ca="1">IF(OR(GU13="",GU17="",GU14="",GU15="",GU16="",GU18="",GU19="",GU20="",GU21=""),"",$GC$7+$A$2*COUNT($GC$7:GT7))</f>
        <v/>
      </c>
      <c r="GV7" s="106" t="str">
        <f ca="1">IF(OR(GV13="",GV17="",GV14="",GV15="",GV16="",GV18="",GV19="",GV20="",GV21=""),"",$GC$7+$A$2*COUNT($GC$7:GU7))</f>
        <v/>
      </c>
      <c r="GW7" s="106" t="str">
        <f ca="1">IF(OR(GW13="",GW17="",GW14="",GW15="",GW16="",GW18="",GW19="",GW20="",GW21=""),"",$GC$7+$A$2*COUNT($GC$7:GV7))</f>
        <v/>
      </c>
      <c r="GX7" s="106" t="str">
        <f ca="1">IF(OR(GX13="",GX17="",GX14="",GX15="",GX16="",GX18="",GX19="",GX20="",GX21=""),"",$GC$7+$A$2*COUNT($GC$7:GW7))</f>
        <v/>
      </c>
      <c r="GY7" s="106" t="str">
        <f ca="1">IF(OR(GY13="",GY17="",GY14="",GY15="",GY16="",GY18="",GY19="",GY20="",GY21=""),"",$GC$7+$A$2*COUNT($GC$7:GX7))</f>
        <v/>
      </c>
      <c r="GZ7" s="106" t="str">
        <f ca="1">IF(OR(GZ13="",GZ17="",GZ14="",GZ15="",GZ16="",GZ18="",GZ19="",GZ20="",GZ21=""),"",$GC$7+$A$2*COUNT($GC$7:GY7))</f>
        <v/>
      </c>
      <c r="HA7" s="106" t="str">
        <f ca="1">IF(OR(HA13="",HA17="",HA14="",HA15="",HA16="",HA18="",HA19="",HA20="",HA21=""),"",$GC$7+$A$2*COUNT($GC$7:GZ7))</f>
        <v/>
      </c>
      <c r="HB7" s="106" t="str">
        <f ca="1">IF(OR(HB13="",HB17="",HB14="",HB15="",HB16="",HB18="",HB19="",HB20="",HB21=""),"",$GC$7+$A$2*COUNT($GC$7:HA7))</f>
        <v/>
      </c>
      <c r="HC7" s="106" t="str">
        <f ca="1">IF(OR(HC13="",HC17="",HC14="",HC15="",HC16="",HC18="",HC19="",HC20="",HC21=""),"",$GC$7+$A$2*COUNT($GC$7:HB7))</f>
        <v/>
      </c>
      <c r="HD7" s="106" t="str">
        <f ca="1">IF(OR(HD13="",HD17="",HD14="",HD15="",HD16="",HD18="",HD19="",HD20="",HD21=""),"",$GC$7+$A$2*COUNT($GC$7:HC7))</f>
        <v/>
      </c>
      <c r="HE7" s="106" t="str">
        <f ca="1">IF(OR(HE13="",HE17="",HE14="",HE15="",HE16="",HE18="",HE19="",HE20="",HE21=""),"",$GC$7+$A$2*COUNT($GC$7:HD7))</f>
        <v/>
      </c>
      <c r="HF7" s="106" t="str">
        <f ca="1">IF(OR(HF13="",HF17="",HF14="",HF15="",HF16="",HF18="",HF19="",HF20="",HF21=""),"",$GC$7+$A$2*COUNT($GC$7:HE7))</f>
        <v/>
      </c>
      <c r="HG7" s="105">
        <f>IF(OR(HG13="",HG17="",HG14="",HG15="",HG16="",HG18="",HG19="",HG20="",HG21=""),"",$A$2)</f>
        <v>2</v>
      </c>
      <c r="HH7" s="106" t="str">
        <f ca="1">IF(OR(HH13="",HH17="",HH14="",HH15="",HH16="",HH18="",HH19="",HH20="",HH21=""),"",$HH$7+$A$2*COUNT(HG$7:$HH7))</f>
        <v/>
      </c>
      <c r="HI7" s="106" t="str">
        <f ca="1">IF(OR(HI13="",HI17="",HI14="",HI15="",HI16="",HI18="",HI19="",HI20="",HI21=""),"",$HH$7+$A$2*COUNT(HH$7:$HH7))</f>
        <v/>
      </c>
      <c r="HJ7" s="106" t="str">
        <f ca="1">IF(OR(HJ13="",HJ17="",HJ14="",HJ15="",HJ16="",HJ18="",HJ19="",HJ20="",HJ21=""),"",$HH$7+$A$2*COUNT($HH$7:HI7))</f>
        <v/>
      </c>
      <c r="HK7" s="106" t="str">
        <f ca="1">IF(OR(HK13="",HK17="",HK14="",HK15="",HK16="",HK18="",HK19="",HK20="",HK21=""),"",$HH$7+$A$2*COUNT($HH$7:HJ7))</f>
        <v/>
      </c>
      <c r="HL7" s="106" t="str">
        <f ca="1">IF(OR(HL13="",HL17="",HL14="",HL15="",HL16="",HL18="",HL19="",HL20="",HL21=""),"",$HH$7+$A$2*COUNT($HH$7:HK7))</f>
        <v/>
      </c>
      <c r="HM7" s="106" t="str">
        <f ca="1">IF(OR(HM13="",HM17="",HM14="",HM15="",HM16="",HM18="",HM19="",HM20="",HM21=""),"",$HH$7+$A$2*COUNT($HH$7:HL7))</f>
        <v/>
      </c>
      <c r="HN7" s="106" t="str">
        <f ca="1">IF(OR(HN13="",HN17="",HN14="",HN15="",HN16="",HN18="",HN19="",HN20="",HN21=""),"",$HH$7+$A$2*COUNT($HH$7:HM7))</f>
        <v/>
      </c>
      <c r="HO7" s="106" t="str">
        <f ca="1">IF(OR(HO13="",HO17="",HO14="",HO15="",HO16="",HO18="",HO19="",HO20="",HO21=""),"",$HH$7+$A$2*COUNT($HH$7:HN7))</f>
        <v/>
      </c>
      <c r="HP7" s="106" t="str">
        <f ca="1">IF(OR(HP13="",HP17="",HP14="",HP15="",HP16="",HP18="",HP19="",HP20="",HP21=""),"",$HH$7+$A$2*COUNT($HH$7:HO7))</f>
        <v/>
      </c>
      <c r="HQ7" s="106" t="str">
        <f ca="1">IF(OR(HQ13="",HQ17="",HQ14="",HQ15="",HQ16="",HQ18="",HQ19="",HQ20="",HQ21=""),"",$HH$7+$A$2*COUNT($HH$7:HP7))</f>
        <v/>
      </c>
      <c r="HR7" s="106" t="str">
        <f ca="1">IF(OR(HR13="",HR17="",HR14="",HR15="",HR16="",HR18="",HR19="",HR20="",HR21=""),"",$HH$7+$A$2*COUNT($HH$7:HQ7))</f>
        <v/>
      </c>
      <c r="HS7" s="106" t="str">
        <f ca="1">IF(OR(HS13="",HS17="",HS14="",HS15="",HS16="",HS18="",HS19="",HS20="",HS21=""),"",$HH$7+$A$2*COUNT($HH$7:HR7))</f>
        <v/>
      </c>
      <c r="HT7" s="106" t="str">
        <f ca="1">IF(OR(HT13="",HT17="",HT14="",HT15="",HT16="",HT18="",HT19="",HT20="",HT21=""),"",$HH$7+$A$2*COUNT($HH$7:HS7))</f>
        <v/>
      </c>
      <c r="HU7" s="106" t="str">
        <f ca="1">IF(OR(HU13="",HU17="",HU14="",HU15="",HU16="",HU18="",HU19="",HU20="",HU21=""),"",$HH$7+$A$2*COUNT($HH$7:HT7))</f>
        <v/>
      </c>
      <c r="HV7" s="106" t="str">
        <f ca="1">IF(OR(HV13="",HV17="",HV14="",HV15="",HV16="",HV18="",HV19="",HV20="",HV21=""),"",$HH$7+$A$2*COUNT($HH$7:HU7))</f>
        <v/>
      </c>
      <c r="HW7" s="106" t="str">
        <f ca="1">IF(OR(HW13="",HW17="",HW14="",HW15="",HW16="",HW18="",HW19="",HW20="",HW21=""),"",$HH$7+$A$2*COUNT($HH$7:HV7))</f>
        <v/>
      </c>
      <c r="HX7" s="106" t="str">
        <f ca="1">IF(OR(HX13="",HX17="",HX14="",HX15="",HX16="",HX18="",HX19="",HX20="",HX21=""),"",$HH$7+$A$2*COUNT($HH$7:HW7))</f>
        <v/>
      </c>
      <c r="HY7" s="106" t="str">
        <f ca="1">IF(OR(HY13="",HY17="",HY14="",HY15="",HY16="",HY18="",HY19="",HY20="",HY21=""),"",$HH$7+$A$2*COUNT($HH$7:HX7))</f>
        <v/>
      </c>
      <c r="HZ7" s="106" t="str">
        <f ca="1">IF(OR(HZ13="",HZ17="",HZ14="",HZ15="",HZ16="",HZ18="",HZ19="",HZ20="",HZ21=""),"",$HH$7+$A$2*COUNT($HH$7:HY7))</f>
        <v/>
      </c>
      <c r="IA7" s="106" t="str">
        <f ca="1">IF(OR(IA13="",IA17="",IA14="",IA15="",IA16="",IA18="",IA19="",IA20="",IA21=""),"",$HH$7+$A$2*COUNT($HH$7:HZ7))</f>
        <v/>
      </c>
      <c r="IB7" s="106" t="str">
        <f ca="1">IF(OR(IB13="",IB17="",IB14="",IB15="",IB16="",IB18="",IB19="",IB20="",IB21=""),"",$HH$7+$A$2*COUNT($HH$7:IA7))</f>
        <v/>
      </c>
      <c r="IC7" s="106" t="str">
        <f ca="1">IF(OR(IC13="",IC17="",IC14="",IC15="",IC16="",IC18="",IC19="",IC20="",IC21=""),"",$HH$7+$A$2*COUNT($HH$7:IB7))</f>
        <v/>
      </c>
      <c r="ID7" s="106" t="str">
        <f ca="1">IF(OR(ID13="",ID17="",ID14="",ID15="",ID16="",ID18="",ID19="",ID20="",ID21=""),"",$HH$7+$A$2*COUNT($HH$7:IC7))</f>
        <v/>
      </c>
      <c r="IE7" s="106" t="str">
        <f ca="1">IF(OR(IE13="",IE17="",IE14="",IE15="",IE16="",IE18="",IE19="",IE20="",IE21=""),"",$HH$7+$A$2*COUNT($HH$7:ID7))</f>
        <v/>
      </c>
      <c r="IF7" s="106" t="str">
        <f ca="1">IF(OR(IF13="",IF17="",IF14="",IF15="",IF16="",IF18="",IF19="",IF20="",IF21=""),"",$HH$7+$A$2*COUNT($HH$7:IE7))</f>
        <v/>
      </c>
      <c r="IG7" s="106" t="str">
        <f ca="1">IF(OR(IG13="",IG17="",IG14="",IG15="",IG16="",IG18="",IG19="",IG20="",IG21=""),"",$HH$7+$A$2*COUNT($HH$7:IF7))</f>
        <v/>
      </c>
      <c r="IH7" s="106" t="str">
        <f ca="1">IF(OR(IH13="",IH17="",IH14="",IH15="",IH16="",IH18="",IH19="",IH20="",IH21=""),"",$HH$7+$A$2*COUNT($HH$7:IG7))</f>
        <v/>
      </c>
      <c r="II7" s="106" t="str">
        <f ca="1">IF(OR(II13="",II17="",II14="",II15="",II16="",II18="",II19="",II20="",II21=""),"",$HH$7+$A$2*COUNT($HH$7:IH7))</f>
        <v/>
      </c>
      <c r="IJ7" s="106" t="str">
        <f ca="1">IF(OR(IJ13="",IJ17="",IJ14="",IJ15="",IJ16="",IJ18="",IJ19="",IJ20="",IJ21=""),"",$HH$7+$A$2*COUNT($HH$7:II7))</f>
        <v/>
      </c>
      <c r="IK7" s="106" t="str">
        <f ca="1">IF(OR(IK13="",IK17="",IK14="",IK15="",IK16="",IK18="",IK19="",IK20="",IK21=""),"",$HH$7+$A$2*COUNT($HH$7:IJ7))</f>
        <v/>
      </c>
      <c r="IL7" s="105">
        <f>IF(OR(IL13="",IL17="",IL14="",IL15="",IL16="",IL18="",IL19="",IL20="",IL21=""),"",$A$2)</f>
        <v>2</v>
      </c>
      <c r="IM7" s="106">
        <f>IF(OR(IM13="",IM17="",IM14="",IM15="",IM16="",IM18="",IM19="",IM20="",IM21=""),"",$IL$7+$A$2*COUNT($IL$7:IL7))</f>
        <v>4</v>
      </c>
      <c r="IN7" s="106">
        <f>IF(OR(IN13="",IN17="",IN14="",IN15="",IN16="",IN18="",IN19="",IN20="",IN21=""),"",$IL$7+$A$2*COUNT($IL$7:IM7))</f>
        <v>6</v>
      </c>
      <c r="IO7" s="106">
        <f>IF(OR(IO13="",IO17="",IO14="",IO15="",IO16="",IO18="",IO19="",IO20="",IO21=""),"",$IL$7+$A$2*COUNT($IL$7:IN7))</f>
        <v>8</v>
      </c>
      <c r="IP7" s="106">
        <f>IF(OR(IP13="",IP17="",IP14="",IP15="",IP16="",IP18="",IP19="",IP20="",IP21=""),"",$IL$7+$A$2*COUNT($IL$7:IO7))</f>
        <v>10</v>
      </c>
      <c r="IQ7" s="106">
        <f>IF(OR(IQ13="",IQ17="",IQ14="",IQ15="",IQ16="",IQ18="",IQ19="",IQ20="",IQ21=""),"",$IL$7+$A$2*COUNT($IL$7:IP7))</f>
        <v>12</v>
      </c>
      <c r="IR7" s="106">
        <f>IF(OR(IR13="",IR17="",IR14="",IR15="",IR16="",IR18="",IR19="",IR20="",IR21=""),"",$IL$7+$A$2*COUNT($IL$7:IQ7))</f>
        <v>14</v>
      </c>
      <c r="IS7" s="106">
        <f>IF(OR(IS13="",IS17="",IS14="",IS15="",IS16="",IS18="",IS19="",IS20="",IS21=""),"",$IL$7+$A$2*COUNT($IL$7:IR7))</f>
        <v>16</v>
      </c>
      <c r="IT7" s="106">
        <f>IF(OR(IT13="",IT17="",IT14="",IT15="",IT16="",IT18="",IT19="",IT20="",IT21=""),"",$IL$7+$A$2*COUNT($IL$7:IS7))</f>
        <v>18</v>
      </c>
      <c r="IU7" s="106">
        <f>IF(OR(IU13="",IU17="",IU14="",IU15="",IU16="",IU18="",IU19="",IU20="",IU21=""),"",$IL$7+$A$2*COUNT($IL$7:IT7))</f>
        <v>20</v>
      </c>
      <c r="IV7" s="106">
        <f>IF(OR(IV13="",IV17="",IV14="",IV15="",IV16="",IV18="",IV19="",IV20="",IV21=""),"",$IL$7+$A$2*COUNT($IL$7:IU7))</f>
        <v>22</v>
      </c>
      <c r="IW7" s="106">
        <f>IF(OR(IW13="",IW17="",IW14="",IW15="",IW16="",IW18="",IW19="",IW20="",IW21=""),"",$IL$7+$A$2*COUNT($IL$7:IV7))</f>
        <v>24</v>
      </c>
      <c r="IX7" s="106">
        <f>IF(OR(IX13="",IX17="",IX14="",IX15="",IX16="",IX18="",IX19="",IX20="",IX21=""),"",$IL$7+$A$2*COUNT($IL$7:IW7))</f>
        <v>26</v>
      </c>
      <c r="IY7" s="106">
        <f>IF(OR(IY13="",IY17="",IY14="",IY15="",IY16="",IY18="",IY19="",IY20="",IY21=""),"",$IL$7+$A$2*COUNT($IL$7:IX7))</f>
        <v>28</v>
      </c>
      <c r="IZ7" s="106">
        <f>IF(OR(IZ13="",IZ17="",IZ14="",IZ15="",IZ16="",IZ18="",IZ19="",IZ20="",IZ21=""),"",$IL$7+$A$2*COUNT($IL$7:IY7))</f>
        <v>30</v>
      </c>
      <c r="JA7" s="106">
        <f>IF(OR(JA13="",JA17="",JA14="",JA15="",JA16="",JA18="",JA19="",JA20="",JA21=""),"",$IL$7+$A$2*COUNT($IL$7:IZ7))</f>
        <v>32</v>
      </c>
      <c r="JB7" s="106">
        <f>IF(OR(JB13="",JB17="",JB14="",JB15="",JB16="",JB18="",JB19="",JB20="",JB21=""),"",$IL$7+$A$2*COUNT($IL$7:JA7))</f>
        <v>34</v>
      </c>
      <c r="JC7" s="106">
        <f>IF(OR(JC13="",JC17="",JC14="",JC15="",JC16="",JC18="",JC19="",JC20="",JC21=""),"",$IL$7+$A$2*COUNT($IL$7:JB7))</f>
        <v>36</v>
      </c>
      <c r="JD7" s="106">
        <f>IF(OR(JD13="",JD17="",JD14="",JD15="",JD16="",JD18="",JD19="",JD20="",JD21=""),"",$IL$7+$A$2*COUNT($IL$7:JC7))</f>
        <v>38</v>
      </c>
      <c r="JE7" s="106">
        <f>IF(OR(JE13="",JE17="",JE14="",JE15="",JE16="",JE18="",JE19="",JE20="",JE21=""),"",$IL$7+$A$2*COUNT($IL$7:JD7))</f>
        <v>40</v>
      </c>
      <c r="JF7" s="106">
        <f>IF(OR(JF13="",JF17="",JF14="",JF15="",JF16="",JF18="",JF19="",JF20="",JF21=""),"",$IL$7+$A$2*COUNT($IL$7:JE7))</f>
        <v>42</v>
      </c>
      <c r="JG7" s="106">
        <f>IF(OR(JG13="",JG17="",JG14="",JG15="",JG16="",JG18="",JG19="",JG20="",JG21=""),"",$IL$7+$A$2*COUNT($IL$7:JF7))</f>
        <v>44</v>
      </c>
      <c r="JH7" s="106">
        <f>IF(OR(JH13="",JH17="",JH14="",JH15="",JH16="",JH18="",JH19="",JH20="",JH21=""),"",$IL$7+$A$2*COUNT($IL$7:JG7))</f>
        <v>46</v>
      </c>
      <c r="JI7" s="106">
        <f>IF(OR(JI13="",JI17="",JI14="",JI15="",JI16="",JI18="",JI19="",JI20="",JI21=""),"",$IL$7+$A$2*COUNT($IL$7:JH7))</f>
        <v>48</v>
      </c>
      <c r="JJ7" s="106">
        <f>IF(OR(JJ13="",JJ17="",JJ14="",JJ15="",JJ16="",JJ18="",JJ19="",JJ20="",JJ21=""),"",$IL$7+$A$2*COUNT($IL$7:JI7))</f>
        <v>50</v>
      </c>
      <c r="JK7" s="106">
        <f>IF(OR(JK13="",JK17="",JK14="",JK15="",JK16="",JK18="",JK19="",JK20="",JK21=""),"",$IL$7+$A$2*COUNT($IL$7:JJ7))</f>
        <v>52</v>
      </c>
      <c r="JL7" s="106">
        <f>IF(OR(JL13="",JL17="",JL14="",JL15="",JL16="",JL18="",JL19="",JL20="",JL21=""),"",$IL$7+$A$2*COUNT($IL$7:JK7))</f>
        <v>54</v>
      </c>
      <c r="JM7" s="106">
        <f>IF(OR(JM13="",JM17="",JM14="",JM15="",JM16="",JM18="",JM19="",JM20="",JM21=""),"",$IL$7+$A$2*COUNT($IL$7:JL7))</f>
        <v>56</v>
      </c>
      <c r="JN7" s="106">
        <f>IF(OR(JN13="",JN17="",JN14="",JN15="",JN16="",JN18="",JN19="",JN20="",JN21=""),"",$IL$7+$A$2*COUNT($IL$7:JM7))</f>
        <v>58</v>
      </c>
      <c r="JO7" s="106">
        <f>IF(OR(JO13="",JO17="",JO14="",JO15="",JO16="",JO18="",JO19="",JO20="",JO21=""),"",$IL$7+$A$2*COUNT($IL$7:JN7))</f>
        <v>60</v>
      </c>
      <c r="JP7" s="105">
        <f>IF(OR(JP13="",JP17="",JP14="",JP15="",JP16="",JP18="",JP19="",JP20="",JP21=""),"",$A$2)</f>
        <v>2</v>
      </c>
      <c r="JQ7" s="105">
        <f t="shared" ref="JQ7:JS7" si="47">IF(OR(JQ13="",JQ17="",JQ14="",JQ15="",JQ16="",JQ18="",JQ19="",JQ20="",JQ21=""),"",$A$2)</f>
        <v>2</v>
      </c>
      <c r="JR7" s="105">
        <f t="shared" si="47"/>
        <v>2</v>
      </c>
      <c r="JS7" s="105">
        <f t="shared" si="47"/>
        <v>2</v>
      </c>
      <c r="JT7" s="106" t="str">
        <f ca="1">IF(OR(JT13="",JT17="",JT14="",JT15="",JT16="",JT18="",JT19="",JT20="",JT21=""),"",$JQ$7+$A$2*COUNT($JP$7:JT7))</f>
        <v/>
      </c>
      <c r="JU7" s="106" t="str">
        <f ca="1">IF(OR(JU13="",JU17="",JU14="",JU15="",JU16="",JU18="",JU19="",JU20="",JU21=""),"",$JQ$7+$A$2*COUNT($JP$7:JU7))</f>
        <v/>
      </c>
      <c r="JV7" s="106" t="str">
        <f ca="1">IF(OR(JV13="",JV17="",JV14="",JV15="",JV16="",JV18="",JV19="",JV20="",JV21=""),"",$JQ$7+$A$2*COUNT($JP$7:JV7))</f>
        <v/>
      </c>
      <c r="JW7" s="106" t="str">
        <f ca="1">IF(OR(JW13="",JW17="",JW14="",JW15="",JW16="",JW18="",JW19="",JW20="",JW21=""),"",$JQ$7+$A$2*COUNT($JP$7:JW7))</f>
        <v/>
      </c>
      <c r="JX7" s="106" t="str">
        <f ca="1">IF(OR(JX13="",JX17="",JX14="",JX15="",JX16="",JX18="",JX19="",JX20="",JX21=""),"",$JQ$7+$A$2*COUNT($JP$7:JX7))</f>
        <v/>
      </c>
      <c r="JY7" s="106" t="str">
        <f ca="1">IF(OR(JY13="",JY17="",JY14="",JY15="",JY16="",JY18="",JY19="",JY20="",JY21=""),"",$JQ$7+$A$2*COUNT($JP$7:JY7))</f>
        <v/>
      </c>
      <c r="JZ7" s="106" t="str">
        <f ca="1">IF(OR(JZ13="",JZ17="",JZ14="",JZ15="",JZ16="",JZ18="",JZ19="",JZ20="",JZ21=""),"",$JQ$7+$A$2*COUNT($JP$7:JZ7))</f>
        <v/>
      </c>
      <c r="KA7" s="106" t="str">
        <f ca="1">IF(OR(KA13="",KA17="",KA14="",KA15="",KA16="",KA18="",KA19="",KA20="",KA21=""),"",$JQ$7+$A$2*COUNT($JP$7:KA7))</f>
        <v/>
      </c>
      <c r="KB7" s="106" t="str">
        <f ca="1">IF(OR(KB13="",KB17="",KB14="",KB15="",KB16="",KB18="",KB19="",KB20="",KB21=""),"",$JQ$7+$A$2*COUNT($JP$7:KB7))</f>
        <v/>
      </c>
      <c r="KC7" s="106" t="str">
        <f ca="1">IF(OR(KC13="",KC17="",KC14="",KC15="",KC16="",KC18="",KC19="",KC20="",KC21=""),"",$JQ$7+$A$2*COUNT($JP$7:KC7))</f>
        <v/>
      </c>
      <c r="KD7" s="106" t="str">
        <f ca="1">IF(OR(KD13="",KD17="",KD14="",KD15="",KD16="",KD18="",KD19="",KD20="",KD21=""),"",$JQ$7+$A$2*COUNT($JP$7:KD7))</f>
        <v/>
      </c>
      <c r="KE7" s="106" t="str">
        <f ca="1">IF(OR(KE13="",KE17="",KE14="",KE15="",KE16="",KE18="",KE19="",KE20="",KE21=""),"",$JQ$7+$A$2*COUNT($JP$7:KE7))</f>
        <v/>
      </c>
      <c r="KF7" s="106" t="str">
        <f ca="1">IF(OR(KF13="",KF17="",KF14="",KF15="",KF16="",KF18="",KF19="",KF20="",KF21=""),"",$JQ$7+$A$2*COUNT($JP$7:KF7))</f>
        <v/>
      </c>
      <c r="KG7" s="106" t="str">
        <f ca="1">IF(OR(KG13="",KG17="",KG14="",KG15="",KG16="",KG18="",KG19="",KG20="",KG21=""),"",$JQ$7+$A$2*COUNT($JP$7:KG7))</f>
        <v/>
      </c>
      <c r="KH7" s="106" t="str">
        <f ca="1">IF(OR(KH13="",KH17="",KH14="",KH15="",KH16="",KH18="",KH19="",KH20="",KH21=""),"",$JQ$7+$A$2*COUNT($JP$7:KH7))</f>
        <v/>
      </c>
      <c r="KI7" s="106" t="str">
        <f ca="1">IF(OR(KI13="",KI17="",KI14="",KI15="",KI16="",KI18="",KI19="",KI20="",KI21=""),"",$JQ$7+$A$2*COUNT($JP$7:KI7))</f>
        <v/>
      </c>
      <c r="KJ7" s="106" t="str">
        <f ca="1">IF(OR(KJ13="",KJ17="",KJ14="",KJ15="",KJ16="",KJ18="",KJ19="",KJ20="",KJ21=""),"",$JQ$7+$A$2*COUNT($JP$7:KJ7))</f>
        <v/>
      </c>
      <c r="KK7" s="106" t="str">
        <f ca="1">IF(OR(KK13="",KK17="",KK14="",KK15="",KK16="",KK18="",KK19="",KK20="",KK21=""),"",$JQ$7+$A$2*COUNT($JP$7:KK7))</f>
        <v/>
      </c>
      <c r="KL7" s="106" t="str">
        <f ca="1">IF(OR(KL13="",KL17="",KL14="",KL15="",KL16="",KL18="",KL19="",KL20="",KL21=""),"",$JQ$7+$A$2*COUNT($JP$7:KL7))</f>
        <v/>
      </c>
      <c r="KM7" s="106" t="str">
        <f ca="1">IF(OR(KM13="",KM17="",KM14="",KM15="",KM16="",KM18="",KM19="",KM20="",KM21=""),"",$JQ$7+$A$2*COUNT($JP$7:KM7))</f>
        <v/>
      </c>
      <c r="KN7" s="106" t="str">
        <f ca="1">IF(OR(KN13="",KN17="",KN14="",KN15="",KN16="",KN18="",KN19="",KN20="",KN21=""),"",$JQ$7+$A$2*COUNT($JP$7:KN7))</f>
        <v/>
      </c>
      <c r="KO7" s="106" t="str">
        <f ca="1">IF(OR(KO13="",KO17="",KO14="",KO15="",KO16="",KO18="",KO19="",KO20="",KO21=""),"",$JQ$7+$A$2*COUNT($JP$7:KO7))</f>
        <v/>
      </c>
      <c r="KP7" s="106" t="str">
        <f ca="1">IF(OR(KP13="",KP17="",KP14="",KP15="",KP16="",KP18="",KP19="",KP20="",KP21=""),"",$JQ$7+$A$2*COUNT($JP$7:KP7))</f>
        <v/>
      </c>
      <c r="KQ7" s="106" t="str">
        <f ca="1">IF(OR(KQ13="",KQ17="",KQ14="",KQ15="",KQ16="",KQ18="",KQ19="",KQ20="",KQ21=""),"",$JQ$7+$A$2*COUNT($JP$7:KQ7))</f>
        <v/>
      </c>
      <c r="KR7" s="106" t="str">
        <f ca="1">IF(OR(KR13="",KR17="",KR14="",KR15="",KR16="",KR18="",KR19="",KR20="",KR21=""),"",$JQ$7+$A$2*COUNT($JP$7:KR7))</f>
        <v/>
      </c>
      <c r="KS7" s="106" t="str">
        <f ca="1">IF(OR(KS13="",KS17="",KS14="",KS15="",KS16="",KS18="",KS19="",KS20="",KS21=""),"",$JQ$7+$A$2*COUNT($JP$7:KS7))</f>
        <v/>
      </c>
      <c r="KT7" s="106" t="str">
        <f ca="1">IF(OR(KT13="",KT17="",KT14="",KT15="",KT16="",KT18="",KT19="",KT20="",KT21=""),"",$JP$7+$A$2*COUNT($JP$7:KT7))</f>
        <v/>
      </c>
      <c r="KU7" s="105" t="str">
        <f>IF(OR(KU13="",KU17="",KU14="",KU15="",KU16="",KU18="",KU19="",KU20="",KU21=""),"",$A$2)</f>
        <v/>
      </c>
      <c r="KV7" s="106" t="str">
        <f>IF(OR(KV13="",KV17="",KV14="",KV15="",KV16="",KV18="",KV19="",KV20="",KV21=""),"",$KU$7+$A$2*COUNT($KU$7:KV7))</f>
        <v/>
      </c>
      <c r="KW7" s="106" t="str">
        <f>IF(OR(KW13="",KW17="",KW14="",KW15="",KW16="",KW18="",KW19="",KW20="",KW21=""),"",$KU$7+$A$2*COUNT($KU$7:KW7))</f>
        <v/>
      </c>
      <c r="KX7" s="106" t="str">
        <f>IF(OR(KX13="",KX17="",KX14="",KX15="",KX16="",KX18="",KX19="",KX20="",KX21=""),"",$KU$7+$A$2*COUNT($KU$7:KX7))</f>
        <v/>
      </c>
      <c r="KY7" s="106" t="str">
        <f>IF(OR(KY13="",KY17="",KY14="",KY15="",KY16="",KY18="",KY19="",KY20="",KY21=""),"",$KU$7+$A$2*COUNT($KU$7:KY7))</f>
        <v/>
      </c>
      <c r="KZ7" s="106" t="str">
        <f>IF(OR(KZ13="",KZ17="",KZ14="",KZ15="",KZ16="",KZ18="",KZ19="",KZ20="",KZ21=""),"",$KU$7+$A$2*COUNT($KU$7:KZ7))</f>
        <v/>
      </c>
      <c r="LA7" s="106" t="str">
        <f>IF(OR(LA13="",LA17="",LA14="",LA15="",LA16="",LA18="",LA19="",LA20="",LA21=""),"",$KU$7+$A$2*COUNT($KU$7:LA7))</f>
        <v/>
      </c>
      <c r="LB7" s="106" t="str">
        <f>IF(OR(LB13="",LB17="",LB14="",LB15="",LB16="",LB18="",LB19="",LB20="",LB21=""),"",$KU$7+$A$2*COUNT($KU$7:LB7))</f>
        <v/>
      </c>
      <c r="LC7" s="106" t="str">
        <f>IF(OR(LC13="",LC17="",LC14="",LC15="",LC16="",LC18="",LC19="",LC20="",LC21=""),"",$KU$7+$A$2*COUNT($KU$7:LC7))</f>
        <v/>
      </c>
      <c r="LD7" s="106" t="str">
        <f>IF(OR(LD13="",LD17="",LD14="",LD15="",LD16="",LD18="",LD19="",LD20="",LD21=""),"",$KU$7+$A$2*COUNT($KU$7:LD7))</f>
        <v/>
      </c>
      <c r="LE7" s="106" t="str">
        <f>IF(OR(LE13="",LE17="",LE14="",LE15="",LE16="",LE18="",LE19="",LE20="",LE21=""),"",$KU$7+$A$2*COUNT($KU$7:LE7))</f>
        <v/>
      </c>
      <c r="LF7" s="106" t="str">
        <f>IF(OR(LF13="",LF17="",LF14="",LF15="",LF16="",LF18="",LF19="",LF20="",LF21=""),"",$KU$7+$A$2*COUNT($KU$7:LF7))</f>
        <v/>
      </c>
      <c r="LG7" s="106" t="str">
        <f>IF(OR(LG13="",LG17="",LG14="",LG15="",LG16="",LG18="",LG19="",LG20="",LG21=""),"",$KU$7+$A$2*COUNT($KU$7:LG7))</f>
        <v/>
      </c>
      <c r="LH7" s="106" t="str">
        <f>IF(OR(LH13="",LH17="",LH14="",LH15="",LH16="",LH18="",LH19="",LH20="",LH21=""),"",$KU$7+$A$2*COUNT($KU$7:LH7))</f>
        <v/>
      </c>
      <c r="LI7" s="106" t="str">
        <f>IF(OR(LI13="",LI17="",LI14="",LI15="",LI16="",LI18="",LI19="",LI20="",LI21=""),"",$KU$7+$A$2*COUNT($KU$7:LI7))</f>
        <v/>
      </c>
      <c r="LJ7" s="106" t="str">
        <f>IF(OR(LJ13="",LJ17="",LJ14="",LJ15="",LJ16="",LJ18="",LJ19="",LJ20="",LJ21=""),"",$KU$7+$A$2*COUNT($KU$7:LJ7))</f>
        <v/>
      </c>
      <c r="LK7" s="106" t="str">
        <f>IF(OR(LK13="",LK17="",LK14="",LK15="",LK16="",LK18="",LK19="",LK20="",LK21=""),"",$KU$7+$A$2*COUNT($KU$7:LK7))</f>
        <v/>
      </c>
      <c r="LL7" s="106" t="str">
        <f>IF(OR(LL13="",LL17="",LL14="",LL15="",LL16="",LL18="",LL19="",LL20="",LL21=""),"",$KU$7+$A$2*COUNT($KU$7:LL7))</f>
        <v/>
      </c>
      <c r="LM7" s="106" t="str">
        <f>IF(OR(LM13="",LM17="",LM14="",LM15="",LM16="",LM18="",LM19="",LM20="",LM21=""),"",$KU$7+$A$2*COUNT($KU$7:LM7))</f>
        <v/>
      </c>
      <c r="LN7" s="106" t="str">
        <f>IF(OR(LN13="",LN17="",LN14="",LN15="",LN16="",LN18="",LN19="",LN20="",LN21=""),"",$KU$7+$A$2*COUNT($KU$7:LN7))</f>
        <v/>
      </c>
      <c r="LO7" s="106" t="str">
        <f>IF(OR(LO13="",LO17="",LO14="",LO15="",LO16="",LO18="",LO19="",LO20="",LO21=""),"",$KU$7+$A$2*COUNT($KU$7:LO7))</f>
        <v/>
      </c>
      <c r="LP7" s="106" t="str">
        <f>IF(OR(LP13="",LP17="",LP14="",LP15="",LP16="",LP18="",LP19="",LP20="",LP21=""),"",$KU$7+$A$2*COUNT($KU$7:LP7))</f>
        <v/>
      </c>
      <c r="LQ7" s="106" t="str">
        <f>IF(OR(LQ13="",LQ17="",LQ14="",LQ15="",LQ16="",LQ18="",LQ19="",LQ20="",LQ21=""),"",$KU$7+$A$2*COUNT($KU$7:LQ7))</f>
        <v/>
      </c>
      <c r="LR7" s="106" t="str">
        <f>IF(OR(LR13="",LR17="",LR14="",LR15="",LR16="",LR18="",LR19="",LR20="",LR21=""),"",$KU$7+$A$2*COUNT($KU$7:LR7))</f>
        <v/>
      </c>
      <c r="LS7" s="106" t="str">
        <f>IF(OR(LS13="",LS17="",LS14="",LS15="",LS16="",LS18="",LS19="",LS20="",LS21=""),"",$KU$7+$A$2*COUNT($KU$7:LS7))</f>
        <v/>
      </c>
      <c r="LT7" s="106" t="str">
        <f>IF(OR(LT13="",LT17="",LT14="",LT15="",LT16="",LT18="",LT19="",LT20="",LT21=""),"",$KU$7+$A$2*COUNT($KU$7:LT7))</f>
        <v/>
      </c>
      <c r="LU7" s="106" t="str">
        <f>IF(OR(LU13="",LU17="",LU14="",LU15="",LU16="",LU18="",LU19="",LU20="",LU21=""),"",$KU$7+$A$2*COUNT($KU$7:LU7))</f>
        <v/>
      </c>
      <c r="LV7" s="106" t="str">
        <f>IF(OR(LV13="",LV17="",LV14="",LV15="",LV16="",LV18="",LV19="",LV20="",LV21=""),"",$KU$7+$A$2*COUNT($KU$7:LV7))</f>
        <v/>
      </c>
      <c r="LW7" s="106" t="str">
        <f>IF(OR(LW13="",LW17="",LW14="",LW15="",LW16="",LW18="",LW19="",LW20="",LW21=""),"",$KU$7+$A$2*COUNT($KU$7:LW7))</f>
        <v/>
      </c>
      <c r="LX7" s="106" t="str">
        <f>IF(OR(LX13="",LX17="",LX14="",LX15="",LX16="",LX18="",LX19="",LX20="",LX21=""),"",$KU$7+$A$2*COUNT($KU$7:LX7))</f>
        <v/>
      </c>
      <c r="LY7" s="105" t="str">
        <f>IF(OR(LY13="",LY17="",LY14="",LY15="",LY16="",LY18="",LY19="",LY20="",LY21=""),"",$A$2)</f>
        <v/>
      </c>
      <c r="LZ7" s="106" t="str">
        <f>IF(OR(LZ13="",LZ17="",LZ14="",LZ15="",LZ16="",LZ18="",LZ19="",LZ20="",LZ21=""),"",$LY$7+$A$2*COUNT($LY$7:MA7))</f>
        <v/>
      </c>
      <c r="MA7" s="106" t="str">
        <f>IF(OR(MA13="",MA17="",MA14="",MA15="",MA16="",MA18="",MA19="",MA20="",MA21=""),"",$LY$7+$A$2*COUNT($LY$7:MB7))</f>
        <v/>
      </c>
      <c r="MB7" s="106" t="str">
        <f>IF(OR(MB13="",MB17="",MB14="",MB15="",MB16="",MB18="",MB19="",MB20="",MB21=""),"",$LY$7+$A$2*COUNT($LY$7:MC7))</f>
        <v/>
      </c>
      <c r="MC7" s="106" t="str">
        <f>IF(OR(MC13="",MC17="",MC14="",MC15="",MC16="",MC18="",MC19="",MC20="",MC21=""),"",$LY$7+$A$2*COUNT($LY$7:MD7))</f>
        <v/>
      </c>
      <c r="MD7" s="106" t="str">
        <f>IF(OR(MD13="",MD17="",MD14="",MD15="",MD16="",MD18="",MD19="",MD20="",MD21=""),"",$LY$7+$A$2*COUNT($LY$7:ME7))</f>
        <v/>
      </c>
      <c r="ME7" s="106" t="str">
        <f>IF(OR(ME13="",ME17="",ME14="",ME15="",ME16="",ME18="",ME19="",ME20="",ME21=""),"",$LY$7+$A$2*COUNT($LY$7:MF7))</f>
        <v/>
      </c>
      <c r="MF7" s="106" t="str">
        <f>IF(OR(MF13="",MF17="",MF14="",MF15="",MF16="",MF18="",MF19="",MF20="",MF21=""),"",$LY$7+$A$2*COUNT($LY$7:MG7))</f>
        <v/>
      </c>
      <c r="MG7" s="106" t="str">
        <f>IF(OR(MG13="",MG17="",MG14="",MG15="",MG16="",MG18="",MG19="",MG20="",MG21=""),"",$LY$7+$A$2*COUNT($LY$7:MH7))</f>
        <v/>
      </c>
      <c r="MH7" s="106" t="str">
        <f>IF(OR(MH13="",MH17="",MH14="",MH15="",MH16="",MH18="",MH19="",MH20="",MH21=""),"",$LY$7+$A$2*COUNT($LY$7:MI7))</f>
        <v/>
      </c>
      <c r="MI7" s="106" t="str">
        <f>IF(OR(MI13="",MI17="",MI14="",MI15="",MI16="",MI18="",MI19="",MI20="",MI21=""),"",$LY$7+$A$2*COUNT($LY$7:MJ7))</f>
        <v/>
      </c>
      <c r="MJ7" s="106" t="str">
        <f>IF(OR(MJ13="",MJ17="",MJ14="",MJ15="",MJ16="",MJ18="",MJ19="",MJ20="",MJ21=""),"",$LY$7+$A$2*COUNT($LY$7:MK7))</f>
        <v/>
      </c>
      <c r="MK7" s="106" t="str">
        <f>IF(OR(MK13="",MK17="",MK14="",MK15="",MK16="",MK18="",MK19="",MK20="",MK21=""),"",$LY$7+$A$2*COUNT($LY$7:ML7))</f>
        <v/>
      </c>
      <c r="ML7" s="106" t="str">
        <f>IF(OR(ML13="",ML17="",ML14="",ML15="",ML16="",ML18="",ML19="",ML20="",ML21=""),"",$LY$7+$A$2*COUNT($LY$7:MM7))</f>
        <v/>
      </c>
      <c r="MM7" s="106" t="str">
        <f>IF(OR(MM13="",MM17="",MM14="",MM15="",MM16="",MM18="",MM19="",MM20="",MM21=""),"",$LY$7+$A$2*COUNT($LY$7:MN7))</f>
        <v/>
      </c>
      <c r="MN7" s="106" t="str">
        <f>IF(OR(MN13="",MN17="",MN14="",MN15="",MN16="",MN18="",MN19="",MN20="",MN21=""),"",$LY$7+$A$2*COUNT($LY$7:MO7))</f>
        <v/>
      </c>
      <c r="MO7" s="106" t="str">
        <f>IF(OR(MO13="",MO17="",MO14="",MO15="",MO16="",MO18="",MO19="",MO20="",MO21=""),"",$LY$7+$A$2*COUNT($LY$7:MP7))</f>
        <v/>
      </c>
      <c r="MP7" s="106" t="str">
        <f>IF(OR(MP13="",MP17="",MP14="",MP15="",MP16="",MP18="",MP19="",MP20="",MP21=""),"",$LY$7+$A$2*COUNT($LY$7:MQ7))</f>
        <v/>
      </c>
      <c r="MQ7" s="106" t="str">
        <f>IF(OR(MQ13="",MQ17="",MQ14="",MQ15="",MQ16="",MQ18="",MQ19="",MQ20="",MQ21=""),"",$LY$7+$A$2*COUNT($LY$7:MR7))</f>
        <v/>
      </c>
      <c r="MR7" s="106" t="str">
        <f>IF(OR(MR13="",MR17="",MR14="",MR15="",MR16="",MR18="",MR19="",MR20="",MR21=""),"",$LY$7+$A$2*COUNT($LY$7:MS7))</f>
        <v/>
      </c>
      <c r="MS7" s="106" t="str">
        <f>IF(OR(MS13="",MS17="",MS14="",MS15="",MS16="",MS18="",MS19="",MS20="",MS21=""),"",$LY$7+$A$2*COUNT($LY$7:MT7))</f>
        <v/>
      </c>
      <c r="MT7" s="106" t="str">
        <f>IF(OR(MT13="",MT17="",MT14="",MT15="",MT16="",MT18="",MT19="",MT20="",MT21=""),"",$LY$7+$A$2*COUNT($LY$7:MU7))</f>
        <v/>
      </c>
      <c r="MU7" s="106" t="str">
        <f>IF(OR(MU13="",MU17="",MU14="",MU15="",MU16="",MU18="",MU19="",MU20="",MU21=""),"",$LY$7+$A$2*COUNT($LY$7:MV7))</f>
        <v/>
      </c>
      <c r="MV7" s="106" t="str">
        <f>IF(OR(MV13="",MV17="",MV14="",MV15="",MV16="",MV18="",MV19="",MV20="",MV21=""),"",$LY$7+$A$2*COUNT($LY$7:MW7))</f>
        <v/>
      </c>
      <c r="MW7" s="106" t="str">
        <f>IF(OR(MW13="",MW17="",MW14="",MW15="",MW16="",MW18="",MW19="",MW20="",MW21=""),"",$LY$7+$A$2*COUNT($LY$7:MX7))</f>
        <v/>
      </c>
      <c r="MX7" s="106" t="str">
        <f>IF(OR(MX13="",MX17="",MX14="",MX15="",MX16="",MX18="",MX19="",MX20="",MX21=""),"",$LY$7+$A$2*COUNT($LY$7:MY7))</f>
        <v/>
      </c>
      <c r="MY7" s="106" t="str">
        <f>IF(OR(MY13="",MY17="",MY14="",MY15="",MY16="",MY18="",MY19="",MY20="",MY21=""),"",$LY$7+$A$2*COUNT($LY$7:MZ7))</f>
        <v/>
      </c>
      <c r="MZ7" s="106" t="str">
        <f>IF(OR(MZ13="",MZ17="",MZ14="",MZ15="",MZ16="",MZ18="",MZ19="",MZ20="",MZ21=""),"",$LY$7+$A$2*COUNT($LY$7:NA7))</f>
        <v/>
      </c>
      <c r="NA7" s="106" t="str">
        <f>IF(OR(NA13="",NA17="",NA14="",NA15="",NA16="",NA18="",NA19="",NA20="",NA21=""),"",$LY$7+$A$2*COUNT($LY$7:NB7))</f>
        <v/>
      </c>
      <c r="NB7" s="106" t="str">
        <f>IF(OR(NB13="",NB17="",NB14="",NB15="",NB16="",NB18="",NB19="",NB20="",NB21=""),"",$LY$7+$A$2*COUNT($LY$7:NC7))</f>
        <v/>
      </c>
      <c r="NC7" s="106" t="str">
        <f>IF(OR(NC13="",NC17="",NC14="",NC15="",NC16="",NC18="",NC19="",NC20="",NC21=""),"",$LY$7+$A$2*COUNT($LY$7:ND7))</f>
        <v/>
      </c>
      <c r="ND7" s="105" t="str">
        <f>IF(OR(ND13="",ND17="",ND14="",ND15="",ND16="",ND18="",ND19="",ND20="",ND21=""),"",$A$2)</f>
        <v/>
      </c>
      <c r="NE7" s="106" t="str">
        <f>IF(OR(NE13="",NE17="",NE14="",NE15="",NE16="",NE18="",NE19="",NE20="",NE21=""),"",$ND$7+$A$2*COUNT($ND$7:ND7))</f>
        <v/>
      </c>
      <c r="NF7" s="106" t="str">
        <f>IF(OR(NF13="",NF17="",NF14="",NF15="",NF16="",NF18="",NF19="",NF20="",NF21=""),"",$ND$7+$A$2*COUNT($ND$7:NE7))</f>
        <v/>
      </c>
      <c r="NG7" s="106" t="str">
        <f>IF(OR(NG13="",NG17="",NG14="",NG15="",NG16="",NG18="",NG19="",NG20="",NG21=""),"",$ND$7+$A$2*COUNT($ND$7:NF7))</f>
        <v/>
      </c>
      <c r="NH7" s="106" t="str">
        <f>IF(OR(NH13="",NH17="",NH14="",NH15="",NH16="",NH18="",NH19="",NH20="",NH21=""),"",$ND$7+$A$2*COUNT($ND$7:NG7))</f>
        <v/>
      </c>
      <c r="NI7" s="106" t="str">
        <f>IF(OR(NI13="",NI17="",NI14="",NI15="",NI16="",NI18="",NI19="",NI20="",NI21=""),"",$ND$7+$A$2*COUNT($ND$7:NH7))</f>
        <v/>
      </c>
      <c r="NJ7" s="106" t="str">
        <f>IF(OR(NJ13="",NJ17="",NJ14="",NJ15="",NJ16="",NJ18="",NJ19="",NJ20="",NJ21=""),"",$ND$7+$A$2*COUNT($ND$7:NI7))</f>
        <v/>
      </c>
      <c r="NK7" s="106" t="str">
        <f>IF(OR(NK13="",NK17="",NK14="",NK15="",NK16="",NK18="",NK19="",NK20="",NK21=""),"",$ND$7+$A$2*COUNT($ND$7:NJ7))</f>
        <v/>
      </c>
      <c r="NL7" s="106" t="str">
        <f>IF(OR(NL13="",NL17="",NL14="",NL15="",NL16="",NL18="",NL19="",NL20="",NL21=""),"",$ND$7+$A$2*COUNT($ND$7:NK7))</f>
        <v/>
      </c>
      <c r="NM7" s="106" t="str">
        <f>IF(OR(NM13="",NM17="",NM14="",NM15="",NM16="",NM18="",NM19="",NM20="",NM21=""),"",$ND$7+$A$2*COUNT($ND$7:NL7))</f>
        <v/>
      </c>
      <c r="NN7" s="106" t="str">
        <f>IF(OR(NN13="",NN17="",NN14="",NN15="",NN16="",NN18="",NN19="",NN20="",NN21=""),"",$ND$7+$A$2*COUNT($ND$7:NM7))</f>
        <v/>
      </c>
      <c r="NO7" s="106" t="str">
        <f>IF(OR(NO13="",NO17="",NO14="",NO15="",NO16="",NO18="",NO19="",NO20="",NO21=""),"",$ND$7+$A$2*COUNT($ND$7:NN7))</f>
        <v/>
      </c>
      <c r="NP7" s="106" t="str">
        <f>IF(OR(NP13="",NP17="",NP14="",NP15="",NP16="",NP18="",NP19="",NP20="",NP21=""),"",$ND$7+$A$2*COUNT($ND$7:NO7))</f>
        <v/>
      </c>
      <c r="NQ7" s="106" t="str">
        <f>IF(OR(NQ13="",NQ17="",NQ14="",NQ15="",NQ16="",NQ18="",NQ19="",NQ20="",NQ21=""),"",$ND$7+$A$2*COUNT($ND$7:NP7))</f>
        <v/>
      </c>
      <c r="NR7" s="106" t="str">
        <f>IF(OR(NR13="",NR17="",NR14="",NR15="",NR16="",NR18="",NR19="",NR20="",NR21=""),"",$ND$7+$A$2*COUNT($ND$7:NQ7))</f>
        <v/>
      </c>
      <c r="NS7" s="106" t="str">
        <f>IF(OR(NS13="",NS17="",NS14="",NS15="",NS16="",NS18="",NS19="",NS20="",NS21=""),"",$ND$7+$A$2*COUNT($ND$7:NR7))</f>
        <v/>
      </c>
      <c r="NT7" s="106" t="str">
        <f>IF(OR(NT13="",NT17="",NT14="",NT15="",NT16="",NT18="",NT19="",NT20="",NT21=""),"",$ND$7+$A$2*COUNT($ND$7:NS7))</f>
        <v/>
      </c>
      <c r="NU7" s="106" t="str">
        <f>IF(OR(NU13="",NU17="",NU14="",NU15="",NU16="",NU18="",NU19="",NU20="",NU21=""),"",$ND$7+$A$2*COUNT($ND$7:NT7))</f>
        <v/>
      </c>
      <c r="NV7" s="106" t="str">
        <f>IF(OR(NV13="",NV17="",NV14="",NV15="",NV16="",NV18="",NV19="",NV20="",NV21=""),"",$ND$7+$A$2*COUNT($ND$7:NU7))</f>
        <v/>
      </c>
      <c r="NW7" s="106" t="str">
        <f>IF(OR(NW13="",NW17="",NW14="",NW15="",NW16="",NW18="",NW19="",NW20="",NW21=""),"",$ND$7+$A$2*COUNT($ND$7:NV7))</f>
        <v/>
      </c>
      <c r="NX7" s="106" t="str">
        <f>IF(OR(NX13="",NX17="",NX14="",NX15="",NX16="",NX18="",NX19="",NX20="",NX21=""),"",$ND$7+$A$2*COUNT($ND$7:NW7))</f>
        <v/>
      </c>
      <c r="NY7" s="106" t="str">
        <f>IF(OR(NY13="",NY17="",NY14="",NY15="",NY16="",NY18="",NY19="",NY20="",NY21=""),"",$ND$7+$A$2*COUNT($ND$7:NX7))</f>
        <v/>
      </c>
      <c r="NZ7" s="106" t="str">
        <f>IF(OR(NZ13="",NZ17="",NZ14="",NZ15="",NZ16="",NZ18="",NZ19="",NZ20="",NZ21=""),"",$ND$7+$A$2*COUNT($ND$7:NY7))</f>
        <v/>
      </c>
      <c r="OA7" s="106" t="str">
        <f>IF(OR(OA13="",OA17="",OA14="",OA15="",OA16="",OA18="",OA19="",OA20="",OA21=""),"",$ND$7+$A$2*COUNT($ND$7:NZ7))</f>
        <v/>
      </c>
      <c r="OB7" s="106" t="str">
        <f>IF(OR(OB13="",OB17="",OB14="",OB15="",OB16="",OB18="",OB19="",OB20="",OB21=""),"",$ND$7+$A$2*COUNT($ND$7:OA7))</f>
        <v/>
      </c>
      <c r="OC7" s="106" t="str">
        <f>IF(OR(OC13="",OC17="",OC14="",OC15="",OC16="",OC18="",OC19="",OC20="",OC21=""),"",$ND$7+$A$2*COUNT($ND$7:OB7))</f>
        <v/>
      </c>
      <c r="OD7" s="106" t="str">
        <f>IF(OR(OD13="",OD17="",OD14="",OD15="",OD16="",OD18="",OD19="",OD20="",OD21=""),"",$ND$7+$A$2*COUNT($ND$7:OC7))</f>
        <v/>
      </c>
      <c r="OE7" s="106" t="str">
        <f>IF(OR(OE13="",OE17="",OE14="",OE15="",OE16="",OE18="",OE19="",OE20="",OE21=""),"",$ND$7+$A$2*COUNT($ND$7:OD7))</f>
        <v/>
      </c>
      <c r="OF7" s="106" t="str">
        <f>IF(OR(OF13="",OF17="",OF14="",OF15="",OF16="",OF18="",OF19="",OF20="",OF21=""),"",$ND$7+$A$2*COUNT($ND$7:OE7))</f>
        <v/>
      </c>
      <c r="OG7" s="106" t="str">
        <f>IF(OR(OG13="",OG17="",OG14="",OG15="",OG16="",OG18="",OG19="",OG20="",OG21=""),"",$ND$7+$A$2*COUNT($ND$7:OF7))</f>
        <v/>
      </c>
      <c r="OH7" s="106" t="str">
        <f>IF(OR(OH13="",OH17="",OH14="",OH15="",OH16="",OH18="",OH19="",OH20="",OH21=""),"",$ND$7+$A$2*COUNT($ND$7:OG7))</f>
        <v/>
      </c>
      <c r="OI7" s="105" t="str">
        <f>IF(OR(OI13="",OI17="",OI14="",OI15="",OI16="",OI18="",OI19="",OI20="",OI21=""),"",$A$2)</f>
        <v/>
      </c>
      <c r="OJ7" s="106" t="str">
        <f>IF(OR(OJ13="",OJ17="",OJ14="",OJ15="",OJ16="",OJ18="",OJ19="",OJ20="",OJ21=""),"",$OI$7+$A$2*COUNT($OI$7:OI7))</f>
        <v/>
      </c>
      <c r="OK7" s="106" t="str">
        <f>IF(OR(OK13="",OK17="",OK14="",OK15="",OK16="",OK18="",OK19="",OK20="",OK21=""),"",$OI$7+$A$2*COUNT($OI$7:OJ7))</f>
        <v/>
      </c>
      <c r="OL7" s="106" t="str">
        <f>IF(OR(OL13="",OL17="",OL14="",OL15="",OL16="",OL18="",OL19="",OL20="",OL21=""),"",$OI$7+$A$2*COUNT($OI$7:OK7))</f>
        <v/>
      </c>
      <c r="OM7" s="106" t="str">
        <f>IF(OR(OM13="",OM17="",OM14="",OM15="",OM16="",OM18="",OM19="",OM20="",OM21=""),"",$OI$7+$A$2*COUNT($OI$7:OL7))</f>
        <v/>
      </c>
      <c r="ON7" s="106" t="str">
        <f>IF(OR(ON13="",ON17="",ON14="",ON15="",ON16="",ON18="",ON19="",ON20="",ON21=""),"",$OI$7+$A$2*COUNT($OI$7:OM7))</f>
        <v/>
      </c>
      <c r="OO7" s="106" t="str">
        <f>IF(OR(OO13="",OO17="",OO14="",OO15="",OO16="",OO18="",OO19="",OO20="",OO21=""),"",$OI$7+$A$2*COUNT($OI$7:ON7))</f>
        <v/>
      </c>
      <c r="OP7" s="106" t="str">
        <f>IF(OR(OP13="",OP17="",OP14="",OP15="",OP16="",OP18="",OP19="",OP20="",OP21=""),"",$OI$7+$A$2*COUNT($OI$7:OO7))</f>
        <v/>
      </c>
      <c r="OQ7" s="106" t="str">
        <f>IF(OR(OQ13="",OQ17="",OQ14="",OQ15="",OQ16="",OQ18="",OQ19="",OQ20="",OQ21=""),"",$OI$7+$A$2*COUNT($OI$7:OP7))</f>
        <v/>
      </c>
      <c r="OR7" s="106" t="str">
        <f>IF(OR(OR13="",OR17="",OR14="",OR15="",OR16="",OR18="",OR19="",OR20="",OR21=""),"",$OI$7+$A$2*COUNT($OI$7:OQ7))</f>
        <v/>
      </c>
      <c r="OS7" s="106" t="str">
        <f>IF(OR(OS13="",OS17="",OS14="",OS15="",OS16="",OS18="",OS19="",OS20="",OS21=""),"",$OI$7+$A$2*COUNT($OI$7:OR7))</f>
        <v/>
      </c>
      <c r="OT7" s="106" t="str">
        <f>IF(OR(OT13="",OT17="",OT14="",OT15="",OT16="",OT18="",OT19="",OT20="",OT21=""),"",$OI$7+$A$2*COUNT($OI$7:OS7))</f>
        <v/>
      </c>
      <c r="OU7" s="106" t="str">
        <f>IF(OR(OU13="",OU17="",OU14="",OU15="",OU16="",OU18="",OU19="",OU20="",OU21=""),"",$OI$7+$A$2*COUNT($OI$7:OT7))</f>
        <v/>
      </c>
      <c r="OV7" s="106" t="str">
        <f>IF(OR(OV13="",OV17="",OV14="",OV15="",OV16="",OV18="",OV19="",OV20="",OV21=""),"",$OI$7+$A$2*COUNT($OI$7:OU7))</f>
        <v/>
      </c>
      <c r="OW7" s="106" t="str">
        <f>IF(OR(OW13="",OW17="",OW14="",OW15="",OW16="",OW18="",OW19="",OW20="",OW21=""),"",$OI$7+$A$2*COUNT($OI$7:OV7))</f>
        <v/>
      </c>
      <c r="OX7" s="106" t="str">
        <f>IF(OR(OX13="",OX17="",OX14="",OX15="",OX16="",OX18="",OX19="",OX20="",OX21=""),"",$OI$7+$A$2*COUNT($OI$7:OW7))</f>
        <v/>
      </c>
      <c r="OY7" s="106" t="str">
        <f>IF(OR(OY13="",OY17="",OY14="",OY15="",OY16="",OY18="",OY19="",OY20="",OY21=""),"",$OI$7+$A$2*COUNT($OI$7:OX7))</f>
        <v/>
      </c>
      <c r="OZ7" s="106" t="str">
        <f>IF(OR(OZ13="",OZ17="",OZ14="",OZ15="",OZ16="",OZ18="",OZ19="",OZ20="",OZ21=""),"",$OI$7+$A$2*COUNT($OI$7:OY7))</f>
        <v/>
      </c>
      <c r="PA7" s="106" t="str">
        <f>IF(OR(PA13="",PA17="",PA14="",PA15="",PA16="",PA18="",PA19="",PA20="",PA21=""),"",$OI$7+$A$2*COUNT($OI$7:OZ7))</f>
        <v/>
      </c>
      <c r="PB7" s="106" t="str">
        <f>IF(OR(PB13="",PB17="",PB14="",PB15="",PB16="",PB18="",PB19="",PB20="",PB21=""),"",$OI$7+$A$2*COUNT($OI$7:PA7))</f>
        <v/>
      </c>
      <c r="PC7" s="106" t="str">
        <f>IF(OR(PC13="",PC17="",PC14="",PC15="",PC16="",PC18="",PC19="",PC20="",PC21=""),"",$OI$7+$A$2*COUNT($OI$7:PB7))</f>
        <v/>
      </c>
      <c r="PD7" s="106" t="str">
        <f>IF(OR(PD13="",PD17="",PD14="",PD15="",PD16="",PD18="",PD19="",PD20="",PD21=""),"",$OI$7+$A$2*COUNT($OI$7:PC7))</f>
        <v/>
      </c>
      <c r="PE7" s="106" t="str">
        <f>IF(OR(PE13="",PE17="",PE14="",PE15="",PE16="",PE18="",PE19="",PE20="",PE21=""),"",$OI$7+$A$2*COUNT($OI$7:PD7))</f>
        <v/>
      </c>
      <c r="PF7" s="106" t="str">
        <f>IF(OR(PF13="",PF17="",PF14="",PF15="",PF16="",PF18="",PF19="",PF20="",PF21=""),"",$OI$7+$A$2*COUNT($OI$7:PE7))</f>
        <v/>
      </c>
      <c r="PG7" s="106" t="str">
        <f>IF(OR(PG13="",PG17="",PG14="",PG15="",PG16="",PG18="",PG19="",PG20="",PG21=""),"",$OI$7+$A$2*COUNT($OI$7:PF7))</f>
        <v/>
      </c>
      <c r="PH7" s="106" t="str">
        <f>IF(OR(PH13="",PH17="",PH14="",PH15="",PH16="",PH18="",PH19="",PH20="",PH21=""),"",$OI$7+$A$2*COUNT($OI$7:PG7))</f>
        <v/>
      </c>
      <c r="PI7" s="106" t="str">
        <f>IF(OR(PI13="",PI17="",PI14="",PI15="",PI16="",PI18="",PI19="",PI20="",PI21=""),"",$OI$7+$A$2*COUNT($OI$7:PH7))</f>
        <v/>
      </c>
      <c r="PJ7" s="106" t="str">
        <f>IF(OR(PJ13="",PJ17="",PJ14="",PJ15="",PJ16="",PJ18="",PJ19="",PJ20="",PJ21=""),"",$OI$7+$A$2*COUNT($OI$7:PI7))</f>
        <v/>
      </c>
      <c r="PK7" s="106" t="str">
        <f>IF(OR(PK13="",PK17="",PK14="",PK15="",PK16="",PK18="",PK19="",PK20="",PK21=""),"",2)</f>
        <v/>
      </c>
      <c r="PL7" s="106" t="str">
        <f>IF(OR(PL13="",PL17="",PL14="",PL15="",PL16="",PL18="",PL19="",PL20="",PL21=""),"",$OI$7+$A$2*COUNT($PK$7:PK7))</f>
        <v/>
      </c>
      <c r="PM7" s="106" t="str">
        <f>IF(OR(PM13="",PM17="",PM14="",PM15="",PM16="",PM18="",PM19="",PM20="",PM21=""),"",$OI$7+$A$2*COUNT($PK$7:PL7))</f>
        <v/>
      </c>
      <c r="PN7" s="106" t="str">
        <f>IF(OR(PN13="",PN17="",PN14="",PN15="",PN16="",PN18="",PN19="",PN20="",PN21=""),"",$OI$7+$A$2*COUNT($PK$7:PM7))</f>
        <v/>
      </c>
      <c r="PO7" s="106" t="str">
        <f>IF(OR(PO13="",PO17="",PO14="",PO15="",PO16="",PO18="",PO19="",PO20="",PO21=""),"",$OI$7+$A$2*COUNT($PK$7:PN7))</f>
        <v/>
      </c>
      <c r="PP7" s="106" t="str">
        <f>IF(OR(PP13="",PP17="",PP14="",PP15="",PP16="",PP18="",PP19="",PP20="",PP21=""),"",$OI$7+$A$2*COUNT($PK$7:PO7))</f>
        <v/>
      </c>
      <c r="PQ7" s="106" t="str">
        <f>IF(OR(PQ13="",PQ17="",PQ14="",PQ15="",PQ16="",PQ18="",PQ19="",PQ20="",PQ21=""),"",$OI$7+$A$2*COUNT($PK$7:PP7))</f>
        <v/>
      </c>
      <c r="PR7" s="106" t="str">
        <f>IF(OR(PR13="",PR17="",PR14="",PR15="",PR16="",PR18="",PR19="",PR20="",PR21=""),"",$OI$7+$A$2*COUNT($PK$7:PQ7))</f>
        <v/>
      </c>
      <c r="PS7" s="106" t="str">
        <f>IF(OR(PS13="",PS17="",PS14="",PS15="",PS16="",PS18="",PS19="",PS20="",PS21=""),"",$OI$7+$A$2*COUNT($PK$7:PR7))</f>
        <v/>
      </c>
      <c r="PT7" s="106" t="str">
        <f>IF(OR(PT13="",PT17="",PT14="",PT15="",PT16="",PT18="",PT19="",PT20="",PT21=""),"",$OI$7+$A$2*COUNT($PK$7:PS7))</f>
        <v/>
      </c>
      <c r="PU7" s="106" t="str">
        <f>IF(OR(PU13="",PU17="",PU14="",PU15="",PU16="",PU18="",PU19="",PU20="",PU21=""),"",$OI$7+$A$2*COUNT($PK$7:PT7))</f>
        <v/>
      </c>
      <c r="PV7" s="106" t="str">
        <f>IF(OR(PV13="",PV17="",PV14="",PV15="",PV16="",PV18="",PV19="",PV20="",PV21=""),"",$OI$7+$A$2*COUNT($PK$7:PU7))</f>
        <v/>
      </c>
      <c r="PW7" s="106" t="str">
        <f>IF(OR(PW13="",PW17="",PW14="",PW15="",PW16="",PW18="",PW19="",PW20="",PW21=""),"",$OI$7+$A$2*COUNT($PK$7:PV7))</f>
        <v/>
      </c>
      <c r="PX7" s="106" t="str">
        <f>IF(OR(PX13="",PX17="",PX14="",PX15="",PX16="",PX18="",PX19="",PX20="",PX21=""),"",$OI$7+$A$2*COUNT($PK$7:PW7))</f>
        <v/>
      </c>
      <c r="PY7" s="106" t="str">
        <f>IF(OR(PY13="",PY17="",PY14="",PY15="",PY16="",PY18="",PY19="",PY20="",PY21=""),"",$OI$7+$A$2*COUNT($PK$7:PX7))</f>
        <v/>
      </c>
      <c r="PZ7" s="106" t="str">
        <f>IF(OR(PZ13="",PZ17="",PZ14="",PZ15="",PZ16="",PZ18="",PZ19="",PZ20="",PZ21=""),"",$OI$7+$A$2*COUNT($PK$7:PY7))</f>
        <v/>
      </c>
      <c r="QA7" s="106" t="str">
        <f>IF(OR(QA13="",QA17="",QA14="",QA15="",QA16="",QA18="",QA19="",QA20="",QA21=""),"",$OI$7+$A$2*COUNT($PK$7:PZ7))</f>
        <v/>
      </c>
      <c r="QB7" s="106" t="str">
        <f>IF(OR(QB13="",QB17="",QB14="",QB15="",QB16="",QB18="",QB19="",QB20="",QB21=""),"",$OI$7+$A$2*COUNT($PK$7:QA7))</f>
        <v/>
      </c>
      <c r="QC7" s="106" t="str">
        <f>IF(OR(QC13="",QC17="",QC14="",QC15="",QC16="",QC18="",QC19="",QC20="",QC21=""),"",$OI$7+$A$2*COUNT($PK$7:QB7))</f>
        <v/>
      </c>
      <c r="QD7" s="106" t="str">
        <f>IF(OR(QD13="",QD17="",QD14="",QD15="",QD16="",QD18="",QD19="",QD20="",QD21=""),"",$OI$7+$A$2*COUNT($PK$7:QC7))</f>
        <v/>
      </c>
      <c r="QE7" s="106" t="str">
        <f>IF(OR(QE13="",QE17="",QE14="",QE15="",QE16="",QE18="",QE19="",QE20="",QE21=""),"",$OI$7+$A$2*COUNT($PK$7:QD7))</f>
        <v/>
      </c>
      <c r="QF7" s="106" t="str">
        <f>IF(OR(QF13="",QF17="",QF14="",QF15="",QF16="",QF18="",QF19="",QF20="",QF21=""),"",$OI$7+$A$2*COUNT($PK$7:QE7))</f>
        <v/>
      </c>
      <c r="QG7" s="106" t="str">
        <f>IF(OR(QG13="",QG17="",QG14="",QG15="",QG16="",QG18="",QG19="",QG20="",QG21=""),"",$OI$7+$A$2*COUNT($PK$7:QF7))</f>
        <v/>
      </c>
      <c r="QH7" s="106" t="str">
        <f>IF(OR(QH13="",QH17="",QH14="",QH15="",QH16="",QH18="",QH19="",QH20="",QH21=""),"",$OI$7+$A$2*COUNT($PK$7:QG7))</f>
        <v/>
      </c>
      <c r="QI7" s="106" t="str">
        <f>IF(OR(QI13="",QI17="",QI14="",QI15="",QI16="",QI18="",QI19="",QI20="",QI21=""),"",$OI$7+$A$2*COUNT($PK$7:QH7))</f>
        <v/>
      </c>
      <c r="QJ7" s="106" t="str">
        <f>IF(OR(QJ13="",QJ17="",QJ14="",QJ15="",QJ16="",QJ18="",QJ19="",QJ20="",QJ21=""),"",$OI$7+$A$2*COUNT($PK$7:QI7))</f>
        <v/>
      </c>
      <c r="QK7" s="106" t="str">
        <f>IF(OR(QK13="",QK17="",QK14="",QK15="",QK16="",QK18="",QK19="",QK20="",QK21=""),"",$OI$7+$A$2*COUNT($PK$7:QJ7))</f>
        <v/>
      </c>
      <c r="QL7" s="106" t="str">
        <f>IF(OR(QL13="",QL17="",QL14="",QL15="",QL16="",QL18="",QL19="",QL20="",QL21=""),"",$OI$7+$A$2*COUNT($PK$7:QK7))</f>
        <v/>
      </c>
      <c r="QM7" s="106" t="str">
        <f>IF(OR(QM13="",QM17="",QM14="",QM15="",QM16="",QM18="",QM19="",QM20="",QM21=""),"",$OI$7+$A$2*COUNT($PK$7:QL7))</f>
        <v/>
      </c>
      <c r="QN7" s="106" t="str">
        <f>IF(OR(QN13="",QN17="",QN14="",QN15="",QN16="",QN18="",QN19="",QN20="",QN21=""),"",$OI$7+$A$2*COUNT($PK$7:QM7))</f>
        <v/>
      </c>
      <c r="QO7" s="106" t="str">
        <f>IF(OR(QO13="",QO17="",QO14="",QO15="",QO16="",QO18="",QO19="",QO20="",QO21=""),"",$OI$7+$A$2*COUNT($PK$7:QN7))</f>
        <v/>
      </c>
      <c r="QP7" s="106" t="str">
        <f>IF(OR(QP13="",QP17="",QP14="",QP15="",QP16="",QP18="",QP19="",QP20="",QP21=""),"",24)</f>
        <v/>
      </c>
      <c r="QQ7" s="106" t="str">
        <f>IF(OR(QQ13="",QQ17="",QQ14="",QQ15="",QQ16="",QQ18="",QQ19="",QQ20="",QQ21=""),"",$QP$7+$A$2*COUNT($QP$7:QP7))</f>
        <v/>
      </c>
      <c r="QR7" s="106" t="str">
        <f>IF(OR(QR13="",QR17="",QR14="",QR15="",QR16="",QR18="",QR19="",QR20="",QR21=""),"",$QP$7+$A$2*COUNT($QP$7:QQ7))</f>
        <v/>
      </c>
      <c r="QS7" s="106" t="str">
        <f>IF(OR(QS13="",QS17="",QS14="",QS15="",QS16="",QS18="",QS19="",QS20="",QS21=""),"",$QP$7+$A$2*COUNT($QP$7:QR7))</f>
        <v/>
      </c>
      <c r="QT7" s="106" t="str">
        <f>IF(OR(QT13="",QT17="",QT14="",QT15="",QT16="",QT18="",QT19="",QT20="",QT21=""),"",$QP$7+$A$2*COUNT($QP$7:QS7))</f>
        <v/>
      </c>
      <c r="QU7" s="106" t="str">
        <f>IF(OR(QU13="",QU17="",QU14="",QU15="",QU16="",QU18="",QU19="",QU20="",QU21=""),"",$QP$7+$A$2*COUNT($QP$7:QT7))</f>
        <v/>
      </c>
      <c r="QV7" s="106" t="str">
        <f>IF(OR(QV13="",QV17="",QV14="",QV15="",QV16="",QV18="",QV19="",QV20="",QV21=""),"",$QP$7+$A$2*COUNT($QP$7:QU7))</f>
        <v/>
      </c>
      <c r="QW7" s="106" t="str">
        <f>IF(OR(QW13="",QW17="",QW14="",QW15="",QW16="",QW18="",QW19="",QW20="",QW21=""),"",$QP$7+$A$2*COUNT($QP$7:QV7))</f>
        <v/>
      </c>
      <c r="QX7" s="106" t="str">
        <f>IF(OR(QX13="",QX17="",QX14="",QX15="",QX16="",QX18="",QX19="",QX20="",QX21=""),"",$QP$7+$A$2*COUNT($QP$7:QW7))</f>
        <v/>
      </c>
      <c r="QY7" s="106" t="str">
        <f>IF(OR(QY13="",QY17="",QY14="",QY15="",QY16="",QY18="",QY19="",QY20="",QY21=""),"",$QP$7+$A$2*COUNT($QP$7:QX7))</f>
        <v/>
      </c>
      <c r="QZ7" s="106" t="str">
        <f>IF(OR(QZ13="",QZ17="",QZ14="",QZ15="",QZ16="",QZ18="",QZ19="",QZ20="",QZ21=""),"",$QP$7+$A$2*COUNT($QP$7:QY7))</f>
        <v/>
      </c>
      <c r="RA7" s="106" t="str">
        <f>IF(OR(RA13="",RA17="",RA14="",RA15="",RA16="",RA18="",RA19="",RA20="",RA21=""),"",$QP$7+$A$2*COUNT($QP$7:QZ7))</f>
        <v/>
      </c>
      <c r="RB7" s="106" t="str">
        <f>IF(OR(RB13="",RB17="",RB14="",RB15="",RB16="",RB18="",RB19="",RB20="",RB21=""),"",$QP$7+$A$2*COUNT($QP$7:RA7))</f>
        <v/>
      </c>
      <c r="RC7" s="106" t="str">
        <f>IF(OR(RC13="",RC17="",RC14="",RC15="",RC16="",RC18="",RC19="",RC20="",RC21=""),"",$QP$7+$A$2*COUNT($QP$7:RB7))</f>
        <v/>
      </c>
      <c r="RD7" s="106" t="str">
        <f>IF(OR(RD13="",RD17="",RD14="",RD15="",RD16="",RD18="",RD19="",RD20="",RD21=""),"",$QP$7+$A$2*COUNT($QP$7:RC7))</f>
        <v/>
      </c>
      <c r="RE7" s="106" t="str">
        <f>IF(OR(RE13="",RE17="",RE14="",RE15="",RE16="",RE18="",RE19="",RE20="",RE21=""),"",$QP$7+$A$2*COUNT($QP$7:RD7))</f>
        <v/>
      </c>
      <c r="RF7" s="106" t="str">
        <f>IF(OR(RF13="",RF17="",RF14="",RF15="",RF16="",RF18="",RF19="",RF20="",RF21=""),"",$QP$7+$A$2*COUNT($QP$7:RE7))</f>
        <v/>
      </c>
      <c r="RG7" s="106" t="str">
        <f>IF(OR(RG13="",RG17="",RG14="",RG15="",RG16="",RG18="",RG19="",RG20="",RG21=""),"",$QP$7+$A$2*COUNT($QP$7:RF7))</f>
        <v/>
      </c>
      <c r="RH7" s="106" t="str">
        <f>IF(OR(RH13="",RH17="",RH14="",RH15="",RH16="",RH18="",RH19="",RH20="",RH21=""),"",$QP$7+$A$2*COUNT($QP$7:RG7))</f>
        <v/>
      </c>
      <c r="RI7" s="106" t="str">
        <f>IF(OR(RI13="",RI17="",RI14="",RI15="",RI16="",RI18="",RI19="",RI20="",RI21=""),"",$QP$7+$A$2*COUNT($QP$7:RH7))</f>
        <v/>
      </c>
      <c r="RJ7" s="106" t="str">
        <f>IF(OR(RJ13="",RJ17="",RJ14="",RJ15="",RJ16="",RJ18="",RJ19="",RJ20="",RJ21=""),"",$QP$7+$A$2*COUNT($QP$7:RI7))</f>
        <v/>
      </c>
      <c r="RK7" s="106" t="str">
        <f>IF(OR(RK13="",RK17="",RK14="",RK15="",RK16="",RK18="",RK19="",RK20="",RK21=""),"",$QP$7+$A$2*COUNT($QP$7:RJ7))</f>
        <v/>
      </c>
      <c r="RL7" s="106" t="str">
        <f>IF(OR(RL13="",RL17="",RL14="",RL15="",RL16="",RL18="",RL19="",RL20="",RL21=""),"",$QP$7+$A$2*COUNT($QP$7:RK7))</f>
        <v/>
      </c>
      <c r="RM7" s="106" t="str">
        <f>IF(OR(RM13="",RM17="",RM14="",RM15="",RM16="",RM18="",RM19="",RM20="",RM21=""),"",$QP$7+$A$2*COUNT($QP$7:RL7))</f>
        <v/>
      </c>
      <c r="RN7" s="106" t="str">
        <f>IF(OR(RN13="",RN17="",RN14="",RN15="",RN16="",RN18="",RN19="",RN20="",RN21=""),"",$QP$7+$A$2*COUNT($QP$7:RM7))</f>
        <v/>
      </c>
      <c r="RO7" s="106" t="str">
        <f>IF(OR(RO13="",RO17="",RO14="",RO15="",RO16="",RO18="",RO19="",RO20="",RO21=""),"",$QP$7+$A$2*COUNT($QP$7:RN7))</f>
        <v/>
      </c>
      <c r="RP7" s="106" t="str">
        <f>IF(OR(RP13="",RP17="",RP14="",RP15="",RP16="",RP18="",RP19="",RP20="",RP21=""),"",$QP$7+$A$2*COUNT($QP$7:RO7))</f>
        <v/>
      </c>
      <c r="RQ7" s="106" t="str">
        <f>IF(OR(RQ13="",RQ17="",RQ14="",RQ15="",RQ16="",RQ18="",RQ19="",RQ20="",RQ21=""),"",$QP$7+$A$2*COUNT($QP$7:RP7))</f>
        <v/>
      </c>
      <c r="RR7" s="106" t="str">
        <f>IF(OR(RR13="",RR17="",RR14="",RR15="",RR16="",RR18="",RR19="",RR20="",RR21=""),"",$QP$7+$A$2*COUNT($QP$7:RQ7))</f>
        <v/>
      </c>
      <c r="RS7" s="106" t="str">
        <f>IF(OR(RS13="",RS17="",RS14="",RS15="",RS16="",RS18="",RS19="",RS20="",RS21=""),"",$QP$7+$A$2*COUNT($QP$7:RR7))</f>
        <v/>
      </c>
      <c r="RT7" s="106" t="str">
        <f>IF(OR(RT13="",RT17="",RT14="",RT15="",RT16="",RT18="",RT19="",RT20="",RT21=""),"",24)</f>
        <v/>
      </c>
      <c r="RU7" s="106" t="str">
        <f>IF(OR(RU13="",RU17="",RU14="",RU15="",RU16="",RU18="",RU19="",RU20="",RU21=""),"",$RT$7+$A$2*COUNT($RT$7:RT7))</f>
        <v/>
      </c>
      <c r="RV7" s="106" t="str">
        <f>IF(OR(RV13="",RV17="",RV14="",RV15="",RV16="",RV18="",RV19="",RV20="",RV21=""),"",$RT$7+$A$2*COUNT($RT$7:RU7))</f>
        <v/>
      </c>
      <c r="RW7" s="106" t="str">
        <f>IF(OR(RW13="",RW17="",RW14="",RW15="",RW16="",RW18="",RW19="",RW20="",RW21=""),"",$RT$7+$A$2*COUNT($RT$7:RV7))</f>
        <v/>
      </c>
      <c r="RX7" s="106" t="str">
        <f>IF(OR(RX13="",RX17="",RX14="",RX15="",RX16="",RX18="",RX19="",RX20="",RX21=""),"",$RT$7+$A$2*COUNT($RT$7:RW7))</f>
        <v/>
      </c>
      <c r="RY7" s="106" t="str">
        <f>IF(OR(RY13="",RY17="",RY14="",RY15="",RY16="",RY18="",RY19="",RY20="",RY21=""),"",$RT$7+$A$2*COUNT($RT$7:RX7))</f>
        <v/>
      </c>
      <c r="RZ7" s="106" t="str">
        <f>IF(OR(RZ13="",RZ17="",RZ14="",RZ15="",RZ16="",RZ18="",RZ19="",RZ20="",RZ21=""),"",$RT$7+$A$2*COUNT($RT$7:RY7))</f>
        <v/>
      </c>
      <c r="SA7" s="106" t="str">
        <f>IF(OR(SA13="",SA17="",SA14="",SA15="",SA16="",SA18="",SA19="",SA20="",SA21=""),"",$RT$7+$A$2*COUNT($RT$7:RZ7))</f>
        <v/>
      </c>
      <c r="SB7" s="106" t="str">
        <f>IF(OR(SB13="",SB17="",SB14="",SB15="",SB16="",SB18="",SB19="",SB20="",SB21=""),"",$RT$7+$A$2*COUNT($RT$7:SA7))</f>
        <v/>
      </c>
      <c r="SC7" s="106" t="str">
        <f>IF(OR(SC13="",SC17="",SC14="",SC15="",SC16="",SC18="",SC19="",SC20="",SC21=""),"",$RT$7+$A$2*COUNT($RT$7:SB7))</f>
        <v/>
      </c>
      <c r="SD7" s="106" t="str">
        <f>IF(OR(SD13="",SD17="",SD14="",SD15="",SD16="",SD18="",SD19="",SD20="",SD21=""),"",$RT$7+$A$2*COUNT($RT$7:SC7))</f>
        <v/>
      </c>
      <c r="SE7" s="106" t="str">
        <f>IF(OR(SE13="",SE17="",SE14="",SE15="",SE16="",SE18="",SE19="",SE20="",SE21=""),"",$RT$7+$A$2*COUNT($RT$7:SD7))</f>
        <v/>
      </c>
      <c r="SF7" s="106" t="str">
        <f>IF(OR(SF13="",SF17="",SF14="",SF15="",SF16="",SF18="",SF19="",SF20="",SF21=""),"",$RT$7+$A$2*COUNT($RT$7:SE7))</f>
        <v/>
      </c>
      <c r="SG7" s="106" t="str">
        <f>IF(OR(SG13="",SG17="",SG14="",SG15="",SG16="",SG18="",SG19="",SG20="",SG21=""),"",$RT$7+$A$2*COUNT($RT$7:SF7))</f>
        <v/>
      </c>
      <c r="SH7" s="106" t="str">
        <f>IF(OR(SH13="",SH17="",SH14="",SH15="",SH16="",SH18="",SH19="",SH20="",SH21=""),"",$RT$7+$A$2*COUNT($RT$7:SG7))</f>
        <v/>
      </c>
      <c r="SI7" s="106" t="str">
        <f>IF(OR(SI13="",SI17="",SI14="",SI15="",SI16="",SI18="",SI19="",SI20="",SI21=""),"",$RT$7+$A$2*COUNT($RT$7:SH7))</f>
        <v/>
      </c>
      <c r="SJ7" s="106" t="str">
        <f>IF(OR(SJ13="",SJ17="",SJ14="",SJ15="",SJ16="",SJ18="",SJ19="",SJ20="",SJ21=""),"",$RT$7+$A$2*COUNT($RT$7:SI7))</f>
        <v/>
      </c>
      <c r="SK7" s="106" t="str">
        <f>IF(OR(SK13="",SK17="",SK14="",SK15="",SK16="",SK18="",SK19="",SK20="",SK21=""),"",$RT$7+$A$2*COUNT($RT$7:SJ7))</f>
        <v/>
      </c>
      <c r="SL7" s="106" t="str">
        <f>IF(OR(SL13="",SL17="",SL14="",SL15="",SL16="",SL18="",SL19="",SL20="",SL21=""),"",$RT$7+$A$2*COUNT($RT$7:SK7))</f>
        <v/>
      </c>
      <c r="SM7" s="106" t="str">
        <f>IF(OR(SM13="",SM17="",SM14="",SM15="",SM16="",SM18="",SM19="",SM20="",SM21=""),"",$RT$7+$A$2*COUNT($RT$7:SL7))</f>
        <v/>
      </c>
      <c r="SN7" s="106" t="str">
        <f>IF(OR(SN13="",SN17="",SN14="",SN15="",SN16="",SN18="",SN19="",SN20="",SN21=""),"",$RT$7+$A$2*COUNT($RT$7:SM7))</f>
        <v/>
      </c>
      <c r="SO7" s="106" t="str">
        <f>IF(OR(SO13="",SO17="",SO14="",SO15="",SO16="",SO18="",SO19="",SO20="",SO21=""),"",$RT$7+$A$2*COUNT($RT$7:SN7))</f>
        <v/>
      </c>
      <c r="SP7" s="106" t="str">
        <f>IF(OR(SP13="",SP17="",SP14="",SP15="",SP16="",SP18="",SP19="",SP20="",SP21=""),"",$RT$7+$A$2*COUNT($RT$7:SO7))</f>
        <v/>
      </c>
      <c r="SQ7" s="106" t="str">
        <f>IF(OR(SQ13="",SQ17="",SQ14="",SQ15="",SQ16="",SQ18="",SQ19="",SQ20="",SQ21=""),"",$RT$7+$A$2*COUNT($RT$7:SP7))</f>
        <v/>
      </c>
      <c r="SR7" s="106" t="str">
        <f>IF(OR(SR13="",SR17="",SR14="",SR15="",SR16="",SR18="",SR19="",SR20="",SR21=""),"",$RT$7+$A$2*COUNT($RT$7:SQ7))</f>
        <v/>
      </c>
      <c r="SS7" s="106" t="str">
        <f>IF(OR(SS13="",SS17="",SS14="",SS15="",SS16="",SS18="",SS19="",SS20="",SS21=""),"",$RT$7+$A$2*COUNT($RT$7:SR7))</f>
        <v/>
      </c>
      <c r="ST7" s="106" t="str">
        <f>IF(OR(ST13="",ST17="",ST14="",ST15="",ST16="",ST18="",ST19="",ST20="",ST21=""),"",$RT$7+$A$2*COUNT($RT$7:SS7))</f>
        <v/>
      </c>
      <c r="SU7" s="106" t="str">
        <f>IF(OR(SU13="",SU17="",SU14="",SU15="",SU16="",SU18="",SU19="",SU20="",SU21=""),"",$RT$7+$A$2*COUNT($RT$7:ST7))</f>
        <v/>
      </c>
      <c r="SV7" s="106" t="str">
        <f>IF(OR(SV13="",SV17="",SV14="",SV15="",SV16="",SV18="",SV19="",SV20="",SV21=""),"",$RT$7+$A$2*COUNT($RT$7:SU7))</f>
        <v/>
      </c>
      <c r="SW7" s="106" t="str">
        <f>IF(OR(SW13="",SW17="",SW14="",SW15="",SW16="",SW18="",SW19="",SW20="",SW21=""),"",$RT$7+$A$2*COUNT($RT$7:SV7))</f>
        <v/>
      </c>
    </row>
    <row r="8" spans="1:517" ht="24" customHeight="1" x14ac:dyDescent="0.2">
      <c r="B8" s="108" t="s">
        <v>21</v>
      </c>
      <c r="C8" s="109">
        <f t="shared" ref="C8:D8" si="48">IF(OR(C13="",C17="",C14="",C15="",C16="",C18="",C19="",C20="",C21=""),"",1-(C7/C5))</f>
        <v>0.91666666666666663</v>
      </c>
      <c r="D8" s="110">
        <f t="shared" si="48"/>
        <v>0.91666666666666663</v>
      </c>
      <c r="E8" s="110">
        <f t="shared" ref="E8:AF8" si="49">IF(OR(E13="",E17="",E14="",E15="",E16="",E18="",E19="",E20="",E21=""),"",1-(E7/E5))</f>
        <v>0.97222222222222221</v>
      </c>
      <c r="F8" s="110">
        <f t="shared" si="49"/>
        <v>0.95833333333333337</v>
      </c>
      <c r="G8" s="110">
        <f t="shared" si="49"/>
        <v>0.95</v>
      </c>
      <c r="H8" s="110">
        <f t="shared" si="49"/>
        <v>0.94444444444444442</v>
      </c>
      <c r="I8" s="110">
        <f t="shared" si="49"/>
        <v>0.94047619047619047</v>
      </c>
      <c r="J8" s="110">
        <f t="shared" si="49"/>
        <v>0.9375</v>
      </c>
      <c r="K8" s="110">
        <f t="shared" si="49"/>
        <v>0.93518518518518523</v>
      </c>
      <c r="L8" s="110">
        <f t="shared" si="49"/>
        <v>0.93333333333333335</v>
      </c>
      <c r="M8" s="110">
        <f t="shared" si="49"/>
        <v>0.93181818181818188</v>
      </c>
      <c r="N8" s="110">
        <f t="shared" si="49"/>
        <v>0.93055555555555558</v>
      </c>
      <c r="O8" s="110">
        <f t="shared" si="49"/>
        <v>0.92948717948717952</v>
      </c>
      <c r="P8" s="110">
        <f t="shared" si="49"/>
        <v>0.9285714285714286</v>
      </c>
      <c r="Q8" s="110">
        <f t="shared" si="49"/>
        <v>0.92777777777777781</v>
      </c>
      <c r="R8" s="110">
        <f t="shared" si="49"/>
        <v>0.92708333333333337</v>
      </c>
      <c r="S8" s="110">
        <f t="shared" si="49"/>
        <v>0.92647058823529416</v>
      </c>
      <c r="T8" s="110">
        <f t="shared" si="49"/>
        <v>0.92592592592592593</v>
      </c>
      <c r="U8" s="110">
        <f t="shared" si="49"/>
        <v>0.92543859649122806</v>
      </c>
      <c r="V8" s="110">
        <f t="shared" si="49"/>
        <v>0.92500000000000004</v>
      </c>
      <c r="W8" s="110">
        <f t="shared" si="49"/>
        <v>0.92460317460317465</v>
      </c>
      <c r="X8" s="110">
        <f t="shared" si="49"/>
        <v>0.9242424242424242</v>
      </c>
      <c r="Y8" s="110">
        <f t="shared" si="49"/>
        <v>0.92391304347826086</v>
      </c>
      <c r="Z8" s="110">
        <f t="shared" si="49"/>
        <v>0.92361111111111116</v>
      </c>
      <c r="AA8" s="110">
        <f t="shared" si="49"/>
        <v>0.92333333333333334</v>
      </c>
      <c r="AB8" s="110">
        <f t="shared" si="49"/>
        <v>0.92307692307692313</v>
      </c>
      <c r="AC8" s="110">
        <f t="shared" si="49"/>
        <v>0.9228395061728395</v>
      </c>
      <c r="AD8" s="110">
        <f t="shared" si="49"/>
        <v>0.92261904761904767</v>
      </c>
      <c r="AE8" s="110">
        <f t="shared" si="49"/>
        <v>0.92241379310344829</v>
      </c>
      <c r="AF8" s="110">
        <f t="shared" si="49"/>
        <v>0.92222222222222228</v>
      </c>
      <c r="AG8" s="110">
        <f t="shared" ref="AG8" si="50">IF(OR(AG13="",AG17="",AG14="",AG15="",AG16="",AG18="",AG19="",AG20="",AG21=""),"",1-(AG7/AG5))</f>
        <v>0.92204301075268813</v>
      </c>
      <c r="AH8" s="109">
        <f t="shared" ref="AH8" si="51">IF(OR(AH13="",AH17="",AH14="",AH15="",AH16="",AH18="",AH19="",AH20="",AH21=""),"",1-(AH7/AH5))</f>
        <v>0.91666666666666663</v>
      </c>
      <c r="AI8" s="110">
        <f t="shared" ref="AI8:BH8" si="52">IF(OR(AI13="",AI17="",AI14="",AI15="",AI16="",AI18="",AI19="",AI20="",AI21=""),"",1-(AI7/AI5))</f>
        <v>0.91666666666666663</v>
      </c>
      <c r="AJ8" s="110">
        <f t="shared" si="52"/>
        <v>0.91666666666666663</v>
      </c>
      <c r="AK8" s="110">
        <f t="shared" si="52"/>
        <v>0.91666666666666663</v>
      </c>
      <c r="AL8" s="110">
        <f t="shared" si="52"/>
        <v>0.91666666666666663</v>
      </c>
      <c r="AM8" s="110">
        <f t="shared" si="52"/>
        <v>0.91666666666666663</v>
      </c>
      <c r="AN8" s="110">
        <f t="shared" si="52"/>
        <v>0.91666666666666663</v>
      </c>
      <c r="AO8" s="110">
        <f t="shared" si="52"/>
        <v>0.91666666666666663</v>
      </c>
      <c r="AP8" s="110">
        <f t="shared" si="52"/>
        <v>0.91666666666666663</v>
      </c>
      <c r="AQ8" s="110">
        <f t="shared" si="52"/>
        <v>0.91666666666666663</v>
      </c>
      <c r="AR8" s="110">
        <f t="shared" si="52"/>
        <v>0.91666666666666663</v>
      </c>
      <c r="AS8" s="110">
        <f t="shared" si="52"/>
        <v>0.91666666666666663</v>
      </c>
      <c r="AT8" s="110">
        <f t="shared" si="52"/>
        <v>0.91666666666666663</v>
      </c>
      <c r="AU8" s="110">
        <f t="shared" si="52"/>
        <v>0.91666666666666663</v>
      </c>
      <c r="AV8" s="110">
        <f t="shared" si="52"/>
        <v>0.91666666666666663</v>
      </c>
      <c r="AW8" s="110">
        <f t="shared" si="52"/>
        <v>0.91666666666666663</v>
      </c>
      <c r="AX8" s="110">
        <f t="shared" si="52"/>
        <v>0.91666666666666663</v>
      </c>
      <c r="AY8" s="110">
        <f t="shared" si="52"/>
        <v>0.91666666666666663</v>
      </c>
      <c r="AZ8" s="110">
        <f t="shared" si="52"/>
        <v>0.91666666666666663</v>
      </c>
      <c r="BA8" s="110">
        <f t="shared" si="52"/>
        <v>0.91666666666666663</v>
      </c>
      <c r="BB8" s="110">
        <f t="shared" si="52"/>
        <v>0.91666666666666663</v>
      </c>
      <c r="BC8" s="110">
        <f t="shared" si="52"/>
        <v>0.91666666666666663</v>
      </c>
      <c r="BD8" s="110">
        <f t="shared" si="52"/>
        <v>0.91666666666666663</v>
      </c>
      <c r="BE8" s="110">
        <f t="shared" si="52"/>
        <v>0.91666666666666663</v>
      </c>
      <c r="BF8" s="110">
        <f t="shared" si="52"/>
        <v>0.91666666666666663</v>
      </c>
      <c r="BG8" s="110">
        <f t="shared" si="52"/>
        <v>0.91666666666666663</v>
      </c>
      <c r="BH8" s="110">
        <f t="shared" si="52"/>
        <v>0.91666666666666663</v>
      </c>
      <c r="BI8" s="110">
        <f t="shared" ref="BI8:CQ8" si="53">IF(OR(BI13="",BI17="",BI14="",BI15="",BI16="",BI18="",BI19="",BI20="",BI21=""),"",1-(BI7/BI5))</f>
        <v>0.91666666666666663</v>
      </c>
      <c r="BJ8" s="109">
        <f t="shared" si="53"/>
        <v>0.91666666666666663</v>
      </c>
      <c r="BK8" s="110">
        <f t="shared" si="53"/>
        <v>0.91666666666666663</v>
      </c>
      <c r="BL8" s="110">
        <f t="shared" si="53"/>
        <v>0.91666666666666663</v>
      </c>
      <c r="BM8" s="110">
        <f t="shared" si="53"/>
        <v>0.91666666666666663</v>
      </c>
      <c r="BN8" s="110">
        <f t="shared" si="53"/>
        <v>0.91666666666666663</v>
      </c>
      <c r="BO8" s="110">
        <f t="shared" si="53"/>
        <v>0.91666666666666663</v>
      </c>
      <c r="BP8" s="110">
        <f t="shared" si="53"/>
        <v>0.91666666666666663</v>
      </c>
      <c r="BQ8" s="110">
        <f t="shared" si="53"/>
        <v>0.91666666666666663</v>
      </c>
      <c r="BR8" s="110">
        <f t="shared" si="53"/>
        <v>0.91666666666666663</v>
      </c>
      <c r="BS8" s="110">
        <f t="shared" si="53"/>
        <v>0.91666666666666663</v>
      </c>
      <c r="BT8" s="110">
        <f t="shared" si="53"/>
        <v>0.91666666666666663</v>
      </c>
      <c r="BU8" s="110">
        <f t="shared" si="53"/>
        <v>0.91666666666666663</v>
      </c>
      <c r="BV8" s="110">
        <f t="shared" si="53"/>
        <v>0.91666666666666663</v>
      </c>
      <c r="BW8" s="110">
        <f t="shared" si="53"/>
        <v>0.91666666666666663</v>
      </c>
      <c r="BX8" s="110">
        <f t="shared" si="53"/>
        <v>0.91666666666666663</v>
      </c>
      <c r="BY8" s="110">
        <f t="shared" si="53"/>
        <v>0.91666666666666663</v>
      </c>
      <c r="BZ8" s="110">
        <f t="shared" si="53"/>
        <v>0.91666666666666663</v>
      </c>
      <c r="CA8" s="110">
        <f t="shared" si="53"/>
        <v>0.91666666666666663</v>
      </c>
      <c r="CB8" s="110">
        <f t="shared" si="53"/>
        <v>0.91666666666666663</v>
      </c>
      <c r="CC8" s="110">
        <f t="shared" si="53"/>
        <v>0.91666666666666663</v>
      </c>
      <c r="CD8" s="110">
        <f t="shared" si="53"/>
        <v>0.91666666666666663</v>
      </c>
      <c r="CE8" s="110">
        <f t="shared" si="53"/>
        <v>0.91666666666666663</v>
      </c>
      <c r="CF8" s="110">
        <f t="shared" si="53"/>
        <v>0.91666666666666663</v>
      </c>
      <c r="CG8" s="110">
        <f t="shared" si="53"/>
        <v>0.91666666666666663</v>
      </c>
      <c r="CH8" s="110">
        <f t="shared" si="53"/>
        <v>0.91666666666666663</v>
      </c>
      <c r="CI8" s="110">
        <f t="shared" si="53"/>
        <v>0.91666666666666663</v>
      </c>
      <c r="CJ8" s="110">
        <f t="shared" si="53"/>
        <v>0.91666666666666663</v>
      </c>
      <c r="CK8" s="110">
        <f t="shared" si="53"/>
        <v>0.91666666666666663</v>
      </c>
      <c r="CL8" s="110">
        <f t="shared" ref="CL8:CM8" si="54">IF(OR(CL13="",CL17="",CL14="",CL15="",CL16="",CL18="",CL19="",CL20="",CL21=""),"",1-(CL7/CL5))</f>
        <v>0.91666666666666663</v>
      </c>
      <c r="CM8" s="110">
        <f t="shared" si="54"/>
        <v>0.91666666666666663</v>
      </c>
      <c r="CN8" s="110">
        <f t="shared" ref="CN8" si="55">IF(OR(CN13="",CN17="",CN14="",CN15="",CN16="",CN18="",CN19="",CN20="",CN21=""),"",1-(CN7/CN5))</f>
        <v>0.91666666666666663</v>
      </c>
      <c r="CO8" s="109">
        <f t="shared" si="53"/>
        <v>0.91666666666666663</v>
      </c>
      <c r="CP8" s="110">
        <f t="shared" si="53"/>
        <v>0.91666666666666663</v>
      </c>
      <c r="CQ8" s="110">
        <f t="shared" si="53"/>
        <v>0.91666666666666663</v>
      </c>
      <c r="CR8" s="110">
        <f t="shared" ref="CR8:EY8" si="56">IF(OR(CR13="",CR17="",CR14="",CR15="",CR16="",CR18="",CR19="",CR20="",CR21=""),"",1-(CR7/CR5))</f>
        <v>0.91666666666666663</v>
      </c>
      <c r="CS8" s="110">
        <f t="shared" si="56"/>
        <v>0.91666666666666663</v>
      </c>
      <c r="CT8" s="110">
        <f t="shared" si="56"/>
        <v>0.91666666666666663</v>
      </c>
      <c r="CU8" s="110">
        <f t="shared" si="56"/>
        <v>0.91666666666666663</v>
      </c>
      <c r="CV8" s="110">
        <f t="shared" si="56"/>
        <v>0.91666666666666663</v>
      </c>
      <c r="CW8" s="110">
        <f t="shared" si="56"/>
        <v>0.91666666666666663</v>
      </c>
      <c r="CX8" s="110">
        <f t="shared" si="56"/>
        <v>0.91666666666666663</v>
      </c>
      <c r="CY8" s="110">
        <f t="shared" si="56"/>
        <v>0.91666666666666663</v>
      </c>
      <c r="CZ8" s="110">
        <f t="shared" si="56"/>
        <v>0.91666666666666663</v>
      </c>
      <c r="DA8" s="110">
        <f t="shared" si="56"/>
        <v>0.91666666666666663</v>
      </c>
      <c r="DB8" s="110">
        <f t="shared" si="56"/>
        <v>0.91666666666666663</v>
      </c>
      <c r="DC8" s="110">
        <f t="shared" si="56"/>
        <v>0.91666666666666663</v>
      </c>
      <c r="DD8" s="110">
        <f t="shared" si="56"/>
        <v>0.91666666666666663</v>
      </c>
      <c r="DE8" s="110">
        <f t="shared" si="56"/>
        <v>0.91666666666666663</v>
      </c>
      <c r="DF8" s="110">
        <f t="shared" si="56"/>
        <v>0.91666666666666663</v>
      </c>
      <c r="DG8" s="110">
        <f t="shared" si="56"/>
        <v>0.91666666666666663</v>
      </c>
      <c r="DH8" s="110">
        <f t="shared" si="56"/>
        <v>0.91666666666666663</v>
      </c>
      <c r="DI8" s="110">
        <f t="shared" si="56"/>
        <v>0.91666666666666663</v>
      </c>
      <c r="DJ8" s="110">
        <f t="shared" si="56"/>
        <v>0.91666666666666663</v>
      </c>
      <c r="DK8" s="110">
        <f t="shared" si="56"/>
        <v>0.91666666666666663</v>
      </c>
      <c r="DL8" s="110">
        <f t="shared" si="56"/>
        <v>0.91666666666666663</v>
      </c>
      <c r="DM8" s="110">
        <f t="shared" si="56"/>
        <v>0.91666666666666663</v>
      </c>
      <c r="DN8" s="110">
        <f t="shared" si="56"/>
        <v>0.91666666666666663</v>
      </c>
      <c r="DO8" s="110">
        <f t="shared" si="56"/>
        <v>0.91666666666666663</v>
      </c>
      <c r="DP8" s="110">
        <f t="shared" si="56"/>
        <v>0.91666666666666663</v>
      </c>
      <c r="DQ8" s="110">
        <f t="shared" si="56"/>
        <v>0.91666666666666663</v>
      </c>
      <c r="DR8" s="110">
        <f t="shared" si="56"/>
        <v>0.91666666666666663</v>
      </c>
      <c r="DS8" s="110">
        <f t="shared" ref="DS8:DT8" si="57">IF(OR(DS13="",DS17="",DS14="",DS15="",DS16="",DS18="",DS19="",DS20="",DS21=""),"",1-(DS7/DS5))</f>
        <v>0.91666666666666663</v>
      </c>
      <c r="DT8" s="110">
        <f t="shared" si="57"/>
        <v>0.91666666666666663</v>
      </c>
      <c r="DU8" s="110">
        <f t="shared" ref="DU8:EW8" si="58">IF(OR(DU13="",DU17="",DU14="",DU15="",DU16="",DU18="",DU19="",DU20="",DU21=""),"",1-(DU7/DU5))</f>
        <v>0.91666666666666663</v>
      </c>
      <c r="DV8" s="110">
        <f t="shared" si="58"/>
        <v>0.91666666666666663</v>
      </c>
      <c r="DW8" s="110">
        <f t="shared" si="58"/>
        <v>0.91666666666666663</v>
      </c>
      <c r="DX8" s="110">
        <f t="shared" si="58"/>
        <v>0.91666666666666663</v>
      </c>
      <c r="DY8" s="110">
        <f t="shared" si="58"/>
        <v>0.91666666666666663</v>
      </c>
      <c r="DZ8" s="110">
        <f t="shared" si="58"/>
        <v>0.91666666666666663</v>
      </c>
      <c r="EA8" s="110">
        <f t="shared" si="58"/>
        <v>0.91666666666666663</v>
      </c>
      <c r="EB8" s="110">
        <f t="shared" si="58"/>
        <v>0.91666666666666663</v>
      </c>
      <c r="EC8" s="110">
        <f t="shared" si="58"/>
        <v>0.91666666666666663</v>
      </c>
      <c r="ED8" s="110">
        <f t="shared" si="58"/>
        <v>0.91666666666666663</v>
      </c>
      <c r="EE8" s="110">
        <f t="shared" si="58"/>
        <v>0.91666666666666663</v>
      </c>
      <c r="EF8" s="110">
        <f t="shared" si="58"/>
        <v>0.91666666666666663</v>
      </c>
      <c r="EG8" s="110">
        <f t="shared" si="58"/>
        <v>0.91666666666666663</v>
      </c>
      <c r="EH8" s="110">
        <f t="shared" si="58"/>
        <v>0.91666666666666663</v>
      </c>
      <c r="EI8" s="110">
        <f t="shared" si="58"/>
        <v>0.91666666666666663</v>
      </c>
      <c r="EJ8" s="110">
        <f t="shared" si="58"/>
        <v>0.91666666666666663</v>
      </c>
      <c r="EK8" s="110">
        <f t="shared" si="58"/>
        <v>0.91666666666666663</v>
      </c>
      <c r="EL8" s="110">
        <f t="shared" si="58"/>
        <v>0.91666666666666663</v>
      </c>
      <c r="EM8" s="110">
        <f t="shared" si="58"/>
        <v>0.91666666666666663</v>
      </c>
      <c r="EN8" s="110">
        <f t="shared" si="58"/>
        <v>0.91666666666666663</v>
      </c>
      <c r="EO8" s="110">
        <f t="shared" si="58"/>
        <v>0.91666666666666663</v>
      </c>
      <c r="EP8" s="110">
        <f t="shared" si="58"/>
        <v>0.91666666666666663</v>
      </c>
      <c r="EQ8" s="110">
        <f t="shared" si="58"/>
        <v>0.91666666666666663</v>
      </c>
      <c r="ER8" s="110">
        <f t="shared" si="58"/>
        <v>0.91666666666666663</v>
      </c>
      <c r="ES8" s="110">
        <f t="shared" si="58"/>
        <v>0.91666666666666663</v>
      </c>
      <c r="ET8" s="110">
        <f t="shared" si="58"/>
        <v>0.91666666666666663</v>
      </c>
      <c r="EU8" s="110">
        <f t="shared" si="58"/>
        <v>0.91666666666666663</v>
      </c>
      <c r="EV8" s="110">
        <f t="shared" si="58"/>
        <v>0.91666666666666663</v>
      </c>
      <c r="EW8" s="110">
        <f t="shared" si="58"/>
        <v>0.91666666666666663</v>
      </c>
      <c r="EX8" s="109">
        <f t="shared" si="56"/>
        <v>0.91666666666666663</v>
      </c>
      <c r="EY8" s="110">
        <f t="shared" si="56"/>
        <v>0.91666666666666663</v>
      </c>
      <c r="EZ8" s="110">
        <f t="shared" ref="EZ8:GC8" si="59">IF(OR(EZ13="",EZ17="",EZ14="",EZ15="",EZ16="",EZ18="",EZ19="",EZ20="",EZ21=""),"",1-(EZ7/EZ5))</f>
        <v>0.91666666666666663</v>
      </c>
      <c r="FA8" s="110">
        <f t="shared" si="59"/>
        <v>0.91666666666666663</v>
      </c>
      <c r="FB8" s="110">
        <f t="shared" si="59"/>
        <v>0.91666666666666663</v>
      </c>
      <c r="FC8" s="110">
        <f t="shared" si="59"/>
        <v>0.91666666666666663</v>
      </c>
      <c r="FD8" s="110">
        <f t="shared" si="59"/>
        <v>0.91666666666666663</v>
      </c>
      <c r="FE8" s="110">
        <f t="shared" si="59"/>
        <v>0.91666666666666663</v>
      </c>
      <c r="FF8" s="110">
        <f t="shared" si="59"/>
        <v>0.91666666666666663</v>
      </c>
      <c r="FG8" s="110">
        <f t="shared" si="59"/>
        <v>0.91666666666666663</v>
      </c>
      <c r="FH8" s="110">
        <f t="shared" si="59"/>
        <v>0.91666666666666663</v>
      </c>
      <c r="FI8" s="110">
        <f t="shared" si="59"/>
        <v>0.91666666666666663</v>
      </c>
      <c r="FJ8" s="110">
        <f t="shared" si="59"/>
        <v>0.91666666666666663</v>
      </c>
      <c r="FK8" s="110">
        <f t="shared" si="59"/>
        <v>0.91666666666666663</v>
      </c>
      <c r="FL8" s="110">
        <f t="shared" si="59"/>
        <v>0.91666666666666663</v>
      </c>
      <c r="FM8" s="110">
        <f t="shared" si="59"/>
        <v>0.91666666666666663</v>
      </c>
      <c r="FN8" s="110">
        <f t="shared" si="59"/>
        <v>0.91666666666666663</v>
      </c>
      <c r="FO8" s="110">
        <f t="shared" si="59"/>
        <v>0.91666666666666663</v>
      </c>
      <c r="FP8" s="110">
        <f t="shared" si="59"/>
        <v>0.91666666666666663</v>
      </c>
      <c r="FQ8" s="110">
        <f t="shared" si="59"/>
        <v>0.91666666666666663</v>
      </c>
      <c r="FR8" s="110">
        <f t="shared" si="59"/>
        <v>0.91666666666666663</v>
      </c>
      <c r="FS8" s="110">
        <f t="shared" si="59"/>
        <v>0.91666666666666663</v>
      </c>
      <c r="FT8" s="110">
        <f t="shared" si="59"/>
        <v>0.91666666666666663</v>
      </c>
      <c r="FU8" s="110">
        <f t="shared" si="59"/>
        <v>0.91666666666666663</v>
      </c>
      <c r="FV8" s="110">
        <f t="shared" si="59"/>
        <v>0.91666666666666663</v>
      </c>
      <c r="FW8" s="110">
        <f t="shared" si="59"/>
        <v>0.91666666666666663</v>
      </c>
      <c r="FX8" s="110">
        <f t="shared" si="59"/>
        <v>0.91666666666666663</v>
      </c>
      <c r="FY8" s="110">
        <f t="shared" si="59"/>
        <v>0.91666666666666663</v>
      </c>
      <c r="FZ8" s="110">
        <f t="shared" si="59"/>
        <v>0.91666666666666663</v>
      </c>
      <c r="GA8" s="110">
        <f>IF(OR(GA13="",GA17="",GA14="",GA15="",GA16="",GA18="",GA19="",GA20="",GA21=""),"",1-(GA7/GA5))</f>
        <v>0.91666666666666663</v>
      </c>
      <c r="GB8" s="109">
        <f>IF(OR(GB13="",GB17="",GB14="",GB15="",GB16="",GB18="",GB19="",GB20="",GB21=""),"",1-(GB7/GB5))</f>
        <v>0.91666666666666663</v>
      </c>
      <c r="GC8" s="110" t="str">
        <f t="shared" ca="1" si="59"/>
        <v/>
      </c>
      <c r="GD8" s="110" t="str">
        <f t="shared" ref="GD8:HF8" ca="1" si="60">IF(OR(GD13="",GD17="",GD14="",GD15="",GD16="",GD18="",GD19="",GD20="",GD21=""),"",1-(GD7/GD5))</f>
        <v/>
      </c>
      <c r="GE8" s="110" t="str">
        <f t="shared" ca="1" si="60"/>
        <v/>
      </c>
      <c r="GF8" s="110" t="str">
        <f t="shared" ca="1" si="60"/>
        <v/>
      </c>
      <c r="GG8" s="110" t="str">
        <f t="shared" ca="1" si="60"/>
        <v/>
      </c>
      <c r="GH8" s="110" t="str">
        <f t="shared" ca="1" si="60"/>
        <v/>
      </c>
      <c r="GI8" s="110" t="str">
        <f t="shared" ca="1" si="60"/>
        <v/>
      </c>
      <c r="GJ8" s="110" t="str">
        <f t="shared" ca="1" si="60"/>
        <v/>
      </c>
      <c r="GK8" s="110" t="str">
        <f t="shared" ca="1" si="60"/>
        <v/>
      </c>
      <c r="GL8" s="110" t="str">
        <f t="shared" ca="1" si="60"/>
        <v/>
      </c>
      <c r="GM8" s="110" t="str">
        <f t="shared" ca="1" si="60"/>
        <v/>
      </c>
      <c r="GN8" s="110" t="str">
        <f t="shared" ca="1" si="60"/>
        <v/>
      </c>
      <c r="GO8" s="110" t="str">
        <f t="shared" ca="1" si="60"/>
        <v/>
      </c>
      <c r="GP8" s="110" t="str">
        <f t="shared" ca="1" si="60"/>
        <v/>
      </c>
      <c r="GQ8" s="110" t="str">
        <f t="shared" ca="1" si="60"/>
        <v/>
      </c>
      <c r="GR8" s="110" t="str">
        <f t="shared" ca="1" si="60"/>
        <v/>
      </c>
      <c r="GS8" s="110" t="str">
        <f t="shared" ca="1" si="60"/>
        <v/>
      </c>
      <c r="GT8" s="110" t="str">
        <f t="shared" ca="1" si="60"/>
        <v/>
      </c>
      <c r="GU8" s="110" t="str">
        <f t="shared" ca="1" si="60"/>
        <v/>
      </c>
      <c r="GV8" s="110" t="str">
        <f t="shared" ca="1" si="60"/>
        <v/>
      </c>
      <c r="GW8" s="110" t="str">
        <f t="shared" ca="1" si="60"/>
        <v/>
      </c>
      <c r="GX8" s="110" t="str">
        <f t="shared" ca="1" si="60"/>
        <v/>
      </c>
      <c r="GY8" s="110" t="str">
        <f t="shared" ca="1" si="60"/>
        <v/>
      </c>
      <c r="GZ8" s="110" t="str">
        <f t="shared" ca="1" si="60"/>
        <v/>
      </c>
      <c r="HA8" s="110" t="str">
        <f t="shared" ca="1" si="60"/>
        <v/>
      </c>
      <c r="HB8" s="110" t="str">
        <f t="shared" ca="1" si="60"/>
        <v/>
      </c>
      <c r="HC8" s="110" t="str">
        <f t="shared" ca="1" si="60"/>
        <v/>
      </c>
      <c r="HD8" s="110" t="str">
        <f t="shared" ca="1" si="60"/>
        <v/>
      </c>
      <c r="HE8" s="110" t="str">
        <f t="shared" ca="1" si="60"/>
        <v/>
      </c>
      <c r="HF8" s="110" t="str">
        <f t="shared" ca="1" si="60"/>
        <v/>
      </c>
      <c r="HG8" s="109">
        <f t="shared" ref="HG8:HH8" si="61">IF(OR(HG13="",HG17="",HG14="",HG15="",HG16="",HG18="",HG19="",HG20="",HG21=""),"",1-(HG7/HG5))</f>
        <v>0.91666666666666663</v>
      </c>
      <c r="HH8" s="110" t="str">
        <f t="shared" ca="1" si="61"/>
        <v/>
      </c>
      <c r="HI8" s="110" t="str">
        <f t="shared" ref="HI8:IK8" ca="1" si="62">IF(OR(HI13="",HI17="",HI14="",HI15="",HI16="",HI18="",HI19="",HI20="",HI21=""),"",1-(HI7/HI5))</f>
        <v/>
      </c>
      <c r="HJ8" s="110" t="str">
        <f t="shared" ca="1" si="62"/>
        <v/>
      </c>
      <c r="HK8" s="110" t="str">
        <f t="shared" ca="1" si="62"/>
        <v/>
      </c>
      <c r="HL8" s="110" t="str">
        <f t="shared" ca="1" si="62"/>
        <v/>
      </c>
      <c r="HM8" s="110" t="str">
        <f t="shared" ca="1" si="62"/>
        <v/>
      </c>
      <c r="HN8" s="110" t="str">
        <f t="shared" ca="1" si="62"/>
        <v/>
      </c>
      <c r="HO8" s="110" t="str">
        <f t="shared" ca="1" si="62"/>
        <v/>
      </c>
      <c r="HP8" s="110" t="str">
        <f t="shared" ca="1" si="62"/>
        <v/>
      </c>
      <c r="HQ8" s="110" t="str">
        <f t="shared" ca="1" si="62"/>
        <v/>
      </c>
      <c r="HR8" s="110" t="str">
        <f t="shared" ca="1" si="62"/>
        <v/>
      </c>
      <c r="HS8" s="110" t="str">
        <f t="shared" ca="1" si="62"/>
        <v/>
      </c>
      <c r="HT8" s="110" t="str">
        <f t="shared" ca="1" si="62"/>
        <v/>
      </c>
      <c r="HU8" s="110" t="str">
        <f t="shared" ca="1" si="62"/>
        <v/>
      </c>
      <c r="HV8" s="110" t="str">
        <f t="shared" ca="1" si="62"/>
        <v/>
      </c>
      <c r="HW8" s="110" t="str">
        <f t="shared" ca="1" si="62"/>
        <v/>
      </c>
      <c r="HX8" s="110" t="str">
        <f t="shared" ca="1" si="62"/>
        <v/>
      </c>
      <c r="HY8" s="110" t="str">
        <f t="shared" ca="1" si="62"/>
        <v/>
      </c>
      <c r="HZ8" s="110" t="str">
        <f t="shared" ca="1" si="62"/>
        <v/>
      </c>
      <c r="IA8" s="110" t="str">
        <f t="shared" ca="1" si="62"/>
        <v/>
      </c>
      <c r="IB8" s="110" t="str">
        <f t="shared" ca="1" si="62"/>
        <v/>
      </c>
      <c r="IC8" s="110" t="str">
        <f t="shared" ca="1" si="62"/>
        <v/>
      </c>
      <c r="ID8" s="110" t="str">
        <f t="shared" ca="1" si="62"/>
        <v/>
      </c>
      <c r="IE8" s="110" t="str">
        <f t="shared" ca="1" si="62"/>
        <v/>
      </c>
      <c r="IF8" s="110" t="str">
        <f t="shared" ca="1" si="62"/>
        <v/>
      </c>
      <c r="IG8" s="110" t="str">
        <f t="shared" ca="1" si="62"/>
        <v/>
      </c>
      <c r="IH8" s="110" t="str">
        <f t="shared" ca="1" si="62"/>
        <v/>
      </c>
      <c r="II8" s="110" t="str">
        <f t="shared" ca="1" si="62"/>
        <v/>
      </c>
      <c r="IJ8" s="110" t="str">
        <f t="shared" ca="1" si="62"/>
        <v/>
      </c>
      <c r="IK8" s="110" t="str">
        <f t="shared" ca="1" si="62"/>
        <v/>
      </c>
      <c r="IL8" s="109">
        <f t="shared" ref="IL8:JO8" si="63">IF(OR(IL13="",IL17="",IL14="",IL15="",IL16="",IL18="",IL19="",IL20="",IL21=""),"",1-(IL7/IL5))</f>
        <v>0.91666666666666663</v>
      </c>
      <c r="IM8" s="110">
        <f t="shared" si="63"/>
        <v>0.91666666666666663</v>
      </c>
      <c r="IN8" s="110">
        <f t="shared" si="63"/>
        <v>0.91666666666666663</v>
      </c>
      <c r="IO8" s="110">
        <f t="shared" si="63"/>
        <v>0.91666666666666663</v>
      </c>
      <c r="IP8" s="110">
        <f t="shared" si="63"/>
        <v>0.91666666666666663</v>
      </c>
      <c r="IQ8" s="110">
        <f t="shared" si="63"/>
        <v>0.91666666666666663</v>
      </c>
      <c r="IR8" s="110">
        <f t="shared" si="63"/>
        <v>0.91666666666666663</v>
      </c>
      <c r="IS8" s="110">
        <f t="shared" si="63"/>
        <v>0.91666666666666663</v>
      </c>
      <c r="IT8" s="110">
        <f t="shared" si="63"/>
        <v>0.91666666666666663</v>
      </c>
      <c r="IU8" s="110">
        <f t="shared" si="63"/>
        <v>0.91666666666666663</v>
      </c>
      <c r="IV8" s="110">
        <f t="shared" si="63"/>
        <v>0.91666666666666663</v>
      </c>
      <c r="IW8" s="110">
        <f t="shared" si="63"/>
        <v>0.91666666666666663</v>
      </c>
      <c r="IX8" s="110">
        <f t="shared" si="63"/>
        <v>0.91666666666666663</v>
      </c>
      <c r="IY8" s="110">
        <f t="shared" si="63"/>
        <v>0.91666666666666663</v>
      </c>
      <c r="IZ8" s="110">
        <f t="shared" si="63"/>
        <v>0.91666666666666663</v>
      </c>
      <c r="JA8" s="110">
        <f t="shared" si="63"/>
        <v>0.91666666666666663</v>
      </c>
      <c r="JB8" s="110">
        <f t="shared" si="63"/>
        <v>0.91666666666666663</v>
      </c>
      <c r="JC8" s="110">
        <f t="shared" si="63"/>
        <v>0.91666666666666663</v>
      </c>
      <c r="JD8" s="110">
        <f t="shared" si="63"/>
        <v>0.91666666666666663</v>
      </c>
      <c r="JE8" s="110">
        <f t="shared" si="63"/>
        <v>0.91666666666666663</v>
      </c>
      <c r="JF8" s="110">
        <f t="shared" si="63"/>
        <v>0.91666666666666663</v>
      </c>
      <c r="JG8" s="110">
        <f t="shared" si="63"/>
        <v>0.91666666666666663</v>
      </c>
      <c r="JH8" s="110">
        <f t="shared" si="63"/>
        <v>0.91666666666666663</v>
      </c>
      <c r="JI8" s="110">
        <f t="shared" si="63"/>
        <v>0.91666666666666663</v>
      </c>
      <c r="JJ8" s="110">
        <f t="shared" si="63"/>
        <v>0.91666666666666663</v>
      </c>
      <c r="JK8" s="110">
        <f t="shared" si="63"/>
        <v>0.91666666666666663</v>
      </c>
      <c r="JL8" s="110">
        <f t="shared" si="63"/>
        <v>0.91666666666666663</v>
      </c>
      <c r="JM8" s="110">
        <f t="shared" si="63"/>
        <v>0.91666666666666663</v>
      </c>
      <c r="JN8" s="110">
        <f t="shared" si="63"/>
        <v>0.91666666666666663</v>
      </c>
      <c r="JO8" s="110">
        <f t="shared" si="63"/>
        <v>0.91666666666666663</v>
      </c>
      <c r="JP8" s="109">
        <f t="shared" ref="JP8:JQ8" si="64">IF(OR(JP13="",JP17="",JP14="",JP15="",JP16="",JP18="",JP19="",JP20="",JP21=""),"",1-(JP7/JP5))</f>
        <v>0.91666666666666663</v>
      </c>
      <c r="JQ8" s="110">
        <f t="shared" si="64"/>
        <v>0.95833333333333337</v>
      </c>
      <c r="JR8" s="110">
        <f t="shared" ref="JR8:KV8" si="65">IF(OR(JR13="",JR17="",JR14="",JR15="",JR16="",JR18="",JR19="",JR20="",JR21=""),"",1-(JR7/JR5))</f>
        <v>0.97222222222222221</v>
      </c>
      <c r="JS8" s="110">
        <f t="shared" si="65"/>
        <v>0.97916666666666663</v>
      </c>
      <c r="JT8" s="110" t="str">
        <f t="shared" ca="1" si="65"/>
        <v/>
      </c>
      <c r="JU8" s="110" t="str">
        <f t="shared" ca="1" si="65"/>
        <v/>
      </c>
      <c r="JV8" s="110" t="str">
        <f t="shared" ca="1" si="65"/>
        <v/>
      </c>
      <c r="JW8" s="110" t="str">
        <f t="shared" ca="1" si="65"/>
        <v/>
      </c>
      <c r="JX8" s="110" t="str">
        <f t="shared" ca="1" si="65"/>
        <v/>
      </c>
      <c r="JY8" s="110" t="str">
        <f t="shared" ca="1" si="65"/>
        <v/>
      </c>
      <c r="JZ8" s="110" t="str">
        <f t="shared" ca="1" si="65"/>
        <v/>
      </c>
      <c r="KA8" s="110" t="str">
        <f t="shared" ca="1" si="65"/>
        <v/>
      </c>
      <c r="KB8" s="110" t="str">
        <f t="shared" ca="1" si="65"/>
        <v/>
      </c>
      <c r="KC8" s="110" t="str">
        <f t="shared" ca="1" si="65"/>
        <v/>
      </c>
      <c r="KD8" s="110" t="str">
        <f t="shared" ca="1" si="65"/>
        <v/>
      </c>
      <c r="KE8" s="110" t="str">
        <f t="shared" ca="1" si="65"/>
        <v/>
      </c>
      <c r="KF8" s="110" t="str">
        <f t="shared" ca="1" si="65"/>
        <v/>
      </c>
      <c r="KG8" s="110" t="str">
        <f t="shared" ca="1" si="65"/>
        <v/>
      </c>
      <c r="KH8" s="110" t="str">
        <f t="shared" ca="1" si="65"/>
        <v/>
      </c>
      <c r="KI8" s="110" t="str">
        <f t="shared" ca="1" si="65"/>
        <v/>
      </c>
      <c r="KJ8" s="110" t="str">
        <f t="shared" ca="1" si="65"/>
        <v/>
      </c>
      <c r="KK8" s="110" t="str">
        <f t="shared" ca="1" si="65"/>
        <v/>
      </c>
      <c r="KL8" s="110" t="str">
        <f t="shared" ca="1" si="65"/>
        <v/>
      </c>
      <c r="KM8" s="110" t="str">
        <f t="shared" ca="1" si="65"/>
        <v/>
      </c>
      <c r="KN8" s="110" t="str">
        <f t="shared" ca="1" si="65"/>
        <v/>
      </c>
      <c r="KO8" s="110" t="str">
        <f t="shared" ca="1" si="65"/>
        <v/>
      </c>
      <c r="KP8" s="110" t="str">
        <f t="shared" ca="1" si="65"/>
        <v/>
      </c>
      <c r="KQ8" s="110" t="str">
        <f t="shared" ca="1" si="65"/>
        <v/>
      </c>
      <c r="KR8" s="110" t="str">
        <f t="shared" ca="1" si="65"/>
        <v/>
      </c>
      <c r="KS8" s="110" t="str">
        <f t="shared" ca="1" si="65"/>
        <v/>
      </c>
      <c r="KT8" s="110" t="str">
        <f t="shared" ca="1" si="65"/>
        <v/>
      </c>
      <c r="KU8" s="109" t="str">
        <f t="shared" si="65"/>
        <v/>
      </c>
      <c r="KV8" s="110" t="str">
        <f t="shared" si="65"/>
        <v/>
      </c>
      <c r="KW8" s="110" t="str">
        <f t="shared" ref="KW8:LZ8" si="66">IF(OR(KW13="",KW17="",KW14="",KW15="",KW16="",KW18="",KW19="",KW20="",KW21=""),"",1-(KW7/KW5))</f>
        <v/>
      </c>
      <c r="KX8" s="110" t="str">
        <f t="shared" si="66"/>
        <v/>
      </c>
      <c r="KY8" s="110" t="str">
        <f t="shared" si="66"/>
        <v/>
      </c>
      <c r="KZ8" s="110" t="str">
        <f t="shared" si="66"/>
        <v/>
      </c>
      <c r="LA8" s="110" t="str">
        <f t="shared" si="66"/>
        <v/>
      </c>
      <c r="LB8" s="110" t="str">
        <f t="shared" si="66"/>
        <v/>
      </c>
      <c r="LC8" s="110" t="str">
        <f t="shared" si="66"/>
        <v/>
      </c>
      <c r="LD8" s="110" t="str">
        <f t="shared" si="66"/>
        <v/>
      </c>
      <c r="LE8" s="110" t="str">
        <f t="shared" si="66"/>
        <v/>
      </c>
      <c r="LF8" s="110" t="str">
        <f t="shared" si="66"/>
        <v/>
      </c>
      <c r="LG8" s="110" t="str">
        <f t="shared" si="66"/>
        <v/>
      </c>
      <c r="LH8" s="110" t="str">
        <f t="shared" si="66"/>
        <v/>
      </c>
      <c r="LI8" s="110" t="str">
        <f t="shared" si="66"/>
        <v/>
      </c>
      <c r="LJ8" s="110" t="str">
        <f t="shared" si="66"/>
        <v/>
      </c>
      <c r="LK8" s="110" t="str">
        <f t="shared" si="66"/>
        <v/>
      </c>
      <c r="LL8" s="110" t="str">
        <f t="shared" si="66"/>
        <v/>
      </c>
      <c r="LM8" s="110" t="str">
        <f t="shared" si="66"/>
        <v/>
      </c>
      <c r="LN8" s="110" t="str">
        <f t="shared" si="66"/>
        <v/>
      </c>
      <c r="LO8" s="110" t="str">
        <f t="shared" si="66"/>
        <v/>
      </c>
      <c r="LP8" s="110" t="str">
        <f t="shared" si="66"/>
        <v/>
      </c>
      <c r="LQ8" s="110" t="str">
        <f t="shared" si="66"/>
        <v/>
      </c>
      <c r="LR8" s="110" t="str">
        <f t="shared" si="66"/>
        <v/>
      </c>
      <c r="LS8" s="110" t="str">
        <f t="shared" si="66"/>
        <v/>
      </c>
      <c r="LT8" s="110" t="str">
        <f t="shared" si="66"/>
        <v/>
      </c>
      <c r="LU8" s="110" t="str">
        <f t="shared" si="66"/>
        <v/>
      </c>
      <c r="LV8" s="110" t="str">
        <f t="shared" si="66"/>
        <v/>
      </c>
      <c r="LW8" s="110" t="str">
        <f t="shared" si="66"/>
        <v/>
      </c>
      <c r="LX8" s="110" t="str">
        <f t="shared" si="66"/>
        <v/>
      </c>
      <c r="LY8" s="109" t="str">
        <f t="shared" si="66"/>
        <v/>
      </c>
      <c r="LZ8" s="110" t="str">
        <f t="shared" si="66"/>
        <v/>
      </c>
      <c r="MA8" s="110" t="str">
        <f t="shared" ref="MA8:NE8" si="67">IF(OR(MA13="",MA17="",MA14="",MA15="",MA16="",MA18="",MA19="",MA20="",MA21=""),"",1-(MA7/MA5))</f>
        <v/>
      </c>
      <c r="MB8" s="110" t="str">
        <f t="shared" si="67"/>
        <v/>
      </c>
      <c r="MC8" s="110" t="str">
        <f t="shared" si="67"/>
        <v/>
      </c>
      <c r="MD8" s="110" t="str">
        <f t="shared" si="67"/>
        <v/>
      </c>
      <c r="ME8" s="110" t="str">
        <f t="shared" si="67"/>
        <v/>
      </c>
      <c r="MF8" s="110" t="str">
        <f t="shared" si="67"/>
        <v/>
      </c>
      <c r="MG8" s="110" t="str">
        <f t="shared" si="67"/>
        <v/>
      </c>
      <c r="MH8" s="110" t="str">
        <f t="shared" si="67"/>
        <v/>
      </c>
      <c r="MI8" s="110" t="str">
        <f t="shared" si="67"/>
        <v/>
      </c>
      <c r="MJ8" s="110" t="str">
        <f t="shared" si="67"/>
        <v/>
      </c>
      <c r="MK8" s="110" t="str">
        <f t="shared" si="67"/>
        <v/>
      </c>
      <c r="ML8" s="110" t="str">
        <f t="shared" si="67"/>
        <v/>
      </c>
      <c r="MM8" s="110" t="str">
        <f t="shared" si="67"/>
        <v/>
      </c>
      <c r="MN8" s="110" t="str">
        <f t="shared" si="67"/>
        <v/>
      </c>
      <c r="MO8" s="110" t="str">
        <f t="shared" si="67"/>
        <v/>
      </c>
      <c r="MP8" s="110" t="str">
        <f t="shared" si="67"/>
        <v/>
      </c>
      <c r="MQ8" s="110" t="str">
        <f t="shared" si="67"/>
        <v/>
      </c>
      <c r="MR8" s="110" t="str">
        <f t="shared" si="67"/>
        <v/>
      </c>
      <c r="MS8" s="110" t="str">
        <f t="shared" si="67"/>
        <v/>
      </c>
      <c r="MT8" s="110" t="str">
        <f t="shared" si="67"/>
        <v/>
      </c>
      <c r="MU8" s="110" t="str">
        <f t="shared" si="67"/>
        <v/>
      </c>
      <c r="MV8" s="110" t="str">
        <f t="shared" si="67"/>
        <v/>
      </c>
      <c r="MW8" s="110" t="str">
        <f t="shared" si="67"/>
        <v/>
      </c>
      <c r="MX8" s="110" t="str">
        <f t="shared" si="67"/>
        <v/>
      </c>
      <c r="MY8" s="110" t="str">
        <f t="shared" si="67"/>
        <v/>
      </c>
      <c r="MZ8" s="110" t="str">
        <f t="shared" si="67"/>
        <v/>
      </c>
      <c r="NA8" s="110" t="str">
        <f t="shared" si="67"/>
        <v/>
      </c>
      <c r="NB8" s="110" t="str">
        <f t="shared" si="67"/>
        <v/>
      </c>
      <c r="NC8" s="110" t="str">
        <f t="shared" si="67"/>
        <v/>
      </c>
      <c r="ND8" s="109" t="str">
        <f t="shared" si="67"/>
        <v/>
      </c>
      <c r="NE8" s="110" t="str">
        <f t="shared" si="67"/>
        <v/>
      </c>
      <c r="NF8" s="110" t="str">
        <f t="shared" ref="NF8:OY8" si="68">IF(OR(NF13="",NF17="",NF14="",NF15="",NF16="",NF18="",NF19="",NF20="",NF21=""),"",1-(NF7/NF5))</f>
        <v/>
      </c>
      <c r="NG8" s="110" t="str">
        <f t="shared" ref="NG8:OH8" si="69">IF(OR(NG13="",NG17="",NG14="",NG15="",NG16="",NG18="",NG19="",NG20="",NG21=""),"",1-(NG7/NG5))</f>
        <v/>
      </c>
      <c r="NH8" s="110" t="str">
        <f t="shared" si="69"/>
        <v/>
      </c>
      <c r="NI8" s="110" t="str">
        <f t="shared" si="69"/>
        <v/>
      </c>
      <c r="NJ8" s="110" t="str">
        <f t="shared" si="69"/>
        <v/>
      </c>
      <c r="NK8" s="110" t="str">
        <f t="shared" si="69"/>
        <v/>
      </c>
      <c r="NL8" s="110" t="str">
        <f t="shared" si="69"/>
        <v/>
      </c>
      <c r="NM8" s="110" t="str">
        <f t="shared" si="69"/>
        <v/>
      </c>
      <c r="NN8" s="110" t="str">
        <f t="shared" si="69"/>
        <v/>
      </c>
      <c r="NO8" s="110" t="str">
        <f t="shared" si="69"/>
        <v/>
      </c>
      <c r="NP8" s="110" t="str">
        <f t="shared" si="69"/>
        <v/>
      </c>
      <c r="NQ8" s="110" t="str">
        <f t="shared" si="69"/>
        <v/>
      </c>
      <c r="NR8" s="110" t="str">
        <f t="shared" si="69"/>
        <v/>
      </c>
      <c r="NS8" s="110" t="str">
        <f t="shared" si="69"/>
        <v/>
      </c>
      <c r="NT8" s="110" t="str">
        <f t="shared" si="69"/>
        <v/>
      </c>
      <c r="NU8" s="110" t="str">
        <f t="shared" si="69"/>
        <v/>
      </c>
      <c r="NV8" s="110" t="str">
        <f t="shared" si="69"/>
        <v/>
      </c>
      <c r="NW8" s="110" t="str">
        <f t="shared" si="69"/>
        <v/>
      </c>
      <c r="NX8" s="110" t="str">
        <f t="shared" si="69"/>
        <v/>
      </c>
      <c r="NY8" s="110" t="str">
        <f t="shared" si="69"/>
        <v/>
      </c>
      <c r="NZ8" s="110" t="str">
        <f t="shared" si="69"/>
        <v/>
      </c>
      <c r="OA8" s="110" t="str">
        <f t="shared" si="69"/>
        <v/>
      </c>
      <c r="OB8" s="110" t="str">
        <f t="shared" si="69"/>
        <v/>
      </c>
      <c r="OC8" s="110" t="str">
        <f t="shared" si="69"/>
        <v/>
      </c>
      <c r="OD8" s="110" t="str">
        <f t="shared" si="69"/>
        <v/>
      </c>
      <c r="OE8" s="110" t="str">
        <f t="shared" si="69"/>
        <v/>
      </c>
      <c r="OF8" s="110" t="str">
        <f t="shared" si="69"/>
        <v/>
      </c>
      <c r="OG8" s="110" t="str">
        <f t="shared" si="69"/>
        <v/>
      </c>
      <c r="OH8" s="110" t="str">
        <f t="shared" si="69"/>
        <v/>
      </c>
      <c r="OI8" s="109" t="str">
        <f t="shared" si="68"/>
        <v/>
      </c>
      <c r="OJ8" s="110" t="str">
        <f t="shared" si="68"/>
        <v/>
      </c>
      <c r="OK8" s="110" t="str">
        <f t="shared" si="68"/>
        <v/>
      </c>
      <c r="OL8" s="110" t="str">
        <f t="shared" si="68"/>
        <v/>
      </c>
      <c r="OM8" s="110" t="str">
        <f t="shared" si="68"/>
        <v/>
      </c>
      <c r="ON8" s="110" t="str">
        <f t="shared" si="68"/>
        <v/>
      </c>
      <c r="OO8" s="110" t="str">
        <f t="shared" si="68"/>
        <v/>
      </c>
      <c r="OP8" s="110" t="str">
        <f t="shared" si="68"/>
        <v/>
      </c>
      <c r="OQ8" s="110" t="str">
        <f t="shared" si="68"/>
        <v/>
      </c>
      <c r="OR8" s="110" t="str">
        <f t="shared" si="68"/>
        <v/>
      </c>
      <c r="OS8" s="110" t="str">
        <f t="shared" si="68"/>
        <v/>
      </c>
      <c r="OT8" s="110" t="str">
        <f t="shared" si="68"/>
        <v/>
      </c>
      <c r="OU8" s="110" t="str">
        <f t="shared" si="68"/>
        <v/>
      </c>
      <c r="OV8" s="110" t="str">
        <f t="shared" si="68"/>
        <v/>
      </c>
      <c r="OW8" s="110" t="str">
        <f t="shared" si="68"/>
        <v/>
      </c>
      <c r="OX8" s="110" t="str">
        <f t="shared" si="68"/>
        <v/>
      </c>
      <c r="OY8" s="110" t="str">
        <f t="shared" si="68"/>
        <v/>
      </c>
      <c r="OZ8" s="110" t="str">
        <f t="shared" ref="OZ8:PL8" si="70">IF(OR(OZ13="",OZ17="",OZ14="",OZ15="",OZ16="",OZ18="",OZ19="",OZ20="",OZ21=""),"",1-(OZ7/OZ5))</f>
        <v/>
      </c>
      <c r="PA8" s="110" t="str">
        <f t="shared" si="70"/>
        <v/>
      </c>
      <c r="PB8" s="110" t="str">
        <f t="shared" si="70"/>
        <v/>
      </c>
      <c r="PC8" s="110" t="str">
        <f t="shared" si="70"/>
        <v/>
      </c>
      <c r="PD8" s="110" t="str">
        <f t="shared" si="70"/>
        <v/>
      </c>
      <c r="PE8" s="110" t="str">
        <f t="shared" si="70"/>
        <v/>
      </c>
      <c r="PF8" s="110" t="str">
        <f t="shared" si="70"/>
        <v/>
      </c>
      <c r="PG8" s="110" t="str">
        <f t="shared" si="70"/>
        <v/>
      </c>
      <c r="PH8" s="110" t="str">
        <f t="shared" si="70"/>
        <v/>
      </c>
      <c r="PI8" s="110" t="str">
        <f t="shared" si="70"/>
        <v/>
      </c>
      <c r="PJ8" s="110" t="str">
        <f t="shared" si="70"/>
        <v/>
      </c>
      <c r="PK8" s="110" t="str">
        <f t="shared" si="70"/>
        <v/>
      </c>
      <c r="PL8" s="110" t="str">
        <f t="shared" si="70"/>
        <v/>
      </c>
      <c r="PM8" s="110" t="str">
        <f t="shared" ref="PM8:QO8" si="71">IF(OR(PM13="",PM17="",PM14="",PM15="",PM16="",PM18="",PM19="",PM20="",PM21=""),"",1-(PM7/PM5))</f>
        <v/>
      </c>
      <c r="PN8" s="110" t="str">
        <f t="shared" si="71"/>
        <v/>
      </c>
      <c r="PO8" s="110" t="str">
        <f t="shared" si="71"/>
        <v/>
      </c>
      <c r="PP8" s="110" t="str">
        <f t="shared" si="71"/>
        <v/>
      </c>
      <c r="PQ8" s="110" t="str">
        <f t="shared" si="71"/>
        <v/>
      </c>
      <c r="PR8" s="110" t="str">
        <f t="shared" si="71"/>
        <v/>
      </c>
      <c r="PS8" s="110" t="str">
        <f t="shared" si="71"/>
        <v/>
      </c>
      <c r="PT8" s="110" t="str">
        <f t="shared" si="71"/>
        <v/>
      </c>
      <c r="PU8" s="110" t="str">
        <f t="shared" si="71"/>
        <v/>
      </c>
      <c r="PV8" s="110" t="str">
        <f t="shared" si="71"/>
        <v/>
      </c>
      <c r="PW8" s="110" t="str">
        <f t="shared" si="71"/>
        <v/>
      </c>
      <c r="PX8" s="110" t="str">
        <f t="shared" si="71"/>
        <v/>
      </c>
      <c r="PY8" s="110" t="str">
        <f t="shared" si="71"/>
        <v/>
      </c>
      <c r="PZ8" s="110" t="str">
        <f t="shared" si="71"/>
        <v/>
      </c>
      <c r="QA8" s="110" t="str">
        <f t="shared" si="71"/>
        <v/>
      </c>
      <c r="QB8" s="110" t="str">
        <f t="shared" si="71"/>
        <v/>
      </c>
      <c r="QC8" s="110" t="str">
        <f t="shared" si="71"/>
        <v/>
      </c>
      <c r="QD8" s="110" t="str">
        <f t="shared" si="71"/>
        <v/>
      </c>
      <c r="QE8" s="110" t="str">
        <f t="shared" si="71"/>
        <v/>
      </c>
      <c r="QF8" s="110" t="str">
        <f t="shared" si="71"/>
        <v/>
      </c>
      <c r="QG8" s="110" t="str">
        <f t="shared" si="71"/>
        <v/>
      </c>
      <c r="QH8" s="110" t="str">
        <f t="shared" si="71"/>
        <v/>
      </c>
      <c r="QI8" s="110" t="str">
        <f t="shared" si="71"/>
        <v/>
      </c>
      <c r="QJ8" s="110" t="str">
        <f t="shared" si="71"/>
        <v/>
      </c>
      <c r="QK8" s="110" t="str">
        <f t="shared" si="71"/>
        <v/>
      </c>
      <c r="QL8" s="110" t="str">
        <f t="shared" si="71"/>
        <v/>
      </c>
      <c r="QM8" s="110" t="str">
        <f t="shared" si="71"/>
        <v/>
      </c>
      <c r="QN8" s="110" t="str">
        <f t="shared" si="71"/>
        <v/>
      </c>
      <c r="QO8" s="110" t="str">
        <f t="shared" si="71"/>
        <v/>
      </c>
      <c r="QP8" s="110" t="str">
        <f t="shared" ref="QP8:QQ8" si="72">IF(OR(QP13="",QP17="",QP14="",QP15="",QP16="",QP18="",QP19="",QP20="",QP21=""),"",1-(QP7/QP5))</f>
        <v/>
      </c>
      <c r="QQ8" s="110" t="str">
        <f t="shared" si="72"/>
        <v/>
      </c>
      <c r="QR8" s="110" t="str">
        <f t="shared" ref="QR8:RS8" si="73">IF(OR(QR13="",QR17="",QR14="",QR15="",QR16="",QR18="",QR19="",QR20="",QR21=""),"",1-(QR7/QR5))</f>
        <v/>
      </c>
      <c r="QS8" s="110" t="str">
        <f t="shared" si="73"/>
        <v/>
      </c>
      <c r="QT8" s="110" t="str">
        <f t="shared" si="73"/>
        <v/>
      </c>
      <c r="QU8" s="110" t="str">
        <f t="shared" si="73"/>
        <v/>
      </c>
      <c r="QV8" s="110" t="str">
        <f t="shared" si="73"/>
        <v/>
      </c>
      <c r="QW8" s="110" t="str">
        <f t="shared" si="73"/>
        <v/>
      </c>
      <c r="QX8" s="110" t="str">
        <f t="shared" si="73"/>
        <v/>
      </c>
      <c r="QY8" s="110" t="str">
        <f t="shared" si="73"/>
        <v/>
      </c>
      <c r="QZ8" s="110" t="str">
        <f t="shared" si="73"/>
        <v/>
      </c>
      <c r="RA8" s="110" t="str">
        <f t="shared" si="73"/>
        <v/>
      </c>
      <c r="RB8" s="110" t="str">
        <f t="shared" si="73"/>
        <v/>
      </c>
      <c r="RC8" s="110" t="str">
        <f t="shared" si="73"/>
        <v/>
      </c>
      <c r="RD8" s="110" t="str">
        <f t="shared" si="73"/>
        <v/>
      </c>
      <c r="RE8" s="110" t="str">
        <f t="shared" si="73"/>
        <v/>
      </c>
      <c r="RF8" s="110" t="str">
        <f t="shared" si="73"/>
        <v/>
      </c>
      <c r="RG8" s="110" t="str">
        <f t="shared" si="73"/>
        <v/>
      </c>
      <c r="RH8" s="110" t="str">
        <f t="shared" si="73"/>
        <v/>
      </c>
      <c r="RI8" s="110" t="str">
        <f t="shared" si="73"/>
        <v/>
      </c>
      <c r="RJ8" s="110" t="str">
        <f t="shared" si="73"/>
        <v/>
      </c>
      <c r="RK8" s="110" t="str">
        <f t="shared" si="73"/>
        <v/>
      </c>
      <c r="RL8" s="110" t="str">
        <f t="shared" si="73"/>
        <v/>
      </c>
      <c r="RM8" s="110" t="str">
        <f t="shared" si="73"/>
        <v/>
      </c>
      <c r="RN8" s="110" t="str">
        <f t="shared" si="73"/>
        <v/>
      </c>
      <c r="RO8" s="110" t="str">
        <f t="shared" si="73"/>
        <v/>
      </c>
      <c r="RP8" s="110" t="str">
        <f t="shared" si="73"/>
        <v/>
      </c>
      <c r="RQ8" s="110" t="str">
        <f t="shared" si="73"/>
        <v/>
      </c>
      <c r="RR8" s="110" t="str">
        <f t="shared" si="73"/>
        <v/>
      </c>
      <c r="RS8" s="110" t="str">
        <f t="shared" si="73"/>
        <v/>
      </c>
      <c r="RT8" s="110" t="str">
        <f t="shared" ref="RT8:RU8" si="74">IF(OR(RT13="",RT17="",RT14="",RT15="",RT16="",RT18="",RT19="",RT20="",RT21=""),"",1-(RT7/RT5))</f>
        <v/>
      </c>
      <c r="RU8" s="110" t="str">
        <f t="shared" si="74"/>
        <v/>
      </c>
      <c r="RV8" s="110" t="str">
        <f t="shared" ref="RV8:SW8" si="75">IF(OR(RV13="",RV17="",RV14="",RV15="",RV16="",RV18="",RV19="",RV20="",RV21=""),"",1-(RV7/RV5))</f>
        <v/>
      </c>
      <c r="RW8" s="110" t="str">
        <f t="shared" si="75"/>
        <v/>
      </c>
      <c r="RX8" s="110" t="str">
        <f t="shared" si="75"/>
        <v/>
      </c>
      <c r="RY8" s="110" t="str">
        <f t="shared" si="75"/>
        <v/>
      </c>
      <c r="RZ8" s="110" t="str">
        <f t="shared" si="75"/>
        <v/>
      </c>
      <c r="SA8" s="110" t="str">
        <f t="shared" si="75"/>
        <v/>
      </c>
      <c r="SB8" s="110" t="str">
        <f t="shared" si="75"/>
        <v/>
      </c>
      <c r="SC8" s="110" t="str">
        <f t="shared" si="75"/>
        <v/>
      </c>
      <c r="SD8" s="110" t="str">
        <f t="shared" si="75"/>
        <v/>
      </c>
      <c r="SE8" s="110" t="str">
        <f t="shared" si="75"/>
        <v/>
      </c>
      <c r="SF8" s="110" t="str">
        <f t="shared" si="75"/>
        <v/>
      </c>
      <c r="SG8" s="110" t="str">
        <f t="shared" si="75"/>
        <v/>
      </c>
      <c r="SH8" s="110" t="str">
        <f t="shared" si="75"/>
        <v/>
      </c>
      <c r="SI8" s="110" t="str">
        <f t="shared" si="75"/>
        <v/>
      </c>
      <c r="SJ8" s="110" t="str">
        <f t="shared" si="75"/>
        <v/>
      </c>
      <c r="SK8" s="110" t="str">
        <f t="shared" si="75"/>
        <v/>
      </c>
      <c r="SL8" s="110" t="str">
        <f t="shared" si="75"/>
        <v/>
      </c>
      <c r="SM8" s="110" t="str">
        <f t="shared" si="75"/>
        <v/>
      </c>
      <c r="SN8" s="110" t="str">
        <f t="shared" si="75"/>
        <v/>
      </c>
      <c r="SO8" s="110" t="str">
        <f t="shared" si="75"/>
        <v/>
      </c>
      <c r="SP8" s="110" t="str">
        <f t="shared" si="75"/>
        <v/>
      </c>
      <c r="SQ8" s="110" t="str">
        <f t="shared" si="75"/>
        <v/>
      </c>
      <c r="SR8" s="110" t="str">
        <f t="shared" si="75"/>
        <v/>
      </c>
      <c r="SS8" s="110" t="str">
        <f t="shared" si="75"/>
        <v/>
      </c>
      <c r="ST8" s="110" t="str">
        <f t="shared" si="75"/>
        <v/>
      </c>
      <c r="SU8" s="110" t="str">
        <f t="shared" si="75"/>
        <v/>
      </c>
      <c r="SV8" s="110" t="str">
        <f t="shared" si="75"/>
        <v/>
      </c>
      <c r="SW8" s="110" t="str">
        <f t="shared" si="75"/>
        <v/>
      </c>
    </row>
    <row r="9" spans="1:517" ht="24.6" customHeight="1" x14ac:dyDescent="0.2">
      <c r="B9" s="108" t="s">
        <v>20</v>
      </c>
      <c r="C9" s="111">
        <f t="shared" ref="C9" si="76">IF(OR(C13="",C17="",C14="",C15="",C16="",C18="",C19="",C20="",C21=""),"",88%)</f>
        <v>0.88</v>
      </c>
      <c r="D9" s="111">
        <f t="shared" ref="D9" si="77">IF(D8="","",88%)</f>
        <v>0.88</v>
      </c>
      <c r="E9" s="111">
        <f t="shared" ref="E9" si="78">IF(E8="","",88%)</f>
        <v>0.88</v>
      </c>
      <c r="F9" s="111">
        <f t="shared" ref="F9" si="79">IF(F8="","",88%)</f>
        <v>0.88</v>
      </c>
      <c r="G9" s="111">
        <f t="shared" ref="G9" si="80">IF(G8="","",88%)</f>
        <v>0.88</v>
      </c>
      <c r="H9" s="111">
        <f t="shared" ref="H9" si="81">IF(H8="","",88%)</f>
        <v>0.88</v>
      </c>
      <c r="I9" s="111">
        <f t="shared" ref="I9" si="82">IF(I8="","",88%)</f>
        <v>0.88</v>
      </c>
      <c r="J9" s="111">
        <f t="shared" ref="J9" si="83">IF(J8="","",88%)</f>
        <v>0.88</v>
      </c>
      <c r="K9" s="111">
        <f t="shared" ref="K9" si="84">IF(K8="","",88%)</f>
        <v>0.88</v>
      </c>
      <c r="L9" s="111">
        <f t="shared" ref="L9" si="85">IF(L8="","",88%)</f>
        <v>0.88</v>
      </c>
      <c r="M9" s="111">
        <f t="shared" ref="M9" si="86">IF(M8="","",88%)</f>
        <v>0.88</v>
      </c>
      <c r="N9" s="111">
        <f t="shared" ref="N9" si="87">IF(N8="","",88%)</f>
        <v>0.88</v>
      </c>
      <c r="O9" s="111">
        <f t="shared" ref="O9" si="88">IF(O8="","",88%)</f>
        <v>0.88</v>
      </c>
      <c r="P9" s="111">
        <f t="shared" ref="P9" si="89">IF(P8="","",88%)</f>
        <v>0.88</v>
      </c>
      <c r="Q9" s="111">
        <f t="shared" ref="Q9" si="90">IF(Q8="","",88%)</f>
        <v>0.88</v>
      </c>
      <c r="R9" s="111">
        <f t="shared" ref="R9" si="91">IF(R8="","",88%)</f>
        <v>0.88</v>
      </c>
      <c r="S9" s="111">
        <f t="shared" ref="S9" si="92">IF(S8="","",88%)</f>
        <v>0.88</v>
      </c>
      <c r="T9" s="111">
        <f t="shared" ref="T9" si="93">IF(T8="","",88%)</f>
        <v>0.88</v>
      </c>
      <c r="U9" s="111">
        <f t="shared" ref="U9" si="94">IF(U8="","",88%)</f>
        <v>0.88</v>
      </c>
      <c r="V9" s="111">
        <f t="shared" ref="V9" si="95">IF(V8="","",88%)</f>
        <v>0.88</v>
      </c>
      <c r="W9" s="111">
        <f t="shared" ref="W9" si="96">IF(W8="","",88%)</f>
        <v>0.88</v>
      </c>
      <c r="X9" s="111">
        <f t="shared" ref="X9" si="97">IF(X8="","",88%)</f>
        <v>0.88</v>
      </c>
      <c r="Y9" s="111">
        <f t="shared" ref="Y9" si="98">IF(Y8="","",88%)</f>
        <v>0.88</v>
      </c>
      <c r="Z9" s="111">
        <f t="shared" ref="Z9" si="99">IF(Z8="","",88%)</f>
        <v>0.88</v>
      </c>
      <c r="AA9" s="111">
        <f t="shared" ref="AA9" si="100">IF(AA8="","",88%)</f>
        <v>0.88</v>
      </c>
      <c r="AB9" s="111">
        <f t="shared" ref="AB9" si="101">IF(AB8="","",88%)</f>
        <v>0.88</v>
      </c>
      <c r="AC9" s="111">
        <f t="shared" ref="AC9" si="102">IF(AC8="","",88%)</f>
        <v>0.88</v>
      </c>
      <c r="AD9" s="111">
        <f t="shared" ref="AD9" si="103">IF(AD8="","",88%)</f>
        <v>0.88</v>
      </c>
      <c r="AE9" s="111">
        <f>IF(AE8="","",88%)</f>
        <v>0.88</v>
      </c>
      <c r="AF9" s="111">
        <f t="shared" ref="AF9" si="104">IF(AF8="","",88%)</f>
        <v>0.88</v>
      </c>
      <c r="AG9" s="111">
        <f t="shared" ref="AG9" si="105">IF(AG8="","",88%)</f>
        <v>0.88</v>
      </c>
      <c r="AH9" s="111">
        <f t="shared" ref="AH9" si="106">IF(OR(AH13="",AH17="",AH14="",AH15="",AH16="",AH18="",AH19="",AH20="",AH21=""),"",88%)</f>
        <v>0.88</v>
      </c>
      <c r="AI9" s="111">
        <f t="shared" ref="AI9:BH9" si="107">IF(AI8="","",88%)</f>
        <v>0.88</v>
      </c>
      <c r="AJ9" s="111">
        <f t="shared" si="107"/>
        <v>0.88</v>
      </c>
      <c r="AK9" s="111">
        <f t="shared" si="107"/>
        <v>0.88</v>
      </c>
      <c r="AL9" s="111">
        <f t="shared" si="107"/>
        <v>0.88</v>
      </c>
      <c r="AM9" s="111">
        <f t="shared" si="107"/>
        <v>0.88</v>
      </c>
      <c r="AN9" s="111">
        <f t="shared" si="107"/>
        <v>0.88</v>
      </c>
      <c r="AO9" s="111">
        <f t="shared" si="107"/>
        <v>0.88</v>
      </c>
      <c r="AP9" s="111">
        <f t="shared" si="107"/>
        <v>0.88</v>
      </c>
      <c r="AQ9" s="111">
        <f t="shared" si="107"/>
        <v>0.88</v>
      </c>
      <c r="AR9" s="111">
        <f t="shared" si="107"/>
        <v>0.88</v>
      </c>
      <c r="AS9" s="111">
        <f t="shared" si="107"/>
        <v>0.88</v>
      </c>
      <c r="AT9" s="111">
        <f t="shared" si="107"/>
        <v>0.88</v>
      </c>
      <c r="AU9" s="111">
        <f t="shared" si="107"/>
        <v>0.88</v>
      </c>
      <c r="AV9" s="111">
        <f t="shared" si="107"/>
        <v>0.88</v>
      </c>
      <c r="AW9" s="111">
        <f t="shared" si="107"/>
        <v>0.88</v>
      </c>
      <c r="AX9" s="111">
        <f t="shared" si="107"/>
        <v>0.88</v>
      </c>
      <c r="AY9" s="111">
        <f t="shared" si="107"/>
        <v>0.88</v>
      </c>
      <c r="AZ9" s="111">
        <f t="shared" si="107"/>
        <v>0.88</v>
      </c>
      <c r="BA9" s="111">
        <f t="shared" si="107"/>
        <v>0.88</v>
      </c>
      <c r="BB9" s="111">
        <f t="shared" si="107"/>
        <v>0.88</v>
      </c>
      <c r="BC9" s="111">
        <f t="shared" si="107"/>
        <v>0.88</v>
      </c>
      <c r="BD9" s="111">
        <f t="shared" si="107"/>
        <v>0.88</v>
      </c>
      <c r="BE9" s="111">
        <f t="shared" si="107"/>
        <v>0.88</v>
      </c>
      <c r="BF9" s="111">
        <f t="shared" si="107"/>
        <v>0.88</v>
      </c>
      <c r="BG9" s="111">
        <f t="shared" si="107"/>
        <v>0.88</v>
      </c>
      <c r="BH9" s="111">
        <f t="shared" si="107"/>
        <v>0.88</v>
      </c>
      <c r="BI9" s="111">
        <f t="shared" ref="BI9" si="108">IF(BI8="","",88%)</f>
        <v>0.88</v>
      </c>
      <c r="BJ9" s="111">
        <f t="shared" ref="BJ9:CR9" si="109">IF(OR(BJ13="",BJ17="",BJ14="",BJ15="",BJ16="",BJ18="",BJ19="",BJ20="",BJ21=""),"",88%)</f>
        <v>0.88</v>
      </c>
      <c r="BK9" s="111">
        <f t="shared" si="109"/>
        <v>0.88</v>
      </c>
      <c r="BL9" s="111">
        <f t="shared" si="109"/>
        <v>0.88</v>
      </c>
      <c r="BM9" s="111">
        <f t="shared" si="109"/>
        <v>0.88</v>
      </c>
      <c r="BN9" s="111">
        <f t="shared" si="109"/>
        <v>0.88</v>
      </c>
      <c r="BO9" s="111">
        <f t="shared" si="109"/>
        <v>0.88</v>
      </c>
      <c r="BP9" s="111">
        <f t="shared" si="109"/>
        <v>0.88</v>
      </c>
      <c r="BQ9" s="111">
        <f t="shared" si="109"/>
        <v>0.88</v>
      </c>
      <c r="BR9" s="111">
        <f t="shared" si="109"/>
        <v>0.88</v>
      </c>
      <c r="BS9" s="111">
        <f t="shared" si="109"/>
        <v>0.88</v>
      </c>
      <c r="BT9" s="111">
        <f t="shared" si="109"/>
        <v>0.88</v>
      </c>
      <c r="BU9" s="111">
        <f t="shared" si="109"/>
        <v>0.88</v>
      </c>
      <c r="BV9" s="111">
        <f t="shared" si="109"/>
        <v>0.88</v>
      </c>
      <c r="BW9" s="111">
        <f t="shared" si="109"/>
        <v>0.88</v>
      </c>
      <c r="BX9" s="111">
        <f t="shared" si="109"/>
        <v>0.88</v>
      </c>
      <c r="BY9" s="111">
        <f t="shared" si="109"/>
        <v>0.88</v>
      </c>
      <c r="BZ9" s="111">
        <f t="shared" si="109"/>
        <v>0.88</v>
      </c>
      <c r="CA9" s="111">
        <f t="shared" si="109"/>
        <v>0.88</v>
      </c>
      <c r="CB9" s="111">
        <f t="shared" si="109"/>
        <v>0.88</v>
      </c>
      <c r="CC9" s="111">
        <f t="shared" si="109"/>
        <v>0.88</v>
      </c>
      <c r="CD9" s="111">
        <f t="shared" si="109"/>
        <v>0.88</v>
      </c>
      <c r="CE9" s="111">
        <f t="shared" si="109"/>
        <v>0.88</v>
      </c>
      <c r="CF9" s="111">
        <f t="shared" si="109"/>
        <v>0.88</v>
      </c>
      <c r="CG9" s="111">
        <f t="shared" si="109"/>
        <v>0.88</v>
      </c>
      <c r="CH9" s="111">
        <f t="shared" si="109"/>
        <v>0.88</v>
      </c>
      <c r="CI9" s="111">
        <f t="shared" si="109"/>
        <v>0.88</v>
      </c>
      <c r="CJ9" s="111">
        <f t="shared" si="109"/>
        <v>0.88</v>
      </c>
      <c r="CK9" s="111">
        <f t="shared" si="109"/>
        <v>0.88</v>
      </c>
      <c r="CL9" s="111">
        <f t="shared" ref="CL9:CM9" si="110">IF(OR(CL13="",CL17="",CL14="",CL15="",CL16="",CL18="",CL19="",CL20="",CL21=""),"",88%)</f>
        <v>0.88</v>
      </c>
      <c r="CM9" s="111">
        <f t="shared" si="110"/>
        <v>0.88</v>
      </c>
      <c r="CN9" s="111">
        <f t="shared" ref="CN9" si="111">IF(OR(CN13="",CN17="",CN14="",CN15="",CN16="",CN18="",CN19="",CN20="",CN21=""),"",88%)</f>
        <v>0.88</v>
      </c>
      <c r="CO9" s="111">
        <f t="shared" si="109"/>
        <v>0.88</v>
      </c>
      <c r="CP9" s="111">
        <f t="shared" si="109"/>
        <v>0.88</v>
      </c>
      <c r="CQ9" s="111">
        <f t="shared" si="109"/>
        <v>0.88</v>
      </c>
      <c r="CR9" s="111">
        <f t="shared" si="109"/>
        <v>0.88</v>
      </c>
      <c r="CS9" s="111">
        <f t="shared" ref="CS9:EY9" si="112">IF(OR(CS13="",CS17="",CS14="",CS15="",CS16="",CS18="",CS19="",CS20="",CS21=""),"",88%)</f>
        <v>0.88</v>
      </c>
      <c r="CT9" s="111">
        <f t="shared" si="112"/>
        <v>0.88</v>
      </c>
      <c r="CU9" s="111">
        <f t="shared" si="112"/>
        <v>0.88</v>
      </c>
      <c r="CV9" s="111">
        <f t="shared" si="112"/>
        <v>0.88</v>
      </c>
      <c r="CW9" s="111">
        <f t="shared" si="112"/>
        <v>0.88</v>
      </c>
      <c r="CX9" s="111">
        <f t="shared" si="112"/>
        <v>0.88</v>
      </c>
      <c r="CY9" s="111">
        <f t="shared" si="112"/>
        <v>0.88</v>
      </c>
      <c r="CZ9" s="111">
        <f t="shared" si="112"/>
        <v>0.88</v>
      </c>
      <c r="DA9" s="111">
        <f t="shared" si="112"/>
        <v>0.88</v>
      </c>
      <c r="DB9" s="111">
        <f t="shared" si="112"/>
        <v>0.88</v>
      </c>
      <c r="DC9" s="111">
        <f t="shared" si="112"/>
        <v>0.88</v>
      </c>
      <c r="DD9" s="111">
        <f t="shared" si="112"/>
        <v>0.88</v>
      </c>
      <c r="DE9" s="111">
        <f t="shared" si="112"/>
        <v>0.88</v>
      </c>
      <c r="DF9" s="111">
        <f t="shared" si="112"/>
        <v>0.88</v>
      </c>
      <c r="DG9" s="111">
        <f t="shared" si="112"/>
        <v>0.88</v>
      </c>
      <c r="DH9" s="111">
        <f t="shared" si="112"/>
        <v>0.88</v>
      </c>
      <c r="DI9" s="111">
        <f t="shared" si="112"/>
        <v>0.88</v>
      </c>
      <c r="DJ9" s="111">
        <f t="shared" si="112"/>
        <v>0.88</v>
      </c>
      <c r="DK9" s="111">
        <f t="shared" si="112"/>
        <v>0.88</v>
      </c>
      <c r="DL9" s="111">
        <f t="shared" si="112"/>
        <v>0.88</v>
      </c>
      <c r="DM9" s="111">
        <f t="shared" si="112"/>
        <v>0.88</v>
      </c>
      <c r="DN9" s="111">
        <f t="shared" si="112"/>
        <v>0.88</v>
      </c>
      <c r="DO9" s="111">
        <f t="shared" si="112"/>
        <v>0.88</v>
      </c>
      <c r="DP9" s="111">
        <f t="shared" si="112"/>
        <v>0.88</v>
      </c>
      <c r="DQ9" s="111">
        <f t="shared" si="112"/>
        <v>0.88</v>
      </c>
      <c r="DR9" s="111">
        <f t="shared" si="112"/>
        <v>0.88</v>
      </c>
      <c r="DS9" s="111">
        <f t="shared" ref="DS9:DT9" si="113">IF(OR(DS13="",DS17="",DS14="",DS15="",DS16="",DS18="",DS19="",DS20="",DS21=""),"",88%)</f>
        <v>0.88</v>
      </c>
      <c r="DT9" s="111">
        <f t="shared" si="113"/>
        <v>0.88</v>
      </c>
      <c r="DU9" s="111">
        <f t="shared" ref="DU9:EW9" si="114">IF(OR(DU13="",DU17="",DU14="",DU15="",DU16="",DU18="",DU19="",DU20="",DU21=""),"",88%)</f>
        <v>0.88</v>
      </c>
      <c r="DV9" s="111">
        <f t="shared" si="114"/>
        <v>0.88</v>
      </c>
      <c r="DW9" s="111">
        <f t="shared" si="114"/>
        <v>0.88</v>
      </c>
      <c r="DX9" s="111">
        <f t="shared" si="114"/>
        <v>0.88</v>
      </c>
      <c r="DY9" s="111">
        <f t="shared" si="114"/>
        <v>0.88</v>
      </c>
      <c r="DZ9" s="111">
        <f t="shared" si="114"/>
        <v>0.88</v>
      </c>
      <c r="EA9" s="111">
        <f t="shared" si="114"/>
        <v>0.88</v>
      </c>
      <c r="EB9" s="111">
        <f t="shared" si="114"/>
        <v>0.88</v>
      </c>
      <c r="EC9" s="111">
        <f t="shared" si="114"/>
        <v>0.88</v>
      </c>
      <c r="ED9" s="111">
        <f t="shared" si="114"/>
        <v>0.88</v>
      </c>
      <c r="EE9" s="111">
        <f t="shared" si="114"/>
        <v>0.88</v>
      </c>
      <c r="EF9" s="111">
        <f t="shared" si="114"/>
        <v>0.88</v>
      </c>
      <c r="EG9" s="111">
        <f t="shared" si="114"/>
        <v>0.88</v>
      </c>
      <c r="EH9" s="111">
        <f t="shared" si="114"/>
        <v>0.88</v>
      </c>
      <c r="EI9" s="111">
        <f t="shared" si="114"/>
        <v>0.88</v>
      </c>
      <c r="EJ9" s="111">
        <f t="shared" si="114"/>
        <v>0.88</v>
      </c>
      <c r="EK9" s="111">
        <f t="shared" si="114"/>
        <v>0.88</v>
      </c>
      <c r="EL9" s="111">
        <f t="shared" si="114"/>
        <v>0.88</v>
      </c>
      <c r="EM9" s="111">
        <f t="shared" si="114"/>
        <v>0.88</v>
      </c>
      <c r="EN9" s="111">
        <f t="shared" si="114"/>
        <v>0.88</v>
      </c>
      <c r="EO9" s="111">
        <f t="shared" si="114"/>
        <v>0.88</v>
      </c>
      <c r="EP9" s="111">
        <f t="shared" si="114"/>
        <v>0.88</v>
      </c>
      <c r="EQ9" s="111">
        <f t="shared" si="114"/>
        <v>0.88</v>
      </c>
      <c r="ER9" s="111">
        <f t="shared" si="114"/>
        <v>0.88</v>
      </c>
      <c r="ES9" s="111">
        <f t="shared" si="114"/>
        <v>0.88</v>
      </c>
      <c r="ET9" s="111">
        <f t="shared" si="114"/>
        <v>0.88</v>
      </c>
      <c r="EU9" s="111">
        <f t="shared" si="114"/>
        <v>0.88</v>
      </c>
      <c r="EV9" s="111">
        <f t="shared" si="114"/>
        <v>0.88</v>
      </c>
      <c r="EW9" s="111">
        <f t="shared" si="114"/>
        <v>0.88</v>
      </c>
      <c r="EX9" s="111">
        <f t="shared" si="112"/>
        <v>0.88</v>
      </c>
      <c r="EY9" s="111">
        <f t="shared" si="112"/>
        <v>0.88</v>
      </c>
      <c r="EZ9" s="111">
        <f t="shared" ref="EZ9:GC9" si="115">IF(OR(EZ13="",EZ17="",EZ14="",EZ15="",EZ16="",EZ18="",EZ19="",EZ20="",EZ21=""),"",88%)</f>
        <v>0.88</v>
      </c>
      <c r="FA9" s="111">
        <f t="shared" si="115"/>
        <v>0.88</v>
      </c>
      <c r="FB9" s="111">
        <f t="shared" si="115"/>
        <v>0.88</v>
      </c>
      <c r="FC9" s="111">
        <f t="shared" si="115"/>
        <v>0.88</v>
      </c>
      <c r="FD9" s="111">
        <f t="shared" si="115"/>
        <v>0.88</v>
      </c>
      <c r="FE9" s="111">
        <f t="shared" si="115"/>
        <v>0.88</v>
      </c>
      <c r="FF9" s="111">
        <f t="shared" si="115"/>
        <v>0.88</v>
      </c>
      <c r="FG9" s="111">
        <f t="shared" si="115"/>
        <v>0.88</v>
      </c>
      <c r="FH9" s="111">
        <f t="shared" si="115"/>
        <v>0.88</v>
      </c>
      <c r="FI9" s="111">
        <f t="shared" si="115"/>
        <v>0.88</v>
      </c>
      <c r="FJ9" s="111">
        <f t="shared" si="115"/>
        <v>0.88</v>
      </c>
      <c r="FK9" s="111">
        <f t="shared" si="115"/>
        <v>0.88</v>
      </c>
      <c r="FL9" s="111">
        <f t="shared" si="115"/>
        <v>0.88</v>
      </c>
      <c r="FM9" s="111">
        <f t="shared" si="115"/>
        <v>0.88</v>
      </c>
      <c r="FN9" s="111">
        <f t="shared" si="115"/>
        <v>0.88</v>
      </c>
      <c r="FO9" s="111">
        <f t="shared" si="115"/>
        <v>0.88</v>
      </c>
      <c r="FP9" s="111">
        <f t="shared" si="115"/>
        <v>0.88</v>
      </c>
      <c r="FQ9" s="111">
        <f t="shared" si="115"/>
        <v>0.88</v>
      </c>
      <c r="FR9" s="111">
        <f t="shared" si="115"/>
        <v>0.88</v>
      </c>
      <c r="FS9" s="111">
        <f t="shared" si="115"/>
        <v>0.88</v>
      </c>
      <c r="FT9" s="111">
        <f t="shared" si="115"/>
        <v>0.88</v>
      </c>
      <c r="FU9" s="111">
        <f t="shared" si="115"/>
        <v>0.88</v>
      </c>
      <c r="FV9" s="111">
        <f t="shared" si="115"/>
        <v>0.88</v>
      </c>
      <c r="FW9" s="111">
        <f t="shared" si="115"/>
        <v>0.88</v>
      </c>
      <c r="FX9" s="111">
        <f t="shared" si="115"/>
        <v>0.88</v>
      </c>
      <c r="FY9" s="111">
        <f t="shared" si="115"/>
        <v>0.88</v>
      </c>
      <c r="FZ9" s="111">
        <f t="shared" si="115"/>
        <v>0.88</v>
      </c>
      <c r="GA9" s="111">
        <f>IF(OR(GA13="",GA17="",GA14="",GA15="",GA16="",GA18="",GA19="",GA20="",GA21=""),"",88%)</f>
        <v>0.88</v>
      </c>
      <c r="GB9" s="111">
        <f>IF(OR(GB13="",GB17="",GB14="",GB15="",GB16="",GB18="",GB19="",GB20="",GB21=""),"",88%)</f>
        <v>0.88</v>
      </c>
      <c r="GC9" s="111">
        <f t="shared" si="115"/>
        <v>0.88</v>
      </c>
      <c r="GD9" s="111">
        <f t="shared" ref="GD9:HF9" si="116">IF(OR(GD13="",GD17="",GD14="",GD15="",GD16="",GD18="",GD19="",GD20="",GD21=""),"",88%)</f>
        <v>0.88</v>
      </c>
      <c r="GE9" s="111">
        <f t="shared" si="116"/>
        <v>0.88</v>
      </c>
      <c r="GF9" s="111">
        <f t="shared" si="116"/>
        <v>0.88</v>
      </c>
      <c r="GG9" s="111">
        <f t="shared" si="116"/>
        <v>0.88</v>
      </c>
      <c r="GH9" s="111">
        <f t="shared" si="116"/>
        <v>0.88</v>
      </c>
      <c r="GI9" s="111">
        <f t="shared" si="116"/>
        <v>0.88</v>
      </c>
      <c r="GJ9" s="111">
        <f t="shared" si="116"/>
        <v>0.88</v>
      </c>
      <c r="GK9" s="111">
        <f t="shared" si="116"/>
        <v>0.88</v>
      </c>
      <c r="GL9" s="111">
        <f t="shared" si="116"/>
        <v>0.88</v>
      </c>
      <c r="GM9" s="111">
        <f t="shared" si="116"/>
        <v>0.88</v>
      </c>
      <c r="GN9" s="111">
        <f t="shared" si="116"/>
        <v>0.88</v>
      </c>
      <c r="GO9" s="111">
        <f t="shared" si="116"/>
        <v>0.88</v>
      </c>
      <c r="GP9" s="111">
        <f t="shared" si="116"/>
        <v>0.88</v>
      </c>
      <c r="GQ9" s="111">
        <f t="shared" si="116"/>
        <v>0.88</v>
      </c>
      <c r="GR9" s="111">
        <f t="shared" si="116"/>
        <v>0.88</v>
      </c>
      <c r="GS9" s="111">
        <f t="shared" si="116"/>
        <v>0.88</v>
      </c>
      <c r="GT9" s="111">
        <f t="shared" si="116"/>
        <v>0.88</v>
      </c>
      <c r="GU9" s="111">
        <f t="shared" si="116"/>
        <v>0.88</v>
      </c>
      <c r="GV9" s="111">
        <f t="shared" si="116"/>
        <v>0.88</v>
      </c>
      <c r="GW9" s="111">
        <f t="shared" si="116"/>
        <v>0.88</v>
      </c>
      <c r="GX9" s="111">
        <f t="shared" si="116"/>
        <v>0.88</v>
      </c>
      <c r="GY9" s="111">
        <f t="shared" si="116"/>
        <v>0.88</v>
      </c>
      <c r="GZ9" s="111">
        <f t="shared" si="116"/>
        <v>0.88</v>
      </c>
      <c r="HA9" s="111">
        <f t="shared" si="116"/>
        <v>0.88</v>
      </c>
      <c r="HB9" s="111">
        <f t="shared" si="116"/>
        <v>0.88</v>
      </c>
      <c r="HC9" s="111">
        <f t="shared" si="116"/>
        <v>0.88</v>
      </c>
      <c r="HD9" s="111">
        <f t="shared" si="116"/>
        <v>0.88</v>
      </c>
      <c r="HE9" s="111">
        <f t="shared" si="116"/>
        <v>0.88</v>
      </c>
      <c r="HF9" s="111">
        <f t="shared" si="116"/>
        <v>0.88</v>
      </c>
      <c r="HG9" s="111">
        <f t="shared" ref="HG9:HH9" si="117">IF(OR(HG13="",HG17="",HG14="",HG15="",HG16="",HG18="",HG19="",HG20="",HG21=""),"",88%)</f>
        <v>0.88</v>
      </c>
      <c r="HH9" s="111">
        <f t="shared" si="117"/>
        <v>0.88</v>
      </c>
      <c r="HI9" s="111">
        <f t="shared" ref="HI9:IK9" si="118">IF(OR(HI13="",HI17="",HI14="",HI15="",HI16="",HI18="",HI19="",HI20="",HI21=""),"",88%)</f>
        <v>0.88</v>
      </c>
      <c r="HJ9" s="111">
        <f t="shared" si="118"/>
        <v>0.88</v>
      </c>
      <c r="HK9" s="111">
        <f t="shared" si="118"/>
        <v>0.88</v>
      </c>
      <c r="HL9" s="111">
        <f t="shared" si="118"/>
        <v>0.88</v>
      </c>
      <c r="HM9" s="111">
        <f t="shared" si="118"/>
        <v>0.88</v>
      </c>
      <c r="HN9" s="111">
        <f t="shared" si="118"/>
        <v>0.88</v>
      </c>
      <c r="HO9" s="111">
        <f t="shared" si="118"/>
        <v>0.88</v>
      </c>
      <c r="HP9" s="111">
        <f t="shared" si="118"/>
        <v>0.88</v>
      </c>
      <c r="HQ9" s="111">
        <f t="shared" si="118"/>
        <v>0.88</v>
      </c>
      <c r="HR9" s="111">
        <f t="shared" si="118"/>
        <v>0.88</v>
      </c>
      <c r="HS9" s="111">
        <f t="shared" si="118"/>
        <v>0.88</v>
      </c>
      <c r="HT9" s="111">
        <f t="shared" si="118"/>
        <v>0.88</v>
      </c>
      <c r="HU9" s="111">
        <f t="shared" si="118"/>
        <v>0.88</v>
      </c>
      <c r="HV9" s="111">
        <f t="shared" si="118"/>
        <v>0.88</v>
      </c>
      <c r="HW9" s="111">
        <f t="shared" si="118"/>
        <v>0.88</v>
      </c>
      <c r="HX9" s="111">
        <f t="shared" si="118"/>
        <v>0.88</v>
      </c>
      <c r="HY9" s="111">
        <f t="shared" si="118"/>
        <v>0.88</v>
      </c>
      <c r="HZ9" s="111">
        <f t="shared" si="118"/>
        <v>0.88</v>
      </c>
      <c r="IA9" s="111">
        <f t="shared" si="118"/>
        <v>0.88</v>
      </c>
      <c r="IB9" s="111">
        <f t="shared" si="118"/>
        <v>0.88</v>
      </c>
      <c r="IC9" s="111">
        <f t="shared" si="118"/>
        <v>0.88</v>
      </c>
      <c r="ID9" s="111">
        <f t="shared" si="118"/>
        <v>0.88</v>
      </c>
      <c r="IE9" s="111">
        <f t="shared" si="118"/>
        <v>0.88</v>
      </c>
      <c r="IF9" s="111">
        <f t="shared" si="118"/>
        <v>0.88</v>
      </c>
      <c r="IG9" s="111">
        <f t="shared" si="118"/>
        <v>0.88</v>
      </c>
      <c r="IH9" s="111">
        <f t="shared" si="118"/>
        <v>0.88</v>
      </c>
      <c r="II9" s="111">
        <f t="shared" si="118"/>
        <v>0.88</v>
      </c>
      <c r="IJ9" s="111">
        <f t="shared" si="118"/>
        <v>0.88</v>
      </c>
      <c r="IK9" s="111">
        <f t="shared" si="118"/>
        <v>0.88</v>
      </c>
      <c r="IL9" s="111">
        <f t="shared" ref="IL9:JO9" si="119">IF(OR(IL13="",IL17="",IL14="",IL15="",IL16="",IL18="",IL19="",IL20="",IL21=""),"",88%)</f>
        <v>0.88</v>
      </c>
      <c r="IM9" s="111">
        <f t="shared" si="119"/>
        <v>0.88</v>
      </c>
      <c r="IN9" s="111">
        <f t="shared" si="119"/>
        <v>0.88</v>
      </c>
      <c r="IO9" s="111">
        <f t="shared" si="119"/>
        <v>0.88</v>
      </c>
      <c r="IP9" s="111">
        <f t="shared" si="119"/>
        <v>0.88</v>
      </c>
      <c r="IQ9" s="111">
        <f t="shared" si="119"/>
        <v>0.88</v>
      </c>
      <c r="IR9" s="111">
        <f t="shared" si="119"/>
        <v>0.88</v>
      </c>
      <c r="IS9" s="111">
        <f t="shared" si="119"/>
        <v>0.88</v>
      </c>
      <c r="IT9" s="111">
        <f t="shared" si="119"/>
        <v>0.88</v>
      </c>
      <c r="IU9" s="111">
        <f t="shared" si="119"/>
        <v>0.88</v>
      </c>
      <c r="IV9" s="111">
        <f t="shared" si="119"/>
        <v>0.88</v>
      </c>
      <c r="IW9" s="111">
        <f t="shared" si="119"/>
        <v>0.88</v>
      </c>
      <c r="IX9" s="111">
        <f t="shared" si="119"/>
        <v>0.88</v>
      </c>
      <c r="IY9" s="111">
        <f t="shared" si="119"/>
        <v>0.88</v>
      </c>
      <c r="IZ9" s="111">
        <f t="shared" si="119"/>
        <v>0.88</v>
      </c>
      <c r="JA9" s="111">
        <f t="shared" si="119"/>
        <v>0.88</v>
      </c>
      <c r="JB9" s="111">
        <f t="shared" si="119"/>
        <v>0.88</v>
      </c>
      <c r="JC9" s="111">
        <f t="shared" si="119"/>
        <v>0.88</v>
      </c>
      <c r="JD9" s="111">
        <f t="shared" si="119"/>
        <v>0.88</v>
      </c>
      <c r="JE9" s="111">
        <f t="shared" si="119"/>
        <v>0.88</v>
      </c>
      <c r="JF9" s="111">
        <f t="shared" si="119"/>
        <v>0.88</v>
      </c>
      <c r="JG9" s="111">
        <f t="shared" si="119"/>
        <v>0.88</v>
      </c>
      <c r="JH9" s="111">
        <f t="shared" si="119"/>
        <v>0.88</v>
      </c>
      <c r="JI9" s="111">
        <f t="shared" si="119"/>
        <v>0.88</v>
      </c>
      <c r="JJ9" s="111">
        <f t="shared" si="119"/>
        <v>0.88</v>
      </c>
      <c r="JK9" s="111">
        <f t="shared" si="119"/>
        <v>0.88</v>
      </c>
      <c r="JL9" s="111">
        <f t="shared" si="119"/>
        <v>0.88</v>
      </c>
      <c r="JM9" s="111">
        <f t="shared" si="119"/>
        <v>0.88</v>
      </c>
      <c r="JN9" s="111">
        <f t="shared" si="119"/>
        <v>0.88</v>
      </c>
      <c r="JO9" s="111">
        <f t="shared" si="119"/>
        <v>0.88</v>
      </c>
      <c r="JP9" s="111">
        <f t="shared" ref="JP9:JQ9" si="120">IF(OR(JP13="",JP17="",JP14="",JP15="",JP16="",JP18="",JP19="",JP20="",JP21=""),"",88%)</f>
        <v>0.88</v>
      </c>
      <c r="JQ9" s="111">
        <f t="shared" si="120"/>
        <v>0.88</v>
      </c>
      <c r="JR9" s="111">
        <f t="shared" ref="JR9:KV9" si="121">IF(OR(JR13="",JR17="",JR14="",JR15="",JR16="",JR18="",JR19="",JR20="",JR21=""),"",88%)</f>
        <v>0.88</v>
      </c>
      <c r="JS9" s="111">
        <f t="shared" si="121"/>
        <v>0.88</v>
      </c>
      <c r="JT9" s="111">
        <f t="shared" si="121"/>
        <v>0.88</v>
      </c>
      <c r="JU9" s="111">
        <f t="shared" si="121"/>
        <v>0.88</v>
      </c>
      <c r="JV9" s="111">
        <f t="shared" si="121"/>
        <v>0.88</v>
      </c>
      <c r="JW9" s="111">
        <f t="shared" si="121"/>
        <v>0.88</v>
      </c>
      <c r="JX9" s="111">
        <f t="shared" si="121"/>
        <v>0.88</v>
      </c>
      <c r="JY9" s="111">
        <f t="shared" si="121"/>
        <v>0.88</v>
      </c>
      <c r="JZ9" s="111">
        <f t="shared" si="121"/>
        <v>0.88</v>
      </c>
      <c r="KA9" s="111">
        <f t="shared" si="121"/>
        <v>0.88</v>
      </c>
      <c r="KB9" s="111">
        <f t="shared" si="121"/>
        <v>0.88</v>
      </c>
      <c r="KC9" s="111">
        <f t="shared" si="121"/>
        <v>0.88</v>
      </c>
      <c r="KD9" s="111">
        <f t="shared" si="121"/>
        <v>0.88</v>
      </c>
      <c r="KE9" s="111">
        <f t="shared" si="121"/>
        <v>0.88</v>
      </c>
      <c r="KF9" s="111">
        <f t="shared" si="121"/>
        <v>0.88</v>
      </c>
      <c r="KG9" s="111">
        <f t="shared" si="121"/>
        <v>0.88</v>
      </c>
      <c r="KH9" s="111">
        <f t="shared" si="121"/>
        <v>0.88</v>
      </c>
      <c r="KI9" s="111">
        <f t="shared" si="121"/>
        <v>0.88</v>
      </c>
      <c r="KJ9" s="111">
        <f t="shared" si="121"/>
        <v>0.88</v>
      </c>
      <c r="KK9" s="111">
        <f t="shared" si="121"/>
        <v>0.88</v>
      </c>
      <c r="KL9" s="111">
        <f t="shared" si="121"/>
        <v>0.88</v>
      </c>
      <c r="KM9" s="111">
        <f t="shared" si="121"/>
        <v>0.88</v>
      </c>
      <c r="KN9" s="111">
        <f t="shared" si="121"/>
        <v>0.88</v>
      </c>
      <c r="KO9" s="111">
        <f t="shared" si="121"/>
        <v>0.88</v>
      </c>
      <c r="KP9" s="111">
        <f t="shared" si="121"/>
        <v>0.88</v>
      </c>
      <c r="KQ9" s="111">
        <f t="shared" si="121"/>
        <v>0.88</v>
      </c>
      <c r="KR9" s="111">
        <f t="shared" si="121"/>
        <v>0.88</v>
      </c>
      <c r="KS9" s="111">
        <f t="shared" si="121"/>
        <v>0.88</v>
      </c>
      <c r="KT9" s="111">
        <f t="shared" si="121"/>
        <v>0.88</v>
      </c>
      <c r="KU9" s="111" t="str">
        <f t="shared" si="121"/>
        <v/>
      </c>
      <c r="KV9" s="111" t="str">
        <f t="shared" si="121"/>
        <v/>
      </c>
      <c r="KW9" s="111" t="str">
        <f t="shared" ref="KW9:LZ9" si="122">IF(OR(KW13="",KW17="",KW14="",KW15="",KW16="",KW18="",KW19="",KW20="",KW21=""),"",88%)</f>
        <v/>
      </c>
      <c r="KX9" s="111" t="str">
        <f t="shared" si="122"/>
        <v/>
      </c>
      <c r="KY9" s="111" t="str">
        <f t="shared" si="122"/>
        <v/>
      </c>
      <c r="KZ9" s="111" t="str">
        <f t="shared" si="122"/>
        <v/>
      </c>
      <c r="LA9" s="111" t="str">
        <f t="shared" si="122"/>
        <v/>
      </c>
      <c r="LB9" s="111" t="str">
        <f t="shared" si="122"/>
        <v/>
      </c>
      <c r="LC9" s="111" t="str">
        <f t="shared" si="122"/>
        <v/>
      </c>
      <c r="LD9" s="111" t="str">
        <f t="shared" si="122"/>
        <v/>
      </c>
      <c r="LE9" s="111" t="str">
        <f t="shared" si="122"/>
        <v/>
      </c>
      <c r="LF9" s="111" t="str">
        <f t="shared" si="122"/>
        <v/>
      </c>
      <c r="LG9" s="111" t="str">
        <f t="shared" si="122"/>
        <v/>
      </c>
      <c r="LH9" s="111" t="str">
        <f t="shared" si="122"/>
        <v/>
      </c>
      <c r="LI9" s="111" t="str">
        <f t="shared" si="122"/>
        <v/>
      </c>
      <c r="LJ9" s="111" t="str">
        <f t="shared" si="122"/>
        <v/>
      </c>
      <c r="LK9" s="111" t="str">
        <f t="shared" si="122"/>
        <v/>
      </c>
      <c r="LL9" s="111" t="str">
        <f t="shared" si="122"/>
        <v/>
      </c>
      <c r="LM9" s="111" t="str">
        <f t="shared" si="122"/>
        <v/>
      </c>
      <c r="LN9" s="111" t="str">
        <f t="shared" si="122"/>
        <v/>
      </c>
      <c r="LO9" s="111" t="str">
        <f t="shared" si="122"/>
        <v/>
      </c>
      <c r="LP9" s="111" t="str">
        <f t="shared" si="122"/>
        <v/>
      </c>
      <c r="LQ9" s="111" t="str">
        <f t="shared" si="122"/>
        <v/>
      </c>
      <c r="LR9" s="111" t="str">
        <f t="shared" si="122"/>
        <v/>
      </c>
      <c r="LS9" s="111" t="str">
        <f t="shared" si="122"/>
        <v/>
      </c>
      <c r="LT9" s="111" t="str">
        <f t="shared" si="122"/>
        <v/>
      </c>
      <c r="LU9" s="111" t="str">
        <f t="shared" si="122"/>
        <v/>
      </c>
      <c r="LV9" s="111" t="str">
        <f t="shared" si="122"/>
        <v/>
      </c>
      <c r="LW9" s="111" t="str">
        <f t="shared" si="122"/>
        <v/>
      </c>
      <c r="LX9" s="111" t="str">
        <f t="shared" si="122"/>
        <v/>
      </c>
      <c r="LY9" s="111" t="str">
        <f t="shared" si="122"/>
        <v/>
      </c>
      <c r="LZ9" s="111" t="str">
        <f t="shared" si="122"/>
        <v/>
      </c>
      <c r="MA9" s="111" t="str">
        <f t="shared" ref="MA9:NE9" si="123">IF(OR(MA13="",MA17="",MA14="",MA15="",MA16="",MA18="",MA19="",MA20="",MA21=""),"",88%)</f>
        <v/>
      </c>
      <c r="MB9" s="111" t="str">
        <f t="shared" si="123"/>
        <v/>
      </c>
      <c r="MC9" s="111" t="str">
        <f t="shared" si="123"/>
        <v/>
      </c>
      <c r="MD9" s="111" t="str">
        <f t="shared" si="123"/>
        <v/>
      </c>
      <c r="ME9" s="111" t="str">
        <f t="shared" si="123"/>
        <v/>
      </c>
      <c r="MF9" s="111" t="str">
        <f t="shared" si="123"/>
        <v/>
      </c>
      <c r="MG9" s="111" t="str">
        <f t="shared" si="123"/>
        <v/>
      </c>
      <c r="MH9" s="111" t="str">
        <f t="shared" si="123"/>
        <v/>
      </c>
      <c r="MI9" s="111" t="str">
        <f t="shared" si="123"/>
        <v/>
      </c>
      <c r="MJ9" s="111" t="str">
        <f t="shared" si="123"/>
        <v/>
      </c>
      <c r="MK9" s="111" t="str">
        <f t="shared" si="123"/>
        <v/>
      </c>
      <c r="ML9" s="111" t="str">
        <f t="shared" si="123"/>
        <v/>
      </c>
      <c r="MM9" s="111" t="str">
        <f t="shared" si="123"/>
        <v/>
      </c>
      <c r="MN9" s="111" t="str">
        <f t="shared" si="123"/>
        <v/>
      </c>
      <c r="MO9" s="111" t="str">
        <f t="shared" si="123"/>
        <v/>
      </c>
      <c r="MP9" s="111" t="str">
        <f t="shared" si="123"/>
        <v/>
      </c>
      <c r="MQ9" s="111" t="str">
        <f t="shared" si="123"/>
        <v/>
      </c>
      <c r="MR9" s="111" t="str">
        <f t="shared" si="123"/>
        <v/>
      </c>
      <c r="MS9" s="111" t="str">
        <f t="shared" si="123"/>
        <v/>
      </c>
      <c r="MT9" s="111" t="str">
        <f t="shared" si="123"/>
        <v/>
      </c>
      <c r="MU9" s="111" t="str">
        <f t="shared" si="123"/>
        <v/>
      </c>
      <c r="MV9" s="111" t="str">
        <f t="shared" si="123"/>
        <v/>
      </c>
      <c r="MW9" s="111" t="str">
        <f t="shared" si="123"/>
        <v/>
      </c>
      <c r="MX9" s="111" t="str">
        <f t="shared" si="123"/>
        <v/>
      </c>
      <c r="MY9" s="111" t="str">
        <f t="shared" si="123"/>
        <v/>
      </c>
      <c r="MZ9" s="111" t="str">
        <f t="shared" si="123"/>
        <v/>
      </c>
      <c r="NA9" s="111" t="str">
        <f t="shared" si="123"/>
        <v/>
      </c>
      <c r="NB9" s="111" t="str">
        <f t="shared" si="123"/>
        <v/>
      </c>
      <c r="NC9" s="111" t="str">
        <f t="shared" si="123"/>
        <v/>
      </c>
      <c r="ND9" s="111" t="str">
        <f t="shared" si="123"/>
        <v/>
      </c>
      <c r="NE9" s="111" t="str">
        <f t="shared" si="123"/>
        <v/>
      </c>
      <c r="NF9" s="111" t="str">
        <f t="shared" ref="NF9:OZ9" si="124">IF(OR(NF13="",NF17="",NF14="",NF15="",NF16="",NF18="",NF19="",NF20="",NF21=""),"",88%)</f>
        <v/>
      </c>
      <c r="NG9" s="111" t="str">
        <f t="shared" ref="NG9:OH9" si="125">IF(OR(NG13="",NG17="",NG14="",NG15="",NG16="",NG18="",NG19="",NG20="",NG21=""),"",88%)</f>
        <v/>
      </c>
      <c r="NH9" s="111" t="str">
        <f t="shared" si="125"/>
        <v/>
      </c>
      <c r="NI9" s="111" t="str">
        <f t="shared" si="125"/>
        <v/>
      </c>
      <c r="NJ9" s="111" t="str">
        <f t="shared" si="125"/>
        <v/>
      </c>
      <c r="NK9" s="111" t="str">
        <f t="shared" si="125"/>
        <v/>
      </c>
      <c r="NL9" s="111" t="str">
        <f t="shared" si="125"/>
        <v/>
      </c>
      <c r="NM9" s="111" t="str">
        <f t="shared" si="125"/>
        <v/>
      </c>
      <c r="NN9" s="111" t="str">
        <f t="shared" si="125"/>
        <v/>
      </c>
      <c r="NO9" s="111" t="str">
        <f t="shared" si="125"/>
        <v/>
      </c>
      <c r="NP9" s="111" t="str">
        <f t="shared" si="125"/>
        <v/>
      </c>
      <c r="NQ9" s="111" t="str">
        <f t="shared" si="125"/>
        <v/>
      </c>
      <c r="NR9" s="111" t="str">
        <f t="shared" si="125"/>
        <v/>
      </c>
      <c r="NS9" s="111" t="str">
        <f t="shared" si="125"/>
        <v/>
      </c>
      <c r="NT9" s="111" t="str">
        <f t="shared" si="125"/>
        <v/>
      </c>
      <c r="NU9" s="111" t="str">
        <f t="shared" si="125"/>
        <v/>
      </c>
      <c r="NV9" s="111" t="str">
        <f t="shared" si="125"/>
        <v/>
      </c>
      <c r="NW9" s="111" t="str">
        <f t="shared" si="125"/>
        <v/>
      </c>
      <c r="NX9" s="111" t="str">
        <f t="shared" si="125"/>
        <v/>
      </c>
      <c r="NY9" s="111" t="str">
        <f t="shared" si="125"/>
        <v/>
      </c>
      <c r="NZ9" s="111" t="str">
        <f t="shared" si="125"/>
        <v/>
      </c>
      <c r="OA9" s="111" t="str">
        <f t="shared" si="125"/>
        <v/>
      </c>
      <c r="OB9" s="111" t="str">
        <f t="shared" si="125"/>
        <v/>
      </c>
      <c r="OC9" s="111" t="str">
        <f t="shared" si="125"/>
        <v/>
      </c>
      <c r="OD9" s="111" t="str">
        <f t="shared" si="125"/>
        <v/>
      </c>
      <c r="OE9" s="111" t="str">
        <f t="shared" si="125"/>
        <v/>
      </c>
      <c r="OF9" s="111" t="str">
        <f t="shared" si="125"/>
        <v/>
      </c>
      <c r="OG9" s="111" t="str">
        <f t="shared" si="125"/>
        <v/>
      </c>
      <c r="OH9" s="111" t="str">
        <f t="shared" si="125"/>
        <v/>
      </c>
      <c r="OI9" s="111" t="str">
        <f t="shared" si="124"/>
        <v/>
      </c>
      <c r="OJ9" s="111" t="str">
        <f t="shared" si="124"/>
        <v/>
      </c>
      <c r="OK9" s="111" t="str">
        <f t="shared" si="124"/>
        <v/>
      </c>
      <c r="OL9" s="111" t="str">
        <f t="shared" si="124"/>
        <v/>
      </c>
      <c r="OM9" s="111" t="str">
        <f t="shared" si="124"/>
        <v/>
      </c>
      <c r="ON9" s="111" t="str">
        <f t="shared" si="124"/>
        <v/>
      </c>
      <c r="OO9" s="111" t="str">
        <f t="shared" si="124"/>
        <v/>
      </c>
      <c r="OP9" s="111" t="str">
        <f t="shared" si="124"/>
        <v/>
      </c>
      <c r="OQ9" s="111" t="str">
        <f t="shared" si="124"/>
        <v/>
      </c>
      <c r="OR9" s="111" t="str">
        <f t="shared" si="124"/>
        <v/>
      </c>
      <c r="OS9" s="111" t="str">
        <f t="shared" si="124"/>
        <v/>
      </c>
      <c r="OT9" s="111" t="str">
        <f t="shared" si="124"/>
        <v/>
      </c>
      <c r="OU9" s="111" t="str">
        <f t="shared" si="124"/>
        <v/>
      </c>
      <c r="OV9" s="111" t="str">
        <f t="shared" si="124"/>
        <v/>
      </c>
      <c r="OW9" s="111" t="str">
        <f t="shared" si="124"/>
        <v/>
      </c>
      <c r="OX9" s="111" t="str">
        <f t="shared" si="124"/>
        <v/>
      </c>
      <c r="OY9" s="111" t="str">
        <f t="shared" si="124"/>
        <v/>
      </c>
      <c r="OZ9" s="111" t="str">
        <f t="shared" si="124"/>
        <v/>
      </c>
      <c r="PA9" s="111" t="str">
        <f t="shared" ref="PA9:PL9" si="126">IF(OR(PA13="",PA17="",PA14="",PA15="",PA16="",PA18="",PA19="",PA20="",PA21=""),"",88%)</f>
        <v/>
      </c>
      <c r="PB9" s="111" t="str">
        <f t="shared" si="126"/>
        <v/>
      </c>
      <c r="PC9" s="111" t="str">
        <f t="shared" si="126"/>
        <v/>
      </c>
      <c r="PD9" s="111" t="str">
        <f t="shared" si="126"/>
        <v/>
      </c>
      <c r="PE9" s="111" t="str">
        <f t="shared" si="126"/>
        <v/>
      </c>
      <c r="PF9" s="111" t="str">
        <f t="shared" si="126"/>
        <v/>
      </c>
      <c r="PG9" s="111" t="str">
        <f t="shared" si="126"/>
        <v/>
      </c>
      <c r="PH9" s="111" t="str">
        <f t="shared" si="126"/>
        <v/>
      </c>
      <c r="PI9" s="111" t="str">
        <f t="shared" si="126"/>
        <v/>
      </c>
      <c r="PJ9" s="111" t="str">
        <f t="shared" si="126"/>
        <v/>
      </c>
      <c r="PK9" s="111" t="str">
        <f t="shared" si="126"/>
        <v/>
      </c>
      <c r="PL9" s="111" t="str">
        <f t="shared" si="126"/>
        <v/>
      </c>
      <c r="PM9" s="111" t="str">
        <f t="shared" ref="PM9:QO9" si="127">IF(OR(PM13="",PM17="",PM14="",PM15="",PM16="",PM18="",PM19="",PM20="",PM21=""),"",88%)</f>
        <v/>
      </c>
      <c r="PN9" s="111" t="str">
        <f t="shared" si="127"/>
        <v/>
      </c>
      <c r="PO9" s="111" t="str">
        <f t="shared" si="127"/>
        <v/>
      </c>
      <c r="PP9" s="111" t="str">
        <f t="shared" si="127"/>
        <v/>
      </c>
      <c r="PQ9" s="111" t="str">
        <f t="shared" si="127"/>
        <v/>
      </c>
      <c r="PR9" s="111" t="str">
        <f t="shared" si="127"/>
        <v/>
      </c>
      <c r="PS9" s="111" t="str">
        <f t="shared" si="127"/>
        <v/>
      </c>
      <c r="PT9" s="111" t="str">
        <f t="shared" si="127"/>
        <v/>
      </c>
      <c r="PU9" s="111" t="str">
        <f t="shared" si="127"/>
        <v/>
      </c>
      <c r="PV9" s="111" t="str">
        <f t="shared" si="127"/>
        <v/>
      </c>
      <c r="PW9" s="111" t="str">
        <f t="shared" si="127"/>
        <v/>
      </c>
      <c r="PX9" s="111" t="str">
        <f t="shared" si="127"/>
        <v/>
      </c>
      <c r="PY9" s="111" t="str">
        <f t="shared" si="127"/>
        <v/>
      </c>
      <c r="PZ9" s="111" t="str">
        <f t="shared" si="127"/>
        <v/>
      </c>
      <c r="QA9" s="111" t="str">
        <f t="shared" si="127"/>
        <v/>
      </c>
      <c r="QB9" s="111" t="str">
        <f t="shared" si="127"/>
        <v/>
      </c>
      <c r="QC9" s="111" t="str">
        <f t="shared" si="127"/>
        <v/>
      </c>
      <c r="QD9" s="111" t="str">
        <f t="shared" si="127"/>
        <v/>
      </c>
      <c r="QE9" s="111" t="str">
        <f t="shared" si="127"/>
        <v/>
      </c>
      <c r="QF9" s="111" t="str">
        <f t="shared" si="127"/>
        <v/>
      </c>
      <c r="QG9" s="111" t="str">
        <f t="shared" si="127"/>
        <v/>
      </c>
      <c r="QH9" s="111" t="str">
        <f t="shared" si="127"/>
        <v/>
      </c>
      <c r="QI9" s="111" t="str">
        <f t="shared" si="127"/>
        <v/>
      </c>
      <c r="QJ9" s="111" t="str">
        <f t="shared" si="127"/>
        <v/>
      </c>
      <c r="QK9" s="111" t="str">
        <f t="shared" si="127"/>
        <v/>
      </c>
      <c r="QL9" s="111" t="str">
        <f t="shared" si="127"/>
        <v/>
      </c>
      <c r="QM9" s="111" t="str">
        <f t="shared" si="127"/>
        <v/>
      </c>
      <c r="QN9" s="111" t="str">
        <f t="shared" si="127"/>
        <v/>
      </c>
      <c r="QO9" s="111" t="str">
        <f t="shared" si="127"/>
        <v/>
      </c>
      <c r="QP9" s="111" t="str">
        <f t="shared" ref="QP9:QQ9" si="128">IF(OR(QP13="",QP17="",QP14="",QP15="",QP16="",QP18="",QP19="",QP20="",QP21=""),"",88%)</f>
        <v/>
      </c>
      <c r="QQ9" s="111" t="str">
        <f t="shared" si="128"/>
        <v/>
      </c>
      <c r="QR9" s="111" t="str">
        <f t="shared" ref="QR9:RS9" si="129">IF(OR(QR13="",QR17="",QR14="",QR15="",QR16="",QR18="",QR19="",QR20="",QR21=""),"",88%)</f>
        <v/>
      </c>
      <c r="QS9" s="111" t="str">
        <f t="shared" si="129"/>
        <v/>
      </c>
      <c r="QT9" s="111" t="str">
        <f t="shared" si="129"/>
        <v/>
      </c>
      <c r="QU9" s="111" t="str">
        <f t="shared" si="129"/>
        <v/>
      </c>
      <c r="QV9" s="111" t="str">
        <f t="shared" si="129"/>
        <v/>
      </c>
      <c r="QW9" s="111" t="str">
        <f t="shared" si="129"/>
        <v/>
      </c>
      <c r="QX9" s="111" t="str">
        <f t="shared" si="129"/>
        <v/>
      </c>
      <c r="QY9" s="111" t="str">
        <f t="shared" si="129"/>
        <v/>
      </c>
      <c r="QZ9" s="111" t="str">
        <f t="shared" si="129"/>
        <v/>
      </c>
      <c r="RA9" s="111" t="str">
        <f t="shared" si="129"/>
        <v/>
      </c>
      <c r="RB9" s="111" t="str">
        <f t="shared" si="129"/>
        <v/>
      </c>
      <c r="RC9" s="111" t="str">
        <f t="shared" si="129"/>
        <v/>
      </c>
      <c r="RD9" s="111" t="str">
        <f t="shared" si="129"/>
        <v/>
      </c>
      <c r="RE9" s="111" t="str">
        <f t="shared" si="129"/>
        <v/>
      </c>
      <c r="RF9" s="111" t="str">
        <f t="shared" si="129"/>
        <v/>
      </c>
      <c r="RG9" s="111" t="str">
        <f t="shared" si="129"/>
        <v/>
      </c>
      <c r="RH9" s="111" t="str">
        <f t="shared" si="129"/>
        <v/>
      </c>
      <c r="RI9" s="111" t="str">
        <f t="shared" si="129"/>
        <v/>
      </c>
      <c r="RJ9" s="111" t="str">
        <f t="shared" si="129"/>
        <v/>
      </c>
      <c r="RK9" s="111" t="str">
        <f t="shared" si="129"/>
        <v/>
      </c>
      <c r="RL9" s="111" t="str">
        <f t="shared" si="129"/>
        <v/>
      </c>
      <c r="RM9" s="111" t="str">
        <f t="shared" si="129"/>
        <v/>
      </c>
      <c r="RN9" s="111" t="str">
        <f t="shared" si="129"/>
        <v/>
      </c>
      <c r="RO9" s="111" t="str">
        <f t="shared" si="129"/>
        <v/>
      </c>
      <c r="RP9" s="111" t="str">
        <f t="shared" si="129"/>
        <v/>
      </c>
      <c r="RQ9" s="111" t="str">
        <f t="shared" si="129"/>
        <v/>
      </c>
      <c r="RR9" s="111" t="str">
        <f t="shared" si="129"/>
        <v/>
      </c>
      <c r="RS9" s="111" t="str">
        <f t="shared" si="129"/>
        <v/>
      </c>
      <c r="RT9" s="111" t="str">
        <f t="shared" ref="RT9:RU9" si="130">IF(OR(RT13="",RT17="",RT14="",RT15="",RT16="",RT18="",RT19="",RT20="",RT21=""),"",88%)</f>
        <v/>
      </c>
      <c r="RU9" s="111" t="str">
        <f t="shared" si="130"/>
        <v/>
      </c>
      <c r="RV9" s="111" t="str">
        <f t="shared" ref="RV9:SW9" si="131">IF(OR(RV13="",RV17="",RV14="",RV15="",RV16="",RV18="",RV19="",RV20="",RV21=""),"",88%)</f>
        <v/>
      </c>
      <c r="RW9" s="111" t="str">
        <f t="shared" si="131"/>
        <v/>
      </c>
      <c r="RX9" s="111" t="str">
        <f t="shared" si="131"/>
        <v/>
      </c>
      <c r="RY9" s="111" t="str">
        <f t="shared" si="131"/>
        <v/>
      </c>
      <c r="RZ9" s="111" t="str">
        <f t="shared" si="131"/>
        <v/>
      </c>
      <c r="SA9" s="111" t="str">
        <f t="shared" si="131"/>
        <v/>
      </c>
      <c r="SB9" s="111" t="str">
        <f t="shared" si="131"/>
        <v/>
      </c>
      <c r="SC9" s="111" t="str">
        <f t="shared" si="131"/>
        <v/>
      </c>
      <c r="SD9" s="111" t="str">
        <f t="shared" si="131"/>
        <v/>
      </c>
      <c r="SE9" s="111" t="str">
        <f t="shared" si="131"/>
        <v/>
      </c>
      <c r="SF9" s="111" t="str">
        <f t="shared" si="131"/>
        <v/>
      </c>
      <c r="SG9" s="111" t="str">
        <f t="shared" si="131"/>
        <v/>
      </c>
      <c r="SH9" s="111" t="str">
        <f t="shared" si="131"/>
        <v/>
      </c>
      <c r="SI9" s="111" t="str">
        <f t="shared" si="131"/>
        <v/>
      </c>
      <c r="SJ9" s="111" t="str">
        <f t="shared" si="131"/>
        <v/>
      </c>
      <c r="SK9" s="111" t="str">
        <f t="shared" si="131"/>
        <v/>
      </c>
      <c r="SL9" s="111" t="str">
        <f t="shared" si="131"/>
        <v/>
      </c>
      <c r="SM9" s="111" t="str">
        <f t="shared" si="131"/>
        <v/>
      </c>
      <c r="SN9" s="111" t="str">
        <f t="shared" si="131"/>
        <v/>
      </c>
      <c r="SO9" s="111" t="str">
        <f t="shared" si="131"/>
        <v/>
      </c>
      <c r="SP9" s="111" t="str">
        <f t="shared" si="131"/>
        <v/>
      </c>
      <c r="SQ9" s="111" t="str">
        <f t="shared" si="131"/>
        <v/>
      </c>
      <c r="SR9" s="111" t="str">
        <f t="shared" si="131"/>
        <v/>
      </c>
      <c r="SS9" s="111" t="str">
        <f t="shared" si="131"/>
        <v/>
      </c>
      <c r="ST9" s="111" t="str">
        <f t="shared" si="131"/>
        <v/>
      </c>
      <c r="SU9" s="111" t="str">
        <f t="shared" si="131"/>
        <v/>
      </c>
      <c r="SV9" s="111" t="str">
        <f t="shared" si="131"/>
        <v/>
      </c>
      <c r="SW9" s="111" t="str">
        <f t="shared" si="131"/>
        <v/>
      </c>
    </row>
    <row r="10" spans="1:517" ht="24.6" customHeight="1" x14ac:dyDescent="0.2">
      <c r="B1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0"/>
      <c r="CK10" s="120"/>
      <c r="CL10" s="120"/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0"/>
      <c r="DZ10" s="120"/>
      <c r="EA10" s="120"/>
      <c r="EB10" s="120"/>
      <c r="EC10" s="120"/>
      <c r="ED10" s="120"/>
      <c r="EE10" s="120"/>
      <c r="EF10" s="120"/>
      <c r="EG10" s="120"/>
      <c r="EH10" s="120"/>
      <c r="EI10" s="120"/>
      <c r="EJ10" s="120"/>
      <c r="EK10" s="120"/>
      <c r="EL10" s="120"/>
      <c r="EM10" s="120"/>
      <c r="EN10" s="120"/>
      <c r="EO10" s="120"/>
      <c r="EP10" s="120"/>
      <c r="EQ10" s="120"/>
      <c r="ER10" s="120"/>
      <c r="ES10" s="120"/>
      <c r="ET10" s="120"/>
      <c r="EU10" s="120"/>
      <c r="EV10" s="120"/>
      <c r="EW10" s="120"/>
      <c r="EX10" s="120"/>
      <c r="EY10" s="120"/>
      <c r="EZ10" s="120"/>
      <c r="FA10" s="120"/>
      <c r="FB10" s="120"/>
      <c r="FC10" s="120"/>
      <c r="FD10" s="120"/>
      <c r="FE10" s="120"/>
      <c r="FF10" s="120"/>
      <c r="FG10" s="120"/>
      <c r="FH10" s="120"/>
      <c r="FI10" s="120"/>
      <c r="FJ10" s="120"/>
      <c r="FK10" s="120"/>
      <c r="FL10" s="120"/>
      <c r="FM10" s="120"/>
      <c r="FN10" s="120"/>
      <c r="FO10" s="120"/>
      <c r="FP10" s="120"/>
      <c r="FQ10" s="120"/>
      <c r="FR10" s="120"/>
      <c r="FS10" s="120"/>
      <c r="FT10" s="120"/>
      <c r="FU10" s="120"/>
      <c r="FV10" s="120"/>
      <c r="FW10" s="120"/>
      <c r="FX10" s="120"/>
      <c r="FY10" s="120"/>
      <c r="FZ10" s="120"/>
      <c r="GA10" s="120"/>
      <c r="GB10" s="120"/>
      <c r="GC10" s="120"/>
      <c r="GD10" s="120"/>
      <c r="GE10" s="120"/>
      <c r="GF10" s="120"/>
      <c r="GG10" s="120"/>
      <c r="GH10" s="120"/>
      <c r="GI10" s="120"/>
      <c r="GJ10" s="120"/>
      <c r="GK10" s="120"/>
      <c r="GL10" s="120"/>
      <c r="GM10" s="120"/>
      <c r="GN10" s="120"/>
      <c r="GO10" s="120"/>
      <c r="GP10" s="120"/>
      <c r="GQ10" s="120"/>
      <c r="GR10" s="120"/>
      <c r="GS10" s="120"/>
      <c r="GT10" s="120"/>
      <c r="GU10" s="120"/>
      <c r="GV10" s="120"/>
      <c r="GW10" s="120"/>
      <c r="GX10" s="120"/>
      <c r="GY10" s="120"/>
      <c r="GZ10" s="120"/>
      <c r="HA10" s="120"/>
      <c r="HB10" s="120"/>
      <c r="HC10" s="120"/>
      <c r="HD10" s="120"/>
      <c r="HE10" s="120"/>
      <c r="HF10" s="120"/>
      <c r="HG10" s="120"/>
      <c r="HH10" s="120"/>
      <c r="HI10" s="120"/>
      <c r="HJ10" s="120"/>
      <c r="HK10" s="120"/>
      <c r="HL10" s="120"/>
      <c r="HM10" s="120"/>
      <c r="HN10" s="120"/>
      <c r="HO10" s="120"/>
      <c r="HP10" s="120"/>
      <c r="HQ10" s="120"/>
      <c r="HR10" s="120"/>
      <c r="HS10" s="120"/>
      <c r="HT10" s="120"/>
      <c r="HU10" s="120"/>
      <c r="HV10" s="120"/>
      <c r="HW10" s="120"/>
      <c r="HX10" s="120"/>
      <c r="HY10" s="120"/>
      <c r="HZ10" s="120"/>
      <c r="IA10" s="120"/>
      <c r="IB10" s="120"/>
      <c r="IC10" s="120"/>
      <c r="ID10" s="120"/>
      <c r="IE10" s="120"/>
      <c r="IF10" s="120"/>
      <c r="IG10" s="120"/>
      <c r="IH10" s="120"/>
      <c r="II10" s="120"/>
      <c r="IJ10" s="120"/>
      <c r="IK10" s="120"/>
      <c r="IL10" s="120"/>
      <c r="IM10" s="120"/>
      <c r="IN10" s="120"/>
      <c r="IO10" s="120"/>
      <c r="IP10" s="120"/>
      <c r="IQ10" s="120"/>
      <c r="IR10" s="120"/>
      <c r="IS10" s="120"/>
      <c r="IT10" s="120"/>
      <c r="IU10" s="120"/>
      <c r="IV10" s="120"/>
      <c r="IW10" s="120"/>
      <c r="IX10" s="120"/>
      <c r="IY10" s="120"/>
      <c r="IZ10" s="120"/>
      <c r="JA10" s="120"/>
      <c r="JB10" s="120"/>
      <c r="JC10" s="120"/>
      <c r="JD10" s="120"/>
      <c r="JE10" s="120"/>
      <c r="JF10" s="120"/>
      <c r="JG10" s="120"/>
      <c r="JH10" s="120"/>
      <c r="JI10" s="120"/>
      <c r="JJ10" s="120"/>
      <c r="JK10" s="120"/>
      <c r="JL10" s="120"/>
      <c r="JM10" s="120"/>
      <c r="JN10" s="120"/>
      <c r="JO10" s="120"/>
      <c r="JP10" s="120"/>
      <c r="JQ10" s="120"/>
      <c r="JR10" s="120"/>
      <c r="JS10" s="120"/>
      <c r="JT10" s="120"/>
      <c r="JU10" s="120"/>
      <c r="JV10" s="120"/>
      <c r="JW10" s="120"/>
      <c r="JX10" s="120"/>
      <c r="JY10" s="120"/>
      <c r="JZ10" s="120"/>
      <c r="KA10" s="120"/>
      <c r="KB10" s="120"/>
      <c r="KC10" s="120"/>
      <c r="KD10" s="120"/>
      <c r="KE10" s="120"/>
      <c r="KF10" s="120"/>
      <c r="KG10" s="120"/>
      <c r="KH10" s="120"/>
      <c r="KI10" s="120"/>
      <c r="KJ10" s="120"/>
      <c r="KK10" s="120"/>
      <c r="KL10" s="120"/>
      <c r="KM10" s="120"/>
      <c r="KN10" s="120"/>
      <c r="KO10" s="120"/>
      <c r="KP10" s="120"/>
      <c r="KQ10" s="120"/>
      <c r="KR10" s="120"/>
      <c r="KS10" s="120"/>
      <c r="KT10" s="120"/>
      <c r="KU10" s="120"/>
      <c r="KV10" s="120"/>
      <c r="KW10" s="120"/>
      <c r="KX10" s="120"/>
      <c r="KY10" s="120"/>
      <c r="KZ10" s="120"/>
      <c r="LA10" s="120"/>
      <c r="LB10" s="120"/>
      <c r="LC10" s="120"/>
      <c r="LD10" s="120"/>
      <c r="LE10" s="120"/>
      <c r="LF10" s="120"/>
      <c r="LG10" s="120"/>
      <c r="LH10" s="120"/>
      <c r="LI10" s="120"/>
      <c r="LJ10" s="120"/>
      <c r="LK10" s="120"/>
      <c r="LL10" s="120"/>
      <c r="LM10" s="120"/>
      <c r="LN10" s="120"/>
      <c r="LO10" s="120"/>
      <c r="LP10" s="120"/>
      <c r="LQ10" s="120"/>
      <c r="LR10" s="120"/>
      <c r="LS10" s="120"/>
      <c r="LT10" s="120"/>
      <c r="LU10" s="120"/>
      <c r="LV10" s="120"/>
      <c r="LW10" s="120"/>
      <c r="LX10" s="120"/>
      <c r="LY10" s="120"/>
      <c r="LZ10" s="120"/>
      <c r="MA10" s="120"/>
      <c r="MB10" s="120"/>
      <c r="MC10" s="120"/>
      <c r="MD10" s="120"/>
      <c r="ME10" s="120"/>
      <c r="MF10" s="120"/>
      <c r="MG10" s="120"/>
      <c r="MH10" s="120"/>
      <c r="MI10" s="120"/>
      <c r="MJ10" s="120"/>
      <c r="MK10" s="120"/>
      <c r="ML10" s="120"/>
      <c r="MM10" s="120"/>
      <c r="MN10" s="120"/>
      <c r="MO10" s="120"/>
      <c r="MP10" s="120"/>
      <c r="MQ10" s="120"/>
      <c r="MR10" s="120"/>
      <c r="MS10" s="120"/>
      <c r="MT10" s="120"/>
      <c r="MU10" s="120"/>
      <c r="MV10" s="120"/>
      <c r="MW10" s="120"/>
      <c r="MX10" s="120"/>
      <c r="MY10" s="120"/>
      <c r="MZ10" s="120"/>
      <c r="NA10" s="120"/>
      <c r="NB10" s="120"/>
      <c r="NC10" s="120"/>
      <c r="ND10" s="120"/>
      <c r="NE10" s="120"/>
      <c r="NF10" s="120"/>
      <c r="NG10" s="120"/>
      <c r="NH10" s="120"/>
      <c r="NI10" s="120"/>
      <c r="NJ10" s="120"/>
      <c r="NK10" s="120"/>
      <c r="NL10" s="120"/>
      <c r="NM10" s="120"/>
      <c r="NN10" s="120"/>
      <c r="NO10" s="120"/>
      <c r="NP10" s="120"/>
      <c r="NQ10" s="120"/>
      <c r="NR10" s="120"/>
      <c r="NS10" s="120"/>
      <c r="NT10" s="120"/>
      <c r="NU10" s="120"/>
      <c r="NV10" s="120"/>
      <c r="NW10" s="120"/>
      <c r="NX10" s="120"/>
      <c r="NY10" s="120"/>
      <c r="NZ10" s="120"/>
      <c r="OA10" s="120"/>
      <c r="OB10" s="120"/>
      <c r="OC10" s="120"/>
      <c r="OD10" s="120"/>
      <c r="OE10" s="120"/>
      <c r="OF10" s="120"/>
      <c r="OG10" s="120"/>
      <c r="OH10" s="120"/>
      <c r="OI10" s="120"/>
      <c r="OJ10" s="120"/>
      <c r="OK10" s="120"/>
      <c r="OL10" s="120"/>
      <c r="OM10" s="120"/>
      <c r="ON10" s="120"/>
      <c r="OO10" s="120"/>
      <c r="OP10" s="120"/>
      <c r="OQ10" s="120"/>
      <c r="OR10" s="120"/>
      <c r="OS10" s="120"/>
      <c r="OT10" s="120"/>
      <c r="OU10" s="120"/>
      <c r="OV10" s="120"/>
      <c r="OW10" s="120"/>
      <c r="OX10" s="120"/>
      <c r="OY10" s="120"/>
      <c r="OZ10" s="120"/>
      <c r="PA10" s="120"/>
      <c r="PB10" s="120"/>
      <c r="PC10" s="120"/>
      <c r="PD10" s="120"/>
      <c r="PE10" s="120"/>
      <c r="PF10" s="120"/>
      <c r="PG10" s="120"/>
      <c r="PH10" s="120"/>
      <c r="PI10" s="120"/>
      <c r="PJ10" s="120"/>
      <c r="PK10" s="120"/>
      <c r="PL10" s="120"/>
      <c r="PM10" s="120"/>
      <c r="PN10" s="120"/>
      <c r="PO10" s="120"/>
      <c r="PP10" s="120"/>
      <c r="PQ10" s="120"/>
      <c r="PR10" s="120"/>
      <c r="PS10" s="120"/>
      <c r="PT10" s="120"/>
      <c r="PU10" s="120"/>
      <c r="PV10" s="120"/>
      <c r="PW10" s="120"/>
      <c r="PX10" s="120"/>
      <c r="PY10" s="120"/>
      <c r="PZ10" s="120"/>
      <c r="QA10" s="120"/>
      <c r="QB10" s="120"/>
      <c r="QC10" s="120"/>
      <c r="QD10" s="120"/>
      <c r="QE10" s="120"/>
      <c r="QF10" s="120"/>
      <c r="QG10" s="120"/>
      <c r="QH10" s="120"/>
      <c r="QI10" s="120"/>
      <c r="QJ10" s="120"/>
      <c r="QK10" s="120"/>
      <c r="QL10" s="120"/>
      <c r="QM10" s="120"/>
      <c r="QN10" s="120"/>
      <c r="QO10" s="120"/>
      <c r="QP10" s="120"/>
      <c r="QQ10" s="120"/>
      <c r="QR10" s="120"/>
      <c r="QS10" s="120"/>
      <c r="QT10" s="120"/>
      <c r="QU10" s="120"/>
      <c r="QV10" s="120"/>
      <c r="QW10" s="120"/>
      <c r="QX10" s="120"/>
      <c r="QY10" s="120"/>
      <c r="QZ10" s="120"/>
      <c r="RA10" s="120"/>
      <c r="RB10" s="120"/>
      <c r="RC10" s="120"/>
      <c r="RD10" s="120"/>
      <c r="RE10" s="120"/>
      <c r="RF10" s="120"/>
      <c r="RG10" s="120"/>
      <c r="RH10" s="120"/>
      <c r="RI10" s="120"/>
      <c r="RJ10" s="120"/>
      <c r="RK10" s="120"/>
      <c r="RL10" s="120"/>
      <c r="RM10" s="120"/>
      <c r="RN10" s="120"/>
      <c r="RO10" s="120"/>
      <c r="RP10" s="120"/>
      <c r="RQ10" s="120"/>
      <c r="RR10" s="120"/>
      <c r="RS10" s="120"/>
      <c r="RT10" s="120"/>
      <c r="RU10" s="120"/>
      <c r="RV10" s="120"/>
      <c r="RW10" s="120"/>
      <c r="RX10" s="120"/>
      <c r="RY10" s="120"/>
      <c r="RZ10" s="120"/>
      <c r="SA10" s="120"/>
      <c r="SB10" s="120"/>
      <c r="SC10" s="120"/>
      <c r="SD10" s="120"/>
      <c r="SE10" s="120"/>
      <c r="SF10" s="120"/>
      <c r="SG10" s="120"/>
      <c r="SH10" s="120"/>
      <c r="SI10" s="120"/>
      <c r="SJ10" s="120"/>
      <c r="SK10" s="120"/>
      <c r="SL10" s="120"/>
      <c r="SM10" s="120"/>
      <c r="SN10" s="120"/>
      <c r="SO10" s="120"/>
      <c r="SP10" s="120"/>
      <c r="SQ10" s="120"/>
      <c r="SR10" s="120"/>
      <c r="SS10" s="120"/>
      <c r="ST10" s="120"/>
      <c r="SU10" s="120"/>
      <c r="SV10" s="120"/>
      <c r="SW10" s="120"/>
    </row>
    <row r="11" spans="1:517" s="40" customFormat="1" ht="24.6" customHeight="1" x14ac:dyDescent="0.2">
      <c r="A11" s="2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FB11"/>
    </row>
    <row r="12" spans="1:517" s="40" customFormat="1" ht="24.6" customHeight="1" x14ac:dyDescent="0.2">
      <c r="A12" s="28"/>
      <c r="B12" s="121" t="s">
        <v>34</v>
      </c>
      <c r="DS12" s="40">
        <v>2</v>
      </c>
      <c r="DT12" s="40">
        <v>3</v>
      </c>
      <c r="DU12" s="40">
        <v>4</v>
      </c>
      <c r="DV12" s="40">
        <v>5</v>
      </c>
      <c r="DW12" s="40">
        <v>6</v>
      </c>
      <c r="DX12" s="40">
        <v>7</v>
      </c>
      <c r="DY12" s="40">
        <v>8</v>
      </c>
      <c r="DZ12" s="40">
        <v>9</v>
      </c>
      <c r="EA12" s="40">
        <v>10</v>
      </c>
      <c r="EB12" s="40">
        <v>11</v>
      </c>
      <c r="EC12" s="40">
        <v>12</v>
      </c>
      <c r="ED12" s="40">
        <v>13</v>
      </c>
      <c r="EE12" s="40">
        <v>14</v>
      </c>
      <c r="EF12" s="40">
        <v>15</v>
      </c>
      <c r="EG12" s="40">
        <v>16</v>
      </c>
      <c r="EH12" s="40">
        <v>17</v>
      </c>
      <c r="EI12" s="40">
        <v>18</v>
      </c>
      <c r="EJ12" s="40">
        <v>19</v>
      </c>
      <c r="EK12" s="40">
        <v>20</v>
      </c>
      <c r="EL12" s="40">
        <v>21</v>
      </c>
      <c r="EM12" s="40">
        <v>22</v>
      </c>
      <c r="EN12" s="40">
        <v>23</v>
      </c>
      <c r="EO12" s="40">
        <v>24</v>
      </c>
      <c r="EP12" s="40">
        <v>25</v>
      </c>
      <c r="EQ12" s="40">
        <v>26</v>
      </c>
      <c r="ER12" s="40">
        <v>27</v>
      </c>
      <c r="ES12" s="40">
        <v>28</v>
      </c>
      <c r="ET12" s="40">
        <v>29</v>
      </c>
      <c r="EU12" s="40">
        <v>30</v>
      </c>
      <c r="EV12" s="40">
        <v>31</v>
      </c>
      <c r="EX12" s="40">
        <v>2</v>
      </c>
      <c r="EY12" s="40">
        <v>3</v>
      </c>
      <c r="EZ12" s="40">
        <v>4</v>
      </c>
      <c r="FA12" s="40">
        <v>0</v>
      </c>
      <c r="FB12" s="40">
        <v>5</v>
      </c>
      <c r="FC12" s="40">
        <v>0</v>
      </c>
      <c r="FD12" s="40">
        <v>6</v>
      </c>
      <c r="FE12" s="40">
        <v>7</v>
      </c>
      <c r="FF12" s="40">
        <v>8</v>
      </c>
      <c r="FG12" s="40">
        <v>9</v>
      </c>
      <c r="FH12" s="40">
        <v>10</v>
      </c>
      <c r="FI12" s="40">
        <v>11</v>
      </c>
      <c r="FJ12" s="40">
        <v>12</v>
      </c>
      <c r="FK12" s="40">
        <v>13</v>
      </c>
      <c r="FL12" s="40">
        <v>14</v>
      </c>
      <c r="FM12" s="40">
        <v>15</v>
      </c>
      <c r="FN12" s="40">
        <v>16</v>
      </c>
      <c r="FO12" s="40">
        <v>17</v>
      </c>
      <c r="FP12" s="40">
        <v>18</v>
      </c>
      <c r="FQ12" s="40">
        <v>19</v>
      </c>
      <c r="FR12" s="40">
        <v>20</v>
      </c>
      <c r="FS12" s="40">
        <v>21</v>
      </c>
      <c r="FT12" s="40">
        <v>22</v>
      </c>
      <c r="FU12" s="40">
        <v>23</v>
      </c>
      <c r="FV12" s="40">
        <v>24</v>
      </c>
      <c r="FW12" s="40">
        <v>25</v>
      </c>
      <c r="FX12" s="40">
        <v>26</v>
      </c>
      <c r="FY12" s="40">
        <v>27</v>
      </c>
      <c r="FZ12" s="40">
        <v>28</v>
      </c>
      <c r="GA12" s="40">
        <v>29</v>
      </c>
      <c r="GB12" s="40">
        <v>2</v>
      </c>
      <c r="GC12" s="40">
        <v>3</v>
      </c>
      <c r="GD12" s="40">
        <v>4</v>
      </c>
      <c r="GE12" s="40">
        <v>5</v>
      </c>
      <c r="GF12" s="40">
        <v>6</v>
      </c>
      <c r="GG12" s="40">
        <v>7</v>
      </c>
      <c r="GH12" s="40">
        <v>8</v>
      </c>
      <c r="GI12" s="40">
        <v>9</v>
      </c>
      <c r="GJ12" s="40">
        <v>10</v>
      </c>
      <c r="GK12" s="40">
        <v>11</v>
      </c>
      <c r="GL12" s="40">
        <v>12</v>
      </c>
      <c r="GM12" s="40">
        <v>13</v>
      </c>
      <c r="GN12" s="40">
        <v>14</v>
      </c>
      <c r="GO12" s="40">
        <v>15</v>
      </c>
      <c r="GP12" s="40">
        <v>16</v>
      </c>
      <c r="GQ12" s="40">
        <v>17</v>
      </c>
      <c r="GR12" s="40">
        <v>18</v>
      </c>
      <c r="GS12" s="40">
        <v>19</v>
      </c>
      <c r="GT12" s="40">
        <v>20</v>
      </c>
      <c r="GU12" s="40">
        <v>21</v>
      </c>
      <c r="GV12" s="40">
        <v>22</v>
      </c>
      <c r="GW12" s="40">
        <v>23</v>
      </c>
      <c r="GX12" s="40">
        <v>24</v>
      </c>
      <c r="GY12" s="40">
        <v>25</v>
      </c>
      <c r="GZ12" s="40">
        <v>26</v>
      </c>
      <c r="HA12" s="40">
        <v>27</v>
      </c>
      <c r="HB12" s="40">
        <v>2</v>
      </c>
      <c r="HC12" s="40">
        <v>3</v>
      </c>
      <c r="HD12" s="40">
        <v>4</v>
      </c>
      <c r="HE12" s="40">
        <v>5</v>
      </c>
      <c r="HF12" s="40">
        <v>6</v>
      </c>
      <c r="HG12" s="40">
        <v>7</v>
      </c>
      <c r="HH12" s="40">
        <v>8</v>
      </c>
      <c r="HI12" s="40">
        <v>9</v>
      </c>
      <c r="HJ12" s="40">
        <v>10</v>
      </c>
      <c r="HK12" s="40">
        <v>11</v>
      </c>
      <c r="HL12" s="40">
        <v>12</v>
      </c>
      <c r="HM12" s="40">
        <v>13</v>
      </c>
      <c r="HN12" s="40">
        <v>14</v>
      </c>
      <c r="HO12" s="40">
        <v>15</v>
      </c>
      <c r="HP12" s="40">
        <v>16</v>
      </c>
      <c r="HQ12" s="40">
        <v>17</v>
      </c>
      <c r="HR12" s="40">
        <v>18</v>
      </c>
      <c r="HS12" s="40">
        <v>19</v>
      </c>
      <c r="HT12" s="40">
        <v>20</v>
      </c>
      <c r="HU12" s="40">
        <v>21</v>
      </c>
      <c r="HV12" s="40">
        <v>22</v>
      </c>
      <c r="HW12" s="40">
        <v>23</v>
      </c>
      <c r="HX12" s="40">
        <v>24</v>
      </c>
      <c r="HY12" s="40">
        <v>25</v>
      </c>
      <c r="HZ12" s="40">
        <v>26</v>
      </c>
      <c r="IA12" s="40">
        <v>27</v>
      </c>
      <c r="IB12" s="40">
        <v>28</v>
      </c>
      <c r="IC12" s="40">
        <v>23</v>
      </c>
      <c r="ID12" s="40">
        <v>24</v>
      </c>
      <c r="IE12" s="40">
        <v>25</v>
      </c>
      <c r="IF12" s="40">
        <v>26</v>
      </c>
      <c r="IG12" s="40">
        <v>27</v>
      </c>
      <c r="IH12" s="40">
        <v>28</v>
      </c>
      <c r="IY12" s="40">
        <v>2</v>
      </c>
      <c r="IZ12" s="40">
        <v>3</v>
      </c>
      <c r="JA12" s="40">
        <v>4</v>
      </c>
      <c r="JB12" s="40">
        <v>5</v>
      </c>
      <c r="JC12" s="40">
        <v>6</v>
      </c>
      <c r="JD12" s="40">
        <v>7</v>
      </c>
      <c r="JE12" s="40">
        <v>8</v>
      </c>
      <c r="JF12" s="40">
        <v>9</v>
      </c>
      <c r="JG12" s="40">
        <v>2</v>
      </c>
      <c r="JH12" s="40">
        <v>3</v>
      </c>
      <c r="JI12" s="40">
        <v>4</v>
      </c>
      <c r="JJ12" s="40">
        <v>5</v>
      </c>
      <c r="JK12" s="40">
        <v>6</v>
      </c>
      <c r="JL12" s="40">
        <v>7</v>
      </c>
      <c r="JM12" s="40">
        <v>8</v>
      </c>
    </row>
    <row r="13" spans="1:517" s="40" customFormat="1" ht="24.6" customHeight="1" x14ac:dyDescent="0.2">
      <c r="A13" s="122" t="s">
        <v>86</v>
      </c>
      <c r="B13" s="123" t="s">
        <v>77</v>
      </c>
      <c r="C13" s="41">
        <v>0</v>
      </c>
      <c r="D13" s="41">
        <v>0</v>
      </c>
      <c r="E13" s="41">
        <v>2.4</v>
      </c>
      <c r="F13" s="41">
        <v>0</v>
      </c>
      <c r="G13" s="41">
        <v>0</v>
      </c>
      <c r="H13" s="41">
        <v>7.22</v>
      </c>
      <c r="I13" s="41">
        <v>1.4700000000000002</v>
      </c>
      <c r="J13" s="41">
        <v>26.5</v>
      </c>
      <c r="K13" s="41">
        <v>0</v>
      </c>
      <c r="L13" s="41">
        <v>0</v>
      </c>
      <c r="M13" s="41">
        <v>0</v>
      </c>
      <c r="N13" s="41">
        <v>8.6</v>
      </c>
      <c r="O13" s="41">
        <v>0</v>
      </c>
      <c r="P13" s="41">
        <v>0</v>
      </c>
      <c r="Q13" s="41">
        <v>0</v>
      </c>
      <c r="R13" s="41">
        <v>20.309999999999999</v>
      </c>
      <c r="S13" s="41">
        <v>0</v>
      </c>
      <c r="T13" s="41">
        <v>0</v>
      </c>
      <c r="U13" s="41">
        <v>0</v>
      </c>
      <c r="V13" s="41">
        <v>5.1000000000000005</v>
      </c>
      <c r="W13" s="41">
        <v>0.22</v>
      </c>
      <c r="X13" s="41">
        <v>0.97</v>
      </c>
      <c r="Y13" s="41">
        <v>6.23</v>
      </c>
      <c r="Z13" s="41">
        <v>0</v>
      </c>
      <c r="AA13" s="41">
        <v>2.8699999999999997</v>
      </c>
      <c r="AB13" s="41">
        <v>0</v>
      </c>
      <c r="AC13" s="41">
        <v>1.1599999999999999</v>
      </c>
      <c r="AD13" s="41">
        <v>3.3800000000000003</v>
      </c>
      <c r="AE13" s="41">
        <v>0</v>
      </c>
      <c r="AF13" s="41">
        <v>0</v>
      </c>
      <c r="AG13" s="41">
        <v>0</v>
      </c>
      <c r="AH13" s="41">
        <v>0</v>
      </c>
      <c r="AI13" s="41">
        <v>10.68</v>
      </c>
      <c r="AJ13" s="41">
        <v>0</v>
      </c>
      <c r="AK13" s="41">
        <v>0</v>
      </c>
      <c r="AL13" s="41">
        <v>0</v>
      </c>
      <c r="AM13" s="41">
        <v>2.15</v>
      </c>
      <c r="AN13" s="41">
        <v>0</v>
      </c>
      <c r="AO13" s="41">
        <v>0</v>
      </c>
      <c r="AP13" s="41">
        <v>0</v>
      </c>
      <c r="AQ13" s="41">
        <v>6.85</v>
      </c>
      <c r="AR13" s="41">
        <v>0</v>
      </c>
      <c r="AS13" s="41">
        <v>19.150000000000002</v>
      </c>
      <c r="AT13" s="41">
        <v>0</v>
      </c>
      <c r="AU13" s="41">
        <v>16.649999999999999</v>
      </c>
      <c r="AV13" s="41">
        <v>1.47</v>
      </c>
      <c r="AW13" s="41">
        <v>10.07</v>
      </c>
      <c r="AX13" s="41">
        <v>0</v>
      </c>
      <c r="AY13" s="41">
        <v>0</v>
      </c>
      <c r="AZ13" s="41">
        <v>0</v>
      </c>
      <c r="BA13" s="41">
        <v>7.24</v>
      </c>
      <c r="BB13" s="41">
        <v>1.28</v>
      </c>
      <c r="BC13" s="41">
        <v>5.43</v>
      </c>
      <c r="BD13" s="41">
        <v>0</v>
      </c>
      <c r="BE13" s="41">
        <v>2.73</v>
      </c>
      <c r="BF13" s="41">
        <v>0</v>
      </c>
      <c r="BG13" s="41">
        <v>0</v>
      </c>
      <c r="BH13" s="41">
        <v>3.8000000000000003</v>
      </c>
      <c r="BI13" s="41">
        <v>0.2</v>
      </c>
      <c r="BJ13" s="41">
        <v>0</v>
      </c>
      <c r="BK13" s="41">
        <v>1.27</v>
      </c>
      <c r="BL13" s="41">
        <v>0</v>
      </c>
      <c r="BM13" s="41">
        <v>0</v>
      </c>
      <c r="BN13" s="41">
        <v>0</v>
      </c>
      <c r="BO13" s="41">
        <v>0</v>
      </c>
      <c r="BP13" s="41">
        <v>0</v>
      </c>
      <c r="BQ13" s="41">
        <v>0</v>
      </c>
      <c r="BR13" s="41">
        <v>2.2799999999999998</v>
      </c>
      <c r="BS13" s="41">
        <v>0</v>
      </c>
      <c r="BT13" s="41">
        <v>0</v>
      </c>
      <c r="BU13" s="41">
        <v>0</v>
      </c>
      <c r="BV13" s="41">
        <v>0</v>
      </c>
      <c r="BW13" s="41">
        <v>0</v>
      </c>
      <c r="BX13" s="41">
        <v>0</v>
      </c>
      <c r="BY13" s="41">
        <v>5.1999999999999993</v>
      </c>
      <c r="BZ13" s="41">
        <v>0</v>
      </c>
      <c r="CA13" s="41">
        <v>0</v>
      </c>
      <c r="CB13" s="41">
        <v>23.77</v>
      </c>
      <c r="CC13" s="41">
        <v>10.36</v>
      </c>
      <c r="CD13" s="41">
        <v>5.8000000000000007</v>
      </c>
      <c r="CE13" s="41">
        <v>0</v>
      </c>
      <c r="CF13" s="41">
        <v>14.600000000000001</v>
      </c>
      <c r="CG13" s="41">
        <v>0.32</v>
      </c>
      <c r="CH13" s="41">
        <v>4.2</v>
      </c>
      <c r="CI13" s="41">
        <v>8.3000000000000007</v>
      </c>
      <c r="CJ13" s="41">
        <v>0</v>
      </c>
      <c r="CK13" s="41">
        <v>0</v>
      </c>
      <c r="CL13" s="41">
        <v>0</v>
      </c>
      <c r="CM13" s="41">
        <v>3.19</v>
      </c>
      <c r="CN13" s="41">
        <v>0</v>
      </c>
      <c r="CO13" s="41">
        <v>0</v>
      </c>
      <c r="CP13" s="41">
        <v>6.12</v>
      </c>
      <c r="CQ13" s="41">
        <v>0</v>
      </c>
      <c r="CR13" s="41">
        <v>0</v>
      </c>
      <c r="CS13" s="41">
        <v>0</v>
      </c>
      <c r="CT13" s="41">
        <v>0.4</v>
      </c>
      <c r="CU13" s="41">
        <v>0</v>
      </c>
      <c r="CV13" s="41">
        <v>0.6</v>
      </c>
      <c r="CW13" s="41">
        <v>0</v>
      </c>
      <c r="CX13" s="41">
        <v>0</v>
      </c>
      <c r="CY13" s="41">
        <v>0</v>
      </c>
      <c r="CZ13" s="41">
        <v>0</v>
      </c>
      <c r="DA13" s="41">
        <v>4.62</v>
      </c>
      <c r="DB13" s="41">
        <v>0</v>
      </c>
      <c r="DC13" s="41">
        <v>0</v>
      </c>
      <c r="DD13" s="41">
        <v>1.08</v>
      </c>
      <c r="DE13" s="41">
        <v>0</v>
      </c>
      <c r="DF13" s="41">
        <v>0</v>
      </c>
      <c r="DG13" s="41">
        <v>0</v>
      </c>
      <c r="DH13" s="41">
        <v>0</v>
      </c>
      <c r="DI13" s="41">
        <v>0</v>
      </c>
      <c r="DJ13" s="41">
        <v>0</v>
      </c>
      <c r="DK13" s="41">
        <v>2.27</v>
      </c>
      <c r="DL13" s="41">
        <v>3.62</v>
      </c>
      <c r="DM13" s="41">
        <v>0</v>
      </c>
      <c r="DN13" s="41">
        <v>0</v>
      </c>
      <c r="DO13" s="41">
        <v>0</v>
      </c>
      <c r="DP13" s="41">
        <v>0</v>
      </c>
      <c r="DQ13" s="41">
        <v>0</v>
      </c>
      <c r="DR13" s="41">
        <v>0</v>
      </c>
      <c r="DS13" s="41">
        <v>0</v>
      </c>
      <c r="DT13" s="41">
        <v>3.05</v>
      </c>
      <c r="DU13" s="41">
        <v>0</v>
      </c>
      <c r="DV13" s="41">
        <v>0</v>
      </c>
      <c r="DW13" s="41">
        <v>0</v>
      </c>
      <c r="DX13" s="42">
        <v>0</v>
      </c>
      <c r="DY13" s="42">
        <v>0</v>
      </c>
      <c r="DZ13" s="42">
        <v>2.6999999999999997</v>
      </c>
      <c r="EA13" s="42">
        <v>0</v>
      </c>
      <c r="EB13" s="42">
        <v>2.3700000000000006</v>
      </c>
      <c r="EC13" s="42">
        <v>16.999999999999996</v>
      </c>
      <c r="ED13" s="42">
        <v>10.4</v>
      </c>
      <c r="EE13" s="42">
        <v>10.3</v>
      </c>
      <c r="EF13" s="42">
        <v>0</v>
      </c>
      <c r="EG13" s="42">
        <v>8.1</v>
      </c>
      <c r="EH13" s="42">
        <v>0.37</v>
      </c>
      <c r="EI13" s="42">
        <v>5.28</v>
      </c>
      <c r="EJ13" s="42">
        <v>0</v>
      </c>
      <c r="EK13" s="42">
        <v>0</v>
      </c>
      <c r="EL13" s="42">
        <v>0</v>
      </c>
      <c r="EM13" s="42">
        <v>0</v>
      </c>
      <c r="EN13" s="42">
        <v>0</v>
      </c>
      <c r="EO13" s="42">
        <v>0</v>
      </c>
      <c r="EP13" s="42">
        <v>0</v>
      </c>
      <c r="EQ13" s="42">
        <v>0</v>
      </c>
      <c r="ER13" s="42">
        <v>9.4</v>
      </c>
      <c r="ES13" s="42">
        <v>0</v>
      </c>
      <c r="ET13" s="42">
        <v>0</v>
      </c>
      <c r="EU13" s="42">
        <v>0</v>
      </c>
      <c r="EV13" s="42">
        <v>0</v>
      </c>
      <c r="EW13" s="42">
        <v>0</v>
      </c>
      <c r="EX13" s="42">
        <v>0</v>
      </c>
      <c r="EY13" s="42">
        <v>0</v>
      </c>
      <c r="EZ13" s="42">
        <v>0</v>
      </c>
      <c r="FA13" s="42">
        <v>0</v>
      </c>
      <c r="FB13" s="42">
        <v>0</v>
      </c>
      <c r="FC13" s="42">
        <v>0</v>
      </c>
      <c r="FD13" s="42">
        <v>0</v>
      </c>
      <c r="FE13" s="42">
        <v>25.57</v>
      </c>
      <c r="FF13" s="42">
        <v>4.22</v>
      </c>
      <c r="FG13" s="42">
        <v>0.25</v>
      </c>
      <c r="FH13" s="42">
        <v>10.25</v>
      </c>
      <c r="FI13" s="42">
        <v>9.19</v>
      </c>
      <c r="FJ13" s="42">
        <v>0</v>
      </c>
      <c r="FK13" s="42">
        <v>0</v>
      </c>
      <c r="FL13" s="42">
        <v>0</v>
      </c>
      <c r="FM13" s="42">
        <v>0</v>
      </c>
      <c r="FN13" s="42">
        <v>0</v>
      </c>
      <c r="FO13" s="42">
        <v>0</v>
      </c>
      <c r="FP13" s="42">
        <v>0</v>
      </c>
      <c r="FQ13" s="42">
        <v>0</v>
      </c>
      <c r="FR13" s="42">
        <v>0</v>
      </c>
      <c r="FS13" s="42">
        <v>0</v>
      </c>
      <c r="FT13" s="42">
        <v>0</v>
      </c>
      <c r="FU13" s="42">
        <v>0</v>
      </c>
      <c r="FV13" s="42">
        <v>9.1</v>
      </c>
      <c r="FW13" s="42">
        <v>2.98</v>
      </c>
      <c r="FX13" s="42">
        <v>0</v>
      </c>
      <c r="FY13" s="42">
        <v>0</v>
      </c>
      <c r="FZ13" s="42">
        <v>11.52</v>
      </c>
      <c r="GA13" s="42">
        <v>0</v>
      </c>
      <c r="GB13" s="42">
        <v>0</v>
      </c>
      <c r="GC13" s="42">
        <v>0.61</v>
      </c>
      <c r="GD13" s="42">
        <v>0</v>
      </c>
      <c r="GE13" s="42">
        <v>0.08</v>
      </c>
      <c r="GF13" s="42">
        <v>0</v>
      </c>
      <c r="GG13" s="42">
        <v>0</v>
      </c>
      <c r="GH13" s="42">
        <v>1.02</v>
      </c>
      <c r="GI13" s="42">
        <v>0</v>
      </c>
      <c r="GJ13" s="42">
        <v>0</v>
      </c>
      <c r="GK13" s="42">
        <v>0</v>
      </c>
      <c r="GL13" s="42">
        <v>0</v>
      </c>
      <c r="GM13" s="42">
        <v>0</v>
      </c>
      <c r="GN13" s="42">
        <v>0</v>
      </c>
      <c r="GO13" s="42">
        <v>0</v>
      </c>
      <c r="GP13" s="42">
        <v>0</v>
      </c>
      <c r="GQ13" s="42">
        <v>0</v>
      </c>
      <c r="GR13" s="42">
        <v>0</v>
      </c>
      <c r="GS13" s="42">
        <v>0</v>
      </c>
      <c r="GT13" s="42">
        <v>0</v>
      </c>
      <c r="GU13" s="42">
        <v>47.82</v>
      </c>
      <c r="GV13" s="42">
        <v>0</v>
      </c>
      <c r="GW13" s="42">
        <v>3.1799999999999997</v>
      </c>
      <c r="GX13" s="42">
        <v>0</v>
      </c>
      <c r="GY13" s="42">
        <v>0</v>
      </c>
      <c r="GZ13" s="42">
        <v>0</v>
      </c>
      <c r="HA13" s="42">
        <v>0</v>
      </c>
      <c r="HB13" s="42">
        <v>0</v>
      </c>
      <c r="HC13" s="42">
        <v>0</v>
      </c>
      <c r="HD13" s="42">
        <v>17.68</v>
      </c>
      <c r="HE13" s="42">
        <v>0</v>
      </c>
      <c r="HF13" s="42">
        <v>0</v>
      </c>
      <c r="HG13" s="42">
        <v>0</v>
      </c>
      <c r="HH13" s="42">
        <v>0</v>
      </c>
      <c r="HI13" s="42">
        <v>0</v>
      </c>
      <c r="HJ13" s="42">
        <v>0.68833333333333335</v>
      </c>
      <c r="HK13" s="42">
        <v>19.754444444444445</v>
      </c>
      <c r="HL13" s="42">
        <v>0.64083333333333337</v>
      </c>
      <c r="HM13" s="42">
        <v>0</v>
      </c>
      <c r="HN13" s="42">
        <v>0</v>
      </c>
      <c r="HO13" s="42">
        <v>0</v>
      </c>
      <c r="HP13" s="42">
        <v>0</v>
      </c>
      <c r="HQ13" s="42">
        <v>0</v>
      </c>
      <c r="HR13" s="42">
        <v>0</v>
      </c>
      <c r="HS13" s="42">
        <v>16.351666666666667</v>
      </c>
      <c r="HT13" s="42">
        <v>0</v>
      </c>
      <c r="HU13" s="42">
        <v>5.3663888888888893</v>
      </c>
      <c r="HV13" s="42">
        <v>0</v>
      </c>
      <c r="HW13" s="42">
        <v>0</v>
      </c>
      <c r="HX13" s="42">
        <v>13.302499999999998</v>
      </c>
      <c r="HY13" s="42">
        <v>3.6755555555555555</v>
      </c>
      <c r="HZ13" s="42">
        <v>6.4452777777777772</v>
      </c>
      <c r="IA13" s="42">
        <v>0.72305555555555556</v>
      </c>
      <c r="IB13" s="42">
        <v>6.2636111111111106</v>
      </c>
      <c r="IC13" s="42">
        <v>22.64</v>
      </c>
      <c r="ID13" s="42">
        <v>1.47</v>
      </c>
      <c r="IE13" s="42">
        <v>0</v>
      </c>
      <c r="IF13" s="42">
        <v>4.22</v>
      </c>
      <c r="IG13" s="42">
        <v>6.83</v>
      </c>
      <c r="IH13" s="42">
        <v>0</v>
      </c>
      <c r="II13" s="42">
        <v>0</v>
      </c>
      <c r="IJ13" s="42">
        <v>3.66</v>
      </c>
      <c r="IK13" s="42">
        <v>0</v>
      </c>
      <c r="IL13" s="42">
        <v>0</v>
      </c>
      <c r="IM13" s="42">
        <v>0</v>
      </c>
      <c r="IN13" s="42">
        <v>10.629166666666668</v>
      </c>
      <c r="IO13" s="42">
        <v>10.850277777777778</v>
      </c>
      <c r="IP13" s="42">
        <v>0.41055555555555556</v>
      </c>
      <c r="IQ13" s="42">
        <v>4.6052777777777774</v>
      </c>
      <c r="IR13" s="42">
        <v>0.14861111111111111</v>
      </c>
      <c r="IS13" s="42">
        <v>1.5041666666666667</v>
      </c>
      <c r="IT13" s="42">
        <v>0</v>
      </c>
      <c r="IU13" s="42">
        <v>10.72388888888889</v>
      </c>
      <c r="IV13" s="42">
        <v>1.5611111111111111</v>
      </c>
      <c r="IW13" s="42">
        <v>0</v>
      </c>
      <c r="IX13" s="42">
        <v>11.430000000000001</v>
      </c>
      <c r="IY13" s="42">
        <f>IFERROR(VLOOKUP($B13,[1]Sheet1!$A:$I,IY$12,0),0)</f>
        <v>0</v>
      </c>
      <c r="IZ13" s="42">
        <f>IFERROR(VLOOKUP($B13,[1]Sheet1!$A:$I,IZ$12,0),0)</f>
        <v>0</v>
      </c>
      <c r="JA13" s="42">
        <f>IFERROR(VLOOKUP($B13,[1]Sheet1!$A:$I,JA$12,0),0)</f>
        <v>5.2363888888888885</v>
      </c>
      <c r="JB13" s="42">
        <f>IFERROR(VLOOKUP($B13,[1]Sheet1!$A:$I,JB$12,0),0)</f>
        <v>5.6944444444444443E-2</v>
      </c>
      <c r="JC13" s="42">
        <f>IFERROR(VLOOKUP($B13,[1]Sheet1!$A:$I,JC$12,0),0)</f>
        <v>0</v>
      </c>
      <c r="JD13" s="42">
        <f>IFERROR(VLOOKUP($B13,[1]Sheet1!$A:$I,JD$12,0),0)</f>
        <v>0</v>
      </c>
      <c r="JE13" s="42">
        <f>IFERROR(VLOOKUP($B13,[1]Sheet1!$A:$I,JE$12,0),0)</f>
        <v>0</v>
      </c>
      <c r="JF13" s="42">
        <f>IFERROR(VLOOKUP($B13,[1]Sheet1!$A:$I,JF$12,0),0)</f>
        <v>0</v>
      </c>
      <c r="JG13" s="42">
        <f>IFERROR(VLOOKUP($B13,[2]Sheet3!$A:$I,JG$12,0),0)</f>
        <v>0</v>
      </c>
      <c r="JH13" s="42">
        <f>IFERROR(VLOOKUP($B13,[2]Sheet3!$A:$I,JH$12,0),0)</f>
        <v>0</v>
      </c>
      <c r="JI13" s="42">
        <f>IFERROR(VLOOKUP($B13,[2]Sheet3!$A:$I,JI$12,0),0)</f>
        <v>0</v>
      </c>
      <c r="JJ13" s="42">
        <f>IFERROR(VLOOKUP($B13,[2]Sheet3!$A:$I,JJ$12,0),0)</f>
        <v>0</v>
      </c>
      <c r="JK13" s="42">
        <f>IFERROR(VLOOKUP($B13,[2]Sheet3!$A:$I,JK$12,0),0)</f>
        <v>0</v>
      </c>
      <c r="JL13" s="42">
        <f>IFERROR(VLOOKUP($B13,[2]Sheet3!$A:$I,JL$12,0),0)</f>
        <v>0</v>
      </c>
      <c r="JM13" s="42">
        <v>7.42</v>
      </c>
      <c r="JN13" s="42">
        <f>IFERROR(VLOOKUP($B13,[2]Sheet3!$A:$I,JN$12,0),0)</f>
        <v>0</v>
      </c>
      <c r="JO13" s="42">
        <v>1</v>
      </c>
      <c r="JP13" s="42">
        <v>1</v>
      </c>
      <c r="JQ13" s="42">
        <v>5.99</v>
      </c>
      <c r="JR13" s="42">
        <v>19.838055555555556</v>
      </c>
      <c r="JS13" s="42">
        <v>0.35527777777777775</v>
      </c>
      <c r="JT13" s="42">
        <v>0</v>
      </c>
      <c r="JU13" s="42">
        <v>0</v>
      </c>
      <c r="JV13" s="42">
        <v>1</v>
      </c>
      <c r="JW13" s="209">
        <v>0</v>
      </c>
      <c r="JX13" s="42">
        <v>4</v>
      </c>
      <c r="JY13" s="42">
        <v>24</v>
      </c>
      <c r="JZ13" s="42">
        <v>24</v>
      </c>
      <c r="KA13" s="209">
        <v>0</v>
      </c>
      <c r="KB13" s="209">
        <v>0</v>
      </c>
      <c r="KC13" s="209">
        <v>0</v>
      </c>
      <c r="KD13" s="209">
        <v>0</v>
      </c>
      <c r="KE13" s="209">
        <v>0</v>
      </c>
      <c r="KF13" s="209">
        <v>0</v>
      </c>
      <c r="KG13" s="209">
        <v>0</v>
      </c>
      <c r="KH13" s="42">
        <v>12</v>
      </c>
      <c r="KI13" s="209">
        <v>0</v>
      </c>
      <c r="KJ13" s="42">
        <v>6</v>
      </c>
      <c r="KK13" s="209">
        <v>0</v>
      </c>
      <c r="KL13" s="209">
        <v>0</v>
      </c>
      <c r="KM13" s="209">
        <v>0</v>
      </c>
      <c r="KN13" s="209">
        <v>0</v>
      </c>
      <c r="KO13" s="209">
        <v>0</v>
      </c>
      <c r="KP13" s="209">
        <v>0</v>
      </c>
      <c r="KQ13" s="209">
        <v>0</v>
      </c>
      <c r="KR13" s="209">
        <v>0</v>
      </c>
      <c r="KS13" s="209">
        <v>0</v>
      </c>
      <c r="KT13" s="209">
        <v>0</v>
      </c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2"/>
      <c r="LL13" s="42"/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42"/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2"/>
      <c r="MV13" s="42"/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  <c r="NM13" s="42"/>
      <c r="NN13" s="42"/>
      <c r="NO13" s="42"/>
      <c r="NP13" s="42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42"/>
      <c r="OC13" s="42"/>
      <c r="OD13" s="42"/>
      <c r="OE13" s="42"/>
      <c r="OF13" s="42"/>
      <c r="OG13" s="42"/>
      <c r="OH13" s="42"/>
      <c r="OI13" s="42"/>
      <c r="OJ13" s="42"/>
      <c r="OK13" s="42"/>
      <c r="OL13" s="42"/>
      <c r="OM13" s="42"/>
      <c r="ON13" s="42"/>
      <c r="OO13" s="42"/>
      <c r="OP13" s="42"/>
      <c r="OQ13" s="42"/>
      <c r="OR13" s="42"/>
      <c r="OS13" s="42"/>
      <c r="OT13" s="42"/>
      <c r="OU13" s="42"/>
      <c r="OV13" s="42"/>
      <c r="OW13" s="42"/>
      <c r="OX13" s="42"/>
      <c r="OY13" s="42"/>
      <c r="OZ13" s="42"/>
      <c r="PA13" s="42"/>
      <c r="PB13" s="42"/>
      <c r="PC13" s="42"/>
      <c r="PD13" s="42"/>
      <c r="PE13" s="42"/>
      <c r="PF13" s="42"/>
      <c r="PG13" s="42"/>
      <c r="PH13" s="42"/>
      <c r="PI13" s="42"/>
      <c r="PJ13" s="42"/>
      <c r="PK13" s="42"/>
      <c r="PL13" s="42"/>
      <c r="PM13" s="42"/>
      <c r="PN13" s="42"/>
      <c r="PO13" s="42"/>
      <c r="PP13" s="42"/>
      <c r="PQ13" s="42"/>
      <c r="PR13" s="42"/>
      <c r="PS13" s="42"/>
      <c r="PT13" s="42"/>
      <c r="PU13" s="42"/>
      <c r="PV13" s="42"/>
      <c r="PW13" s="42"/>
      <c r="PX13" s="42"/>
      <c r="PY13" s="42"/>
      <c r="PZ13" s="42"/>
      <c r="QA13" s="42"/>
      <c r="QB13" s="42"/>
      <c r="QC13" s="42"/>
      <c r="QD13" s="42"/>
      <c r="QE13" s="42"/>
      <c r="QF13" s="42"/>
      <c r="QG13" s="42"/>
      <c r="QH13" s="42"/>
      <c r="QI13" s="42"/>
      <c r="QJ13" s="42"/>
      <c r="QK13" s="42"/>
      <c r="QL13" s="42"/>
      <c r="QM13" s="42"/>
      <c r="QN13" s="42"/>
      <c r="QO13" s="42"/>
      <c r="QP13" s="42"/>
      <c r="QQ13" s="42"/>
      <c r="QR13" s="42"/>
      <c r="QS13" s="42"/>
      <c r="QT13" s="42"/>
      <c r="QU13" s="42"/>
      <c r="QV13" s="42"/>
      <c r="QW13" s="42"/>
      <c r="QX13" s="42"/>
      <c r="QY13" s="42"/>
      <c r="QZ13" s="42"/>
      <c r="RA13" s="42"/>
      <c r="RB13" s="42"/>
      <c r="RC13" s="42"/>
      <c r="RD13" s="42"/>
      <c r="RE13" s="42"/>
      <c r="RF13" s="42"/>
      <c r="RG13" s="42"/>
      <c r="RH13" s="42"/>
      <c r="RI13" s="42"/>
      <c r="RJ13" s="42"/>
      <c r="RK13" s="42"/>
      <c r="RL13" s="42"/>
      <c r="RM13" s="42"/>
      <c r="RN13" s="42"/>
      <c r="RO13" s="42"/>
      <c r="RP13" s="42"/>
      <c r="RQ13" s="42"/>
      <c r="RR13" s="42"/>
      <c r="RS13" s="42"/>
      <c r="RT13" s="42"/>
      <c r="RU13" s="42"/>
      <c r="RV13" s="42"/>
      <c r="RW13" s="42"/>
      <c r="RX13" s="42"/>
      <c r="RY13" s="42"/>
      <c r="RZ13" s="42"/>
      <c r="SA13" s="42"/>
      <c r="SB13" s="42"/>
      <c r="SC13" s="42"/>
      <c r="SD13" s="42"/>
      <c r="SE13" s="42"/>
      <c r="SF13" s="42"/>
      <c r="SG13" s="42"/>
      <c r="SH13" s="42"/>
      <c r="SI13" s="42"/>
      <c r="SJ13" s="42"/>
      <c r="SK13" s="42"/>
      <c r="SL13" s="42"/>
      <c r="SM13" s="42"/>
      <c r="SN13" s="42"/>
      <c r="SO13" s="42"/>
      <c r="SP13" s="42"/>
      <c r="SQ13" s="42"/>
      <c r="SR13" s="42"/>
      <c r="SS13" s="42"/>
      <c r="ST13" s="42"/>
      <c r="SU13" s="42"/>
      <c r="SV13" s="42"/>
      <c r="SW13" s="42"/>
    </row>
    <row r="14" spans="1:517" s="40" customFormat="1" ht="24.6" customHeight="1" x14ac:dyDescent="0.2">
      <c r="A14" s="122" t="s">
        <v>86</v>
      </c>
      <c r="B14" s="123" t="s">
        <v>78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4.08</v>
      </c>
      <c r="AJ14" s="41">
        <v>6.0200000000000005</v>
      </c>
      <c r="AK14" s="41">
        <v>4.17</v>
      </c>
      <c r="AL14" s="41">
        <v>0</v>
      </c>
      <c r="AM14" s="41">
        <v>7.03</v>
      </c>
      <c r="AN14" s="41">
        <v>0</v>
      </c>
      <c r="AO14" s="41">
        <v>0</v>
      </c>
      <c r="AP14" s="41">
        <v>9.5500000000000007</v>
      </c>
      <c r="AQ14" s="41">
        <v>0</v>
      </c>
      <c r="AR14" s="41">
        <v>3.2199999999999998</v>
      </c>
      <c r="AS14" s="41">
        <v>0</v>
      </c>
      <c r="AT14" s="41">
        <v>0</v>
      </c>
      <c r="AU14" s="41">
        <v>0</v>
      </c>
      <c r="AV14" s="41">
        <v>5.82</v>
      </c>
      <c r="AW14" s="41">
        <v>0.6</v>
      </c>
      <c r="AX14" s="41">
        <v>1.8699999999999999</v>
      </c>
      <c r="AY14" s="41">
        <v>3.3299999999999996</v>
      </c>
      <c r="AZ14" s="41">
        <v>11.850000000000001</v>
      </c>
      <c r="BA14" s="41">
        <v>14.53</v>
      </c>
      <c r="BB14" s="41">
        <v>0</v>
      </c>
      <c r="BC14" s="41">
        <v>6.23</v>
      </c>
      <c r="BD14" s="41">
        <v>0</v>
      </c>
      <c r="BE14" s="41">
        <v>0</v>
      </c>
      <c r="BF14" s="41">
        <v>0</v>
      </c>
      <c r="BG14" s="41">
        <v>0</v>
      </c>
      <c r="BH14" s="41">
        <v>0</v>
      </c>
      <c r="BI14" s="41">
        <v>7.75</v>
      </c>
      <c r="BJ14" s="41">
        <v>0</v>
      </c>
      <c r="BK14" s="41">
        <v>0</v>
      </c>
      <c r="BL14" s="41">
        <v>1.1299999999999999</v>
      </c>
      <c r="BM14" s="41">
        <v>0</v>
      </c>
      <c r="BN14" s="41">
        <v>0</v>
      </c>
      <c r="BO14" s="41">
        <v>6.93</v>
      </c>
      <c r="BP14" s="41">
        <v>1.7200000000000002</v>
      </c>
      <c r="BQ14" s="41">
        <v>0</v>
      </c>
      <c r="BR14" s="41">
        <v>3.6500000000000004</v>
      </c>
      <c r="BS14" s="41">
        <v>0</v>
      </c>
      <c r="BT14" s="41">
        <v>2.02</v>
      </c>
      <c r="BU14" s="41">
        <v>0.99</v>
      </c>
      <c r="BV14" s="41">
        <v>0</v>
      </c>
      <c r="BW14" s="41">
        <v>0</v>
      </c>
      <c r="BX14" s="41">
        <v>2.5200000000000005</v>
      </c>
      <c r="BY14" s="41">
        <v>0</v>
      </c>
      <c r="BZ14" s="41">
        <v>0</v>
      </c>
      <c r="CA14" s="41">
        <v>0</v>
      </c>
      <c r="CB14" s="41">
        <v>0</v>
      </c>
      <c r="CC14" s="41">
        <v>15.3</v>
      </c>
      <c r="CD14" s="41">
        <v>0</v>
      </c>
      <c r="CE14" s="41">
        <v>0</v>
      </c>
      <c r="CF14" s="41">
        <v>0</v>
      </c>
      <c r="CG14" s="41">
        <v>0</v>
      </c>
      <c r="CH14" s="41">
        <v>0</v>
      </c>
      <c r="CI14" s="41">
        <v>0.55000000000000004</v>
      </c>
      <c r="CJ14" s="41">
        <v>1.2</v>
      </c>
      <c r="CK14" s="41">
        <v>0</v>
      </c>
      <c r="CL14" s="41">
        <v>0</v>
      </c>
      <c r="CM14" s="41">
        <v>0</v>
      </c>
      <c r="CN14" s="41">
        <v>0</v>
      </c>
      <c r="CO14" s="41">
        <v>3.0300000000000002</v>
      </c>
      <c r="CP14" s="41">
        <v>0</v>
      </c>
      <c r="CQ14" s="41">
        <v>1.17</v>
      </c>
      <c r="CR14" s="41">
        <v>0</v>
      </c>
      <c r="CS14" s="41">
        <v>0</v>
      </c>
      <c r="CT14" s="41">
        <v>0</v>
      </c>
      <c r="CU14" s="41">
        <v>0</v>
      </c>
      <c r="CV14" s="41">
        <v>0</v>
      </c>
      <c r="CW14" s="41">
        <v>0</v>
      </c>
      <c r="CX14" s="41">
        <v>0</v>
      </c>
      <c r="CY14" s="41">
        <v>8.58</v>
      </c>
      <c r="CZ14" s="41">
        <v>0</v>
      </c>
      <c r="DA14" s="41">
        <v>0</v>
      </c>
      <c r="DB14" s="41">
        <v>0</v>
      </c>
      <c r="DC14" s="41">
        <v>0</v>
      </c>
      <c r="DD14" s="41">
        <v>0.85</v>
      </c>
      <c r="DE14" s="41">
        <v>1.9299999999999997</v>
      </c>
      <c r="DF14" s="41">
        <v>2</v>
      </c>
      <c r="DG14" s="41">
        <v>11.82</v>
      </c>
      <c r="DH14" s="41">
        <v>0</v>
      </c>
      <c r="DI14" s="41">
        <v>0</v>
      </c>
      <c r="DJ14" s="41">
        <v>2.25</v>
      </c>
      <c r="DK14" s="41">
        <v>0</v>
      </c>
      <c r="DL14" s="41">
        <v>0</v>
      </c>
      <c r="DM14" s="41">
        <v>0</v>
      </c>
      <c r="DN14" s="41">
        <v>0</v>
      </c>
      <c r="DO14" s="41">
        <v>4.2700000000000005</v>
      </c>
      <c r="DP14" s="41">
        <v>0</v>
      </c>
      <c r="DQ14" s="41">
        <v>1.1299999999999999</v>
      </c>
      <c r="DR14" s="41">
        <v>36.019999999999996</v>
      </c>
      <c r="DS14" s="41">
        <v>13.55</v>
      </c>
      <c r="DT14" s="41">
        <v>0</v>
      </c>
      <c r="DU14" s="41">
        <v>7.2</v>
      </c>
      <c r="DV14" s="41">
        <v>0</v>
      </c>
      <c r="DW14" s="41">
        <v>0</v>
      </c>
      <c r="DX14" s="42">
        <v>0</v>
      </c>
      <c r="DY14" s="42">
        <v>0</v>
      </c>
      <c r="DZ14" s="42">
        <v>1.4900000000000002</v>
      </c>
      <c r="EA14" s="42">
        <v>0</v>
      </c>
      <c r="EB14" s="42">
        <v>5.62</v>
      </c>
      <c r="EC14" s="42">
        <v>25.64</v>
      </c>
      <c r="ED14" s="42">
        <v>3.6999999999999997</v>
      </c>
      <c r="EE14" s="42">
        <v>36.929999999999993</v>
      </c>
      <c r="EF14" s="42">
        <v>0</v>
      </c>
      <c r="EG14" s="42">
        <v>0</v>
      </c>
      <c r="EH14" s="42">
        <v>0</v>
      </c>
      <c r="EI14" s="42">
        <v>0</v>
      </c>
      <c r="EJ14" s="42">
        <v>0</v>
      </c>
      <c r="EK14" s="42">
        <v>7.8999999999999995</v>
      </c>
      <c r="EL14" s="42">
        <v>0</v>
      </c>
      <c r="EM14" s="42">
        <v>0</v>
      </c>
      <c r="EN14" s="42">
        <v>0</v>
      </c>
      <c r="EO14" s="42">
        <v>0</v>
      </c>
      <c r="EP14" s="42">
        <v>0</v>
      </c>
      <c r="EQ14" s="42">
        <v>0</v>
      </c>
      <c r="ER14" s="42">
        <v>0</v>
      </c>
      <c r="ES14" s="42">
        <v>0</v>
      </c>
      <c r="ET14" s="42">
        <v>0</v>
      </c>
      <c r="EU14" s="42">
        <v>0</v>
      </c>
      <c r="EV14" s="42">
        <v>0</v>
      </c>
      <c r="EW14" s="42">
        <v>0</v>
      </c>
      <c r="EX14" s="42">
        <v>0</v>
      </c>
      <c r="EY14" s="42">
        <v>0</v>
      </c>
      <c r="EZ14" s="42">
        <v>0</v>
      </c>
      <c r="FA14" s="42">
        <v>0</v>
      </c>
      <c r="FB14" s="42">
        <v>0</v>
      </c>
      <c r="FC14" s="42">
        <v>0</v>
      </c>
      <c r="FD14" s="42">
        <v>0</v>
      </c>
      <c r="FE14" s="42">
        <v>1.5299999999999998</v>
      </c>
      <c r="FF14" s="42">
        <v>7.27</v>
      </c>
      <c r="FG14" s="42">
        <v>11.3</v>
      </c>
      <c r="FH14" s="42">
        <v>1.3</v>
      </c>
      <c r="FI14" s="42">
        <v>0.78</v>
      </c>
      <c r="FJ14" s="42">
        <v>6.98</v>
      </c>
      <c r="FK14" s="42">
        <v>0</v>
      </c>
      <c r="FL14" s="42">
        <v>0</v>
      </c>
      <c r="FM14" s="42">
        <v>0</v>
      </c>
      <c r="FN14" s="42">
        <v>0</v>
      </c>
      <c r="FO14" s="42">
        <v>14.14</v>
      </c>
      <c r="FP14" s="42">
        <v>64.239999999999995</v>
      </c>
      <c r="FQ14" s="42">
        <v>0</v>
      </c>
      <c r="FR14" s="42">
        <v>0</v>
      </c>
      <c r="FS14" s="42">
        <v>12.57</v>
      </c>
      <c r="FT14" s="42">
        <v>26.78</v>
      </c>
      <c r="FU14" s="42">
        <v>0</v>
      </c>
      <c r="FV14" s="42">
        <v>2.4299999999999997</v>
      </c>
      <c r="FW14" s="42">
        <v>1.47</v>
      </c>
      <c r="FX14" s="42">
        <v>18.509999999999998</v>
      </c>
      <c r="FY14" s="42">
        <v>274.58</v>
      </c>
      <c r="FZ14" s="42">
        <v>0</v>
      </c>
      <c r="GA14" s="42">
        <v>0</v>
      </c>
      <c r="GB14" s="42">
        <v>64.149999999999991</v>
      </c>
      <c r="GC14" s="42">
        <v>0</v>
      </c>
      <c r="GD14" s="42">
        <v>24.25</v>
      </c>
      <c r="GE14" s="42">
        <v>35.519999999999996</v>
      </c>
      <c r="GF14" s="42">
        <v>0</v>
      </c>
      <c r="GG14" s="42">
        <v>79.5</v>
      </c>
      <c r="GH14" s="42">
        <v>0</v>
      </c>
      <c r="GI14" s="42">
        <v>0</v>
      </c>
      <c r="GJ14" s="42">
        <v>0</v>
      </c>
      <c r="GK14" s="42">
        <v>0</v>
      </c>
      <c r="GL14" s="42">
        <v>0</v>
      </c>
      <c r="GM14" s="42">
        <v>0</v>
      </c>
      <c r="GN14" s="42">
        <v>0</v>
      </c>
      <c r="GO14" s="42">
        <v>0</v>
      </c>
      <c r="GP14" s="42">
        <v>0</v>
      </c>
      <c r="GQ14" s="42">
        <v>0</v>
      </c>
      <c r="GR14" s="42">
        <v>0</v>
      </c>
      <c r="GS14" s="42">
        <v>0</v>
      </c>
      <c r="GT14" s="42">
        <v>0</v>
      </c>
      <c r="GU14" s="42">
        <v>0</v>
      </c>
      <c r="GV14" s="42">
        <v>0</v>
      </c>
      <c r="GW14" s="42">
        <v>0.73</v>
      </c>
      <c r="GX14" s="42">
        <v>0</v>
      </c>
      <c r="GY14" s="42">
        <v>0</v>
      </c>
      <c r="GZ14" s="42">
        <v>0</v>
      </c>
      <c r="HA14" s="42">
        <v>0</v>
      </c>
      <c r="HB14" s="42">
        <v>2.6700000000000004</v>
      </c>
      <c r="HC14" s="42">
        <v>19.95</v>
      </c>
      <c r="HD14" s="42">
        <v>0</v>
      </c>
      <c r="HE14" s="42">
        <v>0</v>
      </c>
      <c r="HF14" s="42">
        <v>0.13</v>
      </c>
      <c r="HG14" s="42">
        <v>14.802500000000002</v>
      </c>
      <c r="HH14" s="42">
        <v>5.4988888888888887</v>
      </c>
      <c r="HI14" s="42">
        <v>16.134999999999998</v>
      </c>
      <c r="HJ14" s="42">
        <v>0</v>
      </c>
      <c r="HK14" s="42">
        <v>0.81666666666666665</v>
      </c>
      <c r="HL14" s="42">
        <v>20.211111111111109</v>
      </c>
      <c r="HM14" s="42">
        <v>20.666944444444447</v>
      </c>
      <c r="HN14" s="42">
        <v>7.9175000000000004</v>
      </c>
      <c r="HO14" s="42">
        <v>0.36444444444444446</v>
      </c>
      <c r="HP14" s="42">
        <v>11.283333333333331</v>
      </c>
      <c r="HQ14" s="42">
        <v>0</v>
      </c>
      <c r="HR14" s="42">
        <v>0</v>
      </c>
      <c r="HS14" s="42">
        <v>0</v>
      </c>
      <c r="HT14" s="42">
        <v>0</v>
      </c>
      <c r="HU14" s="42">
        <v>0</v>
      </c>
      <c r="HV14" s="42">
        <v>0</v>
      </c>
      <c r="HW14" s="42">
        <v>1.5827777777777778</v>
      </c>
      <c r="HX14" s="42">
        <v>3.059444444444444</v>
      </c>
      <c r="HY14" s="42">
        <v>6.5019444444444447</v>
      </c>
      <c r="HZ14" s="42">
        <v>7.6991666666666658</v>
      </c>
      <c r="IA14" s="42">
        <v>0</v>
      </c>
      <c r="IB14" s="42">
        <v>0</v>
      </c>
      <c r="IC14" s="42">
        <v>0</v>
      </c>
      <c r="ID14" s="42">
        <v>0</v>
      </c>
      <c r="IE14" s="42">
        <v>12.52</v>
      </c>
      <c r="IF14" s="42">
        <v>0</v>
      </c>
      <c r="IG14" s="42">
        <v>0</v>
      </c>
      <c r="IH14" s="42">
        <v>2.5500000000000003</v>
      </c>
      <c r="II14" s="42">
        <v>0</v>
      </c>
      <c r="IJ14" s="42">
        <v>0</v>
      </c>
      <c r="IK14" s="42">
        <v>0</v>
      </c>
      <c r="IL14" s="42">
        <v>0</v>
      </c>
      <c r="IM14" s="42">
        <v>11.121111111111111</v>
      </c>
      <c r="IN14" s="42">
        <v>19.568333333333335</v>
      </c>
      <c r="IO14" s="42">
        <v>0.53277777777777779</v>
      </c>
      <c r="IP14" s="42">
        <v>1.5138888888888888</v>
      </c>
      <c r="IQ14" s="42">
        <v>0</v>
      </c>
      <c r="IR14" s="42">
        <v>0.85277777777777763</v>
      </c>
      <c r="IS14" s="42">
        <v>0</v>
      </c>
      <c r="IT14" s="42">
        <v>0</v>
      </c>
      <c r="IU14" s="42">
        <v>6.480555555555557</v>
      </c>
      <c r="IV14" s="42">
        <v>0</v>
      </c>
      <c r="IW14" s="42">
        <v>0</v>
      </c>
      <c r="IX14" s="42">
        <v>1.4491666666666667</v>
      </c>
      <c r="IY14" s="42">
        <f>IFERROR(VLOOKUP($B14,[1]Sheet1!$A:$I,IY$12,0),0)</f>
        <v>0</v>
      </c>
      <c r="IZ14" s="42">
        <f>IFERROR(VLOOKUP($B14,[1]Sheet1!$A:$I,IZ$12,0),0)</f>
        <v>0</v>
      </c>
      <c r="JA14" s="42">
        <f>IFERROR(VLOOKUP($B14,[1]Sheet1!$A:$I,JA$12,0),0)</f>
        <v>9.7005555555555567</v>
      </c>
      <c r="JB14" s="42">
        <f>IFERROR(VLOOKUP($B14,[1]Sheet1!$A:$I,JB$12,0),0)</f>
        <v>1.1524999999999999</v>
      </c>
      <c r="JC14" s="42">
        <f>IFERROR(VLOOKUP($B14,[1]Sheet1!$A:$I,JC$12,0),0)</f>
        <v>0</v>
      </c>
      <c r="JD14" s="42">
        <f>IFERROR(VLOOKUP($B14,[1]Sheet1!$A:$I,JD$12,0),0)</f>
        <v>3.9122222222222223</v>
      </c>
      <c r="JE14" s="42">
        <f>IFERROR(VLOOKUP($B14,[1]Sheet1!$A:$I,JE$12,0),0)</f>
        <v>0</v>
      </c>
      <c r="JF14" s="42">
        <f>IFERROR(VLOOKUP($B14,[1]Sheet1!$A:$I,JF$12,0),0)</f>
        <v>0</v>
      </c>
      <c r="JG14" s="42">
        <f>IFERROR(VLOOKUP($B14,[2]Sheet3!$A:$I,JG$12,0),0)</f>
        <v>0</v>
      </c>
      <c r="JH14" s="42">
        <f>IFERROR(VLOOKUP($B14,[2]Sheet3!$A:$I,JH$12,0),0)</f>
        <v>9.9177777777777774</v>
      </c>
      <c r="JI14" s="42">
        <f>IFERROR(VLOOKUP($B14,[2]Sheet3!$A:$I,JI$12,0),0)</f>
        <v>5.4805555555555561</v>
      </c>
      <c r="JJ14" s="42">
        <f>IFERROR(VLOOKUP($B14,[2]Sheet3!$A:$I,JJ$12,0),0)</f>
        <v>4.7911111111111113</v>
      </c>
      <c r="JK14" s="42">
        <f>IFERROR(VLOOKUP($B14,[2]Sheet3!$A:$I,JK$12,0),0)</f>
        <v>2.85</v>
      </c>
      <c r="JL14" s="42">
        <f>IFERROR(VLOOKUP($B14,[2]Sheet3!$A:$I,JL$12,0),0)</f>
        <v>1.6202777777777779</v>
      </c>
      <c r="JM14" s="42">
        <f>IFERROR(VLOOKUP($B14,[2]Sheet3!$A:$I,JM$12,0),0)</f>
        <v>0</v>
      </c>
      <c r="JN14" s="42">
        <v>1</v>
      </c>
      <c r="JO14" s="42">
        <v>1</v>
      </c>
      <c r="JP14" s="42">
        <v>1</v>
      </c>
      <c r="JQ14" s="42">
        <v>4</v>
      </c>
      <c r="JR14" s="42">
        <v>23.09</v>
      </c>
      <c r="JS14" s="42">
        <v>3</v>
      </c>
      <c r="JT14" s="42">
        <v>0</v>
      </c>
      <c r="JU14" s="42">
        <v>0</v>
      </c>
      <c r="JV14" s="42">
        <v>1</v>
      </c>
      <c r="JW14" s="209">
        <v>0</v>
      </c>
      <c r="JX14" s="209">
        <v>0</v>
      </c>
      <c r="JY14" s="209">
        <v>0</v>
      </c>
      <c r="JZ14" s="209">
        <v>0</v>
      </c>
      <c r="KA14" s="209">
        <v>0</v>
      </c>
      <c r="KB14" s="209">
        <v>0</v>
      </c>
      <c r="KC14" s="42">
        <v>24</v>
      </c>
      <c r="KD14" s="42">
        <v>6</v>
      </c>
      <c r="KE14" s="209">
        <v>0</v>
      </c>
      <c r="KF14" s="209">
        <v>0</v>
      </c>
      <c r="KG14" s="209">
        <v>0</v>
      </c>
      <c r="KH14" s="209">
        <v>0</v>
      </c>
      <c r="KI14" s="209">
        <v>0</v>
      </c>
      <c r="KJ14" s="209">
        <v>0</v>
      </c>
      <c r="KK14" s="209">
        <v>0</v>
      </c>
      <c r="KL14" s="209">
        <v>0</v>
      </c>
      <c r="KM14" s="209">
        <v>0</v>
      </c>
      <c r="KN14" s="209">
        <v>0</v>
      </c>
      <c r="KO14" s="209">
        <v>0</v>
      </c>
      <c r="KP14" s="209">
        <v>0</v>
      </c>
      <c r="KQ14" s="209">
        <v>0</v>
      </c>
      <c r="KR14" s="209">
        <v>0</v>
      </c>
      <c r="KS14" s="209">
        <v>0</v>
      </c>
      <c r="KT14" s="209">
        <v>0</v>
      </c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2"/>
      <c r="LL14" s="42"/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2"/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2"/>
      <c r="MV14" s="42"/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2"/>
      <c r="NM14" s="42"/>
      <c r="NN14" s="42"/>
      <c r="NO14" s="42"/>
      <c r="NP14" s="42"/>
      <c r="NQ14" s="42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2"/>
      <c r="OF14" s="42"/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2"/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2"/>
      <c r="PP14" s="42"/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2"/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2"/>
      <c r="QZ14" s="42"/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2"/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2"/>
      <c r="SI14" s="42"/>
      <c r="SJ14" s="42"/>
      <c r="SK14" s="42"/>
      <c r="SL14" s="42"/>
      <c r="SM14" s="42"/>
      <c r="SN14" s="42"/>
      <c r="SO14" s="42"/>
      <c r="SP14" s="42"/>
      <c r="SQ14" s="42"/>
      <c r="SR14" s="42"/>
      <c r="SS14" s="42"/>
      <c r="ST14" s="42"/>
      <c r="SU14" s="42"/>
      <c r="SV14" s="42"/>
      <c r="SW14" s="42"/>
    </row>
    <row r="15" spans="1:517" s="40" customFormat="1" ht="24.6" customHeight="1" x14ac:dyDescent="0.2">
      <c r="A15" s="122" t="s">
        <v>86</v>
      </c>
      <c r="B15" s="123" t="s">
        <v>79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24.99</v>
      </c>
      <c r="Y15" s="41">
        <v>0</v>
      </c>
      <c r="Z15" s="41">
        <v>0.68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5.25</v>
      </c>
      <c r="AJ15" s="41">
        <v>0</v>
      </c>
      <c r="AK15" s="41">
        <v>2.75</v>
      </c>
      <c r="AL15" s="41">
        <v>5.15</v>
      </c>
      <c r="AM15" s="41">
        <v>11.58</v>
      </c>
      <c r="AN15" s="41">
        <v>3.0199999999999996</v>
      </c>
      <c r="AO15" s="41">
        <v>0</v>
      </c>
      <c r="AP15" s="41">
        <v>4.5599999999999996</v>
      </c>
      <c r="AQ15" s="41">
        <v>8.74</v>
      </c>
      <c r="AR15" s="41">
        <v>13.39</v>
      </c>
      <c r="AS15" s="41">
        <v>0</v>
      </c>
      <c r="AT15" s="41">
        <v>0</v>
      </c>
      <c r="AU15" s="41">
        <v>0</v>
      </c>
      <c r="AV15" s="41">
        <v>0</v>
      </c>
      <c r="AW15" s="41">
        <v>2.98</v>
      </c>
      <c r="AX15" s="41">
        <v>1.32</v>
      </c>
      <c r="AY15" s="41">
        <v>8.82</v>
      </c>
      <c r="AZ15" s="41">
        <v>0</v>
      </c>
      <c r="BA15" s="41">
        <v>4.8899999999999997</v>
      </c>
      <c r="BB15" s="41">
        <v>1.5</v>
      </c>
      <c r="BC15" s="41">
        <v>0</v>
      </c>
      <c r="BD15" s="41">
        <v>0</v>
      </c>
      <c r="BE15" s="41">
        <v>1.98</v>
      </c>
      <c r="BF15" s="41">
        <v>3.92</v>
      </c>
      <c r="BG15" s="41">
        <v>0</v>
      </c>
      <c r="BH15" s="41">
        <v>0</v>
      </c>
      <c r="BI15" s="41">
        <v>0.78</v>
      </c>
      <c r="BJ15" s="41">
        <v>4.7700000000000005</v>
      </c>
      <c r="BK15" s="41">
        <v>12.43</v>
      </c>
      <c r="BL15" s="41">
        <v>23.669999999999998</v>
      </c>
      <c r="BM15" s="41">
        <v>0</v>
      </c>
      <c r="BN15" s="41">
        <v>0</v>
      </c>
      <c r="BO15" s="41">
        <v>1.1499999999999999</v>
      </c>
      <c r="BP15" s="41">
        <v>2.3200000000000003</v>
      </c>
      <c r="BQ15" s="41">
        <v>3.27</v>
      </c>
      <c r="BR15" s="41">
        <v>11.23</v>
      </c>
      <c r="BS15" s="41">
        <v>5.71</v>
      </c>
      <c r="BT15" s="41">
        <v>4.1499999999999995</v>
      </c>
      <c r="BU15" s="41">
        <v>3.8200000000000003</v>
      </c>
      <c r="BV15" s="41">
        <v>8.41</v>
      </c>
      <c r="BW15" s="41">
        <v>11.030000000000001</v>
      </c>
      <c r="BX15" s="41">
        <v>0</v>
      </c>
      <c r="BY15" s="41">
        <v>0</v>
      </c>
      <c r="BZ15" s="41">
        <v>0</v>
      </c>
      <c r="CA15" s="41">
        <v>12.879999999999999</v>
      </c>
      <c r="CB15" s="41">
        <v>5.8699999999999992</v>
      </c>
      <c r="CC15" s="41">
        <v>23.93</v>
      </c>
      <c r="CD15" s="41">
        <v>0</v>
      </c>
      <c r="CE15" s="41">
        <v>0</v>
      </c>
      <c r="CF15" s="41">
        <v>3.0599999999999996</v>
      </c>
      <c r="CG15" s="41">
        <v>0</v>
      </c>
      <c r="CH15" s="41">
        <v>0</v>
      </c>
      <c r="CI15" s="41">
        <v>1.02</v>
      </c>
      <c r="CJ15" s="41">
        <v>9.0599999999999987</v>
      </c>
      <c r="CK15" s="41">
        <v>0</v>
      </c>
      <c r="CL15" s="41">
        <v>0</v>
      </c>
      <c r="CM15" s="41">
        <v>7.82</v>
      </c>
      <c r="CN15" s="41">
        <v>0</v>
      </c>
      <c r="CO15" s="41">
        <v>6.0299999999999994</v>
      </c>
      <c r="CP15" s="41">
        <v>4.74</v>
      </c>
      <c r="CQ15" s="41">
        <v>16.55</v>
      </c>
      <c r="CR15" s="41">
        <v>32.980000000000004</v>
      </c>
      <c r="CS15" s="41">
        <v>0</v>
      </c>
      <c r="CT15" s="41">
        <v>0</v>
      </c>
      <c r="CU15" s="41">
        <v>2.1499999999999995</v>
      </c>
      <c r="CV15" s="41">
        <v>0</v>
      </c>
      <c r="CW15" s="41">
        <v>0</v>
      </c>
      <c r="CX15" s="41">
        <v>0</v>
      </c>
      <c r="CY15" s="41">
        <v>0.87</v>
      </c>
      <c r="CZ15" s="41">
        <v>0</v>
      </c>
      <c r="DA15" s="41">
        <v>5.2</v>
      </c>
      <c r="DB15" s="41">
        <v>2.1800000000000002</v>
      </c>
      <c r="DC15" s="41">
        <v>0</v>
      </c>
      <c r="DD15" s="41">
        <v>11.879999999999999</v>
      </c>
      <c r="DE15" s="41">
        <v>2.64</v>
      </c>
      <c r="DF15" s="41">
        <v>0</v>
      </c>
      <c r="DG15" s="41">
        <v>3.43</v>
      </c>
      <c r="DH15" s="41">
        <v>13.6</v>
      </c>
      <c r="DI15" s="41">
        <v>0</v>
      </c>
      <c r="DJ15" s="41">
        <v>0</v>
      </c>
      <c r="DK15" s="41">
        <v>0</v>
      </c>
      <c r="DL15" s="41">
        <v>0</v>
      </c>
      <c r="DM15" s="41">
        <v>0</v>
      </c>
      <c r="DN15" s="41">
        <v>0</v>
      </c>
      <c r="DO15" s="41">
        <v>0</v>
      </c>
      <c r="DP15" s="41">
        <v>0</v>
      </c>
      <c r="DQ15" s="41">
        <v>0</v>
      </c>
      <c r="DR15" s="41">
        <v>0</v>
      </c>
      <c r="DS15" s="41">
        <v>0</v>
      </c>
      <c r="DT15" s="41">
        <v>0</v>
      </c>
      <c r="DU15" s="41">
        <v>9.2200000000000006</v>
      </c>
      <c r="DV15" s="41">
        <v>0</v>
      </c>
      <c r="DW15" s="41">
        <v>0</v>
      </c>
      <c r="DX15" s="42">
        <v>0</v>
      </c>
      <c r="DY15" s="42">
        <v>0</v>
      </c>
      <c r="DZ15" s="42">
        <v>0</v>
      </c>
      <c r="EA15" s="42">
        <v>0</v>
      </c>
      <c r="EB15" s="42">
        <v>0</v>
      </c>
      <c r="EC15" s="42">
        <v>0</v>
      </c>
      <c r="ED15" s="42">
        <v>0</v>
      </c>
      <c r="EE15" s="42">
        <v>0</v>
      </c>
      <c r="EF15" s="42">
        <v>0</v>
      </c>
      <c r="EG15" s="42">
        <v>31.82</v>
      </c>
      <c r="EH15" s="42">
        <v>0</v>
      </c>
      <c r="EI15" s="42">
        <v>0</v>
      </c>
      <c r="EJ15" s="42">
        <v>0</v>
      </c>
      <c r="EK15" s="42">
        <v>0</v>
      </c>
      <c r="EL15" s="42">
        <v>6.169999999999999</v>
      </c>
      <c r="EM15" s="42">
        <v>0</v>
      </c>
      <c r="EN15" s="42">
        <v>2.1</v>
      </c>
      <c r="EO15" s="42">
        <v>24</v>
      </c>
      <c r="EP15" s="42">
        <v>20</v>
      </c>
      <c r="EQ15" s="42">
        <v>0</v>
      </c>
      <c r="ER15" s="42">
        <v>0</v>
      </c>
      <c r="ES15" s="42">
        <v>5.3</v>
      </c>
      <c r="ET15" s="42">
        <v>1.5</v>
      </c>
      <c r="EU15" s="42">
        <v>0</v>
      </c>
      <c r="EV15" s="42">
        <v>0</v>
      </c>
      <c r="EW15" s="42">
        <v>0</v>
      </c>
      <c r="EX15" s="42">
        <v>0</v>
      </c>
      <c r="EY15" s="42">
        <v>0</v>
      </c>
      <c r="EZ15" s="42">
        <v>0</v>
      </c>
      <c r="FA15" s="42">
        <v>0</v>
      </c>
      <c r="FB15" s="42">
        <v>0</v>
      </c>
      <c r="FC15" s="42">
        <v>0</v>
      </c>
      <c r="FD15" s="42">
        <v>0</v>
      </c>
      <c r="FE15" s="42">
        <v>0.03</v>
      </c>
      <c r="FF15" s="42">
        <v>0</v>
      </c>
      <c r="FG15" s="42">
        <v>13.08</v>
      </c>
      <c r="FH15" s="42">
        <v>0</v>
      </c>
      <c r="FI15" s="42">
        <v>0.27</v>
      </c>
      <c r="FJ15" s="42">
        <v>0</v>
      </c>
      <c r="FK15" s="42">
        <v>0</v>
      </c>
      <c r="FL15" s="42">
        <v>3.2</v>
      </c>
      <c r="FM15" s="42">
        <v>0</v>
      </c>
      <c r="FN15" s="42">
        <v>0</v>
      </c>
      <c r="FO15" s="42">
        <v>0</v>
      </c>
      <c r="FP15" s="42">
        <v>0</v>
      </c>
      <c r="FQ15" s="42">
        <v>0</v>
      </c>
      <c r="FR15" s="42">
        <v>2.12</v>
      </c>
      <c r="FS15" s="42">
        <v>0</v>
      </c>
      <c r="FT15" s="42">
        <v>0</v>
      </c>
      <c r="FU15" s="42">
        <v>7.17</v>
      </c>
      <c r="FV15" s="42">
        <v>9.58</v>
      </c>
      <c r="FW15" s="42">
        <v>5.8800000000000008</v>
      </c>
      <c r="FX15" s="42">
        <v>0</v>
      </c>
      <c r="FY15" s="42">
        <v>0</v>
      </c>
      <c r="FZ15" s="42">
        <v>0</v>
      </c>
      <c r="GA15" s="42">
        <v>1.3</v>
      </c>
      <c r="GB15" s="42">
        <v>0</v>
      </c>
      <c r="GC15" s="42">
        <v>0</v>
      </c>
      <c r="GD15" s="42">
        <v>0</v>
      </c>
      <c r="GE15" s="42">
        <v>0</v>
      </c>
      <c r="GF15" s="42">
        <v>3.02</v>
      </c>
      <c r="GG15" s="42">
        <v>0</v>
      </c>
      <c r="GH15" s="42">
        <v>0</v>
      </c>
      <c r="GI15" s="42">
        <v>6.42</v>
      </c>
      <c r="GJ15" s="42">
        <v>6.02</v>
      </c>
      <c r="GK15" s="42">
        <v>0</v>
      </c>
      <c r="GL15" s="42">
        <v>190.88</v>
      </c>
      <c r="GM15" s="42">
        <v>0</v>
      </c>
      <c r="GN15" s="42">
        <v>0</v>
      </c>
      <c r="GO15" s="42">
        <v>0</v>
      </c>
      <c r="GP15" s="42">
        <v>0</v>
      </c>
      <c r="GQ15" s="42">
        <v>0</v>
      </c>
      <c r="GR15" s="42">
        <v>0</v>
      </c>
      <c r="GS15" s="42">
        <v>0</v>
      </c>
      <c r="GT15" s="42">
        <v>0</v>
      </c>
      <c r="GU15" s="42">
        <v>0</v>
      </c>
      <c r="GV15" s="42">
        <v>0</v>
      </c>
      <c r="GW15" s="42">
        <v>5</v>
      </c>
      <c r="GX15" s="42">
        <v>0</v>
      </c>
      <c r="GY15" s="42">
        <v>0</v>
      </c>
      <c r="GZ15" s="42">
        <v>0</v>
      </c>
      <c r="HA15" s="42">
        <v>0</v>
      </c>
      <c r="HB15" s="42">
        <v>0</v>
      </c>
      <c r="HC15" s="42">
        <v>0</v>
      </c>
      <c r="HD15" s="42">
        <v>0</v>
      </c>
      <c r="HE15" s="42">
        <v>0</v>
      </c>
      <c r="HF15" s="42">
        <v>15.17</v>
      </c>
      <c r="HG15" s="42">
        <v>0</v>
      </c>
      <c r="HH15" s="42">
        <v>0</v>
      </c>
      <c r="HI15" s="42">
        <v>0</v>
      </c>
      <c r="HJ15" s="42">
        <v>0</v>
      </c>
      <c r="HK15" s="42">
        <v>0</v>
      </c>
      <c r="HL15" s="42">
        <v>0</v>
      </c>
      <c r="HM15" s="42">
        <v>0</v>
      </c>
      <c r="HN15" s="42">
        <v>0</v>
      </c>
      <c r="HO15" s="42">
        <v>0</v>
      </c>
      <c r="HP15" s="42">
        <v>0</v>
      </c>
      <c r="HQ15" s="42">
        <v>0</v>
      </c>
      <c r="HR15" s="42">
        <v>0</v>
      </c>
      <c r="HS15" s="42">
        <v>0</v>
      </c>
      <c r="HT15" s="42">
        <v>0</v>
      </c>
      <c r="HU15" s="42">
        <v>0</v>
      </c>
      <c r="HV15" s="42">
        <v>0</v>
      </c>
      <c r="HW15" s="42">
        <v>10.061944444444444</v>
      </c>
      <c r="HX15" s="42">
        <v>0</v>
      </c>
      <c r="HY15" s="42">
        <v>0.11388888888888889</v>
      </c>
      <c r="HZ15" s="42">
        <v>13.021666666666668</v>
      </c>
      <c r="IA15" s="42">
        <v>0</v>
      </c>
      <c r="IB15" s="42">
        <v>0</v>
      </c>
      <c r="IC15" s="42">
        <v>0</v>
      </c>
      <c r="ID15" s="42">
        <v>3.6500000000000004</v>
      </c>
      <c r="IE15" s="42">
        <v>0</v>
      </c>
      <c r="IF15" s="42">
        <v>0</v>
      </c>
      <c r="IG15" s="42">
        <v>0</v>
      </c>
      <c r="IH15" s="42">
        <v>0</v>
      </c>
      <c r="II15" s="42">
        <v>0</v>
      </c>
      <c r="IJ15" s="42">
        <v>0</v>
      </c>
      <c r="IK15" s="42">
        <v>0</v>
      </c>
      <c r="IL15" s="42">
        <v>3.8786111111111112</v>
      </c>
      <c r="IM15" s="42">
        <v>0</v>
      </c>
      <c r="IN15" s="42">
        <v>0</v>
      </c>
      <c r="IO15" s="42">
        <v>0</v>
      </c>
      <c r="IP15" s="42">
        <v>0</v>
      </c>
      <c r="IQ15" s="42">
        <v>0</v>
      </c>
      <c r="IR15" s="42">
        <v>1.3538888888888887</v>
      </c>
      <c r="IS15" s="42">
        <v>4.0627777777777787</v>
      </c>
      <c r="IT15" s="42">
        <v>19.343611111111109</v>
      </c>
      <c r="IU15" s="42">
        <v>23.871111111111112</v>
      </c>
      <c r="IV15" s="42">
        <v>24</v>
      </c>
      <c r="IW15" s="42">
        <v>24</v>
      </c>
      <c r="IX15" s="42">
        <v>24</v>
      </c>
      <c r="IY15" s="42">
        <f>IFERROR(VLOOKUP($B15,[1]Sheet1!$A:$I,IY$12,0),0)</f>
        <v>15.208333333333332</v>
      </c>
      <c r="IZ15" s="42">
        <f>IFERROR(VLOOKUP($B15,[1]Sheet1!$A:$I,IZ$12,0),0)</f>
        <v>0</v>
      </c>
      <c r="JA15" s="42">
        <f>IFERROR(VLOOKUP($B15,[1]Sheet1!$A:$I,JA$12,0),0)</f>
        <v>0</v>
      </c>
      <c r="JB15" s="42">
        <f>IFERROR(VLOOKUP($B15,[1]Sheet1!$A:$I,JB$12,0),0)</f>
        <v>0</v>
      </c>
      <c r="JC15" s="42">
        <f>IFERROR(VLOOKUP($B15,[1]Sheet1!$A:$I,JC$12,0),0)</f>
        <v>0</v>
      </c>
      <c r="JD15" s="42">
        <f>IFERROR(VLOOKUP($B15,[1]Sheet1!$A:$I,JD$12,0),0)</f>
        <v>0</v>
      </c>
      <c r="JE15" s="42">
        <f>IFERROR(VLOOKUP($B15,[1]Sheet1!$A:$I,JE$12,0),0)</f>
        <v>2.4644444444444442</v>
      </c>
      <c r="JF15" s="42">
        <f>IFERROR(VLOOKUP($B15,[1]Sheet1!$A:$I,JF$12,0),0)</f>
        <v>0</v>
      </c>
      <c r="JG15" s="42">
        <f>IFERROR(VLOOKUP($B15,[2]Sheet3!$A:$I,JG$12,0),0)</f>
        <v>0</v>
      </c>
      <c r="JH15" s="42">
        <f>IFERROR(VLOOKUP($B15,[2]Sheet3!$A:$I,JH$12,0),0)</f>
        <v>0</v>
      </c>
      <c r="JI15" s="42">
        <f>IFERROR(VLOOKUP($B15,[2]Sheet3!$A:$I,JI$12,0),0)</f>
        <v>5.1944444444444446E-2</v>
      </c>
      <c r="JJ15" s="42">
        <f>IFERROR(VLOOKUP($B15,[2]Sheet3!$A:$I,JJ$12,0),0)</f>
        <v>0.44166666666666665</v>
      </c>
      <c r="JK15" s="42">
        <f>IFERROR(VLOOKUP($B15,[2]Sheet3!$A:$I,JK$12,0),0)</f>
        <v>0.20166666666666666</v>
      </c>
      <c r="JL15" s="42">
        <f>IFERROR(VLOOKUP($B15,[2]Sheet3!$A:$I,JL$12,0),0)</f>
        <v>0</v>
      </c>
      <c r="JM15" s="42">
        <f>IFERROR(VLOOKUP($B15,[2]Sheet3!$A:$I,JM$12,0),0)</f>
        <v>0</v>
      </c>
      <c r="JN15" s="42">
        <v>9.1050000000000004</v>
      </c>
      <c r="JO15" s="42">
        <v>1</v>
      </c>
      <c r="JP15" s="42">
        <v>2.4525000000000001</v>
      </c>
      <c r="JQ15" s="42">
        <v>1</v>
      </c>
      <c r="JR15" s="42">
        <v>6.75</v>
      </c>
      <c r="JS15" s="42">
        <v>3</v>
      </c>
      <c r="JT15" s="42">
        <v>1.68</v>
      </c>
      <c r="JU15" s="42">
        <v>0</v>
      </c>
      <c r="JV15" s="42">
        <v>0.15</v>
      </c>
      <c r="JW15" s="209">
        <v>0</v>
      </c>
      <c r="JX15" s="209">
        <v>0</v>
      </c>
      <c r="JY15" s="209">
        <v>0</v>
      </c>
      <c r="JZ15" s="209">
        <v>0</v>
      </c>
      <c r="KA15" s="209">
        <v>0</v>
      </c>
      <c r="KB15" s="209">
        <v>0</v>
      </c>
      <c r="KC15" s="209">
        <v>0</v>
      </c>
      <c r="KD15" s="209">
        <v>0</v>
      </c>
      <c r="KE15" s="209">
        <v>0</v>
      </c>
      <c r="KF15" s="209">
        <v>0</v>
      </c>
      <c r="KG15" s="209">
        <v>0</v>
      </c>
      <c r="KH15" s="209">
        <v>0</v>
      </c>
      <c r="KI15" s="209">
        <v>0</v>
      </c>
      <c r="KJ15" s="209">
        <v>0</v>
      </c>
      <c r="KK15" s="209">
        <v>0</v>
      </c>
      <c r="KL15" s="209">
        <v>0</v>
      </c>
      <c r="KM15" s="209">
        <v>0</v>
      </c>
      <c r="KN15" s="209">
        <v>0</v>
      </c>
      <c r="KO15" s="209">
        <v>0</v>
      </c>
      <c r="KP15" s="209">
        <v>0</v>
      </c>
      <c r="KQ15" s="209">
        <v>0</v>
      </c>
      <c r="KR15" s="209">
        <v>0</v>
      </c>
      <c r="KS15" s="209">
        <v>0</v>
      </c>
      <c r="KT15" s="209">
        <v>0</v>
      </c>
      <c r="KU15" s="42"/>
      <c r="KV15" s="42"/>
      <c r="KW15" s="42"/>
      <c r="KX15" s="42"/>
      <c r="KY15" s="42"/>
      <c r="KZ15" s="42"/>
      <c r="LA15" s="42"/>
      <c r="LB15" s="42"/>
      <c r="LC15" s="42"/>
      <c r="LD15" s="42"/>
      <c r="LE15" s="42"/>
      <c r="LF15" s="42"/>
      <c r="LG15" s="42"/>
      <c r="LH15" s="42"/>
      <c r="LI15" s="42"/>
      <c r="LJ15" s="42"/>
      <c r="LK15" s="42"/>
      <c r="LL15" s="42"/>
      <c r="LM15" s="42"/>
      <c r="LN15" s="42"/>
      <c r="LO15" s="42"/>
      <c r="LP15" s="42"/>
      <c r="LQ15" s="42"/>
      <c r="LR15" s="42"/>
      <c r="LS15" s="42"/>
      <c r="LT15" s="42"/>
      <c r="LU15" s="42"/>
      <c r="LV15" s="42"/>
      <c r="LW15" s="42"/>
      <c r="LX15" s="42"/>
      <c r="LY15" s="42"/>
      <c r="LZ15" s="42"/>
      <c r="MA15" s="42"/>
      <c r="MB15" s="42"/>
      <c r="MC15" s="42"/>
      <c r="MD15" s="42"/>
      <c r="ME15" s="42"/>
      <c r="MF15" s="42"/>
      <c r="MG15" s="42"/>
      <c r="MH15" s="42"/>
      <c r="MI15" s="42"/>
      <c r="MJ15" s="42"/>
      <c r="MK15" s="42"/>
      <c r="ML15" s="42"/>
      <c r="MM15" s="42"/>
      <c r="MN15" s="42"/>
      <c r="MO15" s="42"/>
      <c r="MP15" s="42"/>
      <c r="MQ15" s="42"/>
      <c r="MR15" s="42"/>
      <c r="MS15" s="42"/>
      <c r="MT15" s="42"/>
      <c r="MU15" s="42"/>
      <c r="MV15" s="42"/>
      <c r="MW15" s="42"/>
      <c r="MX15" s="42"/>
      <c r="MY15" s="42"/>
      <c r="MZ15" s="42"/>
      <c r="NA15" s="42"/>
      <c r="NB15" s="42"/>
      <c r="NC15" s="42"/>
      <c r="ND15" s="42"/>
      <c r="NE15" s="42"/>
      <c r="NF15" s="42"/>
      <c r="NG15" s="42"/>
      <c r="NH15" s="42"/>
      <c r="NI15" s="42"/>
      <c r="NJ15" s="42"/>
      <c r="NK15" s="42"/>
      <c r="NL15" s="42"/>
      <c r="NM15" s="42"/>
      <c r="NN15" s="42"/>
      <c r="NO15" s="42"/>
      <c r="NP15" s="42"/>
      <c r="NQ15" s="42"/>
      <c r="NR15" s="42"/>
      <c r="NS15" s="42"/>
      <c r="NT15" s="42"/>
      <c r="NU15" s="42"/>
      <c r="NV15" s="42"/>
      <c r="NW15" s="42"/>
      <c r="NX15" s="42"/>
      <c r="NY15" s="42"/>
      <c r="NZ15" s="42"/>
      <c r="OA15" s="42"/>
      <c r="OB15" s="42"/>
      <c r="OC15" s="42"/>
      <c r="OD15" s="42"/>
      <c r="OE15" s="42"/>
      <c r="OF15" s="42"/>
      <c r="OG15" s="42"/>
      <c r="OH15" s="42"/>
      <c r="OI15" s="42"/>
      <c r="OJ15" s="42"/>
      <c r="OK15" s="42"/>
      <c r="OL15" s="42"/>
      <c r="OM15" s="42"/>
      <c r="ON15" s="42"/>
      <c r="OO15" s="42"/>
      <c r="OP15" s="42"/>
      <c r="OQ15" s="42"/>
      <c r="OR15" s="42"/>
      <c r="OS15" s="42"/>
      <c r="OT15" s="42"/>
      <c r="OU15" s="42"/>
      <c r="OV15" s="42"/>
      <c r="OW15" s="42"/>
      <c r="OX15" s="42"/>
      <c r="OY15" s="42"/>
      <c r="OZ15" s="42"/>
      <c r="PA15" s="42"/>
      <c r="PB15" s="42"/>
      <c r="PC15" s="42"/>
      <c r="PD15" s="42"/>
      <c r="PE15" s="42"/>
      <c r="PF15" s="42"/>
      <c r="PG15" s="42"/>
      <c r="PH15" s="42"/>
      <c r="PI15" s="42"/>
      <c r="PJ15" s="42"/>
      <c r="PK15" s="42"/>
      <c r="PL15" s="42"/>
      <c r="PM15" s="42"/>
      <c r="PN15" s="42"/>
      <c r="PO15" s="42"/>
      <c r="PP15" s="42"/>
      <c r="PQ15" s="42"/>
      <c r="PR15" s="42"/>
      <c r="PS15" s="42"/>
      <c r="PT15" s="42"/>
      <c r="PU15" s="42"/>
      <c r="PV15" s="42"/>
      <c r="PW15" s="42"/>
      <c r="PX15" s="42"/>
      <c r="PY15" s="42"/>
      <c r="PZ15" s="42"/>
      <c r="QA15" s="42"/>
      <c r="QB15" s="42"/>
      <c r="QC15" s="42"/>
      <c r="QD15" s="42"/>
      <c r="QE15" s="42"/>
      <c r="QF15" s="42"/>
      <c r="QG15" s="42"/>
      <c r="QH15" s="42"/>
      <c r="QI15" s="42"/>
      <c r="QJ15" s="42"/>
      <c r="QK15" s="42"/>
      <c r="QL15" s="42"/>
      <c r="QM15" s="42"/>
      <c r="QN15" s="42"/>
      <c r="QO15" s="42"/>
      <c r="QP15" s="42"/>
      <c r="QQ15" s="42"/>
      <c r="QR15" s="42"/>
      <c r="QS15" s="42"/>
      <c r="QT15" s="42"/>
      <c r="QU15" s="42"/>
      <c r="QV15" s="42"/>
      <c r="QW15" s="42"/>
      <c r="QX15" s="42"/>
      <c r="QY15" s="42"/>
      <c r="QZ15" s="42"/>
      <c r="RA15" s="42"/>
      <c r="RB15" s="42"/>
      <c r="RC15" s="42"/>
      <c r="RD15" s="42"/>
      <c r="RE15" s="42"/>
      <c r="RF15" s="42"/>
      <c r="RG15" s="42"/>
      <c r="RH15" s="42"/>
      <c r="RI15" s="42"/>
      <c r="RJ15" s="42"/>
      <c r="RK15" s="42"/>
      <c r="RL15" s="42"/>
      <c r="RM15" s="42"/>
      <c r="RN15" s="42"/>
      <c r="RO15" s="42"/>
      <c r="RP15" s="42"/>
      <c r="RQ15" s="42"/>
      <c r="RR15" s="42"/>
      <c r="RS15" s="42"/>
      <c r="RT15" s="42"/>
      <c r="RU15" s="42"/>
      <c r="RV15" s="42"/>
      <c r="RW15" s="42"/>
      <c r="RX15" s="42"/>
      <c r="RY15" s="42"/>
      <c r="RZ15" s="42"/>
      <c r="SA15" s="42"/>
      <c r="SB15" s="42"/>
      <c r="SC15" s="42"/>
      <c r="SD15" s="42"/>
      <c r="SE15" s="42"/>
      <c r="SF15" s="42"/>
      <c r="SG15" s="42"/>
      <c r="SH15" s="42"/>
      <c r="SI15" s="42"/>
      <c r="SJ15" s="42"/>
      <c r="SK15" s="42"/>
      <c r="SL15" s="42"/>
      <c r="SM15" s="42"/>
      <c r="SN15" s="42"/>
      <c r="SO15" s="42"/>
      <c r="SP15" s="42"/>
      <c r="SQ15" s="42"/>
      <c r="SR15" s="42"/>
      <c r="SS15" s="42"/>
      <c r="ST15" s="42"/>
      <c r="SU15" s="42"/>
      <c r="SV15" s="42"/>
      <c r="SW15" s="42"/>
    </row>
    <row r="16" spans="1:517" s="40" customFormat="1" ht="24.6" customHeight="1" x14ac:dyDescent="0.2">
      <c r="A16" s="122" t="s">
        <v>86</v>
      </c>
      <c r="B16" s="123" t="s">
        <v>80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  <c r="X16" s="41">
        <v>0</v>
      </c>
      <c r="Y16" s="41">
        <v>28.400000000000002</v>
      </c>
      <c r="Z16" s="41">
        <v>0</v>
      </c>
      <c r="AA16" s="41">
        <v>0</v>
      </c>
      <c r="AB16" s="41">
        <v>0</v>
      </c>
      <c r="AC16" s="41">
        <v>0</v>
      </c>
      <c r="AD16" s="41">
        <v>0</v>
      </c>
      <c r="AE16" s="41">
        <v>0</v>
      </c>
      <c r="AF16" s="41">
        <v>0</v>
      </c>
      <c r="AG16" s="41">
        <v>1.4100000000000001</v>
      </c>
      <c r="AH16" s="41">
        <v>0</v>
      </c>
      <c r="AI16" s="41">
        <v>2.7800000000000002</v>
      </c>
      <c r="AJ16" s="41">
        <v>0</v>
      </c>
      <c r="AK16" s="41">
        <v>0.95</v>
      </c>
      <c r="AL16" s="41">
        <v>1.4</v>
      </c>
      <c r="AM16" s="41">
        <v>0</v>
      </c>
      <c r="AN16" s="41">
        <v>1.94</v>
      </c>
      <c r="AO16" s="41">
        <v>2.97</v>
      </c>
      <c r="AP16" s="41">
        <v>0</v>
      </c>
      <c r="AQ16" s="41">
        <v>0</v>
      </c>
      <c r="AR16" s="41">
        <v>0</v>
      </c>
      <c r="AS16" s="41">
        <v>0</v>
      </c>
      <c r="AT16" s="41">
        <v>2.81</v>
      </c>
      <c r="AU16" s="41">
        <v>0</v>
      </c>
      <c r="AV16" s="41">
        <v>21.23</v>
      </c>
      <c r="AW16" s="41">
        <v>0</v>
      </c>
      <c r="AX16" s="41">
        <v>0</v>
      </c>
      <c r="AY16" s="41">
        <v>0</v>
      </c>
      <c r="AZ16" s="41">
        <v>3.57</v>
      </c>
      <c r="BA16" s="41">
        <v>0</v>
      </c>
      <c r="BB16" s="41">
        <v>0</v>
      </c>
      <c r="BC16" s="41">
        <v>0</v>
      </c>
      <c r="BD16" s="41">
        <v>0</v>
      </c>
      <c r="BE16" s="41">
        <v>0</v>
      </c>
      <c r="BF16" s="41">
        <v>0</v>
      </c>
      <c r="BG16" s="41">
        <v>4.83</v>
      </c>
      <c r="BH16" s="41">
        <v>0</v>
      </c>
      <c r="BI16" s="41">
        <v>0</v>
      </c>
      <c r="BJ16" s="41">
        <v>0</v>
      </c>
      <c r="BK16" s="41">
        <v>14.91</v>
      </c>
      <c r="BL16" s="41">
        <v>11.530000000000001</v>
      </c>
      <c r="BM16" s="41">
        <v>0</v>
      </c>
      <c r="BN16" s="41">
        <v>23.52</v>
      </c>
      <c r="BO16" s="41">
        <v>0</v>
      </c>
      <c r="BP16" s="41">
        <v>0</v>
      </c>
      <c r="BQ16" s="41">
        <v>0</v>
      </c>
      <c r="BR16" s="41">
        <v>0</v>
      </c>
      <c r="BS16" s="41">
        <v>0</v>
      </c>
      <c r="BT16" s="41">
        <v>0</v>
      </c>
      <c r="BU16" s="41">
        <v>0.97</v>
      </c>
      <c r="BV16" s="41">
        <v>0</v>
      </c>
      <c r="BW16" s="41">
        <v>0</v>
      </c>
      <c r="BX16" s="41">
        <v>0</v>
      </c>
      <c r="BY16" s="41">
        <v>0</v>
      </c>
      <c r="BZ16" s="41">
        <v>0</v>
      </c>
      <c r="CA16" s="41">
        <v>0</v>
      </c>
      <c r="CB16" s="41">
        <v>32.83</v>
      </c>
      <c r="CC16" s="41">
        <v>0</v>
      </c>
      <c r="CD16" s="41">
        <v>0</v>
      </c>
      <c r="CE16" s="41">
        <v>0</v>
      </c>
      <c r="CF16" s="41">
        <v>0</v>
      </c>
      <c r="CG16" s="41">
        <v>0</v>
      </c>
      <c r="CH16" s="41">
        <v>0.7</v>
      </c>
      <c r="CI16" s="41">
        <v>0</v>
      </c>
      <c r="CJ16" s="41">
        <v>0</v>
      </c>
      <c r="CK16" s="41">
        <v>0</v>
      </c>
      <c r="CL16" s="41">
        <v>0</v>
      </c>
      <c r="CM16" s="41">
        <v>0</v>
      </c>
      <c r="CN16" s="41">
        <v>0</v>
      </c>
      <c r="CO16" s="41">
        <v>22.67</v>
      </c>
      <c r="CP16" s="41">
        <v>0</v>
      </c>
      <c r="CQ16" s="41">
        <v>0</v>
      </c>
      <c r="CR16" s="41">
        <v>0</v>
      </c>
      <c r="CS16" s="41">
        <v>31.18</v>
      </c>
      <c r="CT16" s="41">
        <v>17.600000000000001</v>
      </c>
      <c r="CU16" s="41">
        <v>4.1000000000000005</v>
      </c>
      <c r="CV16" s="41">
        <v>0.83</v>
      </c>
      <c r="CW16" s="41">
        <v>0</v>
      </c>
      <c r="CX16" s="41">
        <v>0</v>
      </c>
      <c r="CY16" s="41">
        <v>4.08</v>
      </c>
      <c r="CZ16" s="41">
        <v>0</v>
      </c>
      <c r="DA16" s="41">
        <v>0</v>
      </c>
      <c r="DB16" s="41">
        <v>2.2000000000000002</v>
      </c>
      <c r="DC16" s="41">
        <v>0</v>
      </c>
      <c r="DD16" s="41">
        <v>0</v>
      </c>
      <c r="DE16" s="41">
        <v>5.12</v>
      </c>
      <c r="DF16" s="41">
        <v>0</v>
      </c>
      <c r="DG16" s="41">
        <v>0</v>
      </c>
      <c r="DH16" s="41">
        <v>0</v>
      </c>
      <c r="DI16" s="41">
        <v>1.84</v>
      </c>
      <c r="DJ16" s="41">
        <v>0</v>
      </c>
      <c r="DK16" s="41">
        <v>1.42</v>
      </c>
      <c r="DL16" s="41">
        <v>0</v>
      </c>
      <c r="DM16" s="41">
        <v>0</v>
      </c>
      <c r="DN16" s="41">
        <v>0</v>
      </c>
      <c r="DO16" s="41">
        <v>0</v>
      </c>
      <c r="DP16" s="41">
        <v>3.55</v>
      </c>
      <c r="DQ16" s="41">
        <v>0</v>
      </c>
      <c r="DR16" s="41">
        <v>0</v>
      </c>
      <c r="DS16" s="41">
        <v>2.83</v>
      </c>
      <c r="DT16" s="41">
        <v>1.91</v>
      </c>
      <c r="DU16" s="41">
        <v>5.05</v>
      </c>
      <c r="DV16" s="41">
        <v>0</v>
      </c>
      <c r="DW16" s="41">
        <v>0</v>
      </c>
      <c r="DX16" s="42">
        <v>3.15</v>
      </c>
      <c r="DY16" s="42">
        <v>4.59</v>
      </c>
      <c r="DZ16" s="42">
        <v>9.870000000000001</v>
      </c>
      <c r="EA16" s="42">
        <v>0</v>
      </c>
      <c r="EB16" s="42">
        <v>0</v>
      </c>
      <c r="EC16" s="42">
        <v>0</v>
      </c>
      <c r="ED16" s="42">
        <v>0</v>
      </c>
      <c r="EE16" s="42">
        <v>0</v>
      </c>
      <c r="EF16" s="42">
        <v>0</v>
      </c>
      <c r="EG16" s="42">
        <v>0</v>
      </c>
      <c r="EH16" s="42">
        <v>0</v>
      </c>
      <c r="EI16" s="42">
        <v>23.6</v>
      </c>
      <c r="EJ16" s="42">
        <v>0</v>
      </c>
      <c r="EK16" s="42">
        <v>0</v>
      </c>
      <c r="EL16" s="42">
        <v>18.98</v>
      </c>
      <c r="EM16" s="42">
        <v>0.62</v>
      </c>
      <c r="EN16" s="42">
        <v>0</v>
      </c>
      <c r="EO16" s="42">
        <v>3.93</v>
      </c>
      <c r="EP16" s="42">
        <v>0</v>
      </c>
      <c r="EQ16" s="42">
        <v>3.3800000000000003</v>
      </c>
      <c r="ER16" s="42">
        <v>0</v>
      </c>
      <c r="ES16" s="42">
        <v>2.4500000000000002</v>
      </c>
      <c r="ET16" s="42">
        <v>0</v>
      </c>
      <c r="EU16" s="42">
        <v>0</v>
      </c>
      <c r="EV16" s="42">
        <v>0</v>
      </c>
      <c r="EW16" s="42">
        <v>0</v>
      </c>
      <c r="EX16" s="42">
        <v>0</v>
      </c>
      <c r="EY16" s="42">
        <v>0</v>
      </c>
      <c r="EZ16" s="42">
        <v>0</v>
      </c>
      <c r="FA16" s="42">
        <v>0</v>
      </c>
      <c r="FB16" s="42">
        <v>0</v>
      </c>
      <c r="FC16" s="42">
        <v>0</v>
      </c>
      <c r="FD16" s="42">
        <v>0</v>
      </c>
      <c r="FE16" s="42">
        <v>0</v>
      </c>
      <c r="FF16" s="42">
        <v>0</v>
      </c>
      <c r="FG16" s="42">
        <v>0</v>
      </c>
      <c r="FH16" s="42">
        <v>0</v>
      </c>
      <c r="FI16" s="42">
        <v>12.48</v>
      </c>
      <c r="FJ16" s="42">
        <v>0</v>
      </c>
      <c r="FK16" s="42">
        <v>22.830000000000005</v>
      </c>
      <c r="FL16" s="42">
        <v>0</v>
      </c>
      <c r="FM16" s="42">
        <v>0</v>
      </c>
      <c r="FN16" s="42">
        <v>0</v>
      </c>
      <c r="FO16" s="42">
        <v>0</v>
      </c>
      <c r="FP16" s="42">
        <v>0.2</v>
      </c>
      <c r="FQ16" s="42">
        <v>9.23</v>
      </c>
      <c r="FR16" s="42">
        <v>7.9499999999999993</v>
      </c>
      <c r="FS16" s="42">
        <v>1.9</v>
      </c>
      <c r="FT16" s="42">
        <v>0</v>
      </c>
      <c r="FU16" s="42">
        <v>14.649999999999999</v>
      </c>
      <c r="FV16" s="42">
        <v>0</v>
      </c>
      <c r="FW16" s="42">
        <v>9.8800000000000008</v>
      </c>
      <c r="FX16" s="42">
        <v>0</v>
      </c>
      <c r="FY16" s="42">
        <v>2.78</v>
      </c>
      <c r="FZ16" s="42">
        <v>0</v>
      </c>
      <c r="GA16" s="42">
        <v>0</v>
      </c>
      <c r="GB16" s="42">
        <v>0</v>
      </c>
      <c r="GC16" s="42">
        <v>14.26</v>
      </c>
      <c r="GD16" s="42">
        <v>0</v>
      </c>
      <c r="GE16" s="42">
        <v>0</v>
      </c>
      <c r="GF16" s="42">
        <v>0</v>
      </c>
      <c r="GG16" s="42">
        <v>0</v>
      </c>
      <c r="GH16" s="42">
        <v>0</v>
      </c>
      <c r="GI16" s="42">
        <v>0</v>
      </c>
      <c r="GJ16" s="42">
        <v>0</v>
      </c>
      <c r="GK16" s="42">
        <v>0</v>
      </c>
      <c r="GL16" s="42">
        <v>0</v>
      </c>
      <c r="GM16" s="42">
        <v>10.27</v>
      </c>
      <c r="GN16" s="42">
        <v>0</v>
      </c>
      <c r="GO16" s="42">
        <v>0</v>
      </c>
      <c r="GP16" s="42">
        <v>0</v>
      </c>
      <c r="GQ16" s="42">
        <v>0</v>
      </c>
      <c r="GR16" s="42">
        <v>47.92</v>
      </c>
      <c r="GS16" s="42">
        <v>0</v>
      </c>
      <c r="GT16" s="42">
        <v>11.580000000000002</v>
      </c>
      <c r="GU16" s="42">
        <v>0</v>
      </c>
      <c r="GV16" s="42">
        <v>0</v>
      </c>
      <c r="GW16" s="42">
        <v>0</v>
      </c>
      <c r="GX16" s="42">
        <v>0</v>
      </c>
      <c r="GY16" s="42">
        <v>0</v>
      </c>
      <c r="GZ16" s="42">
        <v>0</v>
      </c>
      <c r="HA16" s="42">
        <v>0</v>
      </c>
      <c r="HB16" s="42">
        <v>0</v>
      </c>
      <c r="HC16" s="42">
        <v>0</v>
      </c>
      <c r="HD16" s="42">
        <v>0</v>
      </c>
      <c r="HE16" s="42">
        <v>0</v>
      </c>
      <c r="HF16" s="42">
        <v>0</v>
      </c>
      <c r="HG16" s="42">
        <v>0</v>
      </c>
      <c r="HH16" s="42">
        <v>0</v>
      </c>
      <c r="HI16" s="42">
        <v>0</v>
      </c>
      <c r="HJ16" s="42">
        <v>0</v>
      </c>
      <c r="HK16" s="42">
        <v>0</v>
      </c>
      <c r="HL16" s="42">
        <v>0</v>
      </c>
      <c r="HM16" s="42">
        <v>0</v>
      </c>
      <c r="HN16" s="42">
        <v>6.8033333333333328</v>
      </c>
      <c r="HO16" s="42">
        <v>0</v>
      </c>
      <c r="HP16" s="42">
        <v>0</v>
      </c>
      <c r="HQ16" s="42">
        <v>0</v>
      </c>
      <c r="HR16" s="42">
        <v>0</v>
      </c>
      <c r="HS16" s="42">
        <v>0</v>
      </c>
      <c r="HT16" s="42">
        <v>0</v>
      </c>
      <c r="HU16" s="42">
        <v>0</v>
      </c>
      <c r="HV16" s="42">
        <v>0</v>
      </c>
      <c r="HW16" s="42">
        <v>0</v>
      </c>
      <c r="HX16" s="42">
        <v>0.18138888888888888</v>
      </c>
      <c r="HY16" s="42">
        <v>4.3527777777777787</v>
      </c>
      <c r="HZ16" s="42">
        <v>21.28638888888889</v>
      </c>
      <c r="IA16" s="42">
        <v>8.2169444444444437</v>
      </c>
      <c r="IB16" s="42">
        <v>0</v>
      </c>
      <c r="IC16" s="42">
        <v>0</v>
      </c>
      <c r="ID16" s="42">
        <v>0</v>
      </c>
      <c r="IE16" s="42">
        <v>0</v>
      </c>
      <c r="IF16" s="42">
        <v>3.8</v>
      </c>
      <c r="IG16" s="42">
        <v>0</v>
      </c>
      <c r="IH16" s="42">
        <v>0</v>
      </c>
      <c r="II16" s="42">
        <v>0</v>
      </c>
      <c r="IJ16" s="42">
        <v>0</v>
      </c>
      <c r="IK16" s="42">
        <v>14.247499999999999</v>
      </c>
      <c r="IL16" s="42">
        <v>5.2391666666666667</v>
      </c>
      <c r="IM16" s="42">
        <v>0</v>
      </c>
      <c r="IN16" s="42">
        <v>0</v>
      </c>
      <c r="IO16" s="42">
        <v>5.0302777777777781</v>
      </c>
      <c r="IP16" s="42">
        <v>8.7713888888888896</v>
      </c>
      <c r="IQ16" s="42">
        <v>6.1855555555555553</v>
      </c>
      <c r="IR16" s="42">
        <v>10.138611111111111</v>
      </c>
      <c r="IS16" s="42">
        <v>8.9166666666666672E-2</v>
      </c>
      <c r="IT16" s="42">
        <v>0.54888888888888887</v>
      </c>
      <c r="IU16" s="42">
        <v>0</v>
      </c>
      <c r="IV16" s="42">
        <v>2.0688888888888886</v>
      </c>
      <c r="IW16" s="42">
        <v>0</v>
      </c>
      <c r="IX16" s="42">
        <v>16.549444444444443</v>
      </c>
      <c r="IY16" s="42">
        <f>IFERROR(VLOOKUP($B16,[1]Sheet1!$A:$I,IY$12,0),0)</f>
        <v>20.853333333333332</v>
      </c>
      <c r="IZ16" s="42">
        <f>IFERROR(VLOOKUP($B16,[1]Sheet1!$A:$I,IZ$12,0),0)</f>
        <v>8.8505555555555571</v>
      </c>
      <c r="JA16" s="42">
        <f>IFERROR(VLOOKUP($B16,[1]Sheet1!$A:$I,JA$12,0),0)</f>
        <v>3.6025</v>
      </c>
      <c r="JB16" s="42">
        <f>IFERROR(VLOOKUP($B16,[1]Sheet1!$A:$I,JB$12,0),0)</f>
        <v>0</v>
      </c>
      <c r="JC16" s="42">
        <f>IFERROR(VLOOKUP($B16,[1]Sheet1!$A:$I,JC$12,0),0)</f>
        <v>5.333333333333333E-2</v>
      </c>
      <c r="JD16" s="42">
        <f>IFERROR(VLOOKUP($B16,[1]Sheet1!$A:$I,JD$12,0),0)</f>
        <v>0</v>
      </c>
      <c r="JE16" s="42">
        <f>IFERROR(VLOOKUP($B16,[1]Sheet1!$A:$I,JE$12,0),0)</f>
        <v>1.5277777777777779E-2</v>
      </c>
      <c r="JF16" s="42">
        <f>IFERROR(VLOOKUP($B16,[1]Sheet1!$A:$I,JF$12,0),0)</f>
        <v>0</v>
      </c>
      <c r="JG16" s="42">
        <f>IFERROR(VLOOKUP($B16,[2]Sheet3!$A:$I,JG$12,0),0)</f>
        <v>0</v>
      </c>
      <c r="JH16" s="42">
        <f>IFERROR(VLOOKUP($B16,[2]Sheet3!$A:$I,JH$12,0),0)</f>
        <v>0</v>
      </c>
      <c r="JI16" s="42">
        <f>IFERROR(VLOOKUP($B16,[2]Sheet3!$A:$I,JI$12,0),0)</f>
        <v>14.799722222222222</v>
      </c>
      <c r="JJ16" s="42">
        <f>IFERROR(VLOOKUP($B16,[2]Sheet3!$A:$I,JJ$12,0),0)</f>
        <v>24</v>
      </c>
      <c r="JK16" s="42">
        <f>IFERROR(VLOOKUP($B16,[2]Sheet3!$A:$I,JK$12,0),0)</f>
        <v>6.2894444444444453</v>
      </c>
      <c r="JL16" s="42">
        <f>IFERROR(VLOOKUP($B16,[2]Sheet3!$A:$I,JL$12,0),0)</f>
        <v>0</v>
      </c>
      <c r="JM16" s="42">
        <v>0</v>
      </c>
      <c r="JN16" s="42">
        <v>7.61</v>
      </c>
      <c r="JO16" s="42">
        <v>1</v>
      </c>
      <c r="JP16" s="42">
        <v>1</v>
      </c>
      <c r="JQ16" s="42">
        <v>1</v>
      </c>
      <c r="JR16" s="42">
        <v>13.062777777777777</v>
      </c>
      <c r="JS16" s="42">
        <v>1</v>
      </c>
      <c r="JT16" s="42">
        <v>0.6</v>
      </c>
      <c r="JU16" s="42">
        <f>1.28+3.18</f>
        <v>4.46</v>
      </c>
      <c r="JV16" s="42">
        <v>0.15</v>
      </c>
      <c r="JW16" s="209">
        <v>0</v>
      </c>
      <c r="JX16" s="209">
        <v>0</v>
      </c>
      <c r="JY16" s="209">
        <v>0</v>
      </c>
      <c r="JZ16" s="209">
        <v>0</v>
      </c>
      <c r="KA16" s="209">
        <v>0</v>
      </c>
      <c r="KB16" s="209">
        <v>0</v>
      </c>
      <c r="KC16" s="209">
        <v>0</v>
      </c>
      <c r="KD16" s="209">
        <v>0</v>
      </c>
      <c r="KE16" s="209">
        <v>0</v>
      </c>
      <c r="KF16" s="209">
        <v>0</v>
      </c>
      <c r="KG16" s="209">
        <v>0</v>
      </c>
      <c r="KH16" s="42">
        <v>24</v>
      </c>
      <c r="KI16" s="209">
        <v>0</v>
      </c>
      <c r="KJ16" s="209">
        <v>0</v>
      </c>
      <c r="KK16" s="209">
        <v>0</v>
      </c>
      <c r="KL16" s="209">
        <v>0</v>
      </c>
      <c r="KM16" s="209">
        <v>0</v>
      </c>
      <c r="KN16" s="209">
        <v>0</v>
      </c>
      <c r="KO16" s="209">
        <v>0</v>
      </c>
      <c r="KP16" s="209">
        <v>0</v>
      </c>
      <c r="KQ16" s="209">
        <v>0</v>
      </c>
      <c r="KR16" s="209">
        <v>0</v>
      </c>
      <c r="KS16" s="209">
        <v>0</v>
      </c>
      <c r="KT16" s="209">
        <v>0</v>
      </c>
      <c r="KU16" s="42"/>
      <c r="KV16" s="42"/>
      <c r="KW16" s="42"/>
      <c r="KX16" s="42"/>
      <c r="KY16" s="42"/>
      <c r="KZ16" s="42"/>
      <c r="LA16" s="42"/>
      <c r="LB16" s="42"/>
      <c r="LC16" s="42"/>
      <c r="LD16" s="42"/>
      <c r="LE16" s="42"/>
      <c r="LF16" s="42"/>
      <c r="LG16" s="42"/>
      <c r="LH16" s="42"/>
      <c r="LI16" s="42"/>
      <c r="LJ16" s="42"/>
      <c r="LK16" s="42"/>
      <c r="LL16" s="42"/>
      <c r="LM16" s="42"/>
      <c r="LN16" s="42"/>
      <c r="LO16" s="42"/>
      <c r="LP16" s="42"/>
      <c r="LQ16" s="42"/>
      <c r="LR16" s="42"/>
      <c r="LS16" s="42"/>
      <c r="LT16" s="42"/>
      <c r="LU16" s="42"/>
      <c r="LV16" s="42"/>
      <c r="LW16" s="42"/>
      <c r="LX16" s="42"/>
      <c r="LY16" s="42"/>
      <c r="LZ16" s="42"/>
      <c r="MA16" s="42"/>
      <c r="MB16" s="42"/>
      <c r="MC16" s="42"/>
      <c r="MD16" s="42"/>
      <c r="ME16" s="42"/>
      <c r="MF16" s="42"/>
      <c r="MG16" s="42"/>
      <c r="MH16" s="42"/>
      <c r="MI16" s="42"/>
      <c r="MJ16" s="42"/>
      <c r="MK16" s="42"/>
      <c r="ML16" s="42"/>
      <c r="MM16" s="42"/>
      <c r="MN16" s="42"/>
      <c r="MO16" s="42"/>
      <c r="MP16" s="42"/>
      <c r="MQ16" s="42"/>
      <c r="MR16" s="42"/>
      <c r="MS16" s="42"/>
      <c r="MT16" s="42"/>
      <c r="MU16" s="42"/>
      <c r="MV16" s="42"/>
      <c r="MW16" s="42"/>
      <c r="MX16" s="42"/>
      <c r="MY16" s="42"/>
      <c r="MZ16" s="42"/>
      <c r="NA16" s="42"/>
      <c r="NB16" s="42"/>
      <c r="NC16" s="42"/>
      <c r="ND16" s="42"/>
      <c r="NE16" s="42"/>
      <c r="NF16" s="42"/>
      <c r="NG16" s="42"/>
      <c r="NH16" s="42"/>
      <c r="NI16" s="42"/>
      <c r="NJ16" s="42"/>
      <c r="NK16" s="42"/>
      <c r="NL16" s="42"/>
      <c r="NM16" s="42"/>
      <c r="NN16" s="42"/>
      <c r="NO16" s="42"/>
      <c r="NP16" s="42"/>
      <c r="NQ16" s="42"/>
      <c r="NR16" s="42"/>
      <c r="NS16" s="42"/>
      <c r="NT16" s="42"/>
      <c r="NU16" s="42"/>
      <c r="NV16" s="42"/>
      <c r="NW16" s="42"/>
      <c r="NX16" s="42"/>
      <c r="NY16" s="42"/>
      <c r="NZ16" s="42"/>
      <c r="OA16" s="42"/>
      <c r="OB16" s="42"/>
      <c r="OC16" s="42"/>
      <c r="OD16" s="42"/>
      <c r="OE16" s="42"/>
      <c r="OF16" s="42"/>
      <c r="OG16" s="42"/>
      <c r="OH16" s="42"/>
      <c r="OI16" s="42"/>
      <c r="OJ16" s="42"/>
      <c r="OK16" s="42"/>
      <c r="OL16" s="42"/>
      <c r="OM16" s="42"/>
      <c r="ON16" s="42"/>
      <c r="OO16" s="42"/>
      <c r="OP16" s="42"/>
      <c r="OQ16" s="42"/>
      <c r="OR16" s="42"/>
      <c r="OS16" s="42"/>
      <c r="OT16" s="42"/>
      <c r="OU16" s="42"/>
      <c r="OV16" s="42"/>
      <c r="OW16" s="42"/>
      <c r="OX16" s="42"/>
      <c r="OY16" s="42"/>
      <c r="OZ16" s="42"/>
      <c r="PA16" s="42"/>
      <c r="PB16" s="42"/>
      <c r="PC16" s="42"/>
      <c r="PD16" s="42"/>
      <c r="PE16" s="42"/>
      <c r="PF16" s="42"/>
      <c r="PG16" s="42"/>
      <c r="PH16" s="42"/>
      <c r="PI16" s="42"/>
      <c r="PJ16" s="42"/>
      <c r="PK16" s="42"/>
      <c r="PL16" s="42"/>
      <c r="PM16" s="42"/>
      <c r="PN16" s="42"/>
      <c r="PO16" s="42"/>
      <c r="PP16" s="42"/>
      <c r="PQ16" s="42"/>
      <c r="PR16" s="42"/>
      <c r="PS16" s="42"/>
      <c r="PT16" s="42"/>
      <c r="PU16" s="42"/>
      <c r="PV16" s="42"/>
      <c r="PW16" s="42"/>
      <c r="PX16" s="42"/>
      <c r="PY16" s="42"/>
      <c r="PZ16" s="42"/>
      <c r="QA16" s="42"/>
      <c r="QB16" s="42"/>
      <c r="QC16" s="42"/>
      <c r="QD16" s="42"/>
      <c r="QE16" s="42"/>
      <c r="QF16" s="42"/>
      <c r="QG16" s="42"/>
      <c r="QH16" s="42"/>
      <c r="QI16" s="42"/>
      <c r="QJ16" s="42"/>
      <c r="QK16" s="42"/>
      <c r="QL16" s="42"/>
      <c r="QM16" s="42"/>
      <c r="QN16" s="42"/>
      <c r="QO16" s="42"/>
      <c r="QP16" s="42"/>
      <c r="QQ16" s="42"/>
      <c r="QR16" s="42"/>
      <c r="QS16" s="42"/>
      <c r="QT16" s="42"/>
      <c r="QU16" s="42"/>
      <c r="QV16" s="42"/>
      <c r="QW16" s="42"/>
      <c r="QX16" s="42"/>
      <c r="QY16" s="42"/>
      <c r="QZ16" s="42"/>
      <c r="RA16" s="42"/>
      <c r="RB16" s="42"/>
      <c r="RC16" s="42"/>
      <c r="RD16" s="42"/>
      <c r="RE16" s="42"/>
      <c r="RF16" s="42"/>
      <c r="RG16" s="42"/>
      <c r="RH16" s="42"/>
      <c r="RI16" s="42"/>
      <c r="RJ16" s="42"/>
      <c r="RK16" s="42"/>
      <c r="RL16" s="42"/>
      <c r="RM16" s="42"/>
      <c r="RN16" s="42"/>
      <c r="RO16" s="42"/>
      <c r="RP16" s="42"/>
      <c r="RQ16" s="42"/>
      <c r="RR16" s="42"/>
      <c r="RS16" s="42"/>
      <c r="RT16" s="42"/>
      <c r="RU16" s="42"/>
      <c r="RV16" s="42"/>
      <c r="RW16" s="42"/>
      <c r="RX16" s="42"/>
      <c r="RY16" s="42"/>
      <c r="RZ16" s="42"/>
      <c r="SA16" s="42"/>
      <c r="SB16" s="42"/>
      <c r="SC16" s="42"/>
      <c r="SD16" s="42"/>
      <c r="SE16" s="42"/>
      <c r="SF16" s="42"/>
      <c r="SG16" s="42"/>
      <c r="SH16" s="42"/>
      <c r="SI16" s="42"/>
      <c r="SJ16" s="42"/>
      <c r="SK16" s="42"/>
      <c r="SL16" s="42"/>
      <c r="SM16" s="42"/>
      <c r="SN16" s="42"/>
      <c r="SO16" s="42"/>
      <c r="SP16" s="42"/>
      <c r="SQ16" s="42"/>
      <c r="SR16" s="42"/>
      <c r="SS16" s="42"/>
      <c r="ST16" s="42"/>
      <c r="SU16" s="42"/>
      <c r="SV16" s="42"/>
      <c r="SW16" s="42"/>
    </row>
    <row r="17" spans="1:517" s="40" customFormat="1" ht="24" customHeight="1" x14ac:dyDescent="0.2">
      <c r="A17" s="122" t="s">
        <v>86</v>
      </c>
      <c r="B17" s="123" t="s">
        <v>81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1.25</v>
      </c>
      <c r="L17" s="41">
        <v>8.23</v>
      </c>
      <c r="M17" s="41">
        <v>36.370000000000005</v>
      </c>
      <c r="N17" s="41">
        <v>0</v>
      </c>
      <c r="O17" s="41">
        <v>42.82</v>
      </c>
      <c r="P17" s="41">
        <v>0</v>
      </c>
      <c r="Q17" s="41">
        <v>6.4499999999999993</v>
      </c>
      <c r="R17" s="41">
        <v>9.7999999999999989</v>
      </c>
      <c r="S17" s="41">
        <v>1.02</v>
      </c>
      <c r="T17" s="41">
        <v>5.43</v>
      </c>
      <c r="U17" s="41">
        <v>3.27</v>
      </c>
      <c r="V17" s="41">
        <v>8.67</v>
      </c>
      <c r="W17" s="41">
        <v>0</v>
      </c>
      <c r="X17" s="41">
        <v>0</v>
      </c>
      <c r="Y17" s="41">
        <v>20.92</v>
      </c>
      <c r="Z17" s="41">
        <v>8.7200000000000006</v>
      </c>
      <c r="AA17" s="41">
        <v>0.68</v>
      </c>
      <c r="AB17" s="41">
        <v>0</v>
      </c>
      <c r="AC17" s="41">
        <v>0</v>
      </c>
      <c r="AD17" s="41">
        <v>39.119999999999997</v>
      </c>
      <c r="AE17" s="41">
        <v>0</v>
      </c>
      <c r="AF17" s="41">
        <v>15.23</v>
      </c>
      <c r="AG17" s="41">
        <v>4.57</v>
      </c>
      <c r="AH17" s="41">
        <v>1.97</v>
      </c>
      <c r="AI17" s="41">
        <v>0</v>
      </c>
      <c r="AJ17" s="41">
        <v>0</v>
      </c>
      <c r="AK17" s="41">
        <v>0</v>
      </c>
      <c r="AL17" s="41">
        <v>0</v>
      </c>
      <c r="AM17" s="41">
        <v>1.2</v>
      </c>
      <c r="AN17" s="41">
        <v>0</v>
      </c>
      <c r="AO17" s="41">
        <v>11.23</v>
      </c>
      <c r="AP17" s="41">
        <v>3.58</v>
      </c>
      <c r="AQ17" s="41">
        <v>2.82</v>
      </c>
      <c r="AR17" s="41">
        <v>0</v>
      </c>
      <c r="AS17" s="41">
        <v>0</v>
      </c>
      <c r="AT17" s="41">
        <v>0</v>
      </c>
      <c r="AU17" s="41">
        <v>3.77</v>
      </c>
      <c r="AV17" s="41">
        <v>0</v>
      </c>
      <c r="AW17" s="41">
        <v>0</v>
      </c>
      <c r="AX17" s="41">
        <v>0</v>
      </c>
      <c r="AY17" s="41">
        <v>22.5</v>
      </c>
      <c r="AZ17" s="41">
        <v>8.4699999999999989</v>
      </c>
      <c r="BA17" s="41">
        <v>0</v>
      </c>
      <c r="BB17" s="41">
        <v>0</v>
      </c>
      <c r="BC17" s="41">
        <v>0</v>
      </c>
      <c r="BD17" s="41">
        <v>3.27</v>
      </c>
      <c r="BE17" s="41">
        <v>0</v>
      </c>
      <c r="BF17" s="41">
        <v>0</v>
      </c>
      <c r="BG17" s="41">
        <v>0</v>
      </c>
      <c r="BH17" s="41">
        <v>0</v>
      </c>
      <c r="BI17" s="41">
        <v>0</v>
      </c>
      <c r="BJ17" s="41">
        <v>26.360000000000003</v>
      </c>
      <c r="BK17" s="41">
        <v>0</v>
      </c>
      <c r="BL17" s="41">
        <v>6.72</v>
      </c>
      <c r="BM17" s="41">
        <v>0</v>
      </c>
      <c r="BN17" s="41">
        <v>1.1800000000000002</v>
      </c>
      <c r="BO17" s="41">
        <v>16.43</v>
      </c>
      <c r="BP17" s="41">
        <v>0</v>
      </c>
      <c r="BQ17" s="41">
        <v>2.7199999999999998</v>
      </c>
      <c r="BR17" s="41">
        <v>1.6700000000000002</v>
      </c>
      <c r="BS17" s="41">
        <v>17.170000000000002</v>
      </c>
      <c r="BT17" s="41">
        <v>0</v>
      </c>
      <c r="BU17" s="41">
        <v>0</v>
      </c>
      <c r="BV17" s="41">
        <v>9.6</v>
      </c>
      <c r="BW17" s="41">
        <v>1.17</v>
      </c>
      <c r="BX17" s="41">
        <v>0</v>
      </c>
      <c r="BY17" s="41">
        <v>0</v>
      </c>
      <c r="BZ17" s="41">
        <v>3.53</v>
      </c>
      <c r="CA17" s="41">
        <v>0</v>
      </c>
      <c r="CB17" s="41">
        <v>0</v>
      </c>
      <c r="CC17" s="41">
        <v>0</v>
      </c>
      <c r="CD17" s="41">
        <v>1.99</v>
      </c>
      <c r="CE17" s="41">
        <v>0</v>
      </c>
      <c r="CF17" s="41">
        <v>0</v>
      </c>
      <c r="CG17" s="41">
        <v>0</v>
      </c>
      <c r="CH17" s="41">
        <v>0</v>
      </c>
      <c r="CI17" s="41">
        <v>1.78</v>
      </c>
      <c r="CJ17" s="41">
        <v>0</v>
      </c>
      <c r="CK17" s="41">
        <v>0</v>
      </c>
      <c r="CL17" s="41">
        <v>2.08</v>
      </c>
      <c r="CM17" s="41">
        <v>17.399999999999999</v>
      </c>
      <c r="CN17" s="41">
        <v>10.75</v>
      </c>
      <c r="CO17" s="41">
        <v>3.2299999999999995</v>
      </c>
      <c r="CP17" s="41">
        <v>0</v>
      </c>
      <c r="CQ17" s="41">
        <v>0</v>
      </c>
      <c r="CR17" s="41">
        <v>0</v>
      </c>
      <c r="CS17" s="41">
        <v>0</v>
      </c>
      <c r="CT17" s="41">
        <v>0</v>
      </c>
      <c r="CU17" s="41">
        <v>4.2200000000000006</v>
      </c>
      <c r="CV17" s="41">
        <v>0</v>
      </c>
      <c r="CW17" s="41">
        <v>0</v>
      </c>
      <c r="CX17" s="41">
        <v>0</v>
      </c>
      <c r="CY17" s="41">
        <v>3.4</v>
      </c>
      <c r="CZ17" s="41">
        <v>0</v>
      </c>
      <c r="DA17" s="41">
        <v>7.57</v>
      </c>
      <c r="DB17" s="41">
        <v>0</v>
      </c>
      <c r="DC17" s="41">
        <v>0</v>
      </c>
      <c r="DD17" s="41">
        <v>0</v>
      </c>
      <c r="DE17" s="41">
        <v>2.0099999999999998</v>
      </c>
      <c r="DF17" s="41">
        <v>0</v>
      </c>
      <c r="DG17" s="41">
        <v>0</v>
      </c>
      <c r="DH17" s="41">
        <v>31.14</v>
      </c>
      <c r="DI17" s="41">
        <v>0</v>
      </c>
      <c r="DJ17" s="41">
        <v>4.01</v>
      </c>
      <c r="DK17" s="41">
        <v>0</v>
      </c>
      <c r="DL17" s="41">
        <v>0</v>
      </c>
      <c r="DM17" s="41">
        <v>0</v>
      </c>
      <c r="DN17" s="41">
        <v>0</v>
      </c>
      <c r="DO17" s="41">
        <v>4.4800000000000004</v>
      </c>
      <c r="DP17" s="41">
        <v>4.5500000000000007</v>
      </c>
      <c r="DQ17" s="41">
        <v>0</v>
      </c>
      <c r="DR17" s="41">
        <v>0</v>
      </c>
      <c r="DS17" s="41">
        <v>0</v>
      </c>
      <c r="DT17" s="41">
        <v>0</v>
      </c>
      <c r="DU17" s="41">
        <v>14.48</v>
      </c>
      <c r="DV17" s="41">
        <v>5.85</v>
      </c>
      <c r="DW17" s="41">
        <v>1.27</v>
      </c>
      <c r="DX17" s="42">
        <v>10.9</v>
      </c>
      <c r="DY17" s="42">
        <v>0</v>
      </c>
      <c r="DZ17" s="42">
        <v>5.77</v>
      </c>
      <c r="EA17" s="42">
        <v>0</v>
      </c>
      <c r="EB17" s="42">
        <v>0</v>
      </c>
      <c r="EC17" s="42">
        <v>0</v>
      </c>
      <c r="ED17" s="42">
        <v>0</v>
      </c>
      <c r="EE17" s="42">
        <v>0</v>
      </c>
      <c r="EF17" s="42">
        <v>0</v>
      </c>
      <c r="EG17" s="42">
        <v>0</v>
      </c>
      <c r="EH17" s="42">
        <v>0</v>
      </c>
      <c r="EI17" s="42">
        <v>0</v>
      </c>
      <c r="EJ17" s="42">
        <v>13.46</v>
      </c>
      <c r="EK17" s="42">
        <v>0</v>
      </c>
      <c r="EL17" s="42">
        <v>0</v>
      </c>
      <c r="EM17" s="42">
        <v>9.9500000000000011</v>
      </c>
      <c r="EN17" s="42">
        <v>0</v>
      </c>
      <c r="EO17" s="42">
        <v>0</v>
      </c>
      <c r="EP17" s="42">
        <v>14.87</v>
      </c>
      <c r="EQ17" s="42">
        <v>0</v>
      </c>
      <c r="ER17" s="42">
        <v>0</v>
      </c>
      <c r="ES17" s="42">
        <v>0</v>
      </c>
      <c r="ET17" s="42">
        <v>5.03</v>
      </c>
      <c r="EU17" s="42">
        <v>0</v>
      </c>
      <c r="EV17" s="42">
        <v>0</v>
      </c>
      <c r="EW17" s="42">
        <v>0</v>
      </c>
      <c r="EX17" s="42">
        <v>0</v>
      </c>
      <c r="EY17" s="42">
        <v>0</v>
      </c>
      <c r="EZ17" s="42">
        <v>0</v>
      </c>
      <c r="FA17" s="42">
        <v>0</v>
      </c>
      <c r="FB17" s="42">
        <v>0</v>
      </c>
      <c r="FC17" s="42">
        <v>0</v>
      </c>
      <c r="FD17" s="42">
        <v>4.5500000000000007</v>
      </c>
      <c r="FE17" s="42">
        <v>0</v>
      </c>
      <c r="FF17" s="42">
        <v>0</v>
      </c>
      <c r="FG17" s="42">
        <v>0</v>
      </c>
      <c r="FH17" s="42">
        <v>0</v>
      </c>
      <c r="FI17" s="42">
        <v>0</v>
      </c>
      <c r="FJ17" s="42">
        <v>0</v>
      </c>
      <c r="FK17" s="42">
        <v>0</v>
      </c>
      <c r="FL17" s="42">
        <v>0</v>
      </c>
      <c r="FM17" s="42">
        <v>5.12</v>
      </c>
      <c r="FN17" s="42">
        <v>0</v>
      </c>
      <c r="FO17" s="42">
        <v>17.52</v>
      </c>
      <c r="FP17" s="42">
        <v>0</v>
      </c>
      <c r="FQ17" s="42">
        <v>0</v>
      </c>
      <c r="FR17" s="42">
        <v>143.95000000000002</v>
      </c>
      <c r="FS17" s="42">
        <v>0</v>
      </c>
      <c r="FT17" s="42">
        <v>0</v>
      </c>
      <c r="FU17" s="42">
        <v>0</v>
      </c>
      <c r="FV17" s="42">
        <v>0</v>
      </c>
      <c r="FW17" s="42">
        <v>0</v>
      </c>
      <c r="FX17" s="42">
        <v>0</v>
      </c>
      <c r="FY17" s="42">
        <v>0</v>
      </c>
      <c r="FZ17" s="42">
        <v>0</v>
      </c>
      <c r="GA17" s="42">
        <v>0</v>
      </c>
      <c r="GB17" s="42">
        <v>0</v>
      </c>
      <c r="GC17" s="42">
        <v>0</v>
      </c>
      <c r="GD17" s="42">
        <v>0</v>
      </c>
      <c r="GE17" s="42">
        <v>0</v>
      </c>
      <c r="GF17" s="42">
        <v>6.6300000000000008</v>
      </c>
      <c r="GG17" s="42">
        <v>11.7</v>
      </c>
      <c r="GH17" s="42">
        <v>22.48</v>
      </c>
      <c r="GI17" s="42">
        <v>0</v>
      </c>
      <c r="GJ17" s="42">
        <v>0.37</v>
      </c>
      <c r="GK17" s="42">
        <v>0</v>
      </c>
      <c r="GL17" s="42">
        <v>0</v>
      </c>
      <c r="GM17" s="42">
        <v>2.64</v>
      </c>
      <c r="GN17" s="42">
        <v>0</v>
      </c>
      <c r="GO17" s="42">
        <v>0</v>
      </c>
      <c r="GP17" s="42">
        <v>0</v>
      </c>
      <c r="GQ17" s="42">
        <v>0</v>
      </c>
      <c r="GR17" s="42">
        <v>0</v>
      </c>
      <c r="GS17" s="42">
        <v>0</v>
      </c>
      <c r="GT17" s="42">
        <v>0</v>
      </c>
      <c r="GU17" s="42">
        <v>0</v>
      </c>
      <c r="GV17" s="42">
        <v>0</v>
      </c>
      <c r="GW17" s="42">
        <v>34.67</v>
      </c>
      <c r="GX17" s="42">
        <v>0</v>
      </c>
      <c r="GY17" s="42">
        <v>0</v>
      </c>
      <c r="GZ17" s="42">
        <v>0</v>
      </c>
      <c r="HA17" s="42">
        <v>0</v>
      </c>
      <c r="HB17" s="42">
        <v>0</v>
      </c>
      <c r="HC17" s="42">
        <v>0</v>
      </c>
      <c r="HD17" s="42">
        <v>0</v>
      </c>
      <c r="HE17" s="42">
        <v>0</v>
      </c>
      <c r="HF17" s="42">
        <v>0</v>
      </c>
      <c r="HG17" s="42">
        <v>2.3536111111111113</v>
      </c>
      <c r="HH17" s="42">
        <v>0</v>
      </c>
      <c r="HI17" s="42">
        <v>11.36888888888889</v>
      </c>
      <c r="HJ17" s="42">
        <v>7.4633333333333329</v>
      </c>
      <c r="HK17" s="42">
        <v>0</v>
      </c>
      <c r="HL17" s="42">
        <v>0</v>
      </c>
      <c r="HM17" s="42">
        <v>6.5044444444444434</v>
      </c>
      <c r="HN17" s="42">
        <v>0.41055555555555556</v>
      </c>
      <c r="HO17" s="42">
        <v>0</v>
      </c>
      <c r="HP17" s="42">
        <v>24.218888888888888</v>
      </c>
      <c r="HQ17" s="42">
        <v>1.8311111111111109</v>
      </c>
      <c r="HR17" s="42">
        <v>22.66138888888889</v>
      </c>
      <c r="HS17" s="42">
        <v>0</v>
      </c>
      <c r="HT17" s="42">
        <v>8.0747222222222224</v>
      </c>
      <c r="HU17" s="42">
        <v>6.4458333333333329</v>
      </c>
      <c r="HV17" s="42">
        <v>2.3802777777777777</v>
      </c>
      <c r="HW17" s="42">
        <v>0.09</v>
      </c>
      <c r="HX17" s="42">
        <v>3.4241666666666664</v>
      </c>
      <c r="HY17" s="42">
        <v>0.21749999999999997</v>
      </c>
      <c r="HZ17" s="42">
        <v>7.7541666666666673</v>
      </c>
      <c r="IA17" s="42">
        <v>0</v>
      </c>
      <c r="IB17" s="42">
        <v>0</v>
      </c>
      <c r="IC17" s="42">
        <v>0</v>
      </c>
      <c r="ID17" s="42">
        <v>0</v>
      </c>
      <c r="IE17" s="42">
        <v>0</v>
      </c>
      <c r="IF17" s="42">
        <v>1.85</v>
      </c>
      <c r="IG17" s="42">
        <v>0</v>
      </c>
      <c r="IH17" s="42">
        <v>87.75</v>
      </c>
      <c r="II17" s="42">
        <v>0</v>
      </c>
      <c r="IJ17" s="42">
        <v>67.63</v>
      </c>
      <c r="IK17" s="42">
        <v>0</v>
      </c>
      <c r="IL17" s="42">
        <v>0</v>
      </c>
      <c r="IM17" s="42">
        <v>0</v>
      </c>
      <c r="IN17" s="42">
        <v>0</v>
      </c>
      <c r="IO17" s="42">
        <v>0</v>
      </c>
      <c r="IP17" s="42">
        <v>0</v>
      </c>
      <c r="IQ17" s="42">
        <v>0</v>
      </c>
      <c r="IR17" s="42">
        <v>0</v>
      </c>
      <c r="IS17" s="42">
        <v>0</v>
      </c>
      <c r="IT17" s="42">
        <v>0</v>
      </c>
      <c r="IU17" s="42">
        <v>0.94888888888888889</v>
      </c>
      <c r="IV17" s="42">
        <v>5.7930555555555552</v>
      </c>
      <c r="IW17" s="42">
        <v>10.190833333333334</v>
      </c>
      <c r="IX17" s="42">
        <v>0.96972222222222215</v>
      </c>
      <c r="IY17" s="42">
        <f>IFERROR(VLOOKUP($B17,[1]Sheet1!$A:$I,IY$12,0),0)</f>
        <v>6.7908333333333326</v>
      </c>
      <c r="IZ17" s="42">
        <f>IFERROR(VLOOKUP($B17,[1]Sheet1!$A:$I,IZ$12,0),0)</f>
        <v>8.8619444444444433</v>
      </c>
      <c r="JA17" s="42">
        <f>IFERROR(VLOOKUP($B17,[1]Sheet1!$A:$I,JA$12,0),0)</f>
        <v>0.51333333333333331</v>
      </c>
      <c r="JB17" s="42">
        <f>IFERROR(VLOOKUP($B17,[1]Sheet1!$A:$I,JB$12,0),0)</f>
        <v>0</v>
      </c>
      <c r="JC17" s="42">
        <f>IFERROR(VLOOKUP($B17,[1]Sheet1!$A:$I,JC$12,0),0)</f>
        <v>0.92055555555555568</v>
      </c>
      <c r="JD17" s="42">
        <f>IFERROR(VLOOKUP($B17,[1]Sheet1!$A:$I,JD$12,0),0)</f>
        <v>5.8586111111111112</v>
      </c>
      <c r="JE17" s="42">
        <f>IFERROR(VLOOKUP($B17,[1]Sheet1!$A:$I,JE$12,0),0)</f>
        <v>0</v>
      </c>
      <c r="JF17" s="42">
        <f>IFERROR(VLOOKUP($B17,[1]Sheet1!$A:$I,JF$12,0),0)</f>
        <v>0</v>
      </c>
      <c r="JG17" s="42">
        <f>IFERROR(VLOOKUP($B17,[2]Sheet3!$A:$I,JG$12,0),0)</f>
        <v>0</v>
      </c>
      <c r="JH17" s="42">
        <f>IFERROR(VLOOKUP($B17,[2]Sheet3!$A:$I,JH$12,0),0)</f>
        <v>0</v>
      </c>
      <c r="JI17" s="42">
        <f>IFERROR(VLOOKUP($B17,[2]Sheet3!$A:$I,JI$12,0),0)</f>
        <v>6.6002777777777784</v>
      </c>
      <c r="JJ17" s="42">
        <f>IFERROR(VLOOKUP($B17,[2]Sheet3!$A:$I,JJ$12,0),0)</f>
        <v>0</v>
      </c>
      <c r="JK17" s="42">
        <f>IFERROR(VLOOKUP($B17,[2]Sheet3!$A:$I,JK$12,0),0)</f>
        <v>0</v>
      </c>
      <c r="JL17" s="42">
        <f>IFERROR(VLOOKUP($B17,[2]Sheet3!$A:$I,JL$12,0),0)</f>
        <v>4.7094444444444452</v>
      </c>
      <c r="JM17" s="42">
        <f>IFERROR(VLOOKUP($B17,[2]Sheet3!$A:$I,JM$12,0),0)</f>
        <v>0</v>
      </c>
      <c r="JN17" s="42">
        <v>1</v>
      </c>
      <c r="JO17" s="42">
        <v>1</v>
      </c>
      <c r="JP17" s="42">
        <v>9</v>
      </c>
      <c r="JQ17" s="42">
        <v>1.19</v>
      </c>
      <c r="JR17" s="42">
        <v>1</v>
      </c>
      <c r="JS17" s="42">
        <v>1</v>
      </c>
      <c r="JT17" s="42">
        <v>0</v>
      </c>
      <c r="JU17" s="42">
        <v>0</v>
      </c>
      <c r="JV17" s="42">
        <v>0</v>
      </c>
      <c r="JW17" s="209">
        <v>0</v>
      </c>
      <c r="JX17" s="209">
        <v>0</v>
      </c>
      <c r="JY17" s="209">
        <v>0</v>
      </c>
      <c r="JZ17" s="209">
        <v>0</v>
      </c>
      <c r="KA17" s="209">
        <v>0</v>
      </c>
      <c r="KB17" s="209">
        <v>0</v>
      </c>
      <c r="KC17" s="209">
        <v>0</v>
      </c>
      <c r="KD17" s="209">
        <v>0</v>
      </c>
      <c r="KE17" s="209">
        <v>0</v>
      </c>
      <c r="KF17" s="209">
        <v>0</v>
      </c>
      <c r="KG17" s="209">
        <v>0</v>
      </c>
      <c r="KH17" s="209">
        <v>0</v>
      </c>
      <c r="KI17" s="209">
        <v>0</v>
      </c>
      <c r="KJ17" s="209">
        <v>0</v>
      </c>
      <c r="KK17" s="209">
        <v>0</v>
      </c>
      <c r="KL17" s="209">
        <v>0</v>
      </c>
      <c r="KM17" s="209">
        <v>0</v>
      </c>
      <c r="KN17" s="209">
        <v>0</v>
      </c>
      <c r="KO17" s="209">
        <v>0</v>
      </c>
      <c r="KP17" s="209">
        <v>0</v>
      </c>
      <c r="KQ17" s="209">
        <v>0</v>
      </c>
      <c r="KR17" s="209">
        <v>0</v>
      </c>
      <c r="KS17" s="209">
        <v>0</v>
      </c>
      <c r="KT17" s="209">
        <v>0</v>
      </c>
      <c r="KU17" s="42"/>
      <c r="KV17" s="42"/>
      <c r="KW17" s="42"/>
      <c r="KX17" s="42"/>
      <c r="KY17" s="42"/>
      <c r="KZ17" s="42"/>
      <c r="LA17" s="42"/>
      <c r="LB17" s="42"/>
      <c r="LC17" s="42"/>
      <c r="LD17" s="42"/>
      <c r="LE17" s="42"/>
      <c r="LF17" s="42"/>
      <c r="LG17" s="42"/>
      <c r="LH17" s="42"/>
      <c r="LI17" s="42"/>
      <c r="LJ17" s="42"/>
      <c r="LK17" s="42"/>
      <c r="LL17" s="42"/>
      <c r="LM17" s="42"/>
      <c r="LN17" s="42"/>
      <c r="LO17" s="42"/>
      <c r="LP17" s="42"/>
      <c r="LQ17" s="42"/>
      <c r="LR17" s="42"/>
      <c r="LS17" s="42"/>
      <c r="LT17" s="42"/>
      <c r="LU17" s="42"/>
      <c r="LV17" s="42"/>
      <c r="LW17" s="42"/>
      <c r="LX17" s="42"/>
      <c r="LY17" s="42"/>
      <c r="LZ17" s="42"/>
      <c r="MA17" s="42"/>
      <c r="MB17" s="42"/>
      <c r="MC17" s="42"/>
      <c r="MD17" s="42"/>
      <c r="ME17" s="42"/>
      <c r="MF17" s="42"/>
      <c r="MG17" s="42"/>
      <c r="MH17" s="42"/>
      <c r="MI17" s="42"/>
      <c r="MJ17" s="42"/>
      <c r="MK17" s="42"/>
      <c r="ML17" s="42"/>
      <c r="MM17" s="42"/>
      <c r="MN17" s="42"/>
      <c r="MO17" s="42"/>
      <c r="MP17" s="42"/>
      <c r="MQ17" s="42"/>
      <c r="MR17" s="42"/>
      <c r="MS17" s="42"/>
      <c r="MT17" s="42"/>
      <c r="MU17" s="42"/>
      <c r="MV17" s="42"/>
      <c r="MW17" s="42"/>
      <c r="MX17" s="42"/>
      <c r="MY17" s="42"/>
      <c r="MZ17" s="42"/>
      <c r="NA17" s="42"/>
      <c r="NB17" s="42"/>
      <c r="NC17" s="42"/>
      <c r="ND17" s="42"/>
      <c r="NE17" s="42"/>
      <c r="NF17" s="42"/>
      <c r="NG17" s="42"/>
      <c r="NH17" s="42"/>
      <c r="NI17" s="42"/>
      <c r="NJ17" s="42"/>
      <c r="NK17" s="42"/>
      <c r="NL17" s="42"/>
      <c r="NM17" s="42"/>
      <c r="NN17" s="42"/>
      <c r="NO17" s="42"/>
      <c r="NP17" s="42"/>
      <c r="NQ17" s="42"/>
      <c r="NR17" s="42"/>
      <c r="NS17" s="42"/>
      <c r="NT17" s="42"/>
      <c r="NU17" s="42"/>
      <c r="NV17" s="42"/>
      <c r="NW17" s="42"/>
      <c r="NX17" s="42"/>
      <c r="NY17" s="42"/>
      <c r="NZ17" s="42"/>
      <c r="OA17" s="42"/>
      <c r="OB17" s="42"/>
      <c r="OC17" s="42"/>
      <c r="OD17" s="42"/>
      <c r="OE17" s="42"/>
      <c r="OF17" s="42"/>
      <c r="OG17" s="42"/>
      <c r="OH17" s="42"/>
      <c r="OI17" s="42"/>
      <c r="OJ17" s="42"/>
      <c r="OK17" s="42"/>
      <c r="OL17" s="42"/>
      <c r="OM17" s="42"/>
      <c r="ON17" s="42"/>
      <c r="OO17" s="42"/>
      <c r="OP17" s="42"/>
      <c r="OQ17" s="42"/>
      <c r="OR17" s="42"/>
      <c r="OS17" s="42"/>
      <c r="OT17" s="42"/>
      <c r="OU17" s="42"/>
      <c r="OV17" s="42"/>
      <c r="OW17" s="42"/>
      <c r="OX17" s="42"/>
      <c r="OY17" s="42"/>
      <c r="OZ17" s="42"/>
      <c r="PA17" s="42"/>
      <c r="PB17" s="42"/>
      <c r="PC17" s="42"/>
      <c r="PD17" s="42"/>
      <c r="PE17" s="42"/>
      <c r="PF17" s="42"/>
      <c r="PG17" s="42"/>
      <c r="PH17" s="42"/>
      <c r="PI17" s="42"/>
      <c r="PJ17" s="42"/>
      <c r="PK17" s="42"/>
      <c r="PL17" s="42"/>
      <c r="PM17" s="42"/>
      <c r="PN17" s="42"/>
      <c r="PO17" s="42"/>
      <c r="PP17" s="42"/>
      <c r="PQ17" s="42"/>
      <c r="PR17" s="42"/>
      <c r="PS17" s="42"/>
      <c r="PT17" s="42"/>
      <c r="PU17" s="42"/>
      <c r="PV17" s="42"/>
      <c r="PW17" s="42"/>
      <c r="PX17" s="42"/>
      <c r="PY17" s="42"/>
      <c r="PZ17" s="42"/>
      <c r="QA17" s="42"/>
      <c r="QB17" s="42"/>
      <c r="QC17" s="42"/>
      <c r="QD17" s="42"/>
      <c r="QE17" s="42"/>
      <c r="QF17" s="42"/>
      <c r="QG17" s="42"/>
      <c r="QH17" s="42"/>
      <c r="QI17" s="42"/>
      <c r="QJ17" s="42"/>
      <c r="QK17" s="42"/>
      <c r="QL17" s="42"/>
      <c r="QM17" s="42"/>
      <c r="QN17" s="42"/>
      <c r="QO17" s="42"/>
      <c r="QP17" s="42"/>
      <c r="QQ17" s="42"/>
      <c r="QR17" s="42"/>
      <c r="QS17" s="42"/>
      <c r="QT17" s="42"/>
      <c r="QU17" s="42"/>
      <c r="QV17" s="42"/>
      <c r="QW17" s="42"/>
      <c r="QX17" s="42"/>
      <c r="QY17" s="42"/>
      <c r="QZ17" s="42"/>
      <c r="RA17" s="42"/>
      <c r="RB17" s="42"/>
      <c r="RC17" s="42"/>
      <c r="RD17" s="42"/>
      <c r="RE17" s="42"/>
      <c r="RF17" s="42"/>
      <c r="RG17" s="42"/>
      <c r="RH17" s="42"/>
      <c r="RI17" s="42"/>
      <c r="RJ17" s="42"/>
      <c r="RK17" s="42"/>
      <c r="RL17" s="42"/>
      <c r="RM17" s="42"/>
      <c r="RN17" s="42"/>
      <c r="RO17" s="42"/>
      <c r="RP17" s="42"/>
      <c r="RQ17" s="42"/>
      <c r="RR17" s="42"/>
      <c r="RS17" s="42"/>
      <c r="RT17" s="42"/>
      <c r="RU17" s="42"/>
      <c r="RV17" s="42"/>
      <c r="RW17" s="42"/>
      <c r="RX17" s="42"/>
      <c r="RY17" s="42"/>
      <c r="RZ17" s="42"/>
      <c r="SA17" s="42"/>
      <c r="SB17" s="42"/>
      <c r="SC17" s="42"/>
      <c r="SD17" s="42"/>
      <c r="SE17" s="42"/>
      <c r="SF17" s="42"/>
      <c r="SG17" s="42"/>
      <c r="SH17" s="42"/>
      <c r="SI17" s="42"/>
      <c r="SJ17" s="42"/>
      <c r="SK17" s="42"/>
      <c r="SL17" s="42"/>
      <c r="SM17" s="42"/>
      <c r="SN17" s="42"/>
      <c r="SO17" s="42"/>
      <c r="SP17" s="42"/>
      <c r="SQ17" s="42"/>
      <c r="SR17" s="42"/>
      <c r="SS17" s="42"/>
      <c r="ST17" s="42"/>
      <c r="SU17" s="42"/>
      <c r="SV17" s="42"/>
      <c r="SW17" s="42"/>
    </row>
    <row r="18" spans="1:517" s="40" customFormat="1" ht="24.6" customHeight="1" x14ac:dyDescent="0.2">
      <c r="A18" s="122">
        <v>777</v>
      </c>
      <c r="B18" s="123" t="s">
        <v>82</v>
      </c>
      <c r="C18" s="41">
        <v>0</v>
      </c>
      <c r="D18" s="41">
        <v>54.120000000000005</v>
      </c>
      <c r="E18" s="41">
        <v>0</v>
      </c>
      <c r="F18" s="41">
        <v>0</v>
      </c>
      <c r="G18" s="41">
        <v>30.720000000000002</v>
      </c>
      <c r="H18" s="41">
        <v>7.15</v>
      </c>
      <c r="I18" s="41">
        <v>0</v>
      </c>
      <c r="J18" s="41">
        <v>11.709999999999999</v>
      </c>
      <c r="K18" s="41">
        <v>0</v>
      </c>
      <c r="L18" s="41">
        <v>3.2199999999999998</v>
      </c>
      <c r="M18" s="41">
        <v>0</v>
      </c>
      <c r="N18" s="41">
        <v>1.22</v>
      </c>
      <c r="O18" s="41">
        <v>0</v>
      </c>
      <c r="P18" s="41">
        <v>3.18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3.38</v>
      </c>
      <c r="AA18" s="41">
        <v>0</v>
      </c>
      <c r="AB18" s="41">
        <v>0</v>
      </c>
      <c r="AC18" s="41">
        <v>30.92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1.8399999999999999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  <c r="AT18" s="41">
        <v>0</v>
      </c>
      <c r="AU18" s="41">
        <v>0</v>
      </c>
      <c r="AV18" s="41">
        <v>0</v>
      </c>
      <c r="AW18" s="41">
        <v>0</v>
      </c>
      <c r="AX18" s="41">
        <v>0</v>
      </c>
      <c r="AY18" s="41">
        <v>0</v>
      </c>
      <c r="AZ18" s="41">
        <v>0</v>
      </c>
      <c r="BA18" s="41">
        <v>0.4</v>
      </c>
      <c r="BB18" s="41">
        <v>0</v>
      </c>
      <c r="BC18" s="41">
        <v>0</v>
      </c>
      <c r="BD18" s="41">
        <v>22.6</v>
      </c>
      <c r="BE18" s="41">
        <v>0</v>
      </c>
      <c r="BF18" s="41">
        <v>0</v>
      </c>
      <c r="BG18" s="41">
        <v>0</v>
      </c>
      <c r="BH18" s="41">
        <v>0</v>
      </c>
      <c r="BI18" s="41">
        <v>5.17</v>
      </c>
      <c r="BJ18" s="41">
        <v>9.58</v>
      </c>
      <c r="BK18" s="41">
        <v>7.67</v>
      </c>
      <c r="BL18" s="41">
        <v>14.370000000000001</v>
      </c>
      <c r="BM18" s="41">
        <v>7.75</v>
      </c>
      <c r="BN18" s="41">
        <v>7.32</v>
      </c>
      <c r="BO18" s="41">
        <v>30.05</v>
      </c>
      <c r="BP18" s="41">
        <v>0</v>
      </c>
      <c r="BQ18" s="41">
        <v>0.87</v>
      </c>
      <c r="BR18" s="41">
        <v>3.48</v>
      </c>
      <c r="BS18" s="41">
        <v>5.23</v>
      </c>
      <c r="BT18" s="41">
        <v>0</v>
      </c>
      <c r="BU18" s="41">
        <v>0</v>
      </c>
      <c r="BV18" s="41">
        <v>0</v>
      </c>
      <c r="BW18" s="41">
        <v>0</v>
      </c>
      <c r="BX18" s="41">
        <v>24.85</v>
      </c>
      <c r="BY18" s="41">
        <v>16.169999999999998</v>
      </c>
      <c r="BZ18" s="41">
        <v>0</v>
      </c>
      <c r="CA18" s="41">
        <v>0</v>
      </c>
      <c r="CB18" s="41">
        <v>1.19</v>
      </c>
      <c r="CC18" s="41">
        <v>3.7</v>
      </c>
      <c r="CD18" s="41">
        <v>0</v>
      </c>
      <c r="CE18" s="41">
        <v>0</v>
      </c>
      <c r="CF18" s="41">
        <v>0</v>
      </c>
      <c r="CG18" s="41">
        <v>0</v>
      </c>
      <c r="CH18" s="41">
        <v>2.7199999999999998</v>
      </c>
      <c r="CI18" s="41">
        <v>12.05</v>
      </c>
      <c r="CJ18" s="41">
        <v>0</v>
      </c>
      <c r="CK18" s="41">
        <v>0</v>
      </c>
      <c r="CL18" s="41">
        <v>1.4400000000000002</v>
      </c>
      <c r="CM18" s="41">
        <v>0</v>
      </c>
      <c r="CN18" s="41">
        <v>0</v>
      </c>
      <c r="CO18" s="41">
        <v>0</v>
      </c>
      <c r="CP18" s="41">
        <v>0</v>
      </c>
      <c r="CQ18" s="41">
        <v>1.77</v>
      </c>
      <c r="CR18" s="41">
        <v>0</v>
      </c>
      <c r="CS18" s="41">
        <v>1.22</v>
      </c>
      <c r="CT18" s="41">
        <v>0</v>
      </c>
      <c r="CU18" s="41">
        <v>0</v>
      </c>
      <c r="CV18" s="41">
        <v>0</v>
      </c>
      <c r="CW18" s="41">
        <v>0</v>
      </c>
      <c r="CX18" s="41">
        <v>36.58</v>
      </c>
      <c r="CY18" s="41">
        <v>0</v>
      </c>
      <c r="CZ18" s="41">
        <v>1.5</v>
      </c>
      <c r="DA18" s="41">
        <v>0</v>
      </c>
      <c r="DB18" s="41">
        <v>9.75</v>
      </c>
      <c r="DC18" s="41">
        <v>1.7</v>
      </c>
      <c r="DD18" s="41">
        <v>0</v>
      </c>
      <c r="DE18" s="41">
        <v>0</v>
      </c>
      <c r="DF18" s="41">
        <v>1.57</v>
      </c>
      <c r="DG18" s="41">
        <v>0</v>
      </c>
      <c r="DH18" s="41">
        <v>0</v>
      </c>
      <c r="DI18" s="41">
        <v>0</v>
      </c>
      <c r="DJ18" s="41">
        <v>0</v>
      </c>
      <c r="DK18" s="41">
        <v>0</v>
      </c>
      <c r="DL18" s="41">
        <v>0</v>
      </c>
      <c r="DM18" s="41">
        <v>0</v>
      </c>
      <c r="DN18" s="41">
        <v>0</v>
      </c>
      <c r="DO18" s="41">
        <v>0</v>
      </c>
      <c r="DP18" s="41">
        <v>1.03</v>
      </c>
      <c r="DQ18" s="41">
        <v>1.1200000000000001</v>
      </c>
      <c r="DR18" s="41">
        <v>0</v>
      </c>
      <c r="DS18" s="41">
        <v>0.95</v>
      </c>
      <c r="DT18" s="41">
        <v>7.75</v>
      </c>
      <c r="DU18" s="41">
        <v>0</v>
      </c>
      <c r="DV18" s="41">
        <v>0</v>
      </c>
      <c r="DW18" s="41">
        <v>0</v>
      </c>
      <c r="DX18" s="42">
        <v>0</v>
      </c>
      <c r="DY18" s="42">
        <v>0</v>
      </c>
      <c r="DZ18" s="42">
        <v>0</v>
      </c>
      <c r="EA18" s="42">
        <v>0</v>
      </c>
      <c r="EB18" s="42">
        <v>2.2999999999999998</v>
      </c>
      <c r="EC18" s="42">
        <v>0</v>
      </c>
      <c r="ED18" s="42">
        <v>0</v>
      </c>
      <c r="EE18" s="42">
        <v>12.3</v>
      </c>
      <c r="EF18" s="42">
        <v>0</v>
      </c>
      <c r="EG18" s="42">
        <v>12.8</v>
      </c>
      <c r="EH18" s="42">
        <v>0</v>
      </c>
      <c r="EI18" s="42">
        <v>0</v>
      </c>
      <c r="EJ18" s="42">
        <v>0</v>
      </c>
      <c r="EK18" s="42">
        <v>0</v>
      </c>
      <c r="EL18" s="42">
        <v>0</v>
      </c>
      <c r="EM18" s="42">
        <v>2.93</v>
      </c>
      <c r="EN18" s="42">
        <v>0</v>
      </c>
      <c r="EO18" s="42">
        <v>0</v>
      </c>
      <c r="EP18" s="42">
        <v>7.03</v>
      </c>
      <c r="EQ18" s="42">
        <v>0</v>
      </c>
      <c r="ER18" s="42">
        <v>0</v>
      </c>
      <c r="ES18" s="42">
        <v>0</v>
      </c>
      <c r="ET18" s="42">
        <v>0</v>
      </c>
      <c r="EU18" s="42">
        <v>0</v>
      </c>
      <c r="EV18" s="42">
        <v>0</v>
      </c>
      <c r="EW18" s="42">
        <v>0</v>
      </c>
      <c r="EX18" s="42">
        <v>0</v>
      </c>
      <c r="EY18" s="42">
        <v>0</v>
      </c>
      <c r="EZ18" s="42">
        <v>0</v>
      </c>
      <c r="FA18" s="42">
        <v>0</v>
      </c>
      <c r="FB18" s="42">
        <v>0</v>
      </c>
      <c r="FC18" s="42">
        <v>0</v>
      </c>
      <c r="FD18" s="42">
        <v>4.12</v>
      </c>
      <c r="FE18" s="42">
        <v>0</v>
      </c>
      <c r="FF18" s="42">
        <v>0.5</v>
      </c>
      <c r="FG18" s="42">
        <v>0</v>
      </c>
      <c r="FH18" s="42">
        <v>0</v>
      </c>
      <c r="FI18" s="42">
        <v>0</v>
      </c>
      <c r="FJ18" s="42">
        <v>0</v>
      </c>
      <c r="FK18" s="42">
        <v>0</v>
      </c>
      <c r="FL18" s="42">
        <v>4.57</v>
      </c>
      <c r="FM18" s="42">
        <v>0</v>
      </c>
      <c r="FN18" s="42">
        <v>0</v>
      </c>
      <c r="FO18" s="42">
        <v>1.55</v>
      </c>
      <c r="FP18" s="42">
        <v>0</v>
      </c>
      <c r="FQ18" s="42">
        <v>0.02</v>
      </c>
      <c r="FR18" s="42">
        <v>0</v>
      </c>
      <c r="FS18" s="42">
        <v>0</v>
      </c>
      <c r="FT18" s="42">
        <v>23.200000000000003</v>
      </c>
      <c r="FU18" s="42">
        <v>0</v>
      </c>
      <c r="FV18" s="42">
        <v>0</v>
      </c>
      <c r="FW18" s="42">
        <v>0</v>
      </c>
      <c r="FX18" s="42">
        <v>2.91</v>
      </c>
      <c r="FY18" s="42">
        <v>0</v>
      </c>
      <c r="FZ18" s="42">
        <v>0</v>
      </c>
      <c r="GA18" s="42">
        <v>0</v>
      </c>
      <c r="GB18" s="42">
        <v>4.0299999999999994</v>
      </c>
      <c r="GC18" s="42">
        <v>0</v>
      </c>
      <c r="GD18" s="42">
        <v>0</v>
      </c>
      <c r="GE18" s="42">
        <v>0</v>
      </c>
      <c r="GF18" s="42">
        <v>12.03</v>
      </c>
      <c r="GG18" s="42">
        <v>1.66</v>
      </c>
      <c r="GH18" s="42">
        <v>0</v>
      </c>
      <c r="GI18" s="42">
        <v>0</v>
      </c>
      <c r="GJ18" s="42">
        <v>4.38</v>
      </c>
      <c r="GK18" s="42">
        <v>0</v>
      </c>
      <c r="GL18" s="42">
        <v>0</v>
      </c>
      <c r="GM18" s="42">
        <v>0</v>
      </c>
      <c r="GN18" s="42">
        <v>0</v>
      </c>
      <c r="GO18" s="42">
        <v>0</v>
      </c>
      <c r="GP18" s="42">
        <v>0</v>
      </c>
      <c r="GQ18" s="42">
        <v>0</v>
      </c>
      <c r="GR18" s="42">
        <v>2.13</v>
      </c>
      <c r="GS18" s="42">
        <v>0</v>
      </c>
      <c r="GT18" s="42">
        <v>0</v>
      </c>
      <c r="GU18" s="42">
        <v>0</v>
      </c>
      <c r="GV18" s="42">
        <v>0</v>
      </c>
      <c r="GW18" s="42">
        <v>7.62</v>
      </c>
      <c r="GX18" s="42">
        <v>0</v>
      </c>
      <c r="GY18" s="42">
        <v>0</v>
      </c>
      <c r="GZ18" s="42">
        <v>0</v>
      </c>
      <c r="HA18" s="42">
        <v>0</v>
      </c>
      <c r="HB18" s="42">
        <v>0</v>
      </c>
      <c r="HC18" s="42">
        <v>0</v>
      </c>
      <c r="HD18" s="42">
        <v>0</v>
      </c>
      <c r="HE18" s="42">
        <v>0</v>
      </c>
      <c r="HF18" s="42">
        <v>0</v>
      </c>
      <c r="HG18" s="42">
        <v>0</v>
      </c>
      <c r="HH18" s="42">
        <v>0</v>
      </c>
      <c r="HI18" s="42">
        <v>0</v>
      </c>
      <c r="HJ18" s="42">
        <v>0</v>
      </c>
      <c r="HK18" s="42">
        <v>20.345555555555556</v>
      </c>
      <c r="HL18" s="42">
        <v>24</v>
      </c>
      <c r="HM18" s="42">
        <v>20.678055555555556</v>
      </c>
      <c r="HN18" s="42">
        <v>0.52166666666666672</v>
      </c>
      <c r="HO18" s="42">
        <v>0</v>
      </c>
      <c r="HP18" s="42">
        <v>0</v>
      </c>
      <c r="HQ18" s="42">
        <v>0</v>
      </c>
      <c r="HR18" s="42">
        <v>0</v>
      </c>
      <c r="HS18" s="42">
        <v>9.3502777777777766</v>
      </c>
      <c r="HT18" s="42">
        <v>0</v>
      </c>
      <c r="HU18" s="42">
        <v>0</v>
      </c>
      <c r="HV18" s="42">
        <v>0</v>
      </c>
      <c r="HW18" s="42">
        <v>2.7622222222222224</v>
      </c>
      <c r="HX18" s="42">
        <v>0</v>
      </c>
      <c r="HY18" s="42">
        <v>0</v>
      </c>
      <c r="HZ18" s="42">
        <v>8.054722222222221</v>
      </c>
      <c r="IA18" s="42">
        <v>0</v>
      </c>
      <c r="IB18" s="42">
        <v>0</v>
      </c>
      <c r="IC18" s="42">
        <v>0</v>
      </c>
      <c r="ID18" s="42">
        <v>2.2000000000000002</v>
      </c>
      <c r="IE18" s="42">
        <v>0</v>
      </c>
      <c r="IF18" s="42">
        <v>5.03</v>
      </c>
      <c r="IG18" s="42">
        <v>0</v>
      </c>
      <c r="IH18" s="42">
        <v>0</v>
      </c>
      <c r="II18" s="42">
        <v>0</v>
      </c>
      <c r="IJ18" s="42">
        <v>0</v>
      </c>
      <c r="IK18" s="42">
        <v>3.9416666666666669</v>
      </c>
      <c r="IL18" s="42">
        <v>0</v>
      </c>
      <c r="IM18" s="42">
        <v>0</v>
      </c>
      <c r="IN18" s="42">
        <v>3.9074999999999993</v>
      </c>
      <c r="IO18" s="42">
        <v>0</v>
      </c>
      <c r="IP18" s="42">
        <v>0</v>
      </c>
      <c r="IQ18" s="42">
        <v>1.5244444444444445</v>
      </c>
      <c r="IR18" s="42">
        <v>0</v>
      </c>
      <c r="IS18" s="42">
        <v>6.5555555555555561E-2</v>
      </c>
      <c r="IT18" s="42">
        <v>0</v>
      </c>
      <c r="IU18" s="42">
        <v>0</v>
      </c>
      <c r="IV18" s="42">
        <v>0.10416666666666667</v>
      </c>
      <c r="IW18" s="42">
        <v>9.4444444444444442E-2</v>
      </c>
      <c r="IX18" s="42">
        <v>0</v>
      </c>
      <c r="IY18" s="42">
        <f>IFERROR(VLOOKUP($B18,[1]Sheet1!$A:$I,IY$12,0),0)</f>
        <v>7.6111111111111102E-2</v>
      </c>
      <c r="IZ18" s="42">
        <f>IFERROR(VLOOKUP($B18,[1]Sheet1!$A:$I,IZ$12,0),0)</f>
        <v>5.2500000000000005E-2</v>
      </c>
      <c r="JA18" s="42">
        <f>IFERROR(VLOOKUP($B18,[1]Sheet1!$A:$I,JA$12,0),0)</f>
        <v>1.7741666666666664</v>
      </c>
      <c r="JB18" s="42">
        <f>IFERROR(VLOOKUP($B18,[1]Sheet1!$A:$I,JB$12,0),0)</f>
        <v>5.9169444444444448</v>
      </c>
      <c r="JC18" s="42">
        <f>IFERROR(VLOOKUP($B18,[1]Sheet1!$A:$I,JC$12,0),0)</f>
        <v>0</v>
      </c>
      <c r="JD18" s="42">
        <f>IFERROR(VLOOKUP($B18,[1]Sheet1!$A:$I,JD$12,0),0)</f>
        <v>0</v>
      </c>
      <c r="JE18" s="42">
        <f>IFERROR(VLOOKUP($B18,[1]Sheet1!$A:$I,JE$12,0),0)</f>
        <v>0</v>
      </c>
      <c r="JF18" s="42">
        <f>IFERROR(VLOOKUP($B18,[1]Sheet1!$A:$I,JF$12,0),0)</f>
        <v>0</v>
      </c>
      <c r="JG18" s="42">
        <f>IFERROR(VLOOKUP($B18,[2]Sheet3!$A:$I,JG$12,0),0)</f>
        <v>0</v>
      </c>
      <c r="JH18" s="42">
        <f>IFERROR(VLOOKUP($B18,[2]Sheet3!$A:$I,JH$12,0),0)</f>
        <v>4.8525</v>
      </c>
      <c r="JI18" s="42">
        <f>IFERROR(VLOOKUP($B18,[2]Sheet3!$A:$I,JI$12,0),0)</f>
        <v>3.4041666666666668</v>
      </c>
      <c r="JJ18" s="42">
        <f>IFERROR(VLOOKUP($B18,[2]Sheet3!$A:$I,JJ$12,0),0)</f>
        <v>3.2097222222222221</v>
      </c>
      <c r="JK18" s="42">
        <f>IFERROR(VLOOKUP($B18,[2]Sheet3!$A:$I,JK$12,0),0)</f>
        <v>7.8713888888888892</v>
      </c>
      <c r="JL18" s="42">
        <f>IFERROR(VLOOKUP($B18,[2]Sheet3!$A:$I,JL$12,0),0)</f>
        <v>9.1402777777777775</v>
      </c>
      <c r="JM18" s="42">
        <f>IFERROR(VLOOKUP($B18,[2]Sheet3!$A:$I,JM$12,0),0)</f>
        <v>5.6944444444444446</v>
      </c>
      <c r="JN18" s="42">
        <v>1</v>
      </c>
      <c r="JO18" s="42">
        <v>1</v>
      </c>
      <c r="JP18" s="42">
        <v>1</v>
      </c>
      <c r="JQ18" s="42">
        <v>1</v>
      </c>
      <c r="JR18" s="42">
        <v>1</v>
      </c>
      <c r="JS18" s="42">
        <v>9.6999999999999993</v>
      </c>
      <c r="JT18" s="42">
        <v>4</v>
      </c>
      <c r="JU18" s="42">
        <v>0.33</v>
      </c>
      <c r="JV18" s="42">
        <v>1</v>
      </c>
      <c r="JW18" s="209">
        <v>0</v>
      </c>
      <c r="JX18" s="209">
        <v>0</v>
      </c>
      <c r="JY18" s="209">
        <v>0</v>
      </c>
      <c r="JZ18" s="209">
        <v>0</v>
      </c>
      <c r="KA18" s="209">
        <v>0</v>
      </c>
      <c r="KB18" s="209">
        <v>0</v>
      </c>
      <c r="KC18" s="209">
        <v>0</v>
      </c>
      <c r="KD18" s="209">
        <v>0</v>
      </c>
      <c r="KE18" s="209">
        <v>0</v>
      </c>
      <c r="KF18" s="209">
        <v>0</v>
      </c>
      <c r="KG18" s="209">
        <v>0</v>
      </c>
      <c r="KH18" s="209">
        <v>0</v>
      </c>
      <c r="KI18" s="209">
        <v>0</v>
      </c>
      <c r="KJ18" s="209">
        <v>0</v>
      </c>
      <c r="KK18" s="209">
        <v>0</v>
      </c>
      <c r="KL18" s="209">
        <v>0</v>
      </c>
      <c r="KM18" s="209">
        <v>0</v>
      </c>
      <c r="KN18" s="209">
        <v>0</v>
      </c>
      <c r="KO18" s="209">
        <v>0</v>
      </c>
      <c r="KP18" s="209">
        <v>0</v>
      </c>
      <c r="KQ18" s="209">
        <v>0</v>
      </c>
      <c r="KR18" s="209">
        <v>0</v>
      </c>
      <c r="KS18" s="209">
        <v>0</v>
      </c>
      <c r="KT18" s="209">
        <v>0</v>
      </c>
      <c r="KU18" s="42"/>
      <c r="KV18" s="42"/>
      <c r="KW18" s="42"/>
      <c r="KX18" s="42"/>
      <c r="KY18" s="42"/>
      <c r="KZ18" s="42"/>
      <c r="LA18" s="42"/>
      <c r="LB18" s="42"/>
      <c r="LC18" s="42"/>
      <c r="LD18" s="42"/>
      <c r="LE18" s="42"/>
      <c r="LF18" s="42"/>
      <c r="LG18" s="42"/>
      <c r="LH18" s="42"/>
      <c r="LI18" s="42"/>
      <c r="LJ18" s="42"/>
      <c r="LK18" s="42"/>
      <c r="LL18" s="42"/>
      <c r="LM18" s="42"/>
      <c r="LN18" s="42"/>
      <c r="LO18" s="42"/>
      <c r="LP18" s="42"/>
      <c r="LQ18" s="42"/>
      <c r="LR18" s="42"/>
      <c r="LS18" s="42"/>
      <c r="LT18" s="42"/>
      <c r="LU18" s="42"/>
      <c r="LV18" s="42"/>
      <c r="LW18" s="42"/>
      <c r="LX18" s="42"/>
      <c r="LY18" s="42"/>
      <c r="LZ18" s="42"/>
      <c r="MA18" s="42"/>
      <c r="MB18" s="42"/>
      <c r="MC18" s="42"/>
      <c r="MD18" s="42"/>
      <c r="ME18" s="42"/>
      <c r="MF18" s="42"/>
      <c r="MG18" s="42"/>
      <c r="MH18" s="42"/>
      <c r="MI18" s="42"/>
      <c r="MJ18" s="42"/>
      <c r="MK18" s="42"/>
      <c r="ML18" s="42"/>
      <c r="MM18" s="42"/>
      <c r="MN18" s="42"/>
      <c r="MO18" s="42"/>
      <c r="MP18" s="42"/>
      <c r="MQ18" s="42"/>
      <c r="MR18" s="42"/>
      <c r="MS18" s="42"/>
      <c r="MT18" s="42"/>
      <c r="MU18" s="42"/>
      <c r="MV18" s="42"/>
      <c r="MW18" s="42"/>
      <c r="MX18" s="42"/>
      <c r="MY18" s="42"/>
      <c r="MZ18" s="42"/>
      <c r="NA18" s="42"/>
      <c r="NB18" s="42"/>
      <c r="NC18" s="42"/>
      <c r="ND18" s="42"/>
      <c r="NE18" s="42"/>
      <c r="NF18" s="42"/>
      <c r="NG18" s="42"/>
      <c r="NH18" s="42"/>
      <c r="NI18" s="42"/>
      <c r="NJ18" s="42"/>
      <c r="NK18" s="42"/>
      <c r="NL18" s="42"/>
      <c r="NM18" s="42"/>
      <c r="NN18" s="42"/>
      <c r="NO18" s="42"/>
      <c r="NP18" s="42"/>
      <c r="NQ18" s="42"/>
      <c r="NR18" s="42"/>
      <c r="NS18" s="42"/>
      <c r="NT18" s="42"/>
      <c r="NU18" s="42"/>
      <c r="NV18" s="42"/>
      <c r="NW18" s="42"/>
      <c r="NX18" s="42"/>
      <c r="NY18" s="42"/>
      <c r="NZ18" s="42"/>
      <c r="OA18" s="42"/>
      <c r="OB18" s="42"/>
      <c r="OC18" s="42"/>
      <c r="OD18" s="42"/>
      <c r="OE18" s="42"/>
      <c r="OF18" s="42"/>
      <c r="OG18" s="42"/>
      <c r="OH18" s="42"/>
      <c r="OI18" s="42"/>
      <c r="OJ18" s="42"/>
      <c r="OK18" s="42"/>
      <c r="OL18" s="42"/>
      <c r="OM18" s="42"/>
      <c r="ON18" s="42"/>
      <c r="OO18" s="42"/>
      <c r="OP18" s="42"/>
      <c r="OQ18" s="42"/>
      <c r="OR18" s="42"/>
      <c r="OS18" s="42"/>
      <c r="OT18" s="42"/>
      <c r="OU18" s="42"/>
      <c r="OV18" s="42"/>
      <c r="OW18" s="42"/>
      <c r="OX18" s="42"/>
      <c r="OY18" s="42"/>
      <c r="OZ18" s="42"/>
      <c r="PA18" s="42"/>
      <c r="PB18" s="42"/>
      <c r="PC18" s="42"/>
      <c r="PD18" s="42"/>
      <c r="PE18" s="42"/>
      <c r="PF18" s="42"/>
      <c r="PG18" s="42"/>
      <c r="PH18" s="42"/>
      <c r="PI18" s="42"/>
      <c r="PJ18" s="42"/>
      <c r="PK18" s="42"/>
      <c r="PL18" s="42"/>
      <c r="PM18" s="42"/>
      <c r="PN18" s="42"/>
      <c r="PO18" s="42"/>
      <c r="PP18" s="42"/>
      <c r="PQ18" s="42"/>
      <c r="PR18" s="42"/>
      <c r="PS18" s="42"/>
      <c r="PT18" s="42"/>
      <c r="PU18" s="42"/>
      <c r="PV18" s="42"/>
      <c r="PW18" s="42"/>
      <c r="PX18" s="42"/>
      <c r="PY18" s="42"/>
      <c r="PZ18" s="42"/>
      <c r="QA18" s="42"/>
      <c r="QB18" s="42"/>
      <c r="QC18" s="42"/>
      <c r="QD18" s="42"/>
      <c r="QE18" s="42"/>
      <c r="QF18" s="42"/>
      <c r="QG18" s="42"/>
      <c r="QH18" s="42"/>
      <c r="QI18" s="42"/>
      <c r="QJ18" s="42"/>
      <c r="QK18" s="42"/>
      <c r="QL18" s="42"/>
      <c r="QM18" s="42"/>
      <c r="QN18" s="42"/>
      <c r="QO18" s="42"/>
      <c r="QP18" s="42"/>
      <c r="QQ18" s="42"/>
      <c r="QR18" s="42"/>
      <c r="QS18" s="42"/>
      <c r="QT18" s="42"/>
      <c r="QU18" s="42"/>
      <c r="QV18" s="42"/>
      <c r="QW18" s="42"/>
      <c r="QX18" s="42"/>
      <c r="QY18" s="42"/>
      <c r="QZ18" s="42"/>
      <c r="RA18" s="42"/>
      <c r="RB18" s="42"/>
      <c r="RC18" s="42"/>
      <c r="RD18" s="42"/>
      <c r="RE18" s="42"/>
      <c r="RF18" s="42"/>
      <c r="RG18" s="42"/>
      <c r="RH18" s="42"/>
      <c r="RI18" s="42"/>
      <c r="RJ18" s="42"/>
      <c r="RK18" s="42"/>
      <c r="RL18" s="42"/>
      <c r="RM18" s="42"/>
      <c r="RN18" s="42"/>
      <c r="RO18" s="42"/>
      <c r="RP18" s="42"/>
      <c r="RQ18" s="42"/>
      <c r="RR18" s="42"/>
      <c r="RS18" s="42"/>
      <c r="RT18" s="42"/>
      <c r="RU18" s="42"/>
      <c r="RV18" s="42"/>
      <c r="RW18" s="42"/>
      <c r="RX18" s="42"/>
      <c r="RY18" s="42"/>
      <c r="RZ18" s="42"/>
      <c r="SA18" s="42"/>
      <c r="SB18" s="42"/>
      <c r="SC18" s="42"/>
      <c r="SD18" s="42"/>
      <c r="SE18" s="42"/>
      <c r="SF18" s="42"/>
      <c r="SG18" s="42"/>
      <c r="SH18" s="42"/>
      <c r="SI18" s="42"/>
      <c r="SJ18" s="42"/>
      <c r="SK18" s="42"/>
      <c r="SL18" s="42"/>
      <c r="SM18" s="42"/>
      <c r="SN18" s="42"/>
      <c r="SO18" s="42"/>
      <c r="SP18" s="42"/>
      <c r="SQ18" s="42"/>
      <c r="SR18" s="42"/>
      <c r="SS18" s="42"/>
      <c r="ST18" s="42"/>
      <c r="SU18" s="42"/>
      <c r="SV18" s="42"/>
      <c r="SW18" s="42"/>
    </row>
    <row r="19" spans="1:517" s="40" customFormat="1" ht="24.6" customHeight="1" x14ac:dyDescent="0.2">
      <c r="A19" s="122">
        <v>777</v>
      </c>
      <c r="B19" s="123" t="s">
        <v>83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3.55</v>
      </c>
      <c r="L19" s="41">
        <v>10.88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2.5499999999999998</v>
      </c>
      <c r="S19" s="41">
        <v>0</v>
      </c>
      <c r="T19" s="41">
        <v>0</v>
      </c>
      <c r="U19" s="41">
        <v>8.5</v>
      </c>
      <c r="V19" s="41">
        <v>8.65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0.57999999999999996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3.78</v>
      </c>
      <c r="AM19" s="41">
        <v>0.5</v>
      </c>
      <c r="AN19" s="41">
        <v>0</v>
      </c>
      <c r="AO19" s="41">
        <v>0</v>
      </c>
      <c r="AP19" s="41">
        <v>0</v>
      </c>
      <c r="AQ19" s="41">
        <v>1.28</v>
      </c>
      <c r="AR19" s="41">
        <v>2.2999999999999998</v>
      </c>
      <c r="AS19" s="41">
        <v>11.280000000000001</v>
      </c>
      <c r="AT19" s="41">
        <v>18.18</v>
      </c>
      <c r="AU19" s="41">
        <v>0</v>
      </c>
      <c r="AV19" s="41">
        <v>0</v>
      </c>
      <c r="AW19" s="41">
        <v>0</v>
      </c>
      <c r="AX19" s="41">
        <v>6.08</v>
      </c>
      <c r="AY19" s="41">
        <v>0</v>
      </c>
      <c r="AZ19" s="41">
        <v>0</v>
      </c>
      <c r="BA19" s="41">
        <v>0</v>
      </c>
      <c r="BB19" s="41">
        <v>5.42</v>
      </c>
      <c r="BC19" s="41">
        <v>44.47</v>
      </c>
      <c r="BD19" s="41">
        <v>0</v>
      </c>
      <c r="BE19" s="41">
        <v>1.1299999999999999</v>
      </c>
      <c r="BF19" s="41">
        <v>5.82</v>
      </c>
      <c r="BG19" s="41">
        <v>0</v>
      </c>
      <c r="BH19" s="41">
        <v>0</v>
      </c>
      <c r="BI19" s="41">
        <v>0</v>
      </c>
      <c r="BJ19" s="41">
        <v>0</v>
      </c>
      <c r="BK19" s="41">
        <v>0</v>
      </c>
      <c r="BL19" s="41">
        <v>2.37</v>
      </c>
      <c r="BM19" s="41">
        <v>0</v>
      </c>
      <c r="BN19" s="41">
        <v>0</v>
      </c>
      <c r="BO19" s="41">
        <v>0</v>
      </c>
      <c r="BP19" s="41">
        <v>0</v>
      </c>
      <c r="BQ19" s="41">
        <v>0</v>
      </c>
      <c r="BR19" s="41">
        <v>10.48</v>
      </c>
      <c r="BS19" s="41">
        <v>0</v>
      </c>
      <c r="BT19" s="41">
        <v>0</v>
      </c>
      <c r="BU19" s="41">
        <v>0</v>
      </c>
      <c r="BV19" s="41">
        <v>0</v>
      </c>
      <c r="BW19" s="41">
        <v>0</v>
      </c>
      <c r="BX19" s="41">
        <v>0</v>
      </c>
      <c r="BY19" s="41">
        <v>0</v>
      </c>
      <c r="BZ19" s="41">
        <v>0</v>
      </c>
      <c r="CA19" s="41">
        <v>0</v>
      </c>
      <c r="CB19" s="41">
        <v>0</v>
      </c>
      <c r="CC19" s="41">
        <v>0</v>
      </c>
      <c r="CD19" s="41">
        <v>0</v>
      </c>
      <c r="CE19" s="41">
        <v>0</v>
      </c>
      <c r="CF19" s="41">
        <v>12.4</v>
      </c>
      <c r="CG19" s="41">
        <v>0</v>
      </c>
      <c r="CH19" s="41">
        <v>0</v>
      </c>
      <c r="CI19" s="41">
        <v>9.9699999999999989</v>
      </c>
      <c r="CJ19" s="41">
        <v>0</v>
      </c>
      <c r="CK19" s="41">
        <v>0</v>
      </c>
      <c r="CL19" s="41">
        <v>0</v>
      </c>
      <c r="CM19" s="41">
        <v>5.23</v>
      </c>
      <c r="CN19" s="41">
        <v>0</v>
      </c>
      <c r="CO19" s="41">
        <v>15.52</v>
      </c>
      <c r="CP19" s="41">
        <v>0.38</v>
      </c>
      <c r="CQ19" s="41">
        <v>0</v>
      </c>
      <c r="CR19" s="41">
        <v>0</v>
      </c>
      <c r="CS19" s="41">
        <v>10.7</v>
      </c>
      <c r="CT19" s="41">
        <v>0</v>
      </c>
      <c r="CU19" s="41">
        <v>0</v>
      </c>
      <c r="CV19" s="41">
        <v>0</v>
      </c>
      <c r="CW19" s="41">
        <v>3.42</v>
      </c>
      <c r="CX19" s="41">
        <v>0</v>
      </c>
      <c r="CY19" s="41">
        <v>0</v>
      </c>
      <c r="CZ19" s="41">
        <v>0</v>
      </c>
      <c r="DA19" s="41">
        <v>1</v>
      </c>
      <c r="DB19" s="41">
        <v>0</v>
      </c>
      <c r="DC19" s="41">
        <v>0</v>
      </c>
      <c r="DD19" s="41">
        <v>0.13</v>
      </c>
      <c r="DE19" s="41">
        <v>0</v>
      </c>
      <c r="DF19" s="41">
        <v>4.17</v>
      </c>
      <c r="DG19" s="41">
        <v>0</v>
      </c>
      <c r="DH19" s="41">
        <v>2.3499999999999996</v>
      </c>
      <c r="DI19" s="41">
        <v>3.58</v>
      </c>
      <c r="DJ19" s="41">
        <v>170.27</v>
      </c>
      <c r="DK19" s="41">
        <v>0</v>
      </c>
      <c r="DL19" s="41">
        <v>0</v>
      </c>
      <c r="DM19" s="41">
        <v>0</v>
      </c>
      <c r="DN19" s="41">
        <v>0</v>
      </c>
      <c r="DO19" s="41">
        <v>0</v>
      </c>
      <c r="DP19" s="41">
        <v>0</v>
      </c>
      <c r="DQ19" s="41">
        <v>0</v>
      </c>
      <c r="DR19" s="41">
        <v>0</v>
      </c>
      <c r="DS19" s="41">
        <v>0</v>
      </c>
      <c r="DT19" s="41">
        <v>0.83</v>
      </c>
      <c r="DU19" s="41">
        <v>8.27</v>
      </c>
      <c r="DV19" s="41">
        <v>2.7</v>
      </c>
      <c r="DW19" s="41">
        <v>40.22</v>
      </c>
      <c r="DX19" s="42">
        <v>0</v>
      </c>
      <c r="DY19" s="42">
        <v>0</v>
      </c>
      <c r="DZ19" s="42">
        <v>0</v>
      </c>
      <c r="EA19" s="42">
        <v>1.1499999999999999</v>
      </c>
      <c r="EB19" s="42">
        <v>0</v>
      </c>
      <c r="EC19" s="42">
        <v>0</v>
      </c>
      <c r="ED19" s="42">
        <v>0</v>
      </c>
      <c r="EE19" s="42">
        <v>0</v>
      </c>
      <c r="EF19" s="42">
        <v>0.85000000000000009</v>
      </c>
      <c r="EG19" s="42">
        <v>9.6999999999999993</v>
      </c>
      <c r="EH19" s="42">
        <v>0</v>
      </c>
      <c r="EI19" s="42">
        <v>0.45</v>
      </c>
      <c r="EJ19" s="42">
        <v>0</v>
      </c>
      <c r="EK19" s="42">
        <v>0</v>
      </c>
      <c r="EL19" s="42">
        <v>0</v>
      </c>
      <c r="EM19" s="42">
        <v>0.12</v>
      </c>
      <c r="EN19" s="42">
        <v>0</v>
      </c>
      <c r="EO19" s="42">
        <v>0</v>
      </c>
      <c r="EP19" s="42">
        <v>0</v>
      </c>
      <c r="EQ19" s="42">
        <v>0.89999999999999991</v>
      </c>
      <c r="ER19" s="42">
        <v>0</v>
      </c>
      <c r="ES19" s="42">
        <v>0</v>
      </c>
      <c r="ET19" s="42">
        <v>0</v>
      </c>
      <c r="EU19" s="42">
        <v>3</v>
      </c>
      <c r="EV19" s="42">
        <v>0</v>
      </c>
      <c r="EW19" s="42">
        <v>0</v>
      </c>
      <c r="EX19" s="42">
        <v>0</v>
      </c>
      <c r="EY19" s="42">
        <v>0</v>
      </c>
      <c r="EZ19" s="42">
        <v>0</v>
      </c>
      <c r="FA19" s="42">
        <v>0</v>
      </c>
      <c r="FB19" s="42">
        <v>0</v>
      </c>
      <c r="FC19" s="42">
        <v>0</v>
      </c>
      <c r="FD19" s="42">
        <v>7.22</v>
      </c>
      <c r="FE19" s="42">
        <v>11.8</v>
      </c>
      <c r="FF19" s="42">
        <v>0</v>
      </c>
      <c r="FG19" s="42">
        <v>9.5599999999999987</v>
      </c>
      <c r="FH19" s="42">
        <v>7.07</v>
      </c>
      <c r="FI19" s="42">
        <v>1.38</v>
      </c>
      <c r="FJ19" s="42">
        <v>0</v>
      </c>
      <c r="FK19" s="42">
        <v>0</v>
      </c>
      <c r="FL19" s="42">
        <v>0</v>
      </c>
      <c r="FM19" s="42">
        <v>0</v>
      </c>
      <c r="FN19" s="42">
        <v>0</v>
      </c>
      <c r="FO19" s="42">
        <v>0</v>
      </c>
      <c r="FP19" s="42">
        <v>0</v>
      </c>
      <c r="FQ19" s="42">
        <v>0</v>
      </c>
      <c r="FR19" s="42">
        <v>0</v>
      </c>
      <c r="FS19" s="42">
        <v>0</v>
      </c>
      <c r="FT19" s="42">
        <v>0</v>
      </c>
      <c r="FU19" s="42">
        <v>0</v>
      </c>
      <c r="FV19" s="42">
        <v>0</v>
      </c>
      <c r="FW19" s="42">
        <v>5.85</v>
      </c>
      <c r="FX19" s="42">
        <v>0</v>
      </c>
      <c r="FY19" s="42">
        <v>0</v>
      </c>
      <c r="FZ19" s="42">
        <v>0.18</v>
      </c>
      <c r="GA19" s="42">
        <v>0</v>
      </c>
      <c r="GB19" s="42">
        <v>0</v>
      </c>
      <c r="GC19" s="42">
        <v>0</v>
      </c>
      <c r="GD19" s="42">
        <v>0</v>
      </c>
      <c r="GE19" s="42">
        <v>1.87</v>
      </c>
      <c r="GF19" s="42">
        <v>0</v>
      </c>
      <c r="GG19" s="42">
        <v>0</v>
      </c>
      <c r="GH19" s="42">
        <v>0</v>
      </c>
      <c r="GI19" s="42">
        <v>0</v>
      </c>
      <c r="GJ19" s="42">
        <v>0</v>
      </c>
      <c r="GK19" s="42">
        <v>0</v>
      </c>
      <c r="GL19" s="42">
        <v>0</v>
      </c>
      <c r="GM19" s="42">
        <v>0</v>
      </c>
      <c r="GN19" s="42">
        <v>0</v>
      </c>
      <c r="GO19" s="42">
        <v>0</v>
      </c>
      <c r="GP19" s="42">
        <v>0</v>
      </c>
      <c r="GQ19" s="42">
        <v>2.37</v>
      </c>
      <c r="GR19" s="42">
        <v>6</v>
      </c>
      <c r="GS19" s="42">
        <v>0</v>
      </c>
      <c r="GT19" s="42">
        <v>7.45</v>
      </c>
      <c r="GU19" s="42">
        <v>0</v>
      </c>
      <c r="GV19" s="42">
        <v>153.35</v>
      </c>
      <c r="GW19" s="42">
        <v>0</v>
      </c>
      <c r="GX19" s="42">
        <v>0</v>
      </c>
      <c r="GY19" s="42">
        <v>0</v>
      </c>
      <c r="GZ19" s="42">
        <v>0</v>
      </c>
      <c r="HA19" s="42">
        <v>0</v>
      </c>
      <c r="HB19" s="42">
        <v>145.1</v>
      </c>
      <c r="HC19" s="42">
        <v>0</v>
      </c>
      <c r="HD19" s="42">
        <v>0</v>
      </c>
      <c r="HE19" s="42">
        <v>0</v>
      </c>
      <c r="HF19" s="42">
        <v>0</v>
      </c>
      <c r="HG19" s="42">
        <v>0</v>
      </c>
      <c r="HH19" s="42">
        <v>0</v>
      </c>
      <c r="HI19" s="42">
        <v>0</v>
      </c>
      <c r="HJ19" s="42">
        <v>0</v>
      </c>
      <c r="HK19" s="42">
        <v>1.0241666666666667</v>
      </c>
      <c r="HL19" s="42">
        <v>0</v>
      </c>
      <c r="HM19" s="42">
        <v>3.5152777777777775</v>
      </c>
      <c r="HN19" s="42">
        <v>1.0602777777777779</v>
      </c>
      <c r="HO19" s="42">
        <v>0</v>
      </c>
      <c r="HP19" s="42">
        <v>0</v>
      </c>
      <c r="HQ19" s="42">
        <v>0</v>
      </c>
      <c r="HR19" s="42">
        <v>0</v>
      </c>
      <c r="HS19" s="42">
        <v>25.436666666666667</v>
      </c>
      <c r="HT19" s="42">
        <v>24</v>
      </c>
      <c r="HU19" s="42">
        <v>24</v>
      </c>
      <c r="HV19" s="42">
        <v>20.266944444444444</v>
      </c>
      <c r="HW19" s="42">
        <v>0.52249999999999996</v>
      </c>
      <c r="HX19" s="42">
        <v>0</v>
      </c>
      <c r="HY19" s="42">
        <v>3.5883333333333338</v>
      </c>
      <c r="HZ19" s="42">
        <v>0</v>
      </c>
      <c r="IA19" s="42">
        <v>0</v>
      </c>
      <c r="IB19" s="42">
        <v>2.9972222222222222</v>
      </c>
      <c r="IC19" s="42">
        <v>0</v>
      </c>
      <c r="ID19" s="42">
        <v>84.63000000000001</v>
      </c>
      <c r="IE19" s="42">
        <v>0</v>
      </c>
      <c r="IF19" s="42">
        <v>0</v>
      </c>
      <c r="IG19" s="42">
        <v>0</v>
      </c>
      <c r="IH19" s="42">
        <v>2.52</v>
      </c>
      <c r="II19" s="42">
        <v>0</v>
      </c>
      <c r="IJ19" s="42">
        <v>0</v>
      </c>
      <c r="IK19" s="42">
        <v>0</v>
      </c>
      <c r="IL19" s="42">
        <v>0</v>
      </c>
      <c r="IM19" s="42">
        <v>0</v>
      </c>
      <c r="IN19" s="42">
        <v>0</v>
      </c>
      <c r="IO19" s="42">
        <v>2.6233333333333331</v>
      </c>
      <c r="IP19" s="42">
        <v>0</v>
      </c>
      <c r="IQ19" s="42">
        <v>0</v>
      </c>
      <c r="IR19" s="42">
        <v>24</v>
      </c>
      <c r="IS19" s="42">
        <v>24</v>
      </c>
      <c r="IT19" s="42">
        <v>24</v>
      </c>
      <c r="IU19" s="42">
        <v>6.9480555555555554</v>
      </c>
      <c r="IV19" s="42">
        <v>0</v>
      </c>
      <c r="IW19" s="42">
        <v>0</v>
      </c>
      <c r="IX19" s="42">
        <v>0</v>
      </c>
      <c r="IY19" s="42">
        <f>IFERROR(VLOOKUP($B19,[1]Sheet1!$A:$I,IY$12,0),0)</f>
        <v>3.6361111111111111</v>
      </c>
      <c r="IZ19" s="42">
        <f>IFERROR(VLOOKUP($B19,[1]Sheet1!$A:$I,IZ$12,0),0)</f>
        <v>0</v>
      </c>
      <c r="JA19" s="42">
        <f>IFERROR(VLOOKUP($B19,[1]Sheet1!$A:$I,JA$12,0),0)</f>
        <v>5.9166666666666659E-2</v>
      </c>
      <c r="JB19" s="42">
        <f>IFERROR(VLOOKUP($B19,[1]Sheet1!$A:$I,JB$12,0),0)</f>
        <v>0</v>
      </c>
      <c r="JC19" s="42">
        <f>IFERROR(VLOOKUP($B19,[1]Sheet1!$A:$I,JC$12,0),0)</f>
        <v>7.1388888888888891E-2</v>
      </c>
      <c r="JD19" s="42">
        <f>IFERROR(VLOOKUP($B19,[1]Sheet1!$A:$I,JD$12,0),0)</f>
        <v>0</v>
      </c>
      <c r="JE19" s="42">
        <f>IFERROR(VLOOKUP($B19,[1]Sheet1!$A:$I,JE$12,0),0)</f>
        <v>0</v>
      </c>
      <c r="JF19" s="42">
        <f>IFERROR(VLOOKUP($B19,[1]Sheet1!$A:$I,JF$12,0),0)</f>
        <v>0</v>
      </c>
      <c r="JG19" s="42">
        <f>IFERROR(VLOOKUP($B19,[2]Sheet3!$A:$I,JG$12,0),0)</f>
        <v>0</v>
      </c>
      <c r="JH19" s="42">
        <f>IFERROR(VLOOKUP($B19,[2]Sheet3!$A:$I,JH$12,0),0)</f>
        <v>4.2630555555555549</v>
      </c>
      <c r="JI19" s="42">
        <f>IFERROR(VLOOKUP($B19,[2]Sheet3!$A:$I,JI$12,0),0)</f>
        <v>8.8888888888888889E-3</v>
      </c>
      <c r="JJ19" s="42">
        <f>IFERROR(VLOOKUP($B19,[2]Sheet3!$A:$I,JJ$12,0),0)</f>
        <v>0</v>
      </c>
      <c r="JK19" s="42">
        <f>IFERROR(VLOOKUP($B19,[2]Sheet3!$A:$I,JK$12,0),0)</f>
        <v>3.4313888888888888</v>
      </c>
      <c r="JL19" s="42">
        <f>IFERROR(VLOOKUP($B19,[2]Sheet3!$A:$I,JL$12,0),0)</f>
        <v>4.8024999999999993</v>
      </c>
      <c r="JM19" s="42">
        <v>3.45</v>
      </c>
      <c r="JN19" s="42">
        <v>0.42</v>
      </c>
      <c r="JO19" s="42">
        <v>1</v>
      </c>
      <c r="JP19" s="42">
        <v>1</v>
      </c>
      <c r="JQ19" s="42">
        <v>1.19</v>
      </c>
      <c r="JR19" s="42">
        <v>1</v>
      </c>
      <c r="JS19" s="42">
        <v>8.6999999999999993</v>
      </c>
      <c r="JT19" s="42">
        <v>3.05</v>
      </c>
      <c r="JU19" s="42">
        <v>0</v>
      </c>
      <c r="JV19" s="42">
        <v>1</v>
      </c>
      <c r="JW19" s="209">
        <v>0</v>
      </c>
      <c r="JX19" s="209">
        <v>0</v>
      </c>
      <c r="JY19" s="209">
        <v>0</v>
      </c>
      <c r="JZ19" s="209">
        <v>0</v>
      </c>
      <c r="KA19" s="209">
        <v>0</v>
      </c>
      <c r="KB19" s="209">
        <v>0</v>
      </c>
      <c r="KC19" s="209">
        <v>0</v>
      </c>
      <c r="KD19" s="209">
        <v>0</v>
      </c>
      <c r="KE19" s="209">
        <v>0</v>
      </c>
      <c r="KF19" s="209">
        <v>0</v>
      </c>
      <c r="KG19" s="209">
        <v>0</v>
      </c>
      <c r="KH19" s="209">
        <v>0</v>
      </c>
      <c r="KI19" s="209">
        <v>0</v>
      </c>
      <c r="KJ19" s="209">
        <v>0</v>
      </c>
      <c r="KK19" s="209">
        <v>0</v>
      </c>
      <c r="KL19" s="209">
        <v>0</v>
      </c>
      <c r="KM19" s="209">
        <v>0</v>
      </c>
      <c r="KN19" s="209">
        <v>0</v>
      </c>
      <c r="KO19" s="209">
        <v>0</v>
      </c>
      <c r="KP19" s="209">
        <v>0</v>
      </c>
      <c r="KQ19" s="209">
        <v>0</v>
      </c>
      <c r="KR19" s="209">
        <v>0</v>
      </c>
      <c r="KS19" s="209">
        <v>0</v>
      </c>
      <c r="KT19" s="209">
        <v>0</v>
      </c>
      <c r="KU19" s="42"/>
      <c r="KV19" s="42"/>
      <c r="KW19" s="42"/>
      <c r="KX19" s="42"/>
      <c r="KY19" s="42"/>
      <c r="KZ19" s="42"/>
      <c r="LA19" s="42"/>
      <c r="LB19" s="42"/>
      <c r="LC19" s="42"/>
      <c r="LD19" s="42"/>
      <c r="LE19" s="42"/>
      <c r="LF19" s="42"/>
      <c r="LG19" s="42"/>
      <c r="LH19" s="42"/>
      <c r="LI19" s="42"/>
      <c r="LJ19" s="42"/>
      <c r="LK19" s="42"/>
      <c r="LL19" s="42"/>
      <c r="LM19" s="42"/>
      <c r="LN19" s="42"/>
      <c r="LO19" s="42"/>
      <c r="LP19" s="42"/>
      <c r="LQ19" s="42"/>
      <c r="LR19" s="42"/>
      <c r="LS19" s="42"/>
      <c r="LT19" s="42"/>
      <c r="LU19" s="42"/>
      <c r="LV19" s="42"/>
      <c r="LW19" s="42"/>
      <c r="LX19" s="42"/>
      <c r="LY19" s="42"/>
      <c r="LZ19" s="42"/>
      <c r="MA19" s="42"/>
      <c r="MB19" s="42"/>
      <c r="MC19" s="42"/>
      <c r="MD19" s="42"/>
      <c r="ME19" s="42"/>
      <c r="MF19" s="42"/>
      <c r="MG19" s="42"/>
      <c r="MH19" s="42"/>
      <c r="MI19" s="42"/>
      <c r="MJ19" s="42"/>
      <c r="MK19" s="42"/>
      <c r="ML19" s="42"/>
      <c r="MM19" s="42"/>
      <c r="MN19" s="42"/>
      <c r="MO19" s="42"/>
      <c r="MP19" s="42"/>
      <c r="MQ19" s="42"/>
      <c r="MR19" s="42"/>
      <c r="MS19" s="42"/>
      <c r="MT19" s="42"/>
      <c r="MU19" s="42"/>
      <c r="MV19" s="42"/>
      <c r="MW19" s="42"/>
      <c r="MX19" s="42"/>
      <c r="MY19" s="42"/>
      <c r="MZ19" s="42"/>
      <c r="NA19" s="42"/>
      <c r="NB19" s="42"/>
      <c r="NC19" s="42"/>
      <c r="ND19" s="42"/>
      <c r="NE19" s="42"/>
      <c r="NF19" s="42"/>
      <c r="NG19" s="42"/>
      <c r="NH19" s="42"/>
      <c r="NI19" s="42"/>
      <c r="NJ19" s="42"/>
      <c r="NK19" s="42"/>
      <c r="NL19" s="42"/>
      <c r="NM19" s="42"/>
      <c r="NN19" s="42"/>
      <c r="NO19" s="42"/>
      <c r="NP19" s="42"/>
      <c r="NQ19" s="42"/>
      <c r="NR19" s="42"/>
      <c r="NS19" s="42"/>
      <c r="NT19" s="42"/>
      <c r="NU19" s="42"/>
      <c r="NV19" s="42"/>
      <c r="NW19" s="42"/>
      <c r="NX19" s="42"/>
      <c r="NY19" s="42"/>
      <c r="NZ19" s="42"/>
      <c r="OA19" s="42"/>
      <c r="OB19" s="42"/>
      <c r="OC19" s="42"/>
      <c r="OD19" s="42"/>
      <c r="OE19" s="42"/>
      <c r="OF19" s="42"/>
      <c r="OG19" s="42"/>
      <c r="OH19" s="42"/>
      <c r="OI19" s="42"/>
      <c r="OJ19" s="42"/>
      <c r="OK19" s="42"/>
      <c r="OL19" s="42"/>
      <c r="OM19" s="42"/>
      <c r="ON19" s="42"/>
      <c r="OO19" s="42"/>
      <c r="OP19" s="42"/>
      <c r="OQ19" s="42"/>
      <c r="OR19" s="42"/>
      <c r="OS19" s="42"/>
      <c r="OT19" s="42"/>
      <c r="OU19" s="42"/>
      <c r="OV19" s="42"/>
      <c r="OW19" s="42"/>
      <c r="OX19" s="42"/>
      <c r="OY19" s="42"/>
      <c r="OZ19" s="42"/>
      <c r="PA19" s="42"/>
      <c r="PB19" s="42"/>
      <c r="PC19" s="42"/>
      <c r="PD19" s="42"/>
      <c r="PE19" s="42"/>
      <c r="PF19" s="42"/>
      <c r="PG19" s="42"/>
      <c r="PH19" s="42"/>
      <c r="PI19" s="42"/>
      <c r="PJ19" s="42"/>
      <c r="PK19" s="42"/>
      <c r="PL19" s="42"/>
      <c r="PM19" s="42"/>
      <c r="PN19" s="42"/>
      <c r="PO19" s="42"/>
      <c r="PP19" s="42"/>
      <c r="PQ19" s="42"/>
      <c r="PR19" s="42"/>
      <c r="PS19" s="42"/>
      <c r="PT19" s="42"/>
      <c r="PU19" s="42"/>
      <c r="PV19" s="42"/>
      <c r="PW19" s="42"/>
      <c r="PX19" s="42"/>
      <c r="PY19" s="42"/>
      <c r="PZ19" s="42"/>
      <c r="QA19" s="42"/>
      <c r="QB19" s="42"/>
      <c r="QC19" s="42"/>
      <c r="QD19" s="42"/>
      <c r="QE19" s="42"/>
      <c r="QF19" s="42"/>
      <c r="QG19" s="42"/>
      <c r="QH19" s="42"/>
      <c r="QI19" s="42"/>
      <c r="QJ19" s="42"/>
      <c r="QK19" s="42"/>
      <c r="QL19" s="42"/>
      <c r="QM19" s="42"/>
      <c r="QN19" s="42"/>
      <c r="QO19" s="42"/>
      <c r="QP19" s="42"/>
      <c r="QQ19" s="42"/>
      <c r="QR19" s="42"/>
      <c r="QS19" s="42"/>
      <c r="QT19" s="42"/>
      <c r="QU19" s="42"/>
      <c r="QV19" s="42"/>
      <c r="QW19" s="42"/>
      <c r="QX19" s="42"/>
      <c r="QY19" s="42"/>
      <c r="QZ19" s="42"/>
      <c r="RA19" s="42"/>
      <c r="RB19" s="42"/>
      <c r="RC19" s="42"/>
      <c r="RD19" s="42"/>
      <c r="RE19" s="42"/>
      <c r="RF19" s="42"/>
      <c r="RG19" s="42"/>
      <c r="RH19" s="42"/>
      <c r="RI19" s="42"/>
      <c r="RJ19" s="42"/>
      <c r="RK19" s="42"/>
      <c r="RL19" s="42"/>
      <c r="RM19" s="42"/>
      <c r="RN19" s="42"/>
      <c r="RO19" s="42"/>
      <c r="RP19" s="42"/>
      <c r="RQ19" s="42"/>
      <c r="RR19" s="42"/>
      <c r="RS19" s="42"/>
      <c r="RT19" s="42"/>
      <c r="RU19" s="42"/>
      <c r="RV19" s="42"/>
      <c r="RW19" s="42"/>
      <c r="RX19" s="42"/>
      <c r="RY19" s="42"/>
      <c r="RZ19" s="42"/>
      <c r="SA19" s="42"/>
      <c r="SB19" s="42"/>
      <c r="SC19" s="42"/>
      <c r="SD19" s="42"/>
      <c r="SE19" s="42"/>
      <c r="SF19" s="42"/>
      <c r="SG19" s="42"/>
      <c r="SH19" s="42"/>
      <c r="SI19" s="42"/>
      <c r="SJ19" s="42"/>
      <c r="SK19" s="42"/>
      <c r="SL19" s="42"/>
      <c r="SM19" s="42"/>
      <c r="SN19" s="42"/>
      <c r="SO19" s="42"/>
      <c r="SP19" s="42"/>
      <c r="SQ19" s="42"/>
      <c r="SR19" s="42"/>
      <c r="SS19" s="42"/>
      <c r="ST19" s="42"/>
      <c r="SU19" s="42"/>
      <c r="SV19" s="42"/>
      <c r="SW19" s="42"/>
    </row>
    <row r="20" spans="1:517" s="40" customFormat="1" ht="24.6" customHeight="1" x14ac:dyDescent="0.2">
      <c r="A20" s="122">
        <v>777</v>
      </c>
      <c r="B20" s="123" t="s">
        <v>84</v>
      </c>
      <c r="C20" s="41">
        <v>0</v>
      </c>
      <c r="D20" s="41">
        <v>0</v>
      </c>
      <c r="E20" s="41">
        <v>4.0500000000000007</v>
      </c>
      <c r="F20" s="41">
        <v>0</v>
      </c>
      <c r="G20" s="41">
        <v>0</v>
      </c>
      <c r="H20" s="41">
        <v>4.2200000000000006</v>
      </c>
      <c r="I20" s="41">
        <v>9.82</v>
      </c>
      <c r="J20" s="41">
        <v>18.149999999999999</v>
      </c>
      <c r="K20" s="41">
        <v>0</v>
      </c>
      <c r="L20" s="41">
        <v>0</v>
      </c>
      <c r="M20" s="41">
        <v>57.93</v>
      </c>
      <c r="N20" s="41">
        <v>0</v>
      </c>
      <c r="O20" s="41">
        <v>0</v>
      </c>
      <c r="P20" s="41">
        <v>11.280000000000001</v>
      </c>
      <c r="Q20" s="41">
        <v>15.32</v>
      </c>
      <c r="R20" s="41">
        <v>0</v>
      </c>
      <c r="S20" s="41">
        <v>0</v>
      </c>
      <c r="T20" s="41">
        <v>8.0300000000000011</v>
      </c>
      <c r="U20" s="41">
        <v>7.8</v>
      </c>
      <c r="V20" s="41">
        <v>2.9</v>
      </c>
      <c r="W20" s="41">
        <v>2.2000000000000002</v>
      </c>
      <c r="X20" s="41">
        <v>1.02</v>
      </c>
      <c r="Y20" s="41">
        <v>1.75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1.29</v>
      </c>
      <c r="AH20" s="41">
        <v>6.38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1.8399999999999999</v>
      </c>
      <c r="AO20" s="41">
        <v>0</v>
      </c>
      <c r="AP20" s="41">
        <v>0</v>
      </c>
      <c r="AQ20" s="41">
        <v>1.72</v>
      </c>
      <c r="AR20" s="41">
        <v>0</v>
      </c>
      <c r="AS20" s="41">
        <v>0</v>
      </c>
      <c r="AT20" s="41">
        <v>0</v>
      </c>
      <c r="AU20" s="41">
        <v>0</v>
      </c>
      <c r="AV20" s="41">
        <v>0</v>
      </c>
      <c r="AW20" s="41">
        <v>0</v>
      </c>
      <c r="AX20" s="41">
        <v>0</v>
      </c>
      <c r="AY20" s="41">
        <v>0</v>
      </c>
      <c r="AZ20" s="41">
        <v>0</v>
      </c>
      <c r="BA20" s="41">
        <v>10.9</v>
      </c>
      <c r="BB20" s="41">
        <v>0</v>
      </c>
      <c r="BC20" s="41">
        <v>0</v>
      </c>
      <c r="BD20" s="41">
        <v>4.2699999999999996</v>
      </c>
      <c r="BE20" s="41">
        <v>0</v>
      </c>
      <c r="BF20" s="41">
        <v>0</v>
      </c>
      <c r="BG20" s="41">
        <v>0</v>
      </c>
      <c r="BH20" s="41">
        <v>0</v>
      </c>
      <c r="BI20" s="41">
        <v>0</v>
      </c>
      <c r="BJ20" s="41">
        <v>6.6000000000000005</v>
      </c>
      <c r="BK20" s="41">
        <v>0</v>
      </c>
      <c r="BL20" s="41">
        <v>1.08</v>
      </c>
      <c r="BM20" s="41">
        <v>4.87</v>
      </c>
      <c r="BN20" s="41">
        <v>0</v>
      </c>
      <c r="BO20" s="41">
        <v>4.87</v>
      </c>
      <c r="BP20" s="41">
        <v>5.8699999999999992</v>
      </c>
      <c r="BQ20" s="41">
        <v>0</v>
      </c>
      <c r="BR20" s="41">
        <v>0</v>
      </c>
      <c r="BS20" s="41">
        <v>1.55</v>
      </c>
      <c r="BT20" s="41">
        <v>19.630000000000003</v>
      </c>
      <c r="BU20" s="41">
        <v>0</v>
      </c>
      <c r="BV20" s="41">
        <v>0</v>
      </c>
      <c r="BW20" s="41">
        <v>0</v>
      </c>
      <c r="BX20" s="41">
        <v>0</v>
      </c>
      <c r="BY20" s="41">
        <v>0</v>
      </c>
      <c r="BZ20" s="41">
        <v>0</v>
      </c>
      <c r="CA20" s="41">
        <v>0</v>
      </c>
      <c r="CB20" s="41">
        <v>0</v>
      </c>
      <c r="CC20" s="41">
        <v>0</v>
      </c>
      <c r="CD20" s="41">
        <v>0</v>
      </c>
      <c r="CE20" s="41">
        <v>0</v>
      </c>
      <c r="CF20" s="41">
        <v>4.2</v>
      </c>
      <c r="CG20" s="41">
        <v>0</v>
      </c>
      <c r="CH20" s="41">
        <v>0</v>
      </c>
      <c r="CI20" s="41">
        <v>0</v>
      </c>
      <c r="CJ20" s="41">
        <v>0</v>
      </c>
      <c r="CK20" s="41">
        <v>1</v>
      </c>
      <c r="CL20" s="41">
        <v>0</v>
      </c>
      <c r="CM20" s="41">
        <v>0</v>
      </c>
      <c r="CN20" s="41">
        <v>0</v>
      </c>
      <c r="CO20" s="41">
        <v>0</v>
      </c>
      <c r="CP20" s="41">
        <v>0.8</v>
      </c>
      <c r="CQ20" s="41">
        <v>1.9</v>
      </c>
      <c r="CR20" s="41">
        <v>0</v>
      </c>
      <c r="CS20" s="41">
        <v>0</v>
      </c>
      <c r="CT20" s="41">
        <v>3.8200000000000003</v>
      </c>
      <c r="CU20" s="41">
        <v>0</v>
      </c>
      <c r="CV20" s="41">
        <v>4.25</v>
      </c>
      <c r="CW20" s="41">
        <v>1.5</v>
      </c>
      <c r="CX20" s="41">
        <v>0</v>
      </c>
      <c r="CY20" s="41">
        <v>0</v>
      </c>
      <c r="CZ20" s="41">
        <v>0</v>
      </c>
      <c r="DA20" s="41">
        <v>0</v>
      </c>
      <c r="DB20" s="41">
        <v>0</v>
      </c>
      <c r="DC20" s="41">
        <v>0</v>
      </c>
      <c r="DD20" s="41">
        <v>2.88</v>
      </c>
      <c r="DE20" s="41">
        <v>21.22</v>
      </c>
      <c r="DF20" s="41">
        <v>29.65</v>
      </c>
      <c r="DG20" s="41">
        <v>0</v>
      </c>
      <c r="DH20" s="41">
        <v>0</v>
      </c>
      <c r="DI20" s="41">
        <v>0.4</v>
      </c>
      <c r="DJ20" s="41">
        <v>9.3000000000000007</v>
      </c>
      <c r="DK20" s="41">
        <v>0</v>
      </c>
      <c r="DL20" s="41">
        <v>0</v>
      </c>
      <c r="DM20" s="41">
        <v>0</v>
      </c>
      <c r="DN20" s="41">
        <v>4.28</v>
      </c>
      <c r="DO20" s="41">
        <v>0</v>
      </c>
      <c r="DP20" s="41">
        <v>1.08</v>
      </c>
      <c r="DQ20" s="41">
        <v>2.23</v>
      </c>
      <c r="DR20" s="41">
        <v>0.37</v>
      </c>
      <c r="DS20" s="41">
        <v>1.27</v>
      </c>
      <c r="DT20" s="41">
        <v>0</v>
      </c>
      <c r="DU20" s="41">
        <v>5.9</v>
      </c>
      <c r="DV20" s="41">
        <v>1.29</v>
      </c>
      <c r="DW20" s="41">
        <v>0</v>
      </c>
      <c r="DX20" s="42">
        <v>0</v>
      </c>
      <c r="DY20" s="42">
        <v>0</v>
      </c>
      <c r="DZ20" s="42">
        <v>0</v>
      </c>
      <c r="EA20" s="42">
        <v>0</v>
      </c>
      <c r="EB20" s="42">
        <v>5.62</v>
      </c>
      <c r="EC20" s="42">
        <v>0</v>
      </c>
      <c r="ED20" s="42">
        <v>0</v>
      </c>
      <c r="EE20" s="42">
        <v>0</v>
      </c>
      <c r="EF20" s="42">
        <v>7</v>
      </c>
      <c r="EG20" s="42">
        <v>22.34</v>
      </c>
      <c r="EH20" s="42">
        <v>10.159999999999998</v>
      </c>
      <c r="EI20" s="42">
        <v>18.07</v>
      </c>
      <c r="EJ20" s="42">
        <v>0</v>
      </c>
      <c r="EK20" s="42">
        <v>0</v>
      </c>
      <c r="EL20" s="42">
        <v>24</v>
      </c>
      <c r="EM20" s="42">
        <v>24</v>
      </c>
      <c r="EN20" s="42">
        <v>24</v>
      </c>
      <c r="EO20" s="42">
        <v>12</v>
      </c>
      <c r="EP20" s="42">
        <v>0</v>
      </c>
      <c r="EQ20" s="42">
        <v>0</v>
      </c>
      <c r="ER20" s="42">
        <v>0</v>
      </c>
      <c r="ES20" s="42">
        <v>5.7799999999999994</v>
      </c>
      <c r="ET20" s="42">
        <v>8.6999999999999993</v>
      </c>
      <c r="EU20" s="42">
        <v>0</v>
      </c>
      <c r="EV20" s="42">
        <v>0</v>
      </c>
      <c r="EW20" s="42">
        <v>0</v>
      </c>
      <c r="EX20" s="42">
        <v>0</v>
      </c>
      <c r="EY20" s="42">
        <v>0</v>
      </c>
      <c r="EZ20" s="42">
        <v>0</v>
      </c>
      <c r="FA20" s="42">
        <v>0</v>
      </c>
      <c r="FB20" s="42">
        <v>0</v>
      </c>
      <c r="FC20" s="42">
        <v>0</v>
      </c>
      <c r="FD20" s="42">
        <v>9.0800000000000018</v>
      </c>
      <c r="FE20" s="42">
        <v>14.649999999999999</v>
      </c>
      <c r="FF20" s="42">
        <v>0</v>
      </c>
      <c r="FG20" s="42">
        <v>0</v>
      </c>
      <c r="FH20" s="42">
        <v>0</v>
      </c>
      <c r="FI20" s="42">
        <v>0</v>
      </c>
      <c r="FJ20" s="42">
        <v>2.65</v>
      </c>
      <c r="FK20" s="42">
        <v>0</v>
      </c>
      <c r="FL20" s="42">
        <v>0</v>
      </c>
      <c r="FM20" s="42">
        <v>0</v>
      </c>
      <c r="FN20" s="42">
        <v>0</v>
      </c>
      <c r="FO20" s="42">
        <v>4.0199999999999996</v>
      </c>
      <c r="FP20" s="42">
        <v>0</v>
      </c>
      <c r="FQ20" s="42">
        <v>0</v>
      </c>
      <c r="FR20" s="42">
        <v>0</v>
      </c>
      <c r="FS20" s="42">
        <v>18.100000000000001</v>
      </c>
      <c r="FT20" s="42">
        <v>12.18</v>
      </c>
      <c r="FU20" s="42">
        <v>0</v>
      </c>
      <c r="FV20" s="42">
        <v>5.13</v>
      </c>
      <c r="FW20" s="42">
        <v>7.37</v>
      </c>
      <c r="FX20" s="42">
        <v>0</v>
      </c>
      <c r="FY20" s="42">
        <v>0</v>
      </c>
      <c r="FZ20" s="42">
        <v>0</v>
      </c>
      <c r="GA20" s="42">
        <v>0</v>
      </c>
      <c r="GB20" s="42">
        <v>0</v>
      </c>
      <c r="GC20" s="42">
        <v>0</v>
      </c>
      <c r="GD20" s="42">
        <v>0</v>
      </c>
      <c r="GE20" s="42">
        <v>0</v>
      </c>
      <c r="GF20" s="42">
        <v>0</v>
      </c>
      <c r="GG20" s="42">
        <v>0</v>
      </c>
      <c r="GH20" s="42">
        <v>0</v>
      </c>
      <c r="GI20" s="42">
        <v>0</v>
      </c>
      <c r="GJ20" s="42">
        <v>0</v>
      </c>
      <c r="GK20" s="42">
        <v>6.32</v>
      </c>
      <c r="GL20" s="42">
        <v>0</v>
      </c>
      <c r="GM20" s="42">
        <v>0</v>
      </c>
      <c r="GN20" s="42">
        <v>0</v>
      </c>
      <c r="GO20" s="42">
        <v>0</v>
      </c>
      <c r="GP20" s="42">
        <v>0</v>
      </c>
      <c r="GQ20" s="42">
        <v>0</v>
      </c>
      <c r="GR20" s="42">
        <v>0</v>
      </c>
      <c r="GS20" s="42">
        <v>0</v>
      </c>
      <c r="GT20" s="42">
        <v>0</v>
      </c>
      <c r="GU20" s="42">
        <v>0</v>
      </c>
      <c r="GV20" s="42">
        <v>0</v>
      </c>
      <c r="GW20" s="42">
        <v>0</v>
      </c>
      <c r="GX20" s="42">
        <v>0</v>
      </c>
      <c r="GY20" s="42">
        <v>0</v>
      </c>
      <c r="GZ20" s="42">
        <v>0</v>
      </c>
      <c r="HA20" s="42">
        <v>0</v>
      </c>
      <c r="HB20" s="42">
        <v>0</v>
      </c>
      <c r="HC20" s="42">
        <v>0</v>
      </c>
      <c r="HD20" s="42">
        <v>0</v>
      </c>
      <c r="HE20" s="42">
        <v>0</v>
      </c>
      <c r="HF20" s="42">
        <v>0</v>
      </c>
      <c r="HG20" s="42">
        <v>0</v>
      </c>
      <c r="HH20" s="42">
        <v>0</v>
      </c>
      <c r="HI20" s="42">
        <v>0</v>
      </c>
      <c r="HJ20" s="42">
        <v>0</v>
      </c>
      <c r="HK20" s="42">
        <v>0</v>
      </c>
      <c r="HL20" s="42">
        <v>0</v>
      </c>
      <c r="HM20" s="42">
        <v>4.2547222222222221</v>
      </c>
      <c r="HN20" s="42">
        <v>0</v>
      </c>
      <c r="HO20" s="42">
        <v>0</v>
      </c>
      <c r="HP20" s="42">
        <v>0</v>
      </c>
      <c r="HQ20" s="42">
        <v>0</v>
      </c>
      <c r="HR20" s="42">
        <v>0</v>
      </c>
      <c r="HS20" s="42">
        <v>0</v>
      </c>
      <c r="HT20" s="42">
        <v>0</v>
      </c>
      <c r="HU20" s="42">
        <v>0</v>
      </c>
      <c r="HV20" s="42">
        <v>2.2416666666666667</v>
      </c>
      <c r="HW20" s="42">
        <v>0.42527777777777775</v>
      </c>
      <c r="HX20" s="42">
        <v>18.001111111111111</v>
      </c>
      <c r="HY20" s="42">
        <v>24</v>
      </c>
      <c r="HZ20" s="42">
        <v>2.8002777777777776</v>
      </c>
      <c r="IA20" s="42">
        <v>0</v>
      </c>
      <c r="IB20" s="42">
        <v>0</v>
      </c>
      <c r="IC20" s="42">
        <v>0</v>
      </c>
      <c r="ID20" s="42">
        <v>0.97</v>
      </c>
      <c r="IE20" s="42">
        <v>18.25</v>
      </c>
      <c r="IF20" s="42">
        <v>0</v>
      </c>
      <c r="IG20" s="42">
        <v>0</v>
      </c>
      <c r="IH20" s="42">
        <v>0</v>
      </c>
      <c r="II20" s="42">
        <v>0</v>
      </c>
      <c r="IJ20" s="42">
        <v>19.73</v>
      </c>
      <c r="IK20" s="42">
        <v>1.8866666666666667</v>
      </c>
      <c r="IL20" s="42">
        <v>9.3747222222222231</v>
      </c>
      <c r="IM20" s="42">
        <v>1.7644444444444445</v>
      </c>
      <c r="IN20" s="42">
        <v>0</v>
      </c>
      <c r="IO20" s="42">
        <v>10.120000000000001</v>
      </c>
      <c r="IP20" s="42">
        <v>6.8219444444444441</v>
      </c>
      <c r="IQ20" s="42">
        <v>18.881388888888889</v>
      </c>
      <c r="IR20" s="42">
        <v>0</v>
      </c>
      <c r="IS20" s="42">
        <v>12.957222222222223</v>
      </c>
      <c r="IT20" s="42">
        <v>18.09944444444444</v>
      </c>
      <c r="IU20" s="42">
        <v>21.540833333333332</v>
      </c>
      <c r="IV20" s="42">
        <v>3.3966666666666669</v>
      </c>
      <c r="IW20" s="42">
        <v>0</v>
      </c>
      <c r="IX20" s="42">
        <v>3.5672222222222225</v>
      </c>
      <c r="IY20" s="42">
        <f>IFERROR(VLOOKUP($B20,[1]Sheet1!$A:$I,IY$12,0),0)</f>
        <v>0</v>
      </c>
      <c r="IZ20" s="42">
        <f>IFERROR(VLOOKUP($B20,[1]Sheet1!$A:$I,IZ$12,0),0)</f>
        <v>0</v>
      </c>
      <c r="JA20" s="42">
        <f>IFERROR(VLOOKUP($B20,[1]Sheet1!$A:$I,JA$12,0),0)</f>
        <v>0</v>
      </c>
      <c r="JB20" s="42">
        <f>IFERROR(VLOOKUP($B20,[1]Sheet1!$A:$I,JB$12,0),0)</f>
        <v>0</v>
      </c>
      <c r="JC20" s="42">
        <f>IFERROR(VLOOKUP($B20,[1]Sheet1!$A:$I,JC$12,0),0)</f>
        <v>1.0694444444444444</v>
      </c>
      <c r="JD20" s="42">
        <f>IFERROR(VLOOKUP($B20,[1]Sheet1!$A:$I,JD$12,0),0)</f>
        <v>0.19444444444444442</v>
      </c>
      <c r="JE20" s="42">
        <f>IFERROR(VLOOKUP($B20,[1]Sheet1!$A:$I,JE$12,0),0)</f>
        <v>0</v>
      </c>
      <c r="JF20" s="42">
        <f>IFERROR(VLOOKUP($B20,[1]Sheet1!$A:$I,JF$12,0),0)</f>
        <v>0</v>
      </c>
      <c r="JG20" s="42">
        <f>IFERROR(VLOOKUP($B20,[2]Sheet3!$A:$I,JG$12,0),0)</f>
        <v>2.5438888888888886</v>
      </c>
      <c r="JH20" s="42">
        <f>IFERROR(VLOOKUP($B20,[2]Sheet3!$A:$I,JH$12,0),0)</f>
        <v>6.0494444444444442</v>
      </c>
      <c r="JI20" s="42">
        <f>IFERROR(VLOOKUP($B20,[2]Sheet3!$A:$I,JI$12,0),0)</f>
        <v>0.34444444444444444</v>
      </c>
      <c r="JJ20" s="42">
        <f>IFERROR(VLOOKUP($B20,[2]Sheet3!$A:$I,JJ$12,0),0)</f>
        <v>2.9336111111111109</v>
      </c>
      <c r="JK20" s="42">
        <f>IFERROR(VLOOKUP($B20,[2]Sheet3!$A:$I,JK$12,0),0)</f>
        <v>0</v>
      </c>
      <c r="JL20" s="42">
        <f>IFERROR(VLOOKUP($B20,[2]Sheet3!$A:$I,JL$12,0),0)</f>
        <v>5.5277777777777773E-2</v>
      </c>
      <c r="JM20" s="42">
        <f>IFERROR(VLOOKUP($B20,[2]Sheet3!$A:$I,JM$12,0),0)</f>
        <v>5.483888888888889</v>
      </c>
      <c r="JN20" s="42">
        <v>15.24</v>
      </c>
      <c r="JO20" s="42">
        <v>1</v>
      </c>
      <c r="JP20" s="42">
        <v>1</v>
      </c>
      <c r="JQ20" s="42">
        <v>1</v>
      </c>
      <c r="JR20" s="42">
        <v>1</v>
      </c>
      <c r="JS20" s="42">
        <v>1</v>
      </c>
      <c r="JT20" s="42">
        <v>3.95</v>
      </c>
      <c r="JU20" s="42">
        <v>0.13</v>
      </c>
      <c r="JV20" s="42">
        <v>1</v>
      </c>
      <c r="JW20" s="209">
        <v>0</v>
      </c>
      <c r="JX20" s="209">
        <v>0</v>
      </c>
      <c r="JY20" s="209">
        <v>0</v>
      </c>
      <c r="JZ20" s="209">
        <v>0</v>
      </c>
      <c r="KA20" s="209">
        <v>0</v>
      </c>
      <c r="KB20" s="209">
        <v>0</v>
      </c>
      <c r="KC20" s="209">
        <v>0</v>
      </c>
      <c r="KD20" s="209">
        <v>0</v>
      </c>
      <c r="KE20" s="209">
        <v>0</v>
      </c>
      <c r="KF20" s="209">
        <v>0</v>
      </c>
      <c r="KG20" s="209">
        <v>0</v>
      </c>
      <c r="KH20" s="209">
        <v>0</v>
      </c>
      <c r="KI20" s="209">
        <v>0</v>
      </c>
      <c r="KJ20" s="209">
        <v>0</v>
      </c>
      <c r="KK20" s="209">
        <v>0</v>
      </c>
      <c r="KL20" s="209">
        <v>0</v>
      </c>
      <c r="KM20" s="209">
        <v>0</v>
      </c>
      <c r="KN20" s="209">
        <v>0</v>
      </c>
      <c r="KO20" s="209">
        <v>0</v>
      </c>
      <c r="KP20" s="209">
        <v>0</v>
      </c>
      <c r="KQ20" s="209">
        <v>0</v>
      </c>
      <c r="KR20" s="209">
        <v>0</v>
      </c>
      <c r="KS20" s="209">
        <v>0</v>
      </c>
      <c r="KT20" s="209">
        <v>0</v>
      </c>
      <c r="KU20" s="42"/>
      <c r="KV20" s="42"/>
      <c r="KW20" s="42"/>
      <c r="KX20" s="42"/>
      <c r="KY20" s="42"/>
      <c r="KZ20" s="42"/>
      <c r="LA20" s="42"/>
      <c r="LB20" s="42"/>
      <c r="LC20" s="42"/>
      <c r="LD20" s="42"/>
      <c r="LE20" s="42"/>
      <c r="LF20" s="42"/>
      <c r="LG20" s="42"/>
      <c r="LH20" s="42"/>
      <c r="LI20" s="42"/>
      <c r="LJ20" s="42"/>
      <c r="LK20" s="42"/>
      <c r="LL20" s="42"/>
      <c r="LM20" s="42"/>
      <c r="LN20" s="42"/>
      <c r="LO20" s="42"/>
      <c r="LP20" s="42"/>
      <c r="LQ20" s="42"/>
      <c r="LR20" s="42"/>
      <c r="LS20" s="42"/>
      <c r="LT20" s="42"/>
      <c r="LU20" s="42"/>
      <c r="LV20" s="42"/>
      <c r="LW20" s="42"/>
      <c r="LX20" s="42"/>
      <c r="LY20" s="42"/>
      <c r="LZ20" s="42"/>
      <c r="MA20" s="42"/>
      <c r="MB20" s="42"/>
      <c r="MC20" s="42"/>
      <c r="MD20" s="42"/>
      <c r="ME20" s="42"/>
      <c r="MF20" s="42"/>
      <c r="MG20" s="42"/>
      <c r="MH20" s="42"/>
      <c r="MI20" s="42"/>
      <c r="MJ20" s="42"/>
      <c r="MK20" s="42"/>
      <c r="ML20" s="42"/>
      <c r="MM20" s="42"/>
      <c r="MN20" s="42"/>
      <c r="MO20" s="42"/>
      <c r="MP20" s="42"/>
      <c r="MQ20" s="42"/>
      <c r="MR20" s="42"/>
      <c r="MS20" s="42"/>
      <c r="MT20" s="42"/>
      <c r="MU20" s="42"/>
      <c r="MV20" s="42"/>
      <c r="MW20" s="42"/>
      <c r="MX20" s="42"/>
      <c r="MY20" s="42"/>
      <c r="MZ20" s="42"/>
      <c r="NA20" s="42"/>
      <c r="NB20" s="42"/>
      <c r="NC20" s="42"/>
      <c r="ND20" s="42"/>
      <c r="NE20" s="42"/>
      <c r="NF20" s="42"/>
      <c r="NG20" s="42"/>
      <c r="NH20" s="42"/>
      <c r="NI20" s="42"/>
      <c r="NJ20" s="42"/>
      <c r="NK20" s="42"/>
      <c r="NL20" s="42"/>
      <c r="NM20" s="42"/>
      <c r="NN20" s="42"/>
      <c r="NO20" s="42"/>
      <c r="NP20" s="42"/>
      <c r="NQ20" s="42"/>
      <c r="NR20" s="42"/>
      <c r="NS20" s="42"/>
      <c r="NT20" s="42"/>
      <c r="NU20" s="42"/>
      <c r="NV20" s="42"/>
      <c r="NW20" s="42"/>
      <c r="NX20" s="42"/>
      <c r="NY20" s="42"/>
      <c r="NZ20" s="42"/>
      <c r="OA20" s="42"/>
      <c r="OB20" s="42"/>
      <c r="OC20" s="42"/>
      <c r="OD20" s="42"/>
      <c r="OE20" s="42"/>
      <c r="OF20" s="42"/>
      <c r="OG20" s="42"/>
      <c r="OH20" s="42"/>
      <c r="OI20" s="42"/>
      <c r="OJ20" s="42"/>
      <c r="OK20" s="42"/>
      <c r="OL20" s="42"/>
      <c r="OM20" s="42"/>
      <c r="ON20" s="42"/>
      <c r="OO20" s="42"/>
      <c r="OP20" s="42"/>
      <c r="OQ20" s="42"/>
      <c r="OR20" s="42"/>
      <c r="OS20" s="42"/>
      <c r="OT20" s="42"/>
      <c r="OU20" s="42"/>
      <c r="OV20" s="42"/>
      <c r="OW20" s="42"/>
      <c r="OX20" s="42"/>
      <c r="OY20" s="42"/>
      <c r="OZ20" s="42"/>
      <c r="PA20" s="42"/>
      <c r="PB20" s="42"/>
      <c r="PC20" s="42"/>
      <c r="PD20" s="42"/>
      <c r="PE20" s="42"/>
      <c r="PF20" s="42"/>
      <c r="PG20" s="42"/>
      <c r="PH20" s="42"/>
      <c r="PI20" s="42"/>
      <c r="PJ20" s="42"/>
      <c r="PK20" s="42"/>
      <c r="PL20" s="42"/>
      <c r="PM20" s="42"/>
      <c r="PN20" s="42"/>
      <c r="PO20" s="42"/>
      <c r="PP20" s="42"/>
      <c r="PQ20" s="42"/>
      <c r="PR20" s="42"/>
      <c r="PS20" s="42"/>
      <c r="PT20" s="42"/>
      <c r="PU20" s="42"/>
      <c r="PV20" s="42"/>
      <c r="PW20" s="42"/>
      <c r="PX20" s="42"/>
      <c r="PY20" s="42"/>
      <c r="PZ20" s="42"/>
      <c r="QA20" s="42"/>
      <c r="QB20" s="42"/>
      <c r="QC20" s="42"/>
      <c r="QD20" s="42"/>
      <c r="QE20" s="42"/>
      <c r="QF20" s="42"/>
      <c r="QG20" s="42"/>
      <c r="QH20" s="42"/>
      <c r="QI20" s="42"/>
      <c r="QJ20" s="42"/>
      <c r="QK20" s="42"/>
      <c r="QL20" s="42"/>
      <c r="QM20" s="42"/>
      <c r="QN20" s="42"/>
      <c r="QO20" s="42"/>
      <c r="QP20" s="42"/>
      <c r="QQ20" s="42"/>
      <c r="QR20" s="42"/>
      <c r="QS20" s="42"/>
      <c r="QT20" s="42"/>
      <c r="QU20" s="42"/>
      <c r="QV20" s="42"/>
      <c r="QW20" s="42"/>
      <c r="QX20" s="42"/>
      <c r="QY20" s="42"/>
      <c r="QZ20" s="42"/>
      <c r="RA20" s="42"/>
      <c r="RB20" s="42"/>
      <c r="RC20" s="42"/>
      <c r="RD20" s="42"/>
      <c r="RE20" s="42"/>
      <c r="RF20" s="42"/>
      <c r="RG20" s="42"/>
      <c r="RH20" s="42"/>
      <c r="RI20" s="42"/>
      <c r="RJ20" s="42"/>
      <c r="RK20" s="42"/>
      <c r="RL20" s="42"/>
      <c r="RM20" s="42"/>
      <c r="RN20" s="42"/>
      <c r="RO20" s="42"/>
      <c r="RP20" s="42"/>
      <c r="RQ20" s="42"/>
      <c r="RR20" s="42"/>
      <c r="RS20" s="42"/>
      <c r="RT20" s="42"/>
      <c r="RU20" s="42"/>
      <c r="RV20" s="42"/>
      <c r="RW20" s="42"/>
      <c r="RX20" s="42"/>
      <c r="RY20" s="42"/>
      <c r="RZ20" s="42"/>
      <c r="SA20" s="42"/>
      <c r="SB20" s="42"/>
      <c r="SC20" s="42"/>
      <c r="SD20" s="42"/>
      <c r="SE20" s="42"/>
      <c r="SF20" s="42"/>
      <c r="SG20" s="42"/>
      <c r="SH20" s="42"/>
      <c r="SI20" s="42"/>
      <c r="SJ20" s="42"/>
      <c r="SK20" s="42"/>
      <c r="SL20" s="42"/>
      <c r="SM20" s="42"/>
      <c r="SN20" s="42"/>
      <c r="SO20" s="42"/>
      <c r="SP20" s="42"/>
      <c r="SQ20" s="42"/>
      <c r="SR20" s="42"/>
      <c r="SS20" s="42"/>
      <c r="ST20" s="42"/>
      <c r="SU20" s="42"/>
      <c r="SV20" s="42"/>
      <c r="SW20" s="42"/>
    </row>
    <row r="21" spans="1:517" s="40" customFormat="1" ht="24.6" customHeight="1" x14ac:dyDescent="0.2">
      <c r="A21" s="122">
        <v>777</v>
      </c>
      <c r="B21" s="123" t="s">
        <v>85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1</v>
      </c>
      <c r="O21" s="41">
        <v>0</v>
      </c>
      <c r="P21" s="41">
        <v>10.68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22.65</v>
      </c>
      <c r="AB21" s="41">
        <v>0</v>
      </c>
      <c r="AC21" s="41">
        <v>0</v>
      </c>
      <c r="AD21" s="41">
        <v>0</v>
      </c>
      <c r="AE21" s="41">
        <v>2.5</v>
      </c>
      <c r="AF21" s="41">
        <v>0</v>
      </c>
      <c r="AG21" s="41">
        <v>0</v>
      </c>
      <c r="AH21" s="41">
        <v>0</v>
      </c>
      <c r="AI21" s="41">
        <v>1.61</v>
      </c>
      <c r="AJ21" s="41">
        <v>0</v>
      </c>
      <c r="AK21" s="41">
        <v>0</v>
      </c>
      <c r="AL21" s="41">
        <v>0</v>
      </c>
      <c r="AM21" s="41">
        <v>1</v>
      </c>
      <c r="AN21" s="41">
        <v>0</v>
      </c>
      <c r="AO21" s="41">
        <v>0</v>
      </c>
      <c r="AP21" s="41">
        <v>0</v>
      </c>
      <c r="AQ21" s="41">
        <v>2.4299999999999997</v>
      </c>
      <c r="AR21" s="41">
        <v>0</v>
      </c>
      <c r="AS21" s="41">
        <v>0</v>
      </c>
      <c r="AT21" s="41">
        <v>9.52</v>
      </c>
      <c r="AU21" s="41">
        <v>0</v>
      </c>
      <c r="AV21" s="41">
        <v>0</v>
      </c>
      <c r="AW21" s="41">
        <v>0</v>
      </c>
      <c r="AX21" s="41">
        <v>0</v>
      </c>
      <c r="AY21" s="41">
        <v>0</v>
      </c>
      <c r="AZ21" s="41">
        <v>1.2</v>
      </c>
      <c r="BA21" s="41">
        <v>0</v>
      </c>
      <c r="BB21" s="41">
        <v>0</v>
      </c>
      <c r="BC21" s="41">
        <v>0</v>
      </c>
      <c r="BD21" s="41">
        <v>0</v>
      </c>
      <c r="BE21" s="41">
        <v>0</v>
      </c>
      <c r="BF21" s="41">
        <v>16.93</v>
      </c>
      <c r="BG21" s="41">
        <v>0</v>
      </c>
      <c r="BH21" s="41">
        <v>0</v>
      </c>
      <c r="BI21" s="41">
        <v>0</v>
      </c>
      <c r="BJ21" s="41">
        <v>0</v>
      </c>
      <c r="BK21" s="41">
        <v>0</v>
      </c>
      <c r="BL21" s="41">
        <v>0</v>
      </c>
      <c r="BM21" s="41">
        <v>0</v>
      </c>
      <c r="BN21" s="41">
        <v>0.18</v>
      </c>
      <c r="BO21" s="41">
        <v>0</v>
      </c>
      <c r="BP21" s="41">
        <v>13.469999999999999</v>
      </c>
      <c r="BQ21" s="41">
        <v>0</v>
      </c>
      <c r="BR21" s="41">
        <v>9.8000000000000007</v>
      </c>
      <c r="BS21" s="41">
        <v>1.06</v>
      </c>
      <c r="BT21" s="41">
        <v>0</v>
      </c>
      <c r="BU21" s="41">
        <v>0</v>
      </c>
      <c r="BV21" s="41">
        <v>0</v>
      </c>
      <c r="BW21" s="41">
        <v>0</v>
      </c>
      <c r="BX21" s="41">
        <v>0</v>
      </c>
      <c r="BY21" s="41">
        <v>0</v>
      </c>
      <c r="BZ21" s="41">
        <v>0</v>
      </c>
      <c r="CA21" s="41">
        <v>0.27</v>
      </c>
      <c r="CB21" s="41">
        <v>0</v>
      </c>
      <c r="CC21" s="41">
        <v>11.62</v>
      </c>
      <c r="CD21" s="41">
        <v>0</v>
      </c>
      <c r="CE21" s="41">
        <v>0</v>
      </c>
      <c r="CF21" s="41">
        <v>0</v>
      </c>
      <c r="CG21" s="41">
        <v>0</v>
      </c>
      <c r="CH21" s="41">
        <v>0</v>
      </c>
      <c r="CI21" s="41">
        <v>0</v>
      </c>
      <c r="CJ21" s="41">
        <v>15.350000000000001</v>
      </c>
      <c r="CK21" s="41">
        <v>0</v>
      </c>
      <c r="CL21" s="41">
        <v>0</v>
      </c>
      <c r="CM21" s="41">
        <v>0</v>
      </c>
      <c r="CN21" s="41">
        <v>0</v>
      </c>
      <c r="CO21" s="41">
        <v>0</v>
      </c>
      <c r="CP21" s="41">
        <v>0</v>
      </c>
      <c r="CQ21" s="41">
        <v>0</v>
      </c>
      <c r="CR21" s="41">
        <v>0</v>
      </c>
      <c r="CS21" s="41">
        <v>0</v>
      </c>
      <c r="CT21" s="41">
        <v>0</v>
      </c>
      <c r="CU21" s="41">
        <v>0</v>
      </c>
      <c r="CV21" s="41">
        <v>0</v>
      </c>
      <c r="CW21" s="41">
        <v>0</v>
      </c>
      <c r="CX21" s="41">
        <v>0</v>
      </c>
      <c r="CY21" s="41">
        <v>0</v>
      </c>
      <c r="CZ21" s="41">
        <v>0</v>
      </c>
      <c r="DA21" s="41">
        <v>0.53</v>
      </c>
      <c r="DB21" s="41">
        <v>0</v>
      </c>
      <c r="DC21" s="41">
        <v>8.92</v>
      </c>
      <c r="DD21" s="41">
        <v>0</v>
      </c>
      <c r="DE21" s="41">
        <v>0</v>
      </c>
      <c r="DF21" s="41">
        <v>0</v>
      </c>
      <c r="DG21" s="41">
        <v>0</v>
      </c>
      <c r="DH21" s="41">
        <v>0</v>
      </c>
      <c r="DI21" s="41">
        <v>0</v>
      </c>
      <c r="DJ21" s="41">
        <v>0</v>
      </c>
      <c r="DK21" s="41">
        <v>0</v>
      </c>
      <c r="DL21" s="41">
        <v>1.35</v>
      </c>
      <c r="DM21" s="41">
        <v>8.0299999999999994</v>
      </c>
      <c r="DN21" s="41">
        <v>0</v>
      </c>
      <c r="DO21" s="41">
        <v>0</v>
      </c>
      <c r="DP21" s="41">
        <v>0</v>
      </c>
      <c r="DQ21" s="41">
        <v>0</v>
      </c>
      <c r="DR21" s="41">
        <v>0</v>
      </c>
      <c r="DS21" s="41">
        <v>0</v>
      </c>
      <c r="DT21" s="41">
        <v>0</v>
      </c>
      <c r="DU21" s="41">
        <v>0</v>
      </c>
      <c r="DV21" s="41">
        <v>6.95</v>
      </c>
      <c r="DW21" s="41">
        <v>1.61</v>
      </c>
      <c r="DX21" s="42">
        <v>0</v>
      </c>
      <c r="DY21" s="42">
        <v>0</v>
      </c>
      <c r="DZ21" s="42">
        <v>10.64</v>
      </c>
      <c r="EA21" s="42">
        <v>3.8800000000000003</v>
      </c>
      <c r="EB21" s="42">
        <v>0</v>
      </c>
      <c r="EC21" s="42">
        <v>12.2</v>
      </c>
      <c r="ED21" s="42">
        <v>0</v>
      </c>
      <c r="EE21" s="42">
        <v>0</v>
      </c>
      <c r="EF21" s="42">
        <v>0</v>
      </c>
      <c r="EG21" s="42">
        <v>0</v>
      </c>
      <c r="EH21" s="42">
        <v>0</v>
      </c>
      <c r="EI21" s="42">
        <v>0</v>
      </c>
      <c r="EJ21" s="42">
        <v>0</v>
      </c>
      <c r="EK21" s="42">
        <v>0</v>
      </c>
      <c r="EL21" s="42">
        <v>0</v>
      </c>
      <c r="EM21" s="42">
        <v>0</v>
      </c>
      <c r="EN21" s="42">
        <v>8.5</v>
      </c>
      <c r="EO21" s="42">
        <v>1.6</v>
      </c>
      <c r="EP21" s="42">
        <v>0</v>
      </c>
      <c r="EQ21" s="42">
        <v>5.07</v>
      </c>
      <c r="ER21" s="42">
        <v>0</v>
      </c>
      <c r="ES21" s="42">
        <v>11.83</v>
      </c>
      <c r="ET21" s="42">
        <v>8.9499999999999993</v>
      </c>
      <c r="EU21" s="42">
        <v>0</v>
      </c>
      <c r="EV21" s="42">
        <v>0</v>
      </c>
      <c r="EW21" s="42">
        <v>0</v>
      </c>
      <c r="EX21" s="42">
        <v>0</v>
      </c>
      <c r="EY21" s="42">
        <v>0</v>
      </c>
      <c r="EZ21" s="42">
        <v>0</v>
      </c>
      <c r="FA21" s="42">
        <v>0</v>
      </c>
      <c r="FB21" s="42">
        <v>0</v>
      </c>
      <c r="FC21" s="42">
        <v>0</v>
      </c>
      <c r="FD21" s="42">
        <v>7.82</v>
      </c>
      <c r="FE21" s="42">
        <v>5.8</v>
      </c>
      <c r="FF21" s="42">
        <v>0</v>
      </c>
      <c r="FG21" s="42">
        <v>1.9900000000000002</v>
      </c>
      <c r="FH21" s="42">
        <v>0</v>
      </c>
      <c r="FI21" s="42">
        <v>0</v>
      </c>
      <c r="FJ21" s="42">
        <v>0</v>
      </c>
      <c r="FK21" s="42">
        <v>0</v>
      </c>
      <c r="FL21" s="42">
        <v>0</v>
      </c>
      <c r="FM21" s="42">
        <v>14.73</v>
      </c>
      <c r="FN21" s="42">
        <v>0</v>
      </c>
      <c r="FO21" s="42">
        <v>0</v>
      </c>
      <c r="FP21" s="42">
        <v>0</v>
      </c>
      <c r="FQ21" s="42">
        <v>0.74</v>
      </c>
      <c r="FR21" s="42">
        <v>0</v>
      </c>
      <c r="FS21" s="42">
        <v>0</v>
      </c>
      <c r="FT21" s="42">
        <v>3.3</v>
      </c>
      <c r="FU21" s="42">
        <v>0</v>
      </c>
      <c r="FV21" s="42">
        <v>0</v>
      </c>
      <c r="FW21" s="42">
        <v>0</v>
      </c>
      <c r="FX21" s="42">
        <v>0</v>
      </c>
      <c r="FY21" s="42">
        <v>0</v>
      </c>
      <c r="FZ21" s="42">
        <v>0</v>
      </c>
      <c r="GA21" s="42">
        <v>40.799999999999997</v>
      </c>
      <c r="GB21" s="42">
        <v>18.3</v>
      </c>
      <c r="GC21" s="42">
        <v>0</v>
      </c>
      <c r="GD21" s="42">
        <v>0</v>
      </c>
      <c r="GE21" s="42">
        <v>0.57999999999999996</v>
      </c>
      <c r="GF21" s="42">
        <v>0</v>
      </c>
      <c r="GG21" s="42">
        <v>0</v>
      </c>
      <c r="GH21" s="42">
        <v>0</v>
      </c>
      <c r="GI21" s="42">
        <v>5.23</v>
      </c>
      <c r="GJ21" s="42">
        <v>0</v>
      </c>
      <c r="GK21" s="42">
        <v>0</v>
      </c>
      <c r="GL21" s="42">
        <v>0</v>
      </c>
      <c r="GM21" s="42">
        <v>0</v>
      </c>
      <c r="GN21" s="42">
        <v>0</v>
      </c>
      <c r="GO21" s="42">
        <v>0</v>
      </c>
      <c r="GP21" s="42">
        <v>0</v>
      </c>
      <c r="GQ21" s="42">
        <v>0.83</v>
      </c>
      <c r="GR21" s="42">
        <v>0</v>
      </c>
      <c r="GS21" s="42">
        <v>0</v>
      </c>
      <c r="GT21" s="42">
        <v>0</v>
      </c>
      <c r="GU21" s="42">
        <v>0</v>
      </c>
      <c r="GV21" s="42">
        <v>0</v>
      </c>
      <c r="GW21" s="42">
        <v>0</v>
      </c>
      <c r="GX21" s="42">
        <v>0</v>
      </c>
      <c r="GY21" s="42">
        <v>0</v>
      </c>
      <c r="GZ21" s="42">
        <v>0</v>
      </c>
      <c r="HA21" s="42">
        <v>0</v>
      </c>
      <c r="HB21" s="42">
        <v>0</v>
      </c>
      <c r="HC21" s="42">
        <v>0</v>
      </c>
      <c r="HD21" s="42">
        <v>0</v>
      </c>
      <c r="HE21" s="42">
        <v>0</v>
      </c>
      <c r="HF21" s="42">
        <v>0</v>
      </c>
      <c r="HG21" s="42">
        <v>0</v>
      </c>
      <c r="HH21" s="42">
        <v>0</v>
      </c>
      <c r="HI21" s="42">
        <v>0</v>
      </c>
      <c r="HJ21" s="42">
        <v>6.5555555555555561E-2</v>
      </c>
      <c r="HK21" s="42">
        <v>0</v>
      </c>
      <c r="HL21" s="42">
        <v>0</v>
      </c>
      <c r="HM21" s="42">
        <v>0</v>
      </c>
      <c r="HN21" s="42">
        <v>0.7697222222222222</v>
      </c>
      <c r="HO21" s="42">
        <v>0</v>
      </c>
      <c r="HP21" s="42">
        <v>0</v>
      </c>
      <c r="HQ21" s="42">
        <v>4.0333333333333332</v>
      </c>
      <c r="HR21" s="42">
        <v>0</v>
      </c>
      <c r="HS21" s="42">
        <v>7.7177777777777763</v>
      </c>
      <c r="HT21" s="42">
        <v>0</v>
      </c>
      <c r="HU21" s="42">
        <v>0</v>
      </c>
      <c r="HV21" s="42">
        <v>0</v>
      </c>
      <c r="HW21" s="42">
        <v>0</v>
      </c>
      <c r="HX21" s="42">
        <v>0</v>
      </c>
      <c r="HY21" s="42">
        <v>0</v>
      </c>
      <c r="HZ21" s="42">
        <v>0</v>
      </c>
      <c r="IA21" s="42">
        <v>0</v>
      </c>
      <c r="IB21" s="42">
        <v>0</v>
      </c>
      <c r="IC21" s="42">
        <v>0</v>
      </c>
      <c r="ID21" s="42">
        <v>0</v>
      </c>
      <c r="IE21" s="42">
        <v>3.38</v>
      </c>
      <c r="IF21" s="42">
        <v>0</v>
      </c>
      <c r="IG21" s="42">
        <v>0.42</v>
      </c>
      <c r="IH21" s="42">
        <v>0</v>
      </c>
      <c r="II21" s="42">
        <v>0</v>
      </c>
      <c r="IJ21" s="42">
        <v>0</v>
      </c>
      <c r="IK21" s="42">
        <v>0</v>
      </c>
      <c r="IL21" s="42">
        <v>12.915833333333333</v>
      </c>
      <c r="IM21" s="42">
        <v>24</v>
      </c>
      <c r="IN21" s="42">
        <v>24</v>
      </c>
      <c r="IO21" s="42">
        <v>24</v>
      </c>
      <c r="IP21" s="42">
        <v>24</v>
      </c>
      <c r="IQ21" s="42">
        <v>4.4758333333333331</v>
      </c>
      <c r="IR21" s="42">
        <v>20.983333333333334</v>
      </c>
      <c r="IS21" s="42">
        <v>24.24111111111111</v>
      </c>
      <c r="IT21" s="42">
        <v>21.794722222222223</v>
      </c>
      <c r="IU21" s="42">
        <v>6.3186111111111103</v>
      </c>
      <c r="IV21" s="42">
        <v>0</v>
      </c>
      <c r="IW21" s="42">
        <v>0.04</v>
      </c>
      <c r="IX21" s="42">
        <v>0</v>
      </c>
      <c r="IY21" s="42">
        <f>IFERROR(VLOOKUP($B21,[1]Sheet1!$A:$I,IY$12,0),0)</f>
        <v>5.2700000000000005</v>
      </c>
      <c r="IZ21" s="42">
        <f>IFERROR(VLOOKUP($B21,[1]Sheet1!$A:$I,IZ$12,0),0)</f>
        <v>0.27583333333333332</v>
      </c>
      <c r="JA21" s="42">
        <f>IFERROR(VLOOKUP($B21,[1]Sheet1!$A:$I,JA$12,0),0)</f>
        <v>0</v>
      </c>
      <c r="JB21" s="42">
        <f>IFERROR(VLOOKUP($B21,[1]Sheet1!$A:$I,JB$12,0),0)</f>
        <v>0</v>
      </c>
      <c r="JC21" s="42">
        <f>IFERROR(VLOOKUP($B21,[1]Sheet1!$A:$I,JC$12,0),0)</f>
        <v>3.5225</v>
      </c>
      <c r="JD21" s="42">
        <f>IFERROR(VLOOKUP($B21,[1]Sheet1!$A:$I,JD$12,0),0)</f>
        <v>14.914166666666667</v>
      </c>
      <c r="JE21" s="42">
        <f>IFERROR(VLOOKUP($B21,[1]Sheet1!$A:$I,JE$12,0),0)</f>
        <v>6.4116666666666662</v>
      </c>
      <c r="JF21" s="42">
        <f>IFERROR(VLOOKUP($B21,[1]Sheet1!$A:$I,JF$12,0),0)</f>
        <v>2.2466666666666666</v>
      </c>
      <c r="JG21" s="42">
        <f>IFERROR(VLOOKUP($B21,[2]Sheet3!$A:$I,JG$12,0),0)</f>
        <v>0.64250000000000007</v>
      </c>
      <c r="JH21" s="42">
        <f>IFERROR(VLOOKUP($B21,[2]Sheet3!$A:$I,JH$12,0),0)</f>
        <v>0</v>
      </c>
      <c r="JI21" s="42">
        <f>IFERROR(VLOOKUP($B21,[2]Sheet3!$A:$I,JI$12,0),0)</f>
        <v>0</v>
      </c>
      <c r="JJ21" s="42">
        <f>IFERROR(VLOOKUP($B21,[2]Sheet3!$A:$I,JJ$12,0),0)</f>
        <v>0</v>
      </c>
      <c r="JK21" s="42">
        <f>IFERROR(VLOOKUP($B21,[2]Sheet3!$A:$I,JK$12,0),0)</f>
        <v>4.293333333333333</v>
      </c>
      <c r="JL21" s="42">
        <f>IFERROR(VLOOKUP($B21,[2]Sheet3!$A:$I,JL$12,0),0)</f>
        <v>6.4938888888888888</v>
      </c>
      <c r="JM21" s="42">
        <f>IFERROR(VLOOKUP($B21,[2]Sheet3!$A:$I,JM$12,0),0)</f>
        <v>0.37083333333333335</v>
      </c>
      <c r="JN21" s="42">
        <v>1</v>
      </c>
      <c r="JO21" s="42">
        <v>1</v>
      </c>
      <c r="JP21" s="42">
        <v>5.07</v>
      </c>
      <c r="JQ21" s="42">
        <v>1</v>
      </c>
      <c r="JR21" s="42">
        <v>0.43</v>
      </c>
      <c r="JS21" s="42">
        <v>1</v>
      </c>
      <c r="JT21" s="42">
        <v>0.42</v>
      </c>
      <c r="JU21" s="42">
        <v>13</v>
      </c>
      <c r="JV21" s="42">
        <v>1</v>
      </c>
      <c r="JW21" s="209">
        <v>0</v>
      </c>
      <c r="JX21" s="209">
        <v>0</v>
      </c>
      <c r="JY21" s="209">
        <v>0</v>
      </c>
      <c r="JZ21" s="209">
        <v>0</v>
      </c>
      <c r="KA21" s="209">
        <v>0</v>
      </c>
      <c r="KB21" s="209">
        <v>0</v>
      </c>
      <c r="KC21" s="209">
        <v>0</v>
      </c>
      <c r="KD21" s="209">
        <v>0</v>
      </c>
      <c r="KE21" s="209">
        <v>0</v>
      </c>
      <c r="KF21" s="209">
        <v>0</v>
      </c>
      <c r="KG21" s="209">
        <v>0</v>
      </c>
      <c r="KH21" s="209">
        <v>0</v>
      </c>
      <c r="KI21" s="209">
        <v>0</v>
      </c>
      <c r="KJ21" s="209">
        <v>0</v>
      </c>
      <c r="KK21" s="209">
        <v>0</v>
      </c>
      <c r="KL21" s="209">
        <v>0</v>
      </c>
      <c r="KM21" s="209">
        <v>0</v>
      </c>
      <c r="KN21" s="209">
        <v>0</v>
      </c>
      <c r="KO21" s="209">
        <v>0</v>
      </c>
      <c r="KP21" s="209">
        <v>0</v>
      </c>
      <c r="KQ21" s="209">
        <v>0</v>
      </c>
      <c r="KR21" s="209">
        <v>0</v>
      </c>
      <c r="KS21" s="209">
        <v>0</v>
      </c>
      <c r="KT21" s="209">
        <v>0</v>
      </c>
      <c r="KU21" s="42"/>
      <c r="KV21" s="42"/>
      <c r="KW21" s="42"/>
      <c r="KX21" s="42"/>
      <c r="KY21" s="42"/>
      <c r="KZ21" s="42"/>
      <c r="LA21" s="42"/>
      <c r="LB21" s="42"/>
      <c r="LC21" s="42"/>
      <c r="LD21" s="42"/>
      <c r="LE21" s="42"/>
      <c r="LF21" s="42"/>
      <c r="LG21" s="42"/>
      <c r="LH21" s="42"/>
      <c r="LI21" s="42"/>
      <c r="LJ21" s="42"/>
      <c r="LK21" s="42"/>
      <c r="LL21" s="42"/>
      <c r="LM21" s="42"/>
      <c r="LN21" s="42"/>
      <c r="LO21" s="42"/>
      <c r="LP21" s="42"/>
      <c r="LQ21" s="42"/>
      <c r="LR21" s="42"/>
      <c r="LS21" s="42"/>
      <c r="LT21" s="42"/>
      <c r="LU21" s="42"/>
      <c r="LV21" s="42"/>
      <c r="LW21" s="42"/>
      <c r="LX21" s="42"/>
      <c r="LY21" s="42"/>
      <c r="LZ21" s="42"/>
      <c r="MA21" s="42"/>
      <c r="MB21" s="42"/>
      <c r="MC21" s="42"/>
      <c r="MD21" s="42"/>
      <c r="ME21" s="42"/>
      <c r="MF21" s="42"/>
      <c r="MG21" s="42"/>
      <c r="MH21" s="42"/>
      <c r="MI21" s="42"/>
      <c r="MJ21" s="42"/>
      <c r="MK21" s="42"/>
      <c r="ML21" s="42"/>
      <c r="MM21" s="42"/>
      <c r="MN21" s="42"/>
      <c r="MO21" s="42"/>
      <c r="MP21" s="42"/>
      <c r="MQ21" s="42"/>
      <c r="MR21" s="42"/>
      <c r="MS21" s="42"/>
      <c r="MT21" s="42"/>
      <c r="MU21" s="42"/>
      <c r="MV21" s="42"/>
      <c r="MW21" s="42"/>
      <c r="MX21" s="42"/>
      <c r="MY21" s="42"/>
      <c r="MZ21" s="42"/>
      <c r="NA21" s="42"/>
      <c r="NB21" s="42"/>
      <c r="NC21" s="42"/>
      <c r="ND21" s="42"/>
      <c r="NE21" s="42"/>
      <c r="NF21" s="42"/>
      <c r="NG21" s="42"/>
      <c r="NH21" s="42"/>
      <c r="NI21" s="42"/>
      <c r="NJ21" s="42"/>
      <c r="NK21" s="42"/>
      <c r="NL21" s="42"/>
      <c r="NM21" s="42"/>
      <c r="NN21" s="42"/>
      <c r="NO21" s="42"/>
      <c r="NP21" s="42"/>
      <c r="NQ21" s="42"/>
      <c r="NR21" s="42"/>
      <c r="NS21" s="42"/>
      <c r="NT21" s="42"/>
      <c r="NU21" s="42"/>
      <c r="NV21" s="42"/>
      <c r="NW21" s="42"/>
      <c r="NX21" s="42"/>
      <c r="NY21" s="42"/>
      <c r="NZ21" s="42"/>
      <c r="OA21" s="42"/>
      <c r="OB21" s="42"/>
      <c r="OC21" s="42"/>
      <c r="OD21" s="42"/>
      <c r="OE21" s="42"/>
      <c r="OF21" s="42"/>
      <c r="OG21" s="42"/>
      <c r="OH21" s="42"/>
      <c r="OI21" s="42"/>
      <c r="OJ21" s="42"/>
      <c r="OK21" s="42"/>
      <c r="OL21" s="42"/>
      <c r="OM21" s="42"/>
      <c r="ON21" s="42"/>
      <c r="OO21" s="42"/>
      <c r="OP21" s="42"/>
      <c r="OQ21" s="42"/>
      <c r="OR21" s="42"/>
      <c r="OS21" s="42"/>
      <c r="OT21" s="42"/>
      <c r="OU21" s="42"/>
      <c r="OV21" s="42"/>
      <c r="OW21" s="42"/>
      <c r="OX21" s="42"/>
      <c r="OY21" s="42"/>
      <c r="OZ21" s="42"/>
      <c r="PA21" s="42"/>
      <c r="PB21" s="42"/>
      <c r="PC21" s="42"/>
      <c r="PD21" s="42"/>
      <c r="PE21" s="42"/>
      <c r="PF21" s="42"/>
      <c r="PG21" s="42"/>
      <c r="PH21" s="42"/>
      <c r="PI21" s="42"/>
      <c r="PJ21" s="42"/>
      <c r="PK21" s="42"/>
      <c r="PL21" s="42"/>
      <c r="PM21" s="42"/>
      <c r="PN21" s="42"/>
      <c r="PO21" s="42"/>
      <c r="PP21" s="42"/>
      <c r="PQ21" s="42"/>
      <c r="PR21" s="42"/>
      <c r="PS21" s="42"/>
      <c r="PT21" s="42"/>
      <c r="PU21" s="42"/>
      <c r="PV21" s="42"/>
      <c r="PW21" s="42"/>
      <c r="PX21" s="42"/>
      <c r="PY21" s="42"/>
      <c r="PZ21" s="42"/>
      <c r="QA21" s="42"/>
      <c r="QB21" s="42"/>
      <c r="QC21" s="42"/>
      <c r="QD21" s="42"/>
      <c r="QE21" s="42"/>
      <c r="QF21" s="42"/>
      <c r="QG21" s="42"/>
      <c r="QH21" s="42"/>
      <c r="QI21" s="42"/>
      <c r="QJ21" s="42"/>
      <c r="QK21" s="42"/>
      <c r="QL21" s="42"/>
      <c r="QM21" s="42"/>
      <c r="QN21" s="42"/>
      <c r="QO21" s="42"/>
      <c r="QP21" s="42"/>
      <c r="QQ21" s="42"/>
      <c r="QR21" s="42"/>
      <c r="QS21" s="42"/>
      <c r="QT21" s="42"/>
      <c r="QU21" s="42"/>
      <c r="QV21" s="42"/>
      <c r="QW21" s="42"/>
      <c r="QX21" s="42"/>
      <c r="QY21" s="42"/>
      <c r="QZ21" s="42"/>
      <c r="RA21" s="42"/>
      <c r="RB21" s="42"/>
      <c r="RC21" s="42"/>
      <c r="RD21" s="42"/>
      <c r="RE21" s="42"/>
      <c r="RF21" s="42"/>
      <c r="RG21" s="42"/>
      <c r="RH21" s="42"/>
      <c r="RI21" s="42"/>
      <c r="RJ21" s="42"/>
      <c r="RK21" s="42"/>
      <c r="RL21" s="42"/>
      <c r="RM21" s="42"/>
      <c r="RN21" s="42"/>
      <c r="RO21" s="42"/>
      <c r="RP21" s="42"/>
      <c r="RQ21" s="42"/>
      <c r="RR21" s="42"/>
      <c r="RS21" s="42"/>
      <c r="RT21" s="42"/>
      <c r="RU21" s="42"/>
      <c r="RV21" s="42"/>
      <c r="RW21" s="42"/>
      <c r="RX21" s="42"/>
      <c r="RY21" s="42"/>
      <c r="RZ21" s="42"/>
      <c r="SA21" s="42"/>
      <c r="SB21" s="42"/>
      <c r="SC21" s="42"/>
      <c r="SD21" s="42"/>
      <c r="SE21" s="42"/>
      <c r="SF21" s="42"/>
      <c r="SG21" s="42"/>
      <c r="SH21" s="42"/>
      <c r="SI21" s="42"/>
      <c r="SJ21" s="42"/>
      <c r="SK21" s="42"/>
      <c r="SL21" s="42"/>
      <c r="SM21" s="42"/>
      <c r="SN21" s="42"/>
      <c r="SO21" s="42"/>
      <c r="SP21" s="42"/>
      <c r="SQ21" s="42"/>
      <c r="SR21" s="42"/>
      <c r="SS21" s="42"/>
      <c r="ST21" s="42"/>
      <c r="SU21" s="42"/>
      <c r="SV21" s="42"/>
      <c r="SW21" s="42"/>
    </row>
    <row r="22" spans="1:517" s="40" customFormat="1" ht="24.6" customHeight="1" x14ac:dyDescent="0.2">
      <c r="A22" s="28">
        <f>COUNTIF(A13:A21,B22)</f>
        <v>5</v>
      </c>
      <c r="B22" s="124" t="s">
        <v>86</v>
      </c>
      <c r="C22" s="125">
        <f>IF(OR(C13="",C14="",C15="",C16="",C17="",C18="",C19="",C20="",C21=""),"",SUMIF($A$13:$A$21,$B22,C$13:C$21))</f>
        <v>0</v>
      </c>
      <c r="D22" s="125">
        <f t="shared" ref="D22:BO22" si="132">IF(OR(D13="",D14="",D15="",D16="",D17="",D18="",D19="",D20="",D21=""),"",SUMIF($A$13:$A$21,$B22,D$13:D$21))</f>
        <v>0</v>
      </c>
      <c r="E22" s="125">
        <f t="shared" si="132"/>
        <v>2.4</v>
      </c>
      <c r="F22" s="125">
        <f t="shared" si="132"/>
        <v>0</v>
      </c>
      <c r="G22" s="125">
        <f t="shared" si="132"/>
        <v>0</v>
      </c>
      <c r="H22" s="125">
        <f t="shared" si="132"/>
        <v>7.22</v>
      </c>
      <c r="I22" s="125">
        <f t="shared" si="132"/>
        <v>1.4700000000000002</v>
      </c>
      <c r="J22" s="125">
        <f t="shared" si="132"/>
        <v>26.5</v>
      </c>
      <c r="K22" s="125">
        <f t="shared" si="132"/>
        <v>1.25</v>
      </c>
      <c r="L22" s="125">
        <f t="shared" si="132"/>
        <v>8.23</v>
      </c>
      <c r="M22" s="125">
        <f t="shared" si="132"/>
        <v>36.370000000000005</v>
      </c>
      <c r="N22" s="125">
        <f t="shared" si="132"/>
        <v>8.6</v>
      </c>
      <c r="O22" s="125">
        <f t="shared" si="132"/>
        <v>42.82</v>
      </c>
      <c r="P22" s="125">
        <f t="shared" si="132"/>
        <v>0</v>
      </c>
      <c r="Q22" s="125">
        <f t="shared" si="132"/>
        <v>6.4499999999999993</v>
      </c>
      <c r="R22" s="125">
        <f t="shared" si="132"/>
        <v>30.11</v>
      </c>
      <c r="S22" s="125">
        <f t="shared" si="132"/>
        <v>1.02</v>
      </c>
      <c r="T22" s="125">
        <f t="shared" si="132"/>
        <v>5.43</v>
      </c>
      <c r="U22" s="125">
        <f t="shared" si="132"/>
        <v>3.27</v>
      </c>
      <c r="V22" s="125">
        <f t="shared" si="132"/>
        <v>13.77</v>
      </c>
      <c r="W22" s="125">
        <f t="shared" si="132"/>
        <v>0.22</v>
      </c>
      <c r="X22" s="125">
        <f t="shared" si="132"/>
        <v>25.959999999999997</v>
      </c>
      <c r="Y22" s="125">
        <f t="shared" si="132"/>
        <v>55.550000000000004</v>
      </c>
      <c r="Z22" s="125">
        <f t="shared" si="132"/>
        <v>9.4</v>
      </c>
      <c r="AA22" s="125">
        <f t="shared" si="132"/>
        <v>3.55</v>
      </c>
      <c r="AB22" s="125">
        <f t="shared" si="132"/>
        <v>0</v>
      </c>
      <c r="AC22" s="125">
        <f t="shared" si="132"/>
        <v>1.1599999999999999</v>
      </c>
      <c r="AD22" s="125">
        <f t="shared" si="132"/>
        <v>42.5</v>
      </c>
      <c r="AE22" s="125">
        <f t="shared" si="132"/>
        <v>0</v>
      </c>
      <c r="AF22" s="125">
        <f t="shared" si="132"/>
        <v>15.23</v>
      </c>
      <c r="AG22" s="125">
        <f t="shared" si="132"/>
        <v>5.98</v>
      </c>
      <c r="AH22" s="125">
        <f t="shared" si="132"/>
        <v>1.97</v>
      </c>
      <c r="AI22" s="125">
        <f t="shared" si="132"/>
        <v>22.79</v>
      </c>
      <c r="AJ22" s="125">
        <f t="shared" si="132"/>
        <v>6.0200000000000005</v>
      </c>
      <c r="AK22" s="125">
        <f t="shared" si="132"/>
        <v>7.87</v>
      </c>
      <c r="AL22" s="125">
        <f t="shared" si="132"/>
        <v>6.5500000000000007</v>
      </c>
      <c r="AM22" s="125">
        <f t="shared" si="132"/>
        <v>21.959999999999997</v>
      </c>
      <c r="AN22" s="125">
        <f t="shared" si="132"/>
        <v>4.9599999999999991</v>
      </c>
      <c r="AO22" s="125">
        <f t="shared" si="132"/>
        <v>14.200000000000001</v>
      </c>
      <c r="AP22" s="125">
        <f t="shared" si="132"/>
        <v>17.689999999999998</v>
      </c>
      <c r="AQ22" s="125">
        <f t="shared" si="132"/>
        <v>18.41</v>
      </c>
      <c r="AR22" s="125">
        <f t="shared" si="132"/>
        <v>16.61</v>
      </c>
      <c r="AS22" s="125">
        <f t="shared" si="132"/>
        <v>19.150000000000002</v>
      </c>
      <c r="AT22" s="125">
        <f t="shared" si="132"/>
        <v>2.81</v>
      </c>
      <c r="AU22" s="125">
        <f t="shared" si="132"/>
        <v>20.419999999999998</v>
      </c>
      <c r="AV22" s="125">
        <f t="shared" si="132"/>
        <v>28.52</v>
      </c>
      <c r="AW22" s="125">
        <f t="shared" si="132"/>
        <v>13.65</v>
      </c>
      <c r="AX22" s="125">
        <f t="shared" si="132"/>
        <v>3.19</v>
      </c>
      <c r="AY22" s="125">
        <f t="shared" si="132"/>
        <v>34.65</v>
      </c>
      <c r="AZ22" s="125">
        <f t="shared" si="132"/>
        <v>23.89</v>
      </c>
      <c r="BA22" s="125">
        <f t="shared" si="132"/>
        <v>26.66</v>
      </c>
      <c r="BB22" s="125">
        <f t="shared" si="132"/>
        <v>2.7800000000000002</v>
      </c>
      <c r="BC22" s="125">
        <f t="shared" si="132"/>
        <v>11.66</v>
      </c>
      <c r="BD22" s="125">
        <f t="shared" si="132"/>
        <v>3.27</v>
      </c>
      <c r="BE22" s="125">
        <f t="shared" si="132"/>
        <v>4.71</v>
      </c>
      <c r="BF22" s="125">
        <f t="shared" si="132"/>
        <v>3.92</v>
      </c>
      <c r="BG22" s="125">
        <f t="shared" si="132"/>
        <v>4.83</v>
      </c>
      <c r="BH22" s="125">
        <f t="shared" si="132"/>
        <v>3.8000000000000003</v>
      </c>
      <c r="BI22" s="125">
        <f t="shared" si="132"/>
        <v>8.73</v>
      </c>
      <c r="BJ22" s="125">
        <f t="shared" si="132"/>
        <v>31.130000000000003</v>
      </c>
      <c r="BK22" s="125">
        <f t="shared" si="132"/>
        <v>28.61</v>
      </c>
      <c r="BL22" s="125">
        <f t="shared" si="132"/>
        <v>43.05</v>
      </c>
      <c r="BM22" s="125">
        <f t="shared" si="132"/>
        <v>0</v>
      </c>
      <c r="BN22" s="125">
        <f t="shared" si="132"/>
        <v>24.7</v>
      </c>
      <c r="BO22" s="125">
        <f t="shared" si="132"/>
        <v>24.509999999999998</v>
      </c>
      <c r="BP22" s="125">
        <f t="shared" ref="BP22:EA22" si="133">IF(OR(BP13="",BP14="",BP15="",BP16="",BP17="",BP18="",BP19="",BP20="",BP21=""),"",SUMIF($A$13:$A$21,$B22,BP$13:BP$21))</f>
        <v>4.0400000000000009</v>
      </c>
      <c r="BQ22" s="125">
        <f t="shared" si="133"/>
        <v>5.99</v>
      </c>
      <c r="BR22" s="125">
        <f t="shared" si="133"/>
        <v>18.830000000000002</v>
      </c>
      <c r="BS22" s="125">
        <f t="shared" si="133"/>
        <v>22.880000000000003</v>
      </c>
      <c r="BT22" s="125">
        <f t="shared" si="133"/>
        <v>6.17</v>
      </c>
      <c r="BU22" s="125">
        <f t="shared" si="133"/>
        <v>5.78</v>
      </c>
      <c r="BV22" s="125">
        <f t="shared" si="133"/>
        <v>18.009999999999998</v>
      </c>
      <c r="BW22" s="125">
        <f t="shared" si="133"/>
        <v>12.200000000000001</v>
      </c>
      <c r="BX22" s="125">
        <f t="shared" si="133"/>
        <v>2.5200000000000005</v>
      </c>
      <c r="BY22" s="125">
        <f t="shared" si="133"/>
        <v>5.1999999999999993</v>
      </c>
      <c r="BZ22" s="125">
        <f t="shared" si="133"/>
        <v>3.53</v>
      </c>
      <c r="CA22" s="125">
        <f t="shared" si="133"/>
        <v>12.879999999999999</v>
      </c>
      <c r="CB22" s="125">
        <f t="shared" si="133"/>
        <v>62.47</v>
      </c>
      <c r="CC22" s="125">
        <f t="shared" si="133"/>
        <v>49.59</v>
      </c>
      <c r="CD22" s="125">
        <f t="shared" si="133"/>
        <v>7.7900000000000009</v>
      </c>
      <c r="CE22" s="125">
        <f t="shared" si="133"/>
        <v>0</v>
      </c>
      <c r="CF22" s="125">
        <f t="shared" si="133"/>
        <v>17.66</v>
      </c>
      <c r="CG22" s="125">
        <f t="shared" si="133"/>
        <v>0.32</v>
      </c>
      <c r="CH22" s="125">
        <f t="shared" si="133"/>
        <v>4.9000000000000004</v>
      </c>
      <c r="CI22" s="125">
        <f t="shared" si="133"/>
        <v>11.65</v>
      </c>
      <c r="CJ22" s="125">
        <f t="shared" si="133"/>
        <v>10.259999999999998</v>
      </c>
      <c r="CK22" s="125">
        <f t="shared" si="133"/>
        <v>0</v>
      </c>
      <c r="CL22" s="125">
        <f t="shared" si="133"/>
        <v>2.08</v>
      </c>
      <c r="CM22" s="125">
        <f t="shared" si="133"/>
        <v>28.409999999999997</v>
      </c>
      <c r="CN22" s="125">
        <f t="shared" si="133"/>
        <v>10.75</v>
      </c>
      <c r="CO22" s="125">
        <f t="shared" si="133"/>
        <v>34.96</v>
      </c>
      <c r="CP22" s="125">
        <f t="shared" si="133"/>
        <v>10.86</v>
      </c>
      <c r="CQ22" s="125">
        <f t="shared" si="133"/>
        <v>17.72</v>
      </c>
      <c r="CR22" s="125">
        <f t="shared" si="133"/>
        <v>32.980000000000004</v>
      </c>
      <c r="CS22" s="125">
        <f t="shared" si="133"/>
        <v>31.18</v>
      </c>
      <c r="CT22" s="125">
        <f t="shared" si="133"/>
        <v>18</v>
      </c>
      <c r="CU22" s="125">
        <f t="shared" si="133"/>
        <v>10.47</v>
      </c>
      <c r="CV22" s="125">
        <f t="shared" si="133"/>
        <v>1.43</v>
      </c>
      <c r="CW22" s="125">
        <f t="shared" si="133"/>
        <v>0</v>
      </c>
      <c r="CX22" s="125">
        <f t="shared" si="133"/>
        <v>0</v>
      </c>
      <c r="CY22" s="125">
        <f t="shared" si="133"/>
        <v>16.93</v>
      </c>
      <c r="CZ22" s="125">
        <f t="shared" si="133"/>
        <v>0</v>
      </c>
      <c r="DA22" s="125">
        <f t="shared" si="133"/>
        <v>17.39</v>
      </c>
      <c r="DB22" s="125">
        <f t="shared" si="133"/>
        <v>4.3800000000000008</v>
      </c>
      <c r="DC22" s="125">
        <f t="shared" si="133"/>
        <v>0</v>
      </c>
      <c r="DD22" s="125">
        <f t="shared" si="133"/>
        <v>13.809999999999999</v>
      </c>
      <c r="DE22" s="125">
        <f t="shared" si="133"/>
        <v>11.700000000000001</v>
      </c>
      <c r="DF22" s="125">
        <f t="shared" si="133"/>
        <v>2</v>
      </c>
      <c r="DG22" s="125">
        <f t="shared" si="133"/>
        <v>15.25</v>
      </c>
      <c r="DH22" s="125">
        <f t="shared" si="133"/>
        <v>44.74</v>
      </c>
      <c r="DI22" s="125">
        <f t="shared" si="133"/>
        <v>1.84</v>
      </c>
      <c r="DJ22" s="125">
        <f t="shared" si="133"/>
        <v>6.26</v>
      </c>
      <c r="DK22" s="125">
        <f t="shared" si="133"/>
        <v>3.69</v>
      </c>
      <c r="DL22" s="125">
        <f t="shared" si="133"/>
        <v>3.62</v>
      </c>
      <c r="DM22" s="125">
        <f t="shared" si="133"/>
        <v>0</v>
      </c>
      <c r="DN22" s="125">
        <f t="shared" si="133"/>
        <v>0</v>
      </c>
      <c r="DO22" s="125">
        <f t="shared" si="133"/>
        <v>8.75</v>
      </c>
      <c r="DP22" s="125">
        <f t="shared" si="133"/>
        <v>8.1000000000000014</v>
      </c>
      <c r="DQ22" s="125">
        <f t="shared" si="133"/>
        <v>1.1299999999999999</v>
      </c>
      <c r="DR22" s="125">
        <f t="shared" si="133"/>
        <v>36.019999999999996</v>
      </c>
      <c r="DS22" s="125">
        <f t="shared" si="133"/>
        <v>16.380000000000003</v>
      </c>
      <c r="DT22" s="125">
        <f t="shared" si="133"/>
        <v>4.96</v>
      </c>
      <c r="DU22" s="125">
        <f t="shared" si="133"/>
        <v>35.950000000000003</v>
      </c>
      <c r="DV22" s="125">
        <f t="shared" si="133"/>
        <v>5.85</v>
      </c>
      <c r="DW22" s="125">
        <f t="shared" si="133"/>
        <v>1.27</v>
      </c>
      <c r="DX22" s="125">
        <f t="shared" si="133"/>
        <v>14.05</v>
      </c>
      <c r="DY22" s="125">
        <f t="shared" si="133"/>
        <v>4.59</v>
      </c>
      <c r="DZ22" s="125">
        <f t="shared" si="133"/>
        <v>19.829999999999998</v>
      </c>
      <c r="EA22" s="125">
        <f t="shared" si="133"/>
        <v>0</v>
      </c>
      <c r="EB22" s="125">
        <f t="shared" ref="EB22:GM22" si="134">IF(OR(EB13="",EB14="",EB15="",EB16="",EB17="",EB18="",EB19="",EB20="",EB21=""),"",SUMIF($A$13:$A$21,$B22,EB$13:EB$21))</f>
        <v>7.99</v>
      </c>
      <c r="EC22" s="125">
        <f t="shared" si="134"/>
        <v>42.64</v>
      </c>
      <c r="ED22" s="125">
        <f t="shared" si="134"/>
        <v>14.1</v>
      </c>
      <c r="EE22" s="125">
        <f t="shared" si="134"/>
        <v>47.22999999999999</v>
      </c>
      <c r="EF22" s="125">
        <f>IFERROR(VLOOKUP($B22,[3]ss!$A:$N,EF$12,0),0)</f>
        <v>0</v>
      </c>
      <c r="EG22" s="125">
        <f t="shared" si="134"/>
        <v>39.92</v>
      </c>
      <c r="EH22" s="125">
        <f t="shared" si="134"/>
        <v>0.37</v>
      </c>
      <c r="EI22" s="125">
        <f t="shared" si="134"/>
        <v>28.880000000000003</v>
      </c>
      <c r="EJ22" s="125">
        <f t="shared" si="134"/>
        <v>13.46</v>
      </c>
      <c r="EK22" s="125">
        <f t="shared" si="134"/>
        <v>7.8999999999999995</v>
      </c>
      <c r="EL22" s="125">
        <f t="shared" si="134"/>
        <v>25.15</v>
      </c>
      <c r="EM22" s="125">
        <f t="shared" si="134"/>
        <v>10.57</v>
      </c>
      <c r="EN22" s="125">
        <f t="shared" si="134"/>
        <v>2.1</v>
      </c>
      <c r="EO22" s="125">
        <f t="shared" si="134"/>
        <v>27.93</v>
      </c>
      <c r="EP22" s="125">
        <f t="shared" si="134"/>
        <v>34.869999999999997</v>
      </c>
      <c r="EQ22" s="125">
        <f t="shared" si="134"/>
        <v>3.3800000000000003</v>
      </c>
      <c r="ER22" s="125">
        <f t="shared" si="134"/>
        <v>9.4</v>
      </c>
      <c r="ES22" s="125">
        <f t="shared" si="134"/>
        <v>7.75</v>
      </c>
      <c r="ET22" s="125">
        <f t="shared" si="134"/>
        <v>6.53</v>
      </c>
      <c r="EU22" s="125">
        <f t="shared" si="134"/>
        <v>0</v>
      </c>
      <c r="EV22" s="125">
        <f t="shared" si="134"/>
        <v>0</v>
      </c>
      <c r="EW22" s="125">
        <v>0</v>
      </c>
      <c r="EX22" s="125">
        <f t="shared" si="134"/>
        <v>0</v>
      </c>
      <c r="EY22" s="125">
        <f t="shared" si="134"/>
        <v>0</v>
      </c>
      <c r="EZ22" s="125">
        <f t="shared" si="134"/>
        <v>0</v>
      </c>
      <c r="FA22" s="125">
        <f t="shared" si="134"/>
        <v>0</v>
      </c>
      <c r="FB22" s="125">
        <f t="shared" si="134"/>
        <v>0</v>
      </c>
      <c r="FC22" s="125">
        <f t="shared" si="134"/>
        <v>0</v>
      </c>
      <c r="FD22" s="125">
        <f t="shared" si="134"/>
        <v>4.5500000000000007</v>
      </c>
      <c r="FE22" s="125">
        <f t="shared" si="134"/>
        <v>27.130000000000003</v>
      </c>
      <c r="FF22" s="125">
        <f t="shared" si="134"/>
        <v>11.489999999999998</v>
      </c>
      <c r="FG22" s="125">
        <f t="shared" si="134"/>
        <v>24.630000000000003</v>
      </c>
      <c r="FH22" s="125">
        <f t="shared" si="134"/>
        <v>11.55</v>
      </c>
      <c r="FI22" s="125">
        <f t="shared" si="134"/>
        <v>22.72</v>
      </c>
      <c r="FJ22" s="125">
        <f t="shared" si="134"/>
        <v>6.98</v>
      </c>
      <c r="FK22" s="125">
        <f t="shared" si="134"/>
        <v>22.830000000000005</v>
      </c>
      <c r="FL22" s="125">
        <f t="shared" si="134"/>
        <v>3.2</v>
      </c>
      <c r="FM22" s="125">
        <f t="shared" si="134"/>
        <v>5.12</v>
      </c>
      <c r="FN22" s="125">
        <f t="shared" si="134"/>
        <v>0</v>
      </c>
      <c r="FO22" s="125">
        <f t="shared" si="134"/>
        <v>31.66</v>
      </c>
      <c r="FP22" s="125">
        <f t="shared" si="134"/>
        <v>64.44</v>
      </c>
      <c r="FQ22" s="125">
        <f t="shared" si="134"/>
        <v>9.23</v>
      </c>
      <c r="FR22" s="125">
        <f t="shared" si="134"/>
        <v>154.02000000000001</v>
      </c>
      <c r="FS22" s="125">
        <f t="shared" si="134"/>
        <v>14.47</v>
      </c>
      <c r="FT22" s="125">
        <f t="shared" si="134"/>
        <v>26.78</v>
      </c>
      <c r="FU22" s="125">
        <f t="shared" si="134"/>
        <v>21.82</v>
      </c>
      <c r="FV22" s="125">
        <f t="shared" si="134"/>
        <v>21.11</v>
      </c>
      <c r="FW22" s="125">
        <f t="shared" si="134"/>
        <v>20.21</v>
      </c>
      <c r="FX22" s="125">
        <f t="shared" si="134"/>
        <v>18.509999999999998</v>
      </c>
      <c r="FY22" s="125">
        <f t="shared" si="134"/>
        <v>277.35999999999996</v>
      </c>
      <c r="FZ22" s="125">
        <f t="shared" si="134"/>
        <v>11.52</v>
      </c>
      <c r="GA22" s="125">
        <f>IF(OR(GA13="",GA14="",GA15="",GA16="",GA17="",GA18="",GA19="",GA20="",GA21=""),"",SUMIF($A$13:$A$21,$B22,GA$13:GA$21))</f>
        <v>1.3</v>
      </c>
      <c r="GB22" s="125">
        <f>IF(OR(GB13="",GB14="",GB15="",GB16="",GB17="",GB18="",GB19="",GB20="",GB21=""),"",SUMIF($A$13:$A$21,$B22,GB$13:GB$21))</f>
        <v>64.149999999999991</v>
      </c>
      <c r="GC22" s="125">
        <f t="shared" si="134"/>
        <v>14.87</v>
      </c>
      <c r="GD22" s="125">
        <f t="shared" si="134"/>
        <v>24.25</v>
      </c>
      <c r="GE22" s="125">
        <f t="shared" si="134"/>
        <v>35.599999999999994</v>
      </c>
      <c r="GF22" s="125">
        <f t="shared" si="134"/>
        <v>9.65</v>
      </c>
      <c r="GG22" s="125">
        <f t="shared" si="134"/>
        <v>91.2</v>
      </c>
      <c r="GH22" s="125">
        <f t="shared" si="134"/>
        <v>23.5</v>
      </c>
      <c r="GI22" s="125">
        <f t="shared" si="134"/>
        <v>6.42</v>
      </c>
      <c r="GJ22" s="125">
        <f t="shared" si="134"/>
        <v>6.39</v>
      </c>
      <c r="GK22" s="125">
        <f t="shared" si="134"/>
        <v>0</v>
      </c>
      <c r="GL22" s="125">
        <f t="shared" si="134"/>
        <v>190.88</v>
      </c>
      <c r="GM22" s="125">
        <f t="shared" si="134"/>
        <v>12.91</v>
      </c>
      <c r="GN22" s="125">
        <f t="shared" ref="GN22:IY22" si="135">IF(OR(GN13="",GN14="",GN15="",GN16="",GN17="",GN18="",GN19="",GN20="",GN21=""),"",SUMIF($A$13:$A$21,$B22,GN$13:GN$21))</f>
        <v>0</v>
      </c>
      <c r="GO22" s="125">
        <f t="shared" si="135"/>
        <v>0</v>
      </c>
      <c r="GP22" s="125">
        <f t="shared" si="135"/>
        <v>0</v>
      </c>
      <c r="GQ22" s="125">
        <f t="shared" si="135"/>
        <v>0</v>
      </c>
      <c r="GR22" s="125">
        <f t="shared" si="135"/>
        <v>47.92</v>
      </c>
      <c r="GS22" s="125">
        <f t="shared" si="135"/>
        <v>0</v>
      </c>
      <c r="GT22" s="125">
        <f t="shared" si="135"/>
        <v>11.580000000000002</v>
      </c>
      <c r="GU22" s="125">
        <f t="shared" si="135"/>
        <v>47.82</v>
      </c>
      <c r="GV22" s="125">
        <f t="shared" si="135"/>
        <v>0</v>
      </c>
      <c r="GW22" s="125">
        <f t="shared" si="135"/>
        <v>43.58</v>
      </c>
      <c r="GX22" s="125">
        <f t="shared" si="135"/>
        <v>0</v>
      </c>
      <c r="GY22" s="125">
        <f t="shared" si="135"/>
        <v>0</v>
      </c>
      <c r="GZ22" s="125">
        <f t="shared" si="135"/>
        <v>0</v>
      </c>
      <c r="HA22" s="125">
        <f t="shared" si="135"/>
        <v>0</v>
      </c>
      <c r="HB22" s="125">
        <f t="shared" si="135"/>
        <v>2.6700000000000004</v>
      </c>
      <c r="HC22" s="125">
        <f t="shared" si="135"/>
        <v>19.95</v>
      </c>
      <c r="HD22" s="125">
        <f t="shared" si="135"/>
        <v>17.68</v>
      </c>
      <c r="HE22" s="125">
        <f t="shared" si="135"/>
        <v>0</v>
      </c>
      <c r="HF22" s="125">
        <f t="shared" si="135"/>
        <v>15.3</v>
      </c>
      <c r="HG22" s="125">
        <f t="shared" si="135"/>
        <v>17.156111111111112</v>
      </c>
      <c r="HH22" s="125">
        <f t="shared" si="135"/>
        <v>5.4988888888888887</v>
      </c>
      <c r="HI22" s="125">
        <f t="shared" si="135"/>
        <v>27.503888888888888</v>
      </c>
      <c r="HJ22" s="125">
        <f t="shared" si="135"/>
        <v>8.1516666666666655</v>
      </c>
      <c r="HK22" s="125">
        <f t="shared" si="135"/>
        <v>20.571111111111112</v>
      </c>
      <c r="HL22" s="125">
        <f t="shared" si="135"/>
        <v>20.851944444444442</v>
      </c>
      <c r="HM22" s="125">
        <f t="shared" si="135"/>
        <v>27.171388888888892</v>
      </c>
      <c r="HN22" s="125">
        <f t="shared" si="135"/>
        <v>15.131388888888889</v>
      </c>
      <c r="HO22" s="125">
        <f t="shared" si="135"/>
        <v>0.36444444444444446</v>
      </c>
      <c r="HP22" s="125">
        <f t="shared" si="135"/>
        <v>35.502222222222215</v>
      </c>
      <c r="HQ22" s="125">
        <f t="shared" si="135"/>
        <v>1.8311111111111109</v>
      </c>
      <c r="HR22" s="125">
        <f t="shared" si="135"/>
        <v>22.66138888888889</v>
      </c>
      <c r="HS22" s="125">
        <f t="shared" si="135"/>
        <v>16.351666666666667</v>
      </c>
      <c r="HT22" s="125">
        <f t="shared" si="135"/>
        <v>8.0747222222222224</v>
      </c>
      <c r="HU22" s="125">
        <f t="shared" si="135"/>
        <v>11.812222222222221</v>
      </c>
      <c r="HV22" s="125">
        <f t="shared" si="135"/>
        <v>2.3802777777777777</v>
      </c>
      <c r="HW22" s="125">
        <f t="shared" si="135"/>
        <v>11.734722222222222</v>
      </c>
      <c r="HX22" s="125">
        <f t="shared" si="135"/>
        <v>19.967500000000001</v>
      </c>
      <c r="HY22" s="125">
        <f t="shared" si="135"/>
        <v>14.861666666666666</v>
      </c>
      <c r="HZ22" s="125">
        <f t="shared" si="135"/>
        <v>56.206666666666671</v>
      </c>
      <c r="IA22" s="125">
        <f t="shared" si="135"/>
        <v>8.94</v>
      </c>
      <c r="IB22" s="125">
        <f t="shared" si="135"/>
        <v>6.2636111111111106</v>
      </c>
      <c r="IC22" s="125">
        <f t="shared" si="135"/>
        <v>22.64</v>
      </c>
      <c r="ID22" s="125">
        <f t="shared" si="135"/>
        <v>5.12</v>
      </c>
      <c r="IE22" s="125">
        <f t="shared" si="135"/>
        <v>12.52</v>
      </c>
      <c r="IF22" s="125">
        <f t="shared" si="135"/>
        <v>9.8699999999999992</v>
      </c>
      <c r="IG22" s="125">
        <f t="shared" si="135"/>
        <v>6.83</v>
      </c>
      <c r="IH22" s="125">
        <f t="shared" si="135"/>
        <v>90.3</v>
      </c>
      <c r="II22" s="125">
        <f t="shared" si="135"/>
        <v>0</v>
      </c>
      <c r="IJ22" s="125">
        <f t="shared" si="135"/>
        <v>71.289999999999992</v>
      </c>
      <c r="IK22" s="125">
        <f t="shared" si="135"/>
        <v>14.247499999999999</v>
      </c>
      <c r="IL22" s="125">
        <f t="shared" si="135"/>
        <v>9.1177777777777784</v>
      </c>
      <c r="IM22" s="125">
        <f t="shared" si="135"/>
        <v>11.121111111111111</v>
      </c>
      <c r="IN22" s="125">
        <f t="shared" si="135"/>
        <v>30.197500000000005</v>
      </c>
      <c r="IO22" s="125">
        <f t="shared" si="135"/>
        <v>16.413333333333334</v>
      </c>
      <c r="IP22" s="125">
        <f t="shared" si="135"/>
        <v>10.695833333333335</v>
      </c>
      <c r="IQ22" s="125">
        <f t="shared" si="135"/>
        <v>10.790833333333332</v>
      </c>
      <c r="IR22" s="125">
        <f t="shared" si="135"/>
        <v>12.493888888888888</v>
      </c>
      <c r="IS22" s="125">
        <f t="shared" si="135"/>
        <v>5.6561111111111115</v>
      </c>
      <c r="IT22" s="125">
        <f t="shared" si="135"/>
        <v>19.892499999999998</v>
      </c>
      <c r="IU22" s="125">
        <f t="shared" si="135"/>
        <v>42.024444444444448</v>
      </c>
      <c r="IV22" s="125">
        <f t="shared" si="135"/>
        <v>33.423055555555557</v>
      </c>
      <c r="IW22" s="125">
        <f t="shared" si="135"/>
        <v>34.19083333333333</v>
      </c>
      <c r="IX22" s="125">
        <f t="shared" si="135"/>
        <v>54.398333333333333</v>
      </c>
      <c r="IY22" s="125">
        <f t="shared" si="135"/>
        <v>42.852499999999999</v>
      </c>
      <c r="IZ22" s="125">
        <f t="shared" ref="IZ22:JV22" si="136">IF(OR(IZ13="",IZ14="",IZ15="",IZ16="",IZ17="",IZ18="",IZ19="",IZ20="",IZ21=""),"",SUMIF($A$13:$A$21,$B22,IZ$13:IZ$21))</f>
        <v>17.712499999999999</v>
      </c>
      <c r="JA22" s="125">
        <f t="shared" si="136"/>
        <v>19.052777777777777</v>
      </c>
      <c r="JB22" s="125">
        <f t="shared" si="136"/>
        <v>1.2094444444444443</v>
      </c>
      <c r="JC22" s="125">
        <f t="shared" si="136"/>
        <v>0.97388888888888903</v>
      </c>
      <c r="JD22" s="125">
        <f t="shared" si="136"/>
        <v>9.7708333333333339</v>
      </c>
      <c r="JE22" s="125">
        <f t="shared" si="136"/>
        <v>2.4797222222222222</v>
      </c>
      <c r="JF22" s="125">
        <f t="shared" si="136"/>
        <v>0</v>
      </c>
      <c r="JG22" s="125">
        <f t="shared" si="136"/>
        <v>0</v>
      </c>
      <c r="JH22" s="125">
        <f t="shared" si="136"/>
        <v>9.9177777777777774</v>
      </c>
      <c r="JI22" s="125">
        <f t="shared" si="136"/>
        <v>26.932499999999997</v>
      </c>
      <c r="JJ22" s="125">
        <f t="shared" si="136"/>
        <v>29.232777777777777</v>
      </c>
      <c r="JK22" s="125">
        <f t="shared" si="136"/>
        <v>9.3411111111111111</v>
      </c>
      <c r="JL22" s="125">
        <f t="shared" si="136"/>
        <v>6.3297222222222231</v>
      </c>
      <c r="JM22" s="125">
        <f t="shared" si="136"/>
        <v>7.42</v>
      </c>
      <c r="JN22" s="125">
        <f t="shared" si="136"/>
        <v>18.715</v>
      </c>
      <c r="JO22" s="125">
        <f t="shared" si="136"/>
        <v>5</v>
      </c>
      <c r="JP22" s="125">
        <f t="shared" si="136"/>
        <v>14.452500000000001</v>
      </c>
      <c r="JQ22" s="125">
        <f t="shared" si="136"/>
        <v>13.18</v>
      </c>
      <c r="JR22" s="125">
        <f t="shared" si="136"/>
        <v>63.740833333333335</v>
      </c>
      <c r="JS22" s="125">
        <f t="shared" si="136"/>
        <v>8.3552777777777774</v>
      </c>
      <c r="JT22" s="125">
        <f t="shared" si="136"/>
        <v>2.2799999999999998</v>
      </c>
      <c r="JU22" s="125">
        <f t="shared" si="136"/>
        <v>4.46</v>
      </c>
      <c r="JV22" s="125">
        <f t="shared" si="136"/>
        <v>2.2999999999999998</v>
      </c>
      <c r="JW22" s="125">
        <f>IF(OR(JW13="",JW14="",JW15="",JW16="",JW17="",JW18="",JW19="",JW20="",JW21=""),"",SUMIF($A$13:$A$21,$B22,JW$13:JW$21))</f>
        <v>0</v>
      </c>
      <c r="JX22" s="125">
        <f t="shared" ref="JX22:MI22" si="137">IF(OR(JX13="",JX14="",JX15="",JX16="",JX17="",JX18="",JX19="",JX20="",JX21=""),"",SUMIF($A$13:$A$21,$B22,JX$13:JX$21))</f>
        <v>4</v>
      </c>
      <c r="JY22" s="125">
        <f t="shared" si="137"/>
        <v>24</v>
      </c>
      <c r="JZ22" s="125">
        <f t="shared" si="137"/>
        <v>24</v>
      </c>
      <c r="KA22" s="125">
        <f t="shared" si="137"/>
        <v>0</v>
      </c>
      <c r="KB22" s="125">
        <f t="shared" si="137"/>
        <v>0</v>
      </c>
      <c r="KC22" s="125">
        <f t="shared" si="137"/>
        <v>24</v>
      </c>
      <c r="KD22" s="125">
        <f t="shared" si="137"/>
        <v>6</v>
      </c>
      <c r="KE22" s="125">
        <f t="shared" si="137"/>
        <v>0</v>
      </c>
      <c r="KF22" s="125">
        <f t="shared" si="137"/>
        <v>0</v>
      </c>
      <c r="KG22" s="125">
        <f t="shared" si="137"/>
        <v>0</v>
      </c>
      <c r="KH22" s="125">
        <f t="shared" si="137"/>
        <v>36</v>
      </c>
      <c r="KI22" s="125">
        <f t="shared" si="137"/>
        <v>0</v>
      </c>
      <c r="KJ22" s="125">
        <f t="shared" si="137"/>
        <v>6</v>
      </c>
      <c r="KK22" s="125">
        <f t="shared" si="137"/>
        <v>0</v>
      </c>
      <c r="KL22" s="125">
        <f t="shared" si="137"/>
        <v>0</v>
      </c>
      <c r="KM22" s="125">
        <f t="shared" si="137"/>
        <v>0</v>
      </c>
      <c r="KN22" s="125">
        <f t="shared" si="137"/>
        <v>0</v>
      </c>
      <c r="KO22" s="125">
        <f t="shared" si="137"/>
        <v>0</v>
      </c>
      <c r="KP22" s="125">
        <f t="shared" si="137"/>
        <v>0</v>
      </c>
      <c r="KQ22" s="125">
        <f t="shared" si="137"/>
        <v>0</v>
      </c>
      <c r="KR22" s="125">
        <f t="shared" si="137"/>
        <v>0</v>
      </c>
      <c r="KS22" s="125">
        <f t="shared" si="137"/>
        <v>0</v>
      </c>
      <c r="KT22" s="125">
        <f t="shared" si="137"/>
        <v>0</v>
      </c>
      <c r="KU22" s="125" t="str">
        <f t="shared" si="137"/>
        <v/>
      </c>
      <c r="KV22" s="125" t="str">
        <f t="shared" si="137"/>
        <v/>
      </c>
      <c r="KW22" s="125" t="str">
        <f t="shared" si="137"/>
        <v/>
      </c>
      <c r="KX22" s="125" t="str">
        <f t="shared" si="137"/>
        <v/>
      </c>
      <c r="KY22" s="125" t="str">
        <f t="shared" si="137"/>
        <v/>
      </c>
      <c r="KZ22" s="125" t="str">
        <f t="shared" si="137"/>
        <v/>
      </c>
      <c r="LA22" s="125" t="str">
        <f t="shared" si="137"/>
        <v/>
      </c>
      <c r="LB22" s="125" t="str">
        <f t="shared" si="137"/>
        <v/>
      </c>
      <c r="LC22" s="125" t="str">
        <f t="shared" si="137"/>
        <v/>
      </c>
      <c r="LD22" s="125" t="str">
        <f t="shared" si="137"/>
        <v/>
      </c>
      <c r="LE22" s="125" t="str">
        <f t="shared" si="137"/>
        <v/>
      </c>
      <c r="LF22" s="125" t="str">
        <f t="shared" si="137"/>
        <v/>
      </c>
      <c r="LG22" s="125" t="str">
        <f t="shared" si="137"/>
        <v/>
      </c>
      <c r="LH22" s="125" t="str">
        <f t="shared" si="137"/>
        <v/>
      </c>
      <c r="LI22" s="125" t="str">
        <f t="shared" si="137"/>
        <v/>
      </c>
      <c r="LJ22" s="125" t="str">
        <f t="shared" si="137"/>
        <v/>
      </c>
      <c r="LK22" s="125" t="str">
        <f t="shared" si="137"/>
        <v/>
      </c>
      <c r="LL22" s="125" t="str">
        <f t="shared" si="137"/>
        <v/>
      </c>
      <c r="LM22" s="125" t="str">
        <f t="shared" si="137"/>
        <v/>
      </c>
      <c r="LN22" s="125" t="str">
        <f t="shared" si="137"/>
        <v/>
      </c>
      <c r="LO22" s="125" t="str">
        <f t="shared" si="137"/>
        <v/>
      </c>
      <c r="LP22" s="125" t="str">
        <f t="shared" si="137"/>
        <v/>
      </c>
      <c r="LQ22" s="125" t="str">
        <f t="shared" si="137"/>
        <v/>
      </c>
      <c r="LR22" s="125" t="str">
        <f t="shared" si="137"/>
        <v/>
      </c>
      <c r="LS22" s="125" t="str">
        <f t="shared" si="137"/>
        <v/>
      </c>
      <c r="LT22" s="125" t="str">
        <f t="shared" si="137"/>
        <v/>
      </c>
      <c r="LU22" s="125" t="str">
        <f t="shared" si="137"/>
        <v/>
      </c>
      <c r="LV22" s="125" t="str">
        <f t="shared" si="137"/>
        <v/>
      </c>
      <c r="LW22" s="125" t="str">
        <f t="shared" si="137"/>
        <v/>
      </c>
      <c r="LX22" s="125" t="str">
        <f t="shared" si="137"/>
        <v/>
      </c>
      <c r="LY22" s="125" t="str">
        <f t="shared" si="137"/>
        <v/>
      </c>
      <c r="LZ22" s="125" t="str">
        <f t="shared" si="137"/>
        <v/>
      </c>
      <c r="MA22" s="125" t="str">
        <f t="shared" si="137"/>
        <v/>
      </c>
      <c r="MB22" s="125" t="str">
        <f t="shared" si="137"/>
        <v/>
      </c>
      <c r="MC22" s="125" t="str">
        <f t="shared" si="137"/>
        <v/>
      </c>
      <c r="MD22" s="125" t="str">
        <f t="shared" si="137"/>
        <v/>
      </c>
      <c r="ME22" s="125" t="str">
        <f t="shared" si="137"/>
        <v/>
      </c>
      <c r="MF22" s="125" t="str">
        <f t="shared" si="137"/>
        <v/>
      </c>
      <c r="MG22" s="125" t="str">
        <f t="shared" si="137"/>
        <v/>
      </c>
      <c r="MH22" s="125" t="str">
        <f t="shared" si="137"/>
        <v/>
      </c>
      <c r="MI22" s="125" t="str">
        <f t="shared" si="137"/>
        <v/>
      </c>
      <c r="MJ22" s="125" t="str">
        <f t="shared" ref="MJ22:NC22" si="138">IF(OR(MJ13="",MJ14="",MJ15="",MJ16="",MJ17="",MJ18="",MJ19="",MJ20="",MJ21=""),"",SUMIF($A$13:$A$21,$B22,MJ$13:MJ$21))</f>
        <v/>
      </c>
      <c r="MK22" s="125" t="str">
        <f t="shared" si="138"/>
        <v/>
      </c>
      <c r="ML22" s="125" t="str">
        <f t="shared" si="138"/>
        <v/>
      </c>
      <c r="MM22" s="125" t="str">
        <f t="shared" si="138"/>
        <v/>
      </c>
      <c r="MN22" s="125" t="str">
        <f t="shared" si="138"/>
        <v/>
      </c>
      <c r="MO22" s="125" t="str">
        <f t="shared" si="138"/>
        <v/>
      </c>
      <c r="MP22" s="125" t="str">
        <f t="shared" si="138"/>
        <v/>
      </c>
      <c r="MQ22" s="125" t="str">
        <f t="shared" si="138"/>
        <v/>
      </c>
      <c r="MR22" s="125" t="str">
        <f t="shared" si="138"/>
        <v/>
      </c>
      <c r="MS22" s="125" t="str">
        <f t="shared" si="138"/>
        <v/>
      </c>
      <c r="MT22" s="125" t="str">
        <f t="shared" si="138"/>
        <v/>
      </c>
      <c r="MU22" s="125" t="str">
        <f t="shared" si="138"/>
        <v/>
      </c>
      <c r="MV22" s="125" t="str">
        <f t="shared" si="138"/>
        <v/>
      </c>
      <c r="MW22" s="125" t="str">
        <f t="shared" si="138"/>
        <v/>
      </c>
      <c r="MX22" s="125" t="str">
        <f t="shared" si="138"/>
        <v/>
      </c>
      <c r="MY22" s="125" t="str">
        <f t="shared" si="138"/>
        <v/>
      </c>
      <c r="MZ22" s="125" t="str">
        <f t="shared" si="138"/>
        <v/>
      </c>
      <c r="NA22" s="125" t="str">
        <f t="shared" si="138"/>
        <v/>
      </c>
      <c r="NB22" s="125" t="str">
        <f t="shared" si="138"/>
        <v/>
      </c>
      <c r="NC22" s="125" t="str">
        <f t="shared" si="138"/>
        <v/>
      </c>
      <c r="ND22" s="125" t="str">
        <f t="shared" ref="ND22:NW22" si="139">IF(OR(ND13="",ND14="",ND15="",ND16="",ND17="",ND18="",ND19="",ND20="",ND21=""),"",SUMIF($A$13:$A$21,$B22,ND$13:ND$21))</f>
        <v/>
      </c>
      <c r="NE22" s="125" t="str">
        <f t="shared" si="139"/>
        <v/>
      </c>
      <c r="NF22" s="125" t="str">
        <f t="shared" si="139"/>
        <v/>
      </c>
      <c r="NG22" s="125" t="str">
        <f t="shared" si="139"/>
        <v/>
      </c>
      <c r="NH22" s="125" t="str">
        <f t="shared" si="139"/>
        <v/>
      </c>
      <c r="NI22" s="125" t="str">
        <f t="shared" si="139"/>
        <v/>
      </c>
      <c r="NJ22" s="125" t="str">
        <f t="shared" si="139"/>
        <v/>
      </c>
      <c r="NK22" s="125" t="str">
        <f t="shared" si="139"/>
        <v/>
      </c>
      <c r="NL22" s="125" t="str">
        <f t="shared" si="139"/>
        <v/>
      </c>
      <c r="NM22" s="125" t="str">
        <f t="shared" si="139"/>
        <v/>
      </c>
      <c r="NN22" s="125" t="str">
        <f t="shared" si="139"/>
        <v/>
      </c>
      <c r="NO22" s="125" t="str">
        <f t="shared" si="139"/>
        <v/>
      </c>
      <c r="NP22" s="125" t="str">
        <f t="shared" si="139"/>
        <v/>
      </c>
      <c r="NQ22" s="125" t="str">
        <f t="shared" si="139"/>
        <v/>
      </c>
      <c r="NR22" s="125" t="str">
        <f t="shared" si="139"/>
        <v/>
      </c>
      <c r="NS22" s="125" t="str">
        <f t="shared" si="139"/>
        <v/>
      </c>
      <c r="NT22" s="125" t="str">
        <f t="shared" si="139"/>
        <v/>
      </c>
      <c r="NU22" s="125" t="str">
        <f t="shared" si="139"/>
        <v/>
      </c>
      <c r="NV22" s="125" t="str">
        <f t="shared" si="139"/>
        <v/>
      </c>
      <c r="NW22" s="125" t="str">
        <f t="shared" si="139"/>
        <v/>
      </c>
      <c r="NX22" s="125" t="str">
        <f t="shared" ref="NX22:QI22" si="140">IF(OR(NX13="",NX14="",NX15="",NX16="",NX17="",NX18="",NX19="",NX20="",NX21=""),"",SUMIF($A$13:$A$21,$B22,NX$13:NX$21))</f>
        <v/>
      </c>
      <c r="NY22" s="125" t="str">
        <f t="shared" si="140"/>
        <v/>
      </c>
      <c r="NZ22" s="125" t="str">
        <f t="shared" si="140"/>
        <v/>
      </c>
      <c r="OA22" s="125" t="str">
        <f t="shared" si="140"/>
        <v/>
      </c>
      <c r="OB22" s="125" t="str">
        <f t="shared" si="140"/>
        <v/>
      </c>
      <c r="OC22" s="125" t="str">
        <f t="shared" si="140"/>
        <v/>
      </c>
      <c r="OD22" s="125" t="str">
        <f t="shared" si="140"/>
        <v/>
      </c>
      <c r="OE22" s="125" t="str">
        <f t="shared" si="140"/>
        <v/>
      </c>
      <c r="OF22" s="125" t="str">
        <f t="shared" si="140"/>
        <v/>
      </c>
      <c r="OG22" s="125" t="str">
        <f t="shared" si="140"/>
        <v/>
      </c>
      <c r="OH22" s="125" t="str">
        <f t="shared" si="140"/>
        <v/>
      </c>
      <c r="OI22" s="125" t="str">
        <f t="shared" si="140"/>
        <v/>
      </c>
      <c r="OJ22" s="125" t="str">
        <f t="shared" si="140"/>
        <v/>
      </c>
      <c r="OK22" s="125" t="str">
        <f t="shared" si="140"/>
        <v/>
      </c>
      <c r="OL22" s="125" t="str">
        <f t="shared" si="140"/>
        <v/>
      </c>
      <c r="OM22" s="125" t="str">
        <f t="shared" si="140"/>
        <v/>
      </c>
      <c r="ON22" s="125" t="str">
        <f t="shared" si="140"/>
        <v/>
      </c>
      <c r="OO22" s="125" t="str">
        <f t="shared" si="140"/>
        <v/>
      </c>
      <c r="OP22" s="125" t="str">
        <f t="shared" si="140"/>
        <v/>
      </c>
      <c r="OQ22" s="125" t="str">
        <f t="shared" si="140"/>
        <v/>
      </c>
      <c r="OR22" s="125" t="str">
        <f t="shared" si="140"/>
        <v/>
      </c>
      <c r="OS22" s="125" t="str">
        <f t="shared" si="140"/>
        <v/>
      </c>
      <c r="OT22" s="125" t="str">
        <f t="shared" si="140"/>
        <v/>
      </c>
      <c r="OU22" s="125" t="str">
        <f t="shared" si="140"/>
        <v/>
      </c>
      <c r="OV22" s="125" t="str">
        <f t="shared" si="140"/>
        <v/>
      </c>
      <c r="OW22" s="125" t="str">
        <f t="shared" si="140"/>
        <v/>
      </c>
      <c r="OX22" s="125" t="str">
        <f t="shared" si="140"/>
        <v/>
      </c>
      <c r="OY22" s="125" t="str">
        <f t="shared" si="140"/>
        <v/>
      </c>
      <c r="OZ22" s="125" t="str">
        <f t="shared" si="140"/>
        <v/>
      </c>
      <c r="PA22" s="125" t="str">
        <f t="shared" si="140"/>
        <v/>
      </c>
      <c r="PB22" s="125" t="str">
        <f t="shared" si="140"/>
        <v/>
      </c>
      <c r="PC22" s="125" t="str">
        <f t="shared" si="140"/>
        <v/>
      </c>
      <c r="PD22" s="125" t="str">
        <f t="shared" si="140"/>
        <v/>
      </c>
      <c r="PE22" s="125" t="str">
        <f t="shared" si="140"/>
        <v/>
      </c>
      <c r="PF22" s="125" t="str">
        <f t="shared" si="140"/>
        <v/>
      </c>
      <c r="PG22" s="125" t="str">
        <f t="shared" si="140"/>
        <v/>
      </c>
      <c r="PH22" s="125" t="str">
        <f t="shared" si="140"/>
        <v/>
      </c>
      <c r="PI22" s="125" t="str">
        <f t="shared" si="140"/>
        <v/>
      </c>
      <c r="PJ22" s="125" t="str">
        <f t="shared" si="140"/>
        <v/>
      </c>
      <c r="PK22" s="125" t="str">
        <f t="shared" si="140"/>
        <v/>
      </c>
      <c r="PL22" s="125" t="str">
        <f t="shared" si="140"/>
        <v/>
      </c>
      <c r="PM22" s="125" t="str">
        <f t="shared" si="140"/>
        <v/>
      </c>
      <c r="PN22" s="125" t="str">
        <f t="shared" si="140"/>
        <v/>
      </c>
      <c r="PO22" s="125" t="str">
        <f t="shared" si="140"/>
        <v/>
      </c>
      <c r="PP22" s="125" t="str">
        <f t="shared" si="140"/>
        <v/>
      </c>
      <c r="PQ22" s="125" t="str">
        <f t="shared" si="140"/>
        <v/>
      </c>
      <c r="PR22" s="125" t="str">
        <f t="shared" si="140"/>
        <v/>
      </c>
      <c r="PS22" s="125" t="str">
        <f t="shared" si="140"/>
        <v/>
      </c>
      <c r="PT22" s="125" t="str">
        <f t="shared" si="140"/>
        <v/>
      </c>
      <c r="PU22" s="125" t="str">
        <f t="shared" si="140"/>
        <v/>
      </c>
      <c r="PV22" s="125" t="str">
        <f t="shared" si="140"/>
        <v/>
      </c>
      <c r="PW22" s="125" t="str">
        <f t="shared" si="140"/>
        <v/>
      </c>
      <c r="PX22" s="125" t="str">
        <f t="shared" si="140"/>
        <v/>
      </c>
      <c r="PY22" s="125" t="str">
        <f t="shared" si="140"/>
        <v/>
      </c>
      <c r="PZ22" s="125" t="str">
        <f t="shared" si="140"/>
        <v/>
      </c>
      <c r="QA22" s="125" t="str">
        <f t="shared" si="140"/>
        <v/>
      </c>
      <c r="QB22" s="125" t="str">
        <f t="shared" si="140"/>
        <v/>
      </c>
      <c r="QC22" s="125" t="str">
        <f t="shared" si="140"/>
        <v/>
      </c>
      <c r="QD22" s="125" t="str">
        <f t="shared" si="140"/>
        <v/>
      </c>
      <c r="QE22" s="125" t="str">
        <f t="shared" si="140"/>
        <v/>
      </c>
      <c r="QF22" s="125" t="str">
        <f t="shared" si="140"/>
        <v/>
      </c>
      <c r="QG22" s="125" t="str">
        <f t="shared" si="140"/>
        <v/>
      </c>
      <c r="QH22" s="125" t="str">
        <f t="shared" si="140"/>
        <v/>
      </c>
      <c r="QI22" s="125" t="str">
        <f t="shared" si="140"/>
        <v/>
      </c>
      <c r="QJ22" s="125" t="str">
        <f t="shared" ref="QJ22:SU22" si="141">IF(OR(QJ13="",QJ14="",QJ15="",QJ16="",QJ17="",QJ18="",QJ19="",QJ20="",QJ21=""),"",SUMIF($A$13:$A$21,$B22,QJ$13:QJ$21))</f>
        <v/>
      </c>
      <c r="QK22" s="125" t="str">
        <f t="shared" si="141"/>
        <v/>
      </c>
      <c r="QL22" s="125" t="str">
        <f t="shared" si="141"/>
        <v/>
      </c>
      <c r="QM22" s="125" t="str">
        <f t="shared" si="141"/>
        <v/>
      </c>
      <c r="QN22" s="125" t="str">
        <f t="shared" si="141"/>
        <v/>
      </c>
      <c r="QO22" s="125" t="str">
        <f t="shared" si="141"/>
        <v/>
      </c>
      <c r="QP22" s="125" t="str">
        <f t="shared" si="141"/>
        <v/>
      </c>
      <c r="QQ22" s="125" t="str">
        <f t="shared" si="141"/>
        <v/>
      </c>
      <c r="QR22" s="125" t="str">
        <f t="shared" si="141"/>
        <v/>
      </c>
      <c r="QS22" s="125" t="str">
        <f t="shared" si="141"/>
        <v/>
      </c>
      <c r="QT22" s="125" t="str">
        <f t="shared" si="141"/>
        <v/>
      </c>
      <c r="QU22" s="125" t="str">
        <f t="shared" si="141"/>
        <v/>
      </c>
      <c r="QV22" s="125" t="str">
        <f t="shared" si="141"/>
        <v/>
      </c>
      <c r="QW22" s="125" t="str">
        <f t="shared" si="141"/>
        <v/>
      </c>
      <c r="QX22" s="125" t="str">
        <f t="shared" si="141"/>
        <v/>
      </c>
      <c r="QY22" s="125" t="str">
        <f t="shared" si="141"/>
        <v/>
      </c>
      <c r="QZ22" s="125" t="str">
        <f t="shared" si="141"/>
        <v/>
      </c>
      <c r="RA22" s="125" t="str">
        <f t="shared" si="141"/>
        <v/>
      </c>
      <c r="RB22" s="125" t="str">
        <f t="shared" si="141"/>
        <v/>
      </c>
      <c r="RC22" s="125" t="str">
        <f t="shared" si="141"/>
        <v/>
      </c>
      <c r="RD22" s="125" t="str">
        <f t="shared" si="141"/>
        <v/>
      </c>
      <c r="RE22" s="125" t="str">
        <f t="shared" si="141"/>
        <v/>
      </c>
      <c r="RF22" s="125" t="str">
        <f t="shared" si="141"/>
        <v/>
      </c>
      <c r="RG22" s="125" t="str">
        <f t="shared" si="141"/>
        <v/>
      </c>
      <c r="RH22" s="125" t="str">
        <f t="shared" si="141"/>
        <v/>
      </c>
      <c r="RI22" s="125" t="str">
        <f t="shared" si="141"/>
        <v/>
      </c>
      <c r="RJ22" s="125" t="str">
        <f t="shared" si="141"/>
        <v/>
      </c>
      <c r="RK22" s="125" t="str">
        <f t="shared" si="141"/>
        <v/>
      </c>
      <c r="RL22" s="125" t="str">
        <f t="shared" si="141"/>
        <v/>
      </c>
      <c r="RM22" s="125" t="str">
        <f t="shared" si="141"/>
        <v/>
      </c>
      <c r="RN22" s="125" t="str">
        <f t="shared" si="141"/>
        <v/>
      </c>
      <c r="RO22" s="125" t="str">
        <f t="shared" si="141"/>
        <v/>
      </c>
      <c r="RP22" s="125" t="str">
        <f t="shared" si="141"/>
        <v/>
      </c>
      <c r="RQ22" s="125" t="str">
        <f t="shared" si="141"/>
        <v/>
      </c>
      <c r="RR22" s="125" t="str">
        <f t="shared" si="141"/>
        <v/>
      </c>
      <c r="RS22" s="125" t="str">
        <f t="shared" si="141"/>
        <v/>
      </c>
      <c r="RT22" s="125" t="str">
        <f t="shared" si="141"/>
        <v/>
      </c>
      <c r="RU22" s="125" t="str">
        <f t="shared" si="141"/>
        <v/>
      </c>
      <c r="RV22" s="125" t="str">
        <f t="shared" si="141"/>
        <v/>
      </c>
      <c r="RW22" s="125" t="str">
        <f t="shared" si="141"/>
        <v/>
      </c>
      <c r="RX22" s="125" t="str">
        <f t="shared" si="141"/>
        <v/>
      </c>
      <c r="RY22" s="125" t="str">
        <f t="shared" si="141"/>
        <v/>
      </c>
      <c r="RZ22" s="125" t="str">
        <f t="shared" si="141"/>
        <v/>
      </c>
      <c r="SA22" s="125" t="str">
        <f t="shared" si="141"/>
        <v/>
      </c>
      <c r="SB22" s="125" t="str">
        <f t="shared" si="141"/>
        <v/>
      </c>
      <c r="SC22" s="125" t="str">
        <f t="shared" si="141"/>
        <v/>
      </c>
      <c r="SD22" s="125" t="str">
        <f t="shared" si="141"/>
        <v/>
      </c>
      <c r="SE22" s="125" t="str">
        <f t="shared" si="141"/>
        <v/>
      </c>
      <c r="SF22" s="125" t="str">
        <f t="shared" si="141"/>
        <v/>
      </c>
      <c r="SG22" s="125" t="str">
        <f t="shared" si="141"/>
        <v/>
      </c>
      <c r="SH22" s="125" t="str">
        <f t="shared" si="141"/>
        <v/>
      </c>
      <c r="SI22" s="125" t="str">
        <f t="shared" si="141"/>
        <v/>
      </c>
      <c r="SJ22" s="125" t="str">
        <f t="shared" si="141"/>
        <v/>
      </c>
      <c r="SK22" s="125" t="str">
        <f t="shared" si="141"/>
        <v/>
      </c>
      <c r="SL22" s="125" t="str">
        <f t="shared" si="141"/>
        <v/>
      </c>
      <c r="SM22" s="125" t="str">
        <f t="shared" si="141"/>
        <v/>
      </c>
      <c r="SN22" s="125" t="str">
        <f t="shared" si="141"/>
        <v/>
      </c>
      <c r="SO22" s="125" t="str">
        <f t="shared" si="141"/>
        <v/>
      </c>
      <c r="SP22" s="125" t="str">
        <f t="shared" si="141"/>
        <v/>
      </c>
      <c r="SQ22" s="125" t="str">
        <f t="shared" si="141"/>
        <v/>
      </c>
      <c r="SR22" s="125" t="str">
        <f t="shared" si="141"/>
        <v/>
      </c>
      <c r="SS22" s="125" t="str">
        <f t="shared" si="141"/>
        <v/>
      </c>
      <c r="ST22" s="125" t="str">
        <f t="shared" si="141"/>
        <v/>
      </c>
      <c r="SU22" s="125" t="str">
        <f t="shared" si="141"/>
        <v/>
      </c>
      <c r="SV22" s="125" t="str">
        <f t="shared" ref="SV22:SW22" si="142">IF(OR(SV13="",SV14="",SV15="",SV16="",SV17="",SV18="",SV19="",SV20="",SV21=""),"",SUMIF($A$13:$A$21,$B22,SV$13:SV$21))</f>
        <v/>
      </c>
      <c r="SW22" s="125" t="str">
        <f t="shared" si="142"/>
        <v/>
      </c>
    </row>
    <row r="23" spans="1:517" s="40" customFormat="1" ht="24.6" customHeight="1" x14ac:dyDescent="0.2">
      <c r="A23" s="28">
        <f>COUNTIF(A13:A21,B23)</f>
        <v>4</v>
      </c>
      <c r="B23" s="126">
        <v>777</v>
      </c>
      <c r="C23" s="125">
        <f>IF(OR(C13="",C14="",C15="",C16="",C17="",C18="",C19="",C20="",C21=""),"",SUMIF($A$13:$A$21,$B23,C$13:C$21))</f>
        <v>0</v>
      </c>
      <c r="D23" s="125">
        <f t="shared" ref="D23:BO23" si="143">IF(OR(D13="",D14="",D15="",D16="",D17="",D18="",D19="",D20="",D21=""),"",SUMIF($A$13:$A$21,$B23,D$13:D$21))</f>
        <v>54.120000000000005</v>
      </c>
      <c r="E23" s="125">
        <f t="shared" si="143"/>
        <v>4.0500000000000007</v>
      </c>
      <c r="F23" s="125">
        <f t="shared" si="143"/>
        <v>0</v>
      </c>
      <c r="G23" s="125">
        <f t="shared" si="143"/>
        <v>30.720000000000002</v>
      </c>
      <c r="H23" s="125">
        <f t="shared" si="143"/>
        <v>11.370000000000001</v>
      </c>
      <c r="I23" s="125">
        <f t="shared" si="143"/>
        <v>9.82</v>
      </c>
      <c r="J23" s="125">
        <f t="shared" si="143"/>
        <v>29.86</v>
      </c>
      <c r="K23" s="125">
        <f t="shared" si="143"/>
        <v>3.55</v>
      </c>
      <c r="L23" s="125">
        <f t="shared" si="143"/>
        <v>14.100000000000001</v>
      </c>
      <c r="M23" s="125">
        <f t="shared" si="143"/>
        <v>57.93</v>
      </c>
      <c r="N23" s="125">
        <f t="shared" si="143"/>
        <v>2.2199999999999998</v>
      </c>
      <c r="O23" s="125">
        <f t="shared" si="143"/>
        <v>0</v>
      </c>
      <c r="P23" s="125">
        <f t="shared" si="143"/>
        <v>25.14</v>
      </c>
      <c r="Q23" s="125">
        <f t="shared" si="143"/>
        <v>15.32</v>
      </c>
      <c r="R23" s="125">
        <f t="shared" si="143"/>
        <v>2.5499999999999998</v>
      </c>
      <c r="S23" s="125">
        <f t="shared" si="143"/>
        <v>0</v>
      </c>
      <c r="T23" s="125">
        <f t="shared" si="143"/>
        <v>8.0300000000000011</v>
      </c>
      <c r="U23" s="125">
        <f t="shared" si="143"/>
        <v>16.3</v>
      </c>
      <c r="V23" s="125">
        <f t="shared" si="143"/>
        <v>11.55</v>
      </c>
      <c r="W23" s="125">
        <f t="shared" si="143"/>
        <v>2.2000000000000002</v>
      </c>
      <c r="X23" s="125">
        <f t="shared" si="143"/>
        <v>1.02</v>
      </c>
      <c r="Y23" s="125">
        <f t="shared" si="143"/>
        <v>1.75</v>
      </c>
      <c r="Z23" s="125">
        <f t="shared" si="143"/>
        <v>3.38</v>
      </c>
      <c r="AA23" s="125">
        <f t="shared" si="143"/>
        <v>22.65</v>
      </c>
      <c r="AB23" s="125">
        <f t="shared" si="143"/>
        <v>0</v>
      </c>
      <c r="AC23" s="125">
        <f t="shared" si="143"/>
        <v>31.5</v>
      </c>
      <c r="AD23" s="125">
        <f t="shared" si="143"/>
        <v>0</v>
      </c>
      <c r="AE23" s="125">
        <f t="shared" si="143"/>
        <v>2.5</v>
      </c>
      <c r="AF23" s="125">
        <f t="shared" si="143"/>
        <v>0</v>
      </c>
      <c r="AG23" s="125">
        <f t="shared" si="143"/>
        <v>1.29</v>
      </c>
      <c r="AH23" s="125">
        <f t="shared" si="143"/>
        <v>6.38</v>
      </c>
      <c r="AI23" s="125">
        <f t="shared" si="143"/>
        <v>1.61</v>
      </c>
      <c r="AJ23" s="125">
        <f t="shared" si="143"/>
        <v>0</v>
      </c>
      <c r="AK23" s="125">
        <f t="shared" si="143"/>
        <v>0</v>
      </c>
      <c r="AL23" s="125">
        <f t="shared" si="143"/>
        <v>5.6199999999999992</v>
      </c>
      <c r="AM23" s="125">
        <f t="shared" si="143"/>
        <v>1.5</v>
      </c>
      <c r="AN23" s="125">
        <f t="shared" si="143"/>
        <v>1.8399999999999999</v>
      </c>
      <c r="AO23" s="125">
        <f t="shared" si="143"/>
        <v>0</v>
      </c>
      <c r="AP23" s="125">
        <f t="shared" si="143"/>
        <v>0</v>
      </c>
      <c r="AQ23" s="125">
        <f t="shared" si="143"/>
        <v>5.43</v>
      </c>
      <c r="AR23" s="125">
        <f t="shared" si="143"/>
        <v>2.2999999999999998</v>
      </c>
      <c r="AS23" s="125">
        <f t="shared" si="143"/>
        <v>11.280000000000001</v>
      </c>
      <c r="AT23" s="125">
        <f t="shared" si="143"/>
        <v>27.7</v>
      </c>
      <c r="AU23" s="125">
        <f t="shared" si="143"/>
        <v>0</v>
      </c>
      <c r="AV23" s="125">
        <f t="shared" si="143"/>
        <v>0</v>
      </c>
      <c r="AW23" s="125">
        <f t="shared" si="143"/>
        <v>0</v>
      </c>
      <c r="AX23" s="125">
        <f t="shared" si="143"/>
        <v>6.08</v>
      </c>
      <c r="AY23" s="125">
        <f t="shared" si="143"/>
        <v>0</v>
      </c>
      <c r="AZ23" s="125">
        <f t="shared" si="143"/>
        <v>1.2</v>
      </c>
      <c r="BA23" s="125">
        <f t="shared" si="143"/>
        <v>11.3</v>
      </c>
      <c r="BB23" s="125">
        <f t="shared" si="143"/>
        <v>5.42</v>
      </c>
      <c r="BC23" s="125">
        <f t="shared" si="143"/>
        <v>44.47</v>
      </c>
      <c r="BD23" s="125">
        <f t="shared" si="143"/>
        <v>26.87</v>
      </c>
      <c r="BE23" s="125">
        <f t="shared" si="143"/>
        <v>1.1299999999999999</v>
      </c>
      <c r="BF23" s="125">
        <f t="shared" si="143"/>
        <v>22.75</v>
      </c>
      <c r="BG23" s="125">
        <f t="shared" si="143"/>
        <v>0</v>
      </c>
      <c r="BH23" s="125">
        <f t="shared" si="143"/>
        <v>0</v>
      </c>
      <c r="BI23" s="125">
        <f t="shared" si="143"/>
        <v>5.17</v>
      </c>
      <c r="BJ23" s="125">
        <f t="shared" si="143"/>
        <v>16.18</v>
      </c>
      <c r="BK23" s="125">
        <f t="shared" si="143"/>
        <v>7.67</v>
      </c>
      <c r="BL23" s="125">
        <f t="shared" si="143"/>
        <v>17.82</v>
      </c>
      <c r="BM23" s="125">
        <f t="shared" si="143"/>
        <v>12.620000000000001</v>
      </c>
      <c r="BN23" s="125">
        <f t="shared" si="143"/>
        <v>7.5</v>
      </c>
      <c r="BO23" s="125">
        <f t="shared" si="143"/>
        <v>34.92</v>
      </c>
      <c r="BP23" s="125">
        <f t="shared" ref="BP23:EA23" si="144">IF(OR(BP13="",BP14="",BP15="",BP16="",BP17="",BP18="",BP19="",BP20="",BP21=""),"",SUMIF($A$13:$A$21,$B23,BP$13:BP$21))</f>
        <v>19.339999999999996</v>
      </c>
      <c r="BQ23" s="125">
        <f t="shared" si="144"/>
        <v>0.87</v>
      </c>
      <c r="BR23" s="125">
        <f t="shared" si="144"/>
        <v>23.76</v>
      </c>
      <c r="BS23" s="125">
        <f t="shared" si="144"/>
        <v>7.84</v>
      </c>
      <c r="BT23" s="125">
        <f t="shared" si="144"/>
        <v>19.630000000000003</v>
      </c>
      <c r="BU23" s="125">
        <f t="shared" si="144"/>
        <v>0</v>
      </c>
      <c r="BV23" s="125">
        <f t="shared" si="144"/>
        <v>0</v>
      </c>
      <c r="BW23" s="125">
        <f t="shared" si="144"/>
        <v>0</v>
      </c>
      <c r="BX23" s="125">
        <f t="shared" si="144"/>
        <v>24.85</v>
      </c>
      <c r="BY23" s="125">
        <f t="shared" si="144"/>
        <v>16.169999999999998</v>
      </c>
      <c r="BZ23" s="125">
        <f t="shared" si="144"/>
        <v>0</v>
      </c>
      <c r="CA23" s="125">
        <f t="shared" si="144"/>
        <v>0.27</v>
      </c>
      <c r="CB23" s="125">
        <f t="shared" si="144"/>
        <v>1.19</v>
      </c>
      <c r="CC23" s="125">
        <f t="shared" si="144"/>
        <v>15.32</v>
      </c>
      <c r="CD23" s="125">
        <f t="shared" si="144"/>
        <v>0</v>
      </c>
      <c r="CE23" s="125">
        <f t="shared" si="144"/>
        <v>0</v>
      </c>
      <c r="CF23" s="125">
        <f t="shared" si="144"/>
        <v>16.600000000000001</v>
      </c>
      <c r="CG23" s="125">
        <f t="shared" si="144"/>
        <v>0</v>
      </c>
      <c r="CH23" s="125">
        <f t="shared" si="144"/>
        <v>2.7199999999999998</v>
      </c>
      <c r="CI23" s="125">
        <f t="shared" si="144"/>
        <v>22.02</v>
      </c>
      <c r="CJ23" s="125">
        <f t="shared" si="144"/>
        <v>15.350000000000001</v>
      </c>
      <c r="CK23" s="125">
        <f t="shared" si="144"/>
        <v>1</v>
      </c>
      <c r="CL23" s="125">
        <f t="shared" si="144"/>
        <v>1.4400000000000002</v>
      </c>
      <c r="CM23" s="125">
        <f t="shared" si="144"/>
        <v>5.23</v>
      </c>
      <c r="CN23" s="125">
        <f t="shared" si="144"/>
        <v>0</v>
      </c>
      <c r="CO23" s="125">
        <f t="shared" si="144"/>
        <v>15.52</v>
      </c>
      <c r="CP23" s="125">
        <f t="shared" si="144"/>
        <v>1.1800000000000002</v>
      </c>
      <c r="CQ23" s="125">
        <f t="shared" si="144"/>
        <v>3.67</v>
      </c>
      <c r="CR23" s="125">
        <f t="shared" si="144"/>
        <v>0</v>
      </c>
      <c r="CS23" s="125">
        <f t="shared" si="144"/>
        <v>11.92</v>
      </c>
      <c r="CT23" s="125">
        <f t="shared" si="144"/>
        <v>3.8200000000000003</v>
      </c>
      <c r="CU23" s="125">
        <f t="shared" si="144"/>
        <v>0</v>
      </c>
      <c r="CV23" s="125">
        <f t="shared" si="144"/>
        <v>4.25</v>
      </c>
      <c r="CW23" s="125">
        <f t="shared" si="144"/>
        <v>4.92</v>
      </c>
      <c r="CX23" s="125">
        <f t="shared" si="144"/>
        <v>36.58</v>
      </c>
      <c r="CY23" s="125">
        <f t="shared" si="144"/>
        <v>0</v>
      </c>
      <c r="CZ23" s="125">
        <f t="shared" si="144"/>
        <v>1.5</v>
      </c>
      <c r="DA23" s="125">
        <f t="shared" si="144"/>
        <v>1.53</v>
      </c>
      <c r="DB23" s="125">
        <f t="shared" si="144"/>
        <v>9.75</v>
      </c>
      <c r="DC23" s="125">
        <f t="shared" si="144"/>
        <v>10.62</v>
      </c>
      <c r="DD23" s="125">
        <f t="shared" si="144"/>
        <v>3.01</v>
      </c>
      <c r="DE23" s="125">
        <f t="shared" si="144"/>
        <v>21.22</v>
      </c>
      <c r="DF23" s="125">
        <f t="shared" si="144"/>
        <v>35.39</v>
      </c>
      <c r="DG23" s="125">
        <f t="shared" si="144"/>
        <v>0</v>
      </c>
      <c r="DH23" s="125">
        <f t="shared" si="144"/>
        <v>2.3499999999999996</v>
      </c>
      <c r="DI23" s="125">
        <f t="shared" si="144"/>
        <v>3.98</v>
      </c>
      <c r="DJ23" s="125">
        <f t="shared" si="144"/>
        <v>179.57000000000002</v>
      </c>
      <c r="DK23" s="125">
        <f t="shared" si="144"/>
        <v>0</v>
      </c>
      <c r="DL23" s="125">
        <f t="shared" si="144"/>
        <v>1.35</v>
      </c>
      <c r="DM23" s="125">
        <f t="shared" si="144"/>
        <v>8.0299999999999994</v>
      </c>
      <c r="DN23" s="125">
        <f t="shared" si="144"/>
        <v>4.28</v>
      </c>
      <c r="DO23" s="125">
        <f t="shared" si="144"/>
        <v>0</v>
      </c>
      <c r="DP23" s="125">
        <f t="shared" si="144"/>
        <v>2.1100000000000003</v>
      </c>
      <c r="DQ23" s="125">
        <f t="shared" si="144"/>
        <v>3.35</v>
      </c>
      <c r="DR23" s="125">
        <f t="shared" si="144"/>
        <v>0.37</v>
      </c>
      <c r="DS23" s="125">
        <f t="shared" si="144"/>
        <v>2.2199999999999998</v>
      </c>
      <c r="DT23" s="125">
        <f t="shared" si="144"/>
        <v>8.58</v>
      </c>
      <c r="DU23" s="125">
        <f t="shared" si="144"/>
        <v>14.17</v>
      </c>
      <c r="DV23" s="125">
        <f t="shared" si="144"/>
        <v>10.940000000000001</v>
      </c>
      <c r="DW23" s="125">
        <f t="shared" si="144"/>
        <v>41.83</v>
      </c>
      <c r="DX23" s="125">
        <f t="shared" si="144"/>
        <v>0</v>
      </c>
      <c r="DY23" s="125">
        <f t="shared" si="144"/>
        <v>0</v>
      </c>
      <c r="DZ23" s="125">
        <f t="shared" si="144"/>
        <v>10.64</v>
      </c>
      <c r="EA23" s="125">
        <f t="shared" si="144"/>
        <v>5.03</v>
      </c>
      <c r="EB23" s="125">
        <f t="shared" ref="EB23:GM23" si="145">IF(OR(EB13="",EB14="",EB15="",EB16="",EB17="",EB18="",EB19="",EB20="",EB21=""),"",SUMIF($A$13:$A$21,$B23,EB$13:EB$21))</f>
        <v>7.92</v>
      </c>
      <c r="EC23" s="125">
        <f t="shared" si="145"/>
        <v>12.2</v>
      </c>
      <c r="ED23" s="125">
        <f t="shared" si="145"/>
        <v>0</v>
      </c>
      <c r="EE23" s="125">
        <f t="shared" si="145"/>
        <v>12.3</v>
      </c>
      <c r="EF23" s="125">
        <f>IFERROR(VLOOKUP($B23,[3]ss!$A:$N,EF$12,0),0)</f>
        <v>0</v>
      </c>
      <c r="EG23" s="125">
        <f t="shared" si="145"/>
        <v>44.84</v>
      </c>
      <c r="EH23" s="125">
        <f t="shared" si="145"/>
        <v>10.159999999999998</v>
      </c>
      <c r="EI23" s="125">
        <f t="shared" si="145"/>
        <v>18.52</v>
      </c>
      <c r="EJ23" s="125">
        <f t="shared" si="145"/>
        <v>0</v>
      </c>
      <c r="EK23" s="125">
        <f t="shared" si="145"/>
        <v>0</v>
      </c>
      <c r="EL23" s="125">
        <f t="shared" si="145"/>
        <v>24</v>
      </c>
      <c r="EM23" s="125">
        <f t="shared" si="145"/>
        <v>27.05</v>
      </c>
      <c r="EN23" s="125">
        <f t="shared" si="145"/>
        <v>32.5</v>
      </c>
      <c r="EO23" s="125">
        <f t="shared" si="145"/>
        <v>13.6</v>
      </c>
      <c r="EP23" s="125">
        <f t="shared" si="145"/>
        <v>7.03</v>
      </c>
      <c r="EQ23" s="125">
        <f t="shared" si="145"/>
        <v>5.9700000000000006</v>
      </c>
      <c r="ER23" s="125">
        <f t="shared" si="145"/>
        <v>0</v>
      </c>
      <c r="ES23" s="125">
        <f t="shared" si="145"/>
        <v>17.61</v>
      </c>
      <c r="ET23" s="125">
        <f t="shared" si="145"/>
        <v>17.649999999999999</v>
      </c>
      <c r="EU23" s="125">
        <f t="shared" si="145"/>
        <v>3</v>
      </c>
      <c r="EV23" s="125">
        <f t="shared" si="145"/>
        <v>0</v>
      </c>
      <c r="EW23" s="125">
        <v>0</v>
      </c>
      <c r="EX23" s="125">
        <f t="shared" si="145"/>
        <v>0</v>
      </c>
      <c r="EY23" s="125">
        <f t="shared" si="145"/>
        <v>0</v>
      </c>
      <c r="EZ23" s="125">
        <f t="shared" si="145"/>
        <v>0</v>
      </c>
      <c r="FA23" s="125">
        <f t="shared" si="145"/>
        <v>0</v>
      </c>
      <c r="FB23" s="125">
        <f t="shared" si="145"/>
        <v>0</v>
      </c>
      <c r="FC23" s="125">
        <f t="shared" si="145"/>
        <v>0</v>
      </c>
      <c r="FD23" s="125">
        <f t="shared" si="145"/>
        <v>28.240000000000002</v>
      </c>
      <c r="FE23" s="125">
        <f t="shared" si="145"/>
        <v>32.25</v>
      </c>
      <c r="FF23" s="125">
        <f t="shared" si="145"/>
        <v>0.5</v>
      </c>
      <c r="FG23" s="125">
        <f t="shared" si="145"/>
        <v>11.549999999999999</v>
      </c>
      <c r="FH23" s="125">
        <f t="shared" si="145"/>
        <v>7.07</v>
      </c>
      <c r="FI23" s="125">
        <f t="shared" si="145"/>
        <v>1.38</v>
      </c>
      <c r="FJ23" s="125">
        <f t="shared" si="145"/>
        <v>2.65</v>
      </c>
      <c r="FK23" s="125">
        <f t="shared" si="145"/>
        <v>0</v>
      </c>
      <c r="FL23" s="125">
        <f t="shared" si="145"/>
        <v>4.57</v>
      </c>
      <c r="FM23" s="125">
        <f t="shared" si="145"/>
        <v>14.73</v>
      </c>
      <c r="FN23" s="125">
        <f t="shared" si="145"/>
        <v>0</v>
      </c>
      <c r="FO23" s="125">
        <f t="shared" si="145"/>
        <v>5.5699999999999994</v>
      </c>
      <c r="FP23" s="125">
        <f t="shared" si="145"/>
        <v>0</v>
      </c>
      <c r="FQ23" s="125">
        <f t="shared" si="145"/>
        <v>0.76</v>
      </c>
      <c r="FR23" s="125">
        <f t="shared" si="145"/>
        <v>0</v>
      </c>
      <c r="FS23" s="125">
        <f t="shared" si="145"/>
        <v>18.100000000000001</v>
      </c>
      <c r="FT23" s="125">
        <f t="shared" si="145"/>
        <v>38.68</v>
      </c>
      <c r="FU23" s="125">
        <f t="shared" si="145"/>
        <v>0</v>
      </c>
      <c r="FV23" s="125">
        <f t="shared" si="145"/>
        <v>5.13</v>
      </c>
      <c r="FW23" s="125">
        <f t="shared" si="145"/>
        <v>13.219999999999999</v>
      </c>
      <c r="FX23" s="125">
        <f t="shared" si="145"/>
        <v>2.91</v>
      </c>
      <c r="FY23" s="125">
        <f t="shared" si="145"/>
        <v>0</v>
      </c>
      <c r="FZ23" s="125">
        <f t="shared" si="145"/>
        <v>0.18</v>
      </c>
      <c r="GA23" s="125">
        <f>IF(OR(GA13="",GA14="",GA15="",GA16="",GA17="",GA18="",GA19="",GA20="",GA21=""),"",SUMIF($A$13:$A$21,$B23,GA$13:GA$21))</f>
        <v>40.799999999999997</v>
      </c>
      <c r="GB23" s="125">
        <f>IF(OR(GB13="",GB14="",GB15="",GB16="",GB17="",GB18="",GB19="",GB20="",GB21=""),"",SUMIF($A$13:$A$21,$B23,GB$13:GB$21))</f>
        <v>22.33</v>
      </c>
      <c r="GC23" s="125">
        <f t="shared" si="145"/>
        <v>0</v>
      </c>
      <c r="GD23" s="125">
        <f t="shared" si="145"/>
        <v>0</v>
      </c>
      <c r="GE23" s="125">
        <f t="shared" si="145"/>
        <v>2.4500000000000002</v>
      </c>
      <c r="GF23" s="125">
        <f t="shared" si="145"/>
        <v>12.03</v>
      </c>
      <c r="GG23" s="125">
        <f t="shared" si="145"/>
        <v>1.66</v>
      </c>
      <c r="GH23" s="125">
        <f t="shared" si="145"/>
        <v>0</v>
      </c>
      <c r="GI23" s="125">
        <f t="shared" si="145"/>
        <v>5.23</v>
      </c>
      <c r="GJ23" s="125">
        <f t="shared" si="145"/>
        <v>4.38</v>
      </c>
      <c r="GK23" s="125">
        <f t="shared" si="145"/>
        <v>6.32</v>
      </c>
      <c r="GL23" s="125">
        <f t="shared" si="145"/>
        <v>0</v>
      </c>
      <c r="GM23" s="125">
        <f t="shared" si="145"/>
        <v>0</v>
      </c>
      <c r="GN23" s="125">
        <f t="shared" ref="GN23:IY23" si="146">IF(OR(GN13="",GN14="",GN15="",GN16="",GN17="",GN18="",GN19="",GN20="",GN21=""),"",SUMIF($A$13:$A$21,$B23,GN$13:GN$21))</f>
        <v>0</v>
      </c>
      <c r="GO23" s="125">
        <f t="shared" si="146"/>
        <v>0</v>
      </c>
      <c r="GP23" s="125">
        <f t="shared" si="146"/>
        <v>0</v>
      </c>
      <c r="GQ23" s="125">
        <f t="shared" si="146"/>
        <v>3.2</v>
      </c>
      <c r="GR23" s="125">
        <f t="shared" si="146"/>
        <v>8.129999999999999</v>
      </c>
      <c r="GS23" s="125">
        <f t="shared" si="146"/>
        <v>0</v>
      </c>
      <c r="GT23" s="125">
        <f t="shared" si="146"/>
        <v>7.45</v>
      </c>
      <c r="GU23" s="125">
        <f t="shared" si="146"/>
        <v>0</v>
      </c>
      <c r="GV23" s="125">
        <f t="shared" si="146"/>
        <v>153.35</v>
      </c>
      <c r="GW23" s="125">
        <f t="shared" si="146"/>
        <v>7.62</v>
      </c>
      <c r="GX23" s="125">
        <f t="shared" si="146"/>
        <v>0</v>
      </c>
      <c r="GY23" s="125">
        <f t="shared" si="146"/>
        <v>0</v>
      </c>
      <c r="GZ23" s="125">
        <f t="shared" si="146"/>
        <v>0</v>
      </c>
      <c r="HA23" s="125">
        <f t="shared" si="146"/>
        <v>0</v>
      </c>
      <c r="HB23" s="125">
        <f t="shared" si="146"/>
        <v>145.1</v>
      </c>
      <c r="HC23" s="125">
        <f t="shared" si="146"/>
        <v>0</v>
      </c>
      <c r="HD23" s="125">
        <f t="shared" si="146"/>
        <v>0</v>
      </c>
      <c r="HE23" s="125">
        <f t="shared" si="146"/>
        <v>0</v>
      </c>
      <c r="HF23" s="125">
        <f t="shared" si="146"/>
        <v>0</v>
      </c>
      <c r="HG23" s="125">
        <f t="shared" si="146"/>
        <v>0</v>
      </c>
      <c r="HH23" s="125">
        <f t="shared" si="146"/>
        <v>0</v>
      </c>
      <c r="HI23" s="125">
        <f t="shared" si="146"/>
        <v>0</v>
      </c>
      <c r="HJ23" s="125">
        <f t="shared" si="146"/>
        <v>6.5555555555555561E-2</v>
      </c>
      <c r="HK23" s="125">
        <f t="shared" si="146"/>
        <v>21.369722222222222</v>
      </c>
      <c r="HL23" s="125">
        <f t="shared" si="146"/>
        <v>24</v>
      </c>
      <c r="HM23" s="125">
        <f t="shared" si="146"/>
        <v>28.448055555555555</v>
      </c>
      <c r="HN23" s="125">
        <f t="shared" si="146"/>
        <v>2.3516666666666666</v>
      </c>
      <c r="HO23" s="125">
        <f t="shared" si="146"/>
        <v>0</v>
      </c>
      <c r="HP23" s="125">
        <f t="shared" si="146"/>
        <v>0</v>
      </c>
      <c r="HQ23" s="125">
        <f t="shared" si="146"/>
        <v>4.0333333333333332</v>
      </c>
      <c r="HR23" s="125">
        <f t="shared" si="146"/>
        <v>0</v>
      </c>
      <c r="HS23" s="125">
        <f t="shared" si="146"/>
        <v>42.50472222222222</v>
      </c>
      <c r="HT23" s="125">
        <f t="shared" si="146"/>
        <v>24</v>
      </c>
      <c r="HU23" s="125">
        <f t="shared" si="146"/>
        <v>24</v>
      </c>
      <c r="HV23" s="125">
        <f t="shared" si="146"/>
        <v>22.508611111111112</v>
      </c>
      <c r="HW23" s="125">
        <f t="shared" si="146"/>
        <v>3.71</v>
      </c>
      <c r="HX23" s="125">
        <f t="shared" si="146"/>
        <v>18.001111111111111</v>
      </c>
      <c r="HY23" s="125">
        <f t="shared" si="146"/>
        <v>27.588333333333335</v>
      </c>
      <c r="HZ23" s="125">
        <f t="shared" si="146"/>
        <v>10.854999999999999</v>
      </c>
      <c r="IA23" s="125">
        <f t="shared" si="146"/>
        <v>0</v>
      </c>
      <c r="IB23" s="125">
        <f t="shared" si="146"/>
        <v>2.9972222222222222</v>
      </c>
      <c r="IC23" s="125">
        <f t="shared" si="146"/>
        <v>0</v>
      </c>
      <c r="ID23" s="125">
        <f t="shared" si="146"/>
        <v>87.800000000000011</v>
      </c>
      <c r="IE23" s="125">
        <f t="shared" si="146"/>
        <v>21.63</v>
      </c>
      <c r="IF23" s="125">
        <f t="shared" si="146"/>
        <v>5.03</v>
      </c>
      <c r="IG23" s="125">
        <f t="shared" si="146"/>
        <v>0.42</v>
      </c>
      <c r="IH23" s="125">
        <f t="shared" si="146"/>
        <v>2.52</v>
      </c>
      <c r="II23" s="125">
        <f t="shared" si="146"/>
        <v>0</v>
      </c>
      <c r="IJ23" s="125">
        <f t="shared" si="146"/>
        <v>19.73</v>
      </c>
      <c r="IK23" s="125">
        <f t="shared" si="146"/>
        <v>5.8283333333333331</v>
      </c>
      <c r="IL23" s="125">
        <f t="shared" si="146"/>
        <v>22.290555555555557</v>
      </c>
      <c r="IM23" s="125">
        <f t="shared" si="146"/>
        <v>25.764444444444443</v>
      </c>
      <c r="IN23" s="125">
        <f t="shared" si="146"/>
        <v>27.907499999999999</v>
      </c>
      <c r="IO23" s="125">
        <f t="shared" si="146"/>
        <v>36.743333333333332</v>
      </c>
      <c r="IP23" s="125">
        <f t="shared" si="146"/>
        <v>30.821944444444444</v>
      </c>
      <c r="IQ23" s="125">
        <f t="shared" si="146"/>
        <v>24.881666666666668</v>
      </c>
      <c r="IR23" s="125">
        <f t="shared" si="146"/>
        <v>44.983333333333334</v>
      </c>
      <c r="IS23" s="125">
        <f t="shared" si="146"/>
        <v>61.263888888888886</v>
      </c>
      <c r="IT23" s="125">
        <f t="shared" si="146"/>
        <v>63.894166666666663</v>
      </c>
      <c r="IU23" s="125">
        <f t="shared" si="146"/>
        <v>34.807499999999997</v>
      </c>
      <c r="IV23" s="125">
        <f t="shared" si="146"/>
        <v>3.5008333333333335</v>
      </c>
      <c r="IW23" s="125">
        <f t="shared" si="146"/>
        <v>0.13444444444444445</v>
      </c>
      <c r="IX23" s="125">
        <f t="shared" si="146"/>
        <v>3.5672222222222225</v>
      </c>
      <c r="IY23" s="125">
        <f t="shared" si="146"/>
        <v>8.982222222222223</v>
      </c>
      <c r="IZ23" s="125">
        <f t="shared" ref="IZ23:JV23" si="147">IF(OR(IZ13="",IZ14="",IZ15="",IZ16="",IZ17="",IZ18="",IZ19="",IZ20="",IZ21=""),"",SUMIF($A$13:$A$21,$B23,IZ$13:IZ$21))</f>
        <v>0.32833333333333331</v>
      </c>
      <c r="JA23" s="125">
        <f t="shared" si="147"/>
        <v>1.833333333333333</v>
      </c>
      <c r="JB23" s="125">
        <f t="shared" si="147"/>
        <v>5.9169444444444448</v>
      </c>
      <c r="JC23" s="125">
        <f t="shared" si="147"/>
        <v>4.6633333333333331</v>
      </c>
      <c r="JD23" s="125">
        <f t="shared" si="147"/>
        <v>15.108611111111111</v>
      </c>
      <c r="JE23" s="125">
        <f t="shared" si="147"/>
        <v>6.4116666666666662</v>
      </c>
      <c r="JF23" s="125">
        <f t="shared" si="147"/>
        <v>2.2466666666666666</v>
      </c>
      <c r="JG23" s="125">
        <f t="shared" si="147"/>
        <v>3.1863888888888887</v>
      </c>
      <c r="JH23" s="125">
        <f t="shared" si="147"/>
        <v>15.164999999999999</v>
      </c>
      <c r="JI23" s="125">
        <f t="shared" si="147"/>
        <v>3.7575000000000003</v>
      </c>
      <c r="JJ23" s="125">
        <f t="shared" si="147"/>
        <v>6.1433333333333326</v>
      </c>
      <c r="JK23" s="125">
        <f t="shared" si="147"/>
        <v>15.59611111111111</v>
      </c>
      <c r="JL23" s="125">
        <f t="shared" si="147"/>
        <v>20.491944444444446</v>
      </c>
      <c r="JM23" s="125">
        <f t="shared" si="147"/>
        <v>14.999166666666667</v>
      </c>
      <c r="JN23" s="125">
        <f t="shared" si="147"/>
        <v>17.66</v>
      </c>
      <c r="JO23" s="125">
        <f t="shared" si="147"/>
        <v>4</v>
      </c>
      <c r="JP23" s="125">
        <f t="shared" si="147"/>
        <v>8.07</v>
      </c>
      <c r="JQ23" s="125">
        <f t="shared" si="147"/>
        <v>4.1899999999999995</v>
      </c>
      <c r="JR23" s="125">
        <f t="shared" si="147"/>
        <v>3.43</v>
      </c>
      <c r="JS23" s="125">
        <f t="shared" si="147"/>
        <v>20.399999999999999</v>
      </c>
      <c r="JT23" s="125">
        <f t="shared" si="147"/>
        <v>11.42</v>
      </c>
      <c r="JU23" s="125">
        <f t="shared" si="147"/>
        <v>13.46</v>
      </c>
      <c r="JV23" s="125">
        <f t="shared" si="147"/>
        <v>4</v>
      </c>
      <c r="JW23" s="125">
        <f>IF(OR(JW13="",JW14="",JW15="",JW16="",JW17="",JW18="",JW19="",JW20="",JW21=""),"",SUMIF($A$13:$A$21,$B23,JW$13:JW$21))</f>
        <v>0</v>
      </c>
      <c r="JX23" s="125">
        <f t="shared" ref="JX23:MI23" si="148">IF(OR(JX13="",JX14="",JX15="",JX16="",JX17="",JX18="",JX19="",JX20="",JX21=""),"",SUMIF($A$13:$A$21,$B23,JX$13:JX$21))</f>
        <v>0</v>
      </c>
      <c r="JY23" s="125">
        <f t="shared" si="148"/>
        <v>0</v>
      </c>
      <c r="JZ23" s="125">
        <f t="shared" si="148"/>
        <v>0</v>
      </c>
      <c r="KA23" s="125">
        <f t="shared" si="148"/>
        <v>0</v>
      </c>
      <c r="KB23" s="125">
        <f t="shared" si="148"/>
        <v>0</v>
      </c>
      <c r="KC23" s="125">
        <f t="shared" si="148"/>
        <v>0</v>
      </c>
      <c r="KD23" s="125">
        <f t="shared" si="148"/>
        <v>0</v>
      </c>
      <c r="KE23" s="125">
        <f t="shared" si="148"/>
        <v>0</v>
      </c>
      <c r="KF23" s="125">
        <f t="shared" si="148"/>
        <v>0</v>
      </c>
      <c r="KG23" s="125">
        <f t="shared" si="148"/>
        <v>0</v>
      </c>
      <c r="KH23" s="125">
        <f t="shared" si="148"/>
        <v>0</v>
      </c>
      <c r="KI23" s="125">
        <f t="shared" si="148"/>
        <v>0</v>
      </c>
      <c r="KJ23" s="125">
        <f t="shared" si="148"/>
        <v>0</v>
      </c>
      <c r="KK23" s="125">
        <f t="shared" si="148"/>
        <v>0</v>
      </c>
      <c r="KL23" s="125">
        <f t="shared" si="148"/>
        <v>0</v>
      </c>
      <c r="KM23" s="125">
        <f t="shared" si="148"/>
        <v>0</v>
      </c>
      <c r="KN23" s="125">
        <f t="shared" si="148"/>
        <v>0</v>
      </c>
      <c r="KO23" s="125">
        <f t="shared" si="148"/>
        <v>0</v>
      </c>
      <c r="KP23" s="125">
        <f t="shared" si="148"/>
        <v>0</v>
      </c>
      <c r="KQ23" s="125">
        <f t="shared" si="148"/>
        <v>0</v>
      </c>
      <c r="KR23" s="125">
        <f t="shared" si="148"/>
        <v>0</v>
      </c>
      <c r="KS23" s="125">
        <f t="shared" si="148"/>
        <v>0</v>
      </c>
      <c r="KT23" s="125">
        <f t="shared" si="148"/>
        <v>0</v>
      </c>
      <c r="KU23" s="125" t="str">
        <f t="shared" si="148"/>
        <v/>
      </c>
      <c r="KV23" s="125" t="str">
        <f t="shared" si="148"/>
        <v/>
      </c>
      <c r="KW23" s="125" t="str">
        <f t="shared" si="148"/>
        <v/>
      </c>
      <c r="KX23" s="125" t="str">
        <f t="shared" si="148"/>
        <v/>
      </c>
      <c r="KY23" s="125" t="str">
        <f t="shared" si="148"/>
        <v/>
      </c>
      <c r="KZ23" s="125" t="str">
        <f t="shared" si="148"/>
        <v/>
      </c>
      <c r="LA23" s="125" t="str">
        <f t="shared" si="148"/>
        <v/>
      </c>
      <c r="LB23" s="125" t="str">
        <f t="shared" si="148"/>
        <v/>
      </c>
      <c r="LC23" s="125" t="str">
        <f t="shared" si="148"/>
        <v/>
      </c>
      <c r="LD23" s="125" t="str">
        <f t="shared" si="148"/>
        <v/>
      </c>
      <c r="LE23" s="125" t="str">
        <f t="shared" si="148"/>
        <v/>
      </c>
      <c r="LF23" s="125" t="str">
        <f t="shared" si="148"/>
        <v/>
      </c>
      <c r="LG23" s="125" t="str">
        <f t="shared" si="148"/>
        <v/>
      </c>
      <c r="LH23" s="125" t="str">
        <f t="shared" si="148"/>
        <v/>
      </c>
      <c r="LI23" s="125" t="str">
        <f t="shared" si="148"/>
        <v/>
      </c>
      <c r="LJ23" s="125" t="str">
        <f t="shared" si="148"/>
        <v/>
      </c>
      <c r="LK23" s="125" t="str">
        <f t="shared" si="148"/>
        <v/>
      </c>
      <c r="LL23" s="125" t="str">
        <f t="shared" si="148"/>
        <v/>
      </c>
      <c r="LM23" s="125" t="str">
        <f t="shared" si="148"/>
        <v/>
      </c>
      <c r="LN23" s="125" t="str">
        <f t="shared" si="148"/>
        <v/>
      </c>
      <c r="LO23" s="125" t="str">
        <f t="shared" si="148"/>
        <v/>
      </c>
      <c r="LP23" s="125" t="str">
        <f t="shared" si="148"/>
        <v/>
      </c>
      <c r="LQ23" s="125" t="str">
        <f t="shared" si="148"/>
        <v/>
      </c>
      <c r="LR23" s="125" t="str">
        <f t="shared" si="148"/>
        <v/>
      </c>
      <c r="LS23" s="125" t="str">
        <f t="shared" si="148"/>
        <v/>
      </c>
      <c r="LT23" s="125" t="str">
        <f t="shared" si="148"/>
        <v/>
      </c>
      <c r="LU23" s="125" t="str">
        <f t="shared" si="148"/>
        <v/>
      </c>
      <c r="LV23" s="125" t="str">
        <f t="shared" si="148"/>
        <v/>
      </c>
      <c r="LW23" s="125" t="str">
        <f t="shared" si="148"/>
        <v/>
      </c>
      <c r="LX23" s="125" t="str">
        <f t="shared" si="148"/>
        <v/>
      </c>
      <c r="LY23" s="125" t="str">
        <f t="shared" si="148"/>
        <v/>
      </c>
      <c r="LZ23" s="125" t="str">
        <f t="shared" si="148"/>
        <v/>
      </c>
      <c r="MA23" s="125" t="str">
        <f t="shared" si="148"/>
        <v/>
      </c>
      <c r="MB23" s="125" t="str">
        <f t="shared" si="148"/>
        <v/>
      </c>
      <c r="MC23" s="125" t="str">
        <f t="shared" si="148"/>
        <v/>
      </c>
      <c r="MD23" s="125" t="str">
        <f t="shared" si="148"/>
        <v/>
      </c>
      <c r="ME23" s="125" t="str">
        <f t="shared" si="148"/>
        <v/>
      </c>
      <c r="MF23" s="125" t="str">
        <f t="shared" si="148"/>
        <v/>
      </c>
      <c r="MG23" s="125" t="str">
        <f t="shared" si="148"/>
        <v/>
      </c>
      <c r="MH23" s="125" t="str">
        <f t="shared" si="148"/>
        <v/>
      </c>
      <c r="MI23" s="125" t="str">
        <f t="shared" si="148"/>
        <v/>
      </c>
      <c r="MJ23" s="125" t="str">
        <f t="shared" ref="MJ23:NC23" si="149">IF(OR(MJ13="",MJ14="",MJ15="",MJ16="",MJ17="",MJ18="",MJ19="",MJ20="",MJ21=""),"",SUMIF($A$13:$A$21,$B23,MJ$13:MJ$21))</f>
        <v/>
      </c>
      <c r="MK23" s="125" t="str">
        <f t="shared" si="149"/>
        <v/>
      </c>
      <c r="ML23" s="125" t="str">
        <f t="shared" si="149"/>
        <v/>
      </c>
      <c r="MM23" s="125" t="str">
        <f t="shared" si="149"/>
        <v/>
      </c>
      <c r="MN23" s="125" t="str">
        <f t="shared" si="149"/>
        <v/>
      </c>
      <c r="MO23" s="125" t="str">
        <f t="shared" si="149"/>
        <v/>
      </c>
      <c r="MP23" s="125" t="str">
        <f t="shared" si="149"/>
        <v/>
      </c>
      <c r="MQ23" s="125" t="str">
        <f t="shared" si="149"/>
        <v/>
      </c>
      <c r="MR23" s="125" t="str">
        <f t="shared" si="149"/>
        <v/>
      </c>
      <c r="MS23" s="125" t="str">
        <f t="shared" si="149"/>
        <v/>
      </c>
      <c r="MT23" s="125" t="str">
        <f t="shared" si="149"/>
        <v/>
      </c>
      <c r="MU23" s="125" t="str">
        <f t="shared" si="149"/>
        <v/>
      </c>
      <c r="MV23" s="125" t="str">
        <f t="shared" si="149"/>
        <v/>
      </c>
      <c r="MW23" s="125" t="str">
        <f t="shared" si="149"/>
        <v/>
      </c>
      <c r="MX23" s="125" t="str">
        <f t="shared" si="149"/>
        <v/>
      </c>
      <c r="MY23" s="125" t="str">
        <f t="shared" si="149"/>
        <v/>
      </c>
      <c r="MZ23" s="125" t="str">
        <f t="shared" si="149"/>
        <v/>
      </c>
      <c r="NA23" s="125" t="str">
        <f t="shared" si="149"/>
        <v/>
      </c>
      <c r="NB23" s="125" t="str">
        <f t="shared" si="149"/>
        <v/>
      </c>
      <c r="NC23" s="125" t="str">
        <f t="shared" si="149"/>
        <v/>
      </c>
      <c r="ND23" s="125" t="str">
        <f t="shared" ref="ND23:NW23" si="150">IF(OR(ND13="",ND14="",ND15="",ND16="",ND17="",ND18="",ND19="",ND20="",ND21=""),"",SUMIF($A$13:$A$21,$B23,ND$13:ND$21))</f>
        <v/>
      </c>
      <c r="NE23" s="125" t="str">
        <f t="shared" si="150"/>
        <v/>
      </c>
      <c r="NF23" s="125" t="str">
        <f t="shared" si="150"/>
        <v/>
      </c>
      <c r="NG23" s="125" t="str">
        <f t="shared" si="150"/>
        <v/>
      </c>
      <c r="NH23" s="125" t="str">
        <f t="shared" si="150"/>
        <v/>
      </c>
      <c r="NI23" s="125" t="str">
        <f t="shared" si="150"/>
        <v/>
      </c>
      <c r="NJ23" s="125" t="str">
        <f t="shared" si="150"/>
        <v/>
      </c>
      <c r="NK23" s="125" t="str">
        <f t="shared" si="150"/>
        <v/>
      </c>
      <c r="NL23" s="125" t="str">
        <f t="shared" si="150"/>
        <v/>
      </c>
      <c r="NM23" s="125" t="str">
        <f t="shared" si="150"/>
        <v/>
      </c>
      <c r="NN23" s="125" t="str">
        <f t="shared" si="150"/>
        <v/>
      </c>
      <c r="NO23" s="125" t="str">
        <f t="shared" si="150"/>
        <v/>
      </c>
      <c r="NP23" s="125" t="str">
        <f t="shared" si="150"/>
        <v/>
      </c>
      <c r="NQ23" s="125" t="str">
        <f t="shared" si="150"/>
        <v/>
      </c>
      <c r="NR23" s="125" t="str">
        <f t="shared" si="150"/>
        <v/>
      </c>
      <c r="NS23" s="125" t="str">
        <f t="shared" si="150"/>
        <v/>
      </c>
      <c r="NT23" s="125" t="str">
        <f t="shared" si="150"/>
        <v/>
      </c>
      <c r="NU23" s="125" t="str">
        <f t="shared" si="150"/>
        <v/>
      </c>
      <c r="NV23" s="125" t="str">
        <f t="shared" si="150"/>
        <v/>
      </c>
      <c r="NW23" s="125" t="str">
        <f t="shared" si="150"/>
        <v/>
      </c>
      <c r="NX23" s="125" t="str">
        <f t="shared" ref="NX23:QI23" si="151">IF(OR(NX13="",NX14="",NX15="",NX16="",NX17="",NX18="",NX19="",NX20="",NX21=""),"",SUMIF($A$13:$A$21,$B23,NX$13:NX$21))</f>
        <v/>
      </c>
      <c r="NY23" s="125" t="str">
        <f t="shared" si="151"/>
        <v/>
      </c>
      <c r="NZ23" s="125" t="str">
        <f t="shared" si="151"/>
        <v/>
      </c>
      <c r="OA23" s="125" t="str">
        <f t="shared" si="151"/>
        <v/>
      </c>
      <c r="OB23" s="125" t="str">
        <f t="shared" si="151"/>
        <v/>
      </c>
      <c r="OC23" s="125" t="str">
        <f t="shared" si="151"/>
        <v/>
      </c>
      <c r="OD23" s="125" t="str">
        <f t="shared" si="151"/>
        <v/>
      </c>
      <c r="OE23" s="125" t="str">
        <f t="shared" si="151"/>
        <v/>
      </c>
      <c r="OF23" s="125" t="str">
        <f t="shared" si="151"/>
        <v/>
      </c>
      <c r="OG23" s="125" t="str">
        <f t="shared" si="151"/>
        <v/>
      </c>
      <c r="OH23" s="125" t="str">
        <f t="shared" si="151"/>
        <v/>
      </c>
      <c r="OI23" s="125" t="str">
        <f t="shared" si="151"/>
        <v/>
      </c>
      <c r="OJ23" s="125" t="str">
        <f t="shared" si="151"/>
        <v/>
      </c>
      <c r="OK23" s="125" t="str">
        <f t="shared" si="151"/>
        <v/>
      </c>
      <c r="OL23" s="125" t="str">
        <f t="shared" si="151"/>
        <v/>
      </c>
      <c r="OM23" s="125" t="str">
        <f t="shared" si="151"/>
        <v/>
      </c>
      <c r="ON23" s="125" t="str">
        <f t="shared" si="151"/>
        <v/>
      </c>
      <c r="OO23" s="125" t="str">
        <f t="shared" si="151"/>
        <v/>
      </c>
      <c r="OP23" s="125" t="str">
        <f t="shared" si="151"/>
        <v/>
      </c>
      <c r="OQ23" s="125" t="str">
        <f t="shared" si="151"/>
        <v/>
      </c>
      <c r="OR23" s="125" t="str">
        <f t="shared" si="151"/>
        <v/>
      </c>
      <c r="OS23" s="125" t="str">
        <f t="shared" si="151"/>
        <v/>
      </c>
      <c r="OT23" s="125" t="str">
        <f t="shared" si="151"/>
        <v/>
      </c>
      <c r="OU23" s="125" t="str">
        <f t="shared" si="151"/>
        <v/>
      </c>
      <c r="OV23" s="125" t="str">
        <f t="shared" si="151"/>
        <v/>
      </c>
      <c r="OW23" s="125" t="str">
        <f t="shared" si="151"/>
        <v/>
      </c>
      <c r="OX23" s="125" t="str">
        <f t="shared" si="151"/>
        <v/>
      </c>
      <c r="OY23" s="125" t="str">
        <f t="shared" si="151"/>
        <v/>
      </c>
      <c r="OZ23" s="125" t="str">
        <f t="shared" si="151"/>
        <v/>
      </c>
      <c r="PA23" s="125" t="str">
        <f t="shared" si="151"/>
        <v/>
      </c>
      <c r="PB23" s="125" t="str">
        <f t="shared" si="151"/>
        <v/>
      </c>
      <c r="PC23" s="125" t="str">
        <f t="shared" si="151"/>
        <v/>
      </c>
      <c r="PD23" s="125" t="str">
        <f t="shared" si="151"/>
        <v/>
      </c>
      <c r="PE23" s="125" t="str">
        <f t="shared" si="151"/>
        <v/>
      </c>
      <c r="PF23" s="125" t="str">
        <f t="shared" si="151"/>
        <v/>
      </c>
      <c r="PG23" s="125" t="str">
        <f t="shared" si="151"/>
        <v/>
      </c>
      <c r="PH23" s="125" t="str">
        <f t="shared" si="151"/>
        <v/>
      </c>
      <c r="PI23" s="125" t="str">
        <f t="shared" si="151"/>
        <v/>
      </c>
      <c r="PJ23" s="125" t="str">
        <f t="shared" si="151"/>
        <v/>
      </c>
      <c r="PK23" s="125" t="str">
        <f t="shared" si="151"/>
        <v/>
      </c>
      <c r="PL23" s="125" t="str">
        <f t="shared" si="151"/>
        <v/>
      </c>
      <c r="PM23" s="125" t="str">
        <f t="shared" si="151"/>
        <v/>
      </c>
      <c r="PN23" s="125" t="str">
        <f t="shared" si="151"/>
        <v/>
      </c>
      <c r="PO23" s="125" t="str">
        <f t="shared" si="151"/>
        <v/>
      </c>
      <c r="PP23" s="125" t="str">
        <f t="shared" si="151"/>
        <v/>
      </c>
      <c r="PQ23" s="125" t="str">
        <f t="shared" si="151"/>
        <v/>
      </c>
      <c r="PR23" s="125" t="str">
        <f t="shared" si="151"/>
        <v/>
      </c>
      <c r="PS23" s="125" t="str">
        <f t="shared" si="151"/>
        <v/>
      </c>
      <c r="PT23" s="125" t="str">
        <f t="shared" si="151"/>
        <v/>
      </c>
      <c r="PU23" s="125" t="str">
        <f t="shared" si="151"/>
        <v/>
      </c>
      <c r="PV23" s="125" t="str">
        <f t="shared" si="151"/>
        <v/>
      </c>
      <c r="PW23" s="125" t="str">
        <f t="shared" si="151"/>
        <v/>
      </c>
      <c r="PX23" s="125" t="str">
        <f t="shared" si="151"/>
        <v/>
      </c>
      <c r="PY23" s="125" t="str">
        <f t="shared" si="151"/>
        <v/>
      </c>
      <c r="PZ23" s="125" t="str">
        <f t="shared" si="151"/>
        <v/>
      </c>
      <c r="QA23" s="125" t="str">
        <f t="shared" si="151"/>
        <v/>
      </c>
      <c r="QB23" s="125" t="str">
        <f t="shared" si="151"/>
        <v/>
      </c>
      <c r="QC23" s="125" t="str">
        <f t="shared" si="151"/>
        <v/>
      </c>
      <c r="QD23" s="125" t="str">
        <f t="shared" si="151"/>
        <v/>
      </c>
      <c r="QE23" s="125" t="str">
        <f t="shared" si="151"/>
        <v/>
      </c>
      <c r="QF23" s="125" t="str">
        <f t="shared" si="151"/>
        <v/>
      </c>
      <c r="QG23" s="125" t="str">
        <f t="shared" si="151"/>
        <v/>
      </c>
      <c r="QH23" s="125" t="str">
        <f t="shared" si="151"/>
        <v/>
      </c>
      <c r="QI23" s="125" t="str">
        <f t="shared" si="151"/>
        <v/>
      </c>
      <c r="QJ23" s="125" t="str">
        <f t="shared" ref="QJ23:SU23" si="152">IF(OR(QJ13="",QJ14="",QJ15="",QJ16="",QJ17="",QJ18="",QJ19="",QJ20="",QJ21=""),"",SUMIF($A$13:$A$21,$B23,QJ$13:QJ$21))</f>
        <v/>
      </c>
      <c r="QK23" s="125" t="str">
        <f t="shared" si="152"/>
        <v/>
      </c>
      <c r="QL23" s="125" t="str">
        <f t="shared" si="152"/>
        <v/>
      </c>
      <c r="QM23" s="125" t="str">
        <f t="shared" si="152"/>
        <v/>
      </c>
      <c r="QN23" s="125" t="str">
        <f t="shared" si="152"/>
        <v/>
      </c>
      <c r="QO23" s="125" t="str">
        <f t="shared" si="152"/>
        <v/>
      </c>
      <c r="QP23" s="125" t="str">
        <f t="shared" si="152"/>
        <v/>
      </c>
      <c r="QQ23" s="125" t="str">
        <f t="shared" si="152"/>
        <v/>
      </c>
      <c r="QR23" s="125" t="str">
        <f t="shared" si="152"/>
        <v/>
      </c>
      <c r="QS23" s="125" t="str">
        <f t="shared" si="152"/>
        <v/>
      </c>
      <c r="QT23" s="125" t="str">
        <f t="shared" si="152"/>
        <v/>
      </c>
      <c r="QU23" s="125" t="str">
        <f t="shared" si="152"/>
        <v/>
      </c>
      <c r="QV23" s="125" t="str">
        <f t="shared" si="152"/>
        <v/>
      </c>
      <c r="QW23" s="125" t="str">
        <f t="shared" si="152"/>
        <v/>
      </c>
      <c r="QX23" s="125" t="str">
        <f t="shared" si="152"/>
        <v/>
      </c>
      <c r="QY23" s="125" t="str">
        <f t="shared" si="152"/>
        <v/>
      </c>
      <c r="QZ23" s="125" t="str">
        <f t="shared" si="152"/>
        <v/>
      </c>
      <c r="RA23" s="125" t="str">
        <f t="shared" si="152"/>
        <v/>
      </c>
      <c r="RB23" s="125" t="str">
        <f t="shared" si="152"/>
        <v/>
      </c>
      <c r="RC23" s="125" t="str">
        <f t="shared" si="152"/>
        <v/>
      </c>
      <c r="RD23" s="125" t="str">
        <f t="shared" si="152"/>
        <v/>
      </c>
      <c r="RE23" s="125" t="str">
        <f t="shared" si="152"/>
        <v/>
      </c>
      <c r="RF23" s="125" t="str">
        <f t="shared" si="152"/>
        <v/>
      </c>
      <c r="RG23" s="125" t="str">
        <f t="shared" si="152"/>
        <v/>
      </c>
      <c r="RH23" s="125" t="str">
        <f t="shared" si="152"/>
        <v/>
      </c>
      <c r="RI23" s="125" t="str">
        <f t="shared" si="152"/>
        <v/>
      </c>
      <c r="RJ23" s="125" t="str">
        <f t="shared" si="152"/>
        <v/>
      </c>
      <c r="RK23" s="125" t="str">
        <f t="shared" si="152"/>
        <v/>
      </c>
      <c r="RL23" s="125" t="str">
        <f t="shared" si="152"/>
        <v/>
      </c>
      <c r="RM23" s="125" t="str">
        <f t="shared" si="152"/>
        <v/>
      </c>
      <c r="RN23" s="125" t="str">
        <f t="shared" si="152"/>
        <v/>
      </c>
      <c r="RO23" s="125" t="str">
        <f t="shared" si="152"/>
        <v/>
      </c>
      <c r="RP23" s="125" t="str">
        <f t="shared" si="152"/>
        <v/>
      </c>
      <c r="RQ23" s="125" t="str">
        <f t="shared" si="152"/>
        <v/>
      </c>
      <c r="RR23" s="125" t="str">
        <f t="shared" si="152"/>
        <v/>
      </c>
      <c r="RS23" s="125" t="str">
        <f t="shared" si="152"/>
        <v/>
      </c>
      <c r="RT23" s="125" t="str">
        <f t="shared" si="152"/>
        <v/>
      </c>
      <c r="RU23" s="125" t="str">
        <f t="shared" si="152"/>
        <v/>
      </c>
      <c r="RV23" s="125" t="str">
        <f t="shared" si="152"/>
        <v/>
      </c>
      <c r="RW23" s="125" t="str">
        <f t="shared" si="152"/>
        <v/>
      </c>
      <c r="RX23" s="125" t="str">
        <f t="shared" si="152"/>
        <v/>
      </c>
      <c r="RY23" s="125" t="str">
        <f t="shared" si="152"/>
        <v/>
      </c>
      <c r="RZ23" s="125" t="str">
        <f t="shared" si="152"/>
        <v/>
      </c>
      <c r="SA23" s="125" t="str">
        <f t="shared" si="152"/>
        <v/>
      </c>
      <c r="SB23" s="125" t="str">
        <f t="shared" si="152"/>
        <v/>
      </c>
      <c r="SC23" s="125" t="str">
        <f t="shared" si="152"/>
        <v/>
      </c>
      <c r="SD23" s="125" t="str">
        <f t="shared" si="152"/>
        <v/>
      </c>
      <c r="SE23" s="125" t="str">
        <f t="shared" si="152"/>
        <v/>
      </c>
      <c r="SF23" s="125" t="str">
        <f t="shared" si="152"/>
        <v/>
      </c>
      <c r="SG23" s="125" t="str">
        <f t="shared" si="152"/>
        <v/>
      </c>
      <c r="SH23" s="125" t="str">
        <f t="shared" si="152"/>
        <v/>
      </c>
      <c r="SI23" s="125" t="str">
        <f t="shared" si="152"/>
        <v/>
      </c>
      <c r="SJ23" s="125" t="str">
        <f t="shared" si="152"/>
        <v/>
      </c>
      <c r="SK23" s="125" t="str">
        <f t="shared" si="152"/>
        <v/>
      </c>
      <c r="SL23" s="125" t="str">
        <f t="shared" si="152"/>
        <v/>
      </c>
      <c r="SM23" s="125" t="str">
        <f t="shared" si="152"/>
        <v/>
      </c>
      <c r="SN23" s="125" t="str">
        <f t="shared" si="152"/>
        <v/>
      </c>
      <c r="SO23" s="125" t="str">
        <f t="shared" si="152"/>
        <v/>
      </c>
      <c r="SP23" s="125" t="str">
        <f t="shared" si="152"/>
        <v/>
      </c>
      <c r="SQ23" s="125" t="str">
        <f t="shared" si="152"/>
        <v/>
      </c>
      <c r="SR23" s="125" t="str">
        <f t="shared" si="152"/>
        <v/>
      </c>
      <c r="SS23" s="125" t="str">
        <f t="shared" si="152"/>
        <v/>
      </c>
      <c r="ST23" s="125" t="str">
        <f t="shared" si="152"/>
        <v/>
      </c>
      <c r="SU23" s="125" t="str">
        <f t="shared" si="152"/>
        <v/>
      </c>
      <c r="SV23" s="125" t="str">
        <f t="shared" ref="SV23:SW23" si="153">IF(OR(SV13="",SV14="",SV15="",SV16="",SV17="",SV18="",SV19="",SV20="",SV21=""),"",SUMIF($A$13:$A$21,$B23,SV$13:SV$21))</f>
        <v/>
      </c>
      <c r="SW23" s="125" t="str">
        <f t="shared" si="153"/>
        <v/>
      </c>
    </row>
    <row r="24" spans="1:517" s="40" customFormat="1" ht="24.6" customHeight="1" x14ac:dyDescent="0.2">
      <c r="A24" s="28">
        <f>SUM(A22:A23)</f>
        <v>9</v>
      </c>
    </row>
    <row r="25" spans="1:517" s="40" customFormat="1" ht="24.6" customHeight="1" x14ac:dyDescent="0.2">
      <c r="A25" s="28"/>
    </row>
    <row r="26" spans="1:517" ht="24.6" customHeight="1" x14ac:dyDescent="0.2">
      <c r="A26" s="94"/>
      <c r="B26" s="112" t="s">
        <v>23</v>
      </c>
    </row>
    <row r="27" spans="1:517" ht="24" customHeight="1" x14ac:dyDescent="0.2">
      <c r="A27" s="113" t="s">
        <v>86</v>
      </c>
      <c r="B27" s="117" t="s">
        <v>77</v>
      </c>
      <c r="C27" s="109">
        <f t="shared" ref="C27:BN27" si="154">IF(OR(C$13="",C$17="",C$14="",C$15="",C$16="",C$18="",C$19="",C$20="",C$21=""),"",1-(C13/(C$1*24)))</f>
        <v>1</v>
      </c>
      <c r="D27" s="109">
        <f t="shared" si="154"/>
        <v>1</v>
      </c>
      <c r="E27" s="109">
        <f t="shared" si="154"/>
        <v>0.9</v>
      </c>
      <c r="F27" s="109">
        <f t="shared" si="154"/>
        <v>1</v>
      </c>
      <c r="G27" s="109">
        <f t="shared" si="154"/>
        <v>1</v>
      </c>
      <c r="H27" s="109">
        <f t="shared" si="154"/>
        <v>0.69916666666666671</v>
      </c>
      <c r="I27" s="109">
        <f t="shared" si="154"/>
        <v>0.93874999999999997</v>
      </c>
      <c r="J27" s="109">
        <f t="shared" si="154"/>
        <v>-0.10416666666666674</v>
      </c>
      <c r="K27" s="109">
        <f t="shared" si="154"/>
        <v>1</v>
      </c>
      <c r="L27" s="109">
        <f t="shared" si="154"/>
        <v>1</v>
      </c>
      <c r="M27" s="109">
        <f t="shared" si="154"/>
        <v>1</v>
      </c>
      <c r="N27" s="109">
        <f t="shared" si="154"/>
        <v>0.64166666666666661</v>
      </c>
      <c r="O27" s="109">
        <f t="shared" si="154"/>
        <v>1</v>
      </c>
      <c r="P27" s="109">
        <f t="shared" si="154"/>
        <v>1</v>
      </c>
      <c r="Q27" s="109">
        <f t="shared" si="154"/>
        <v>1</v>
      </c>
      <c r="R27" s="109">
        <f t="shared" si="154"/>
        <v>0.15375000000000005</v>
      </c>
      <c r="S27" s="109">
        <f t="shared" si="154"/>
        <v>1</v>
      </c>
      <c r="T27" s="109">
        <f t="shared" si="154"/>
        <v>1</v>
      </c>
      <c r="U27" s="109">
        <f t="shared" si="154"/>
        <v>1</v>
      </c>
      <c r="V27" s="109">
        <f t="shared" si="154"/>
        <v>0.78749999999999998</v>
      </c>
      <c r="W27" s="109">
        <f t="shared" si="154"/>
        <v>0.99083333333333334</v>
      </c>
      <c r="X27" s="109">
        <f t="shared" si="154"/>
        <v>0.95958333333333334</v>
      </c>
      <c r="Y27" s="109">
        <f t="shared" si="154"/>
        <v>0.74041666666666672</v>
      </c>
      <c r="Z27" s="109">
        <f t="shared" si="154"/>
        <v>1</v>
      </c>
      <c r="AA27" s="109">
        <f t="shared" si="154"/>
        <v>0.88041666666666663</v>
      </c>
      <c r="AB27" s="109">
        <f t="shared" si="154"/>
        <v>1</v>
      </c>
      <c r="AC27" s="109">
        <f t="shared" si="154"/>
        <v>0.95166666666666666</v>
      </c>
      <c r="AD27" s="109">
        <f t="shared" si="154"/>
        <v>0.85916666666666663</v>
      </c>
      <c r="AE27" s="109">
        <f t="shared" si="154"/>
        <v>1</v>
      </c>
      <c r="AF27" s="109">
        <f t="shared" si="154"/>
        <v>1</v>
      </c>
      <c r="AG27" s="109">
        <f t="shared" si="154"/>
        <v>1</v>
      </c>
      <c r="AH27" s="109">
        <f t="shared" si="154"/>
        <v>1</v>
      </c>
      <c r="AI27" s="109">
        <f t="shared" si="154"/>
        <v>0.55499999999999994</v>
      </c>
      <c r="AJ27" s="109">
        <f t="shared" si="154"/>
        <v>1</v>
      </c>
      <c r="AK27" s="109">
        <f t="shared" si="154"/>
        <v>1</v>
      </c>
      <c r="AL27" s="109">
        <f t="shared" si="154"/>
        <v>1</v>
      </c>
      <c r="AM27" s="109">
        <f t="shared" si="154"/>
        <v>0.91041666666666665</v>
      </c>
      <c r="AN27" s="109">
        <f t="shared" si="154"/>
        <v>1</v>
      </c>
      <c r="AO27" s="109">
        <f t="shared" si="154"/>
        <v>1</v>
      </c>
      <c r="AP27" s="109">
        <f t="shared" si="154"/>
        <v>1</v>
      </c>
      <c r="AQ27" s="109">
        <f t="shared" si="154"/>
        <v>0.71458333333333335</v>
      </c>
      <c r="AR27" s="109">
        <f t="shared" si="154"/>
        <v>1</v>
      </c>
      <c r="AS27" s="109">
        <f t="shared" si="154"/>
        <v>0.20208333333333328</v>
      </c>
      <c r="AT27" s="109">
        <f t="shared" si="154"/>
        <v>1</v>
      </c>
      <c r="AU27" s="109">
        <f t="shared" si="154"/>
        <v>0.30625000000000002</v>
      </c>
      <c r="AV27" s="109">
        <f t="shared" si="154"/>
        <v>0.93874999999999997</v>
      </c>
      <c r="AW27" s="109">
        <f t="shared" si="154"/>
        <v>0.58041666666666658</v>
      </c>
      <c r="AX27" s="109">
        <f t="shared" si="154"/>
        <v>1</v>
      </c>
      <c r="AY27" s="109">
        <f t="shared" si="154"/>
        <v>1</v>
      </c>
      <c r="AZ27" s="109">
        <f t="shared" si="154"/>
        <v>1</v>
      </c>
      <c r="BA27" s="109">
        <f t="shared" si="154"/>
        <v>0.69833333333333325</v>
      </c>
      <c r="BB27" s="109">
        <f t="shared" si="154"/>
        <v>0.94666666666666666</v>
      </c>
      <c r="BC27" s="109">
        <f t="shared" si="154"/>
        <v>0.77375000000000005</v>
      </c>
      <c r="BD27" s="109">
        <f t="shared" si="154"/>
        <v>1</v>
      </c>
      <c r="BE27" s="109">
        <f t="shared" si="154"/>
        <v>0.88624999999999998</v>
      </c>
      <c r="BF27" s="109">
        <f t="shared" si="154"/>
        <v>1</v>
      </c>
      <c r="BG27" s="109">
        <f t="shared" si="154"/>
        <v>1</v>
      </c>
      <c r="BH27" s="109">
        <f t="shared" si="154"/>
        <v>0.84166666666666667</v>
      </c>
      <c r="BI27" s="109">
        <f t="shared" si="154"/>
        <v>0.9916666666666667</v>
      </c>
      <c r="BJ27" s="109">
        <f t="shared" si="154"/>
        <v>1</v>
      </c>
      <c r="BK27" s="109">
        <f t="shared" si="154"/>
        <v>0.94708333333333328</v>
      </c>
      <c r="BL27" s="109">
        <f t="shared" si="154"/>
        <v>1</v>
      </c>
      <c r="BM27" s="109">
        <f t="shared" si="154"/>
        <v>1</v>
      </c>
      <c r="BN27" s="109">
        <f t="shared" si="154"/>
        <v>1</v>
      </c>
      <c r="BO27" s="109">
        <f t="shared" ref="BO27:DZ27" si="155">IF(OR(BO$13="",BO$17="",BO$14="",BO$15="",BO$16="",BO$18="",BO$19="",BO$20="",BO$21=""),"",1-(BO13/(BO$1*24)))</f>
        <v>1</v>
      </c>
      <c r="BP27" s="109">
        <f t="shared" si="155"/>
        <v>1</v>
      </c>
      <c r="BQ27" s="109">
        <f t="shared" si="155"/>
        <v>1</v>
      </c>
      <c r="BR27" s="109">
        <f t="shared" si="155"/>
        <v>0.90500000000000003</v>
      </c>
      <c r="BS27" s="109">
        <f t="shared" si="155"/>
        <v>1</v>
      </c>
      <c r="BT27" s="109">
        <f t="shared" si="155"/>
        <v>1</v>
      </c>
      <c r="BU27" s="109">
        <f t="shared" si="155"/>
        <v>1</v>
      </c>
      <c r="BV27" s="109">
        <f t="shared" si="155"/>
        <v>1</v>
      </c>
      <c r="BW27" s="109">
        <f t="shared" si="155"/>
        <v>1</v>
      </c>
      <c r="BX27" s="109">
        <f t="shared" si="155"/>
        <v>1</v>
      </c>
      <c r="BY27" s="109">
        <f t="shared" si="155"/>
        <v>0.78333333333333333</v>
      </c>
      <c r="BZ27" s="109">
        <f t="shared" si="155"/>
        <v>1</v>
      </c>
      <c r="CA27" s="109">
        <f t="shared" si="155"/>
        <v>1</v>
      </c>
      <c r="CB27" s="109">
        <f t="shared" si="155"/>
        <v>9.5833333333333881E-3</v>
      </c>
      <c r="CC27" s="109">
        <f t="shared" si="155"/>
        <v>0.56833333333333336</v>
      </c>
      <c r="CD27" s="109">
        <f t="shared" si="155"/>
        <v>0.7583333333333333</v>
      </c>
      <c r="CE27" s="109">
        <f t="shared" si="155"/>
        <v>1</v>
      </c>
      <c r="CF27" s="109">
        <f t="shared" si="155"/>
        <v>0.39166666666666661</v>
      </c>
      <c r="CG27" s="109">
        <f t="shared" si="155"/>
        <v>0.98666666666666669</v>
      </c>
      <c r="CH27" s="109">
        <f t="shared" si="155"/>
        <v>0.82499999999999996</v>
      </c>
      <c r="CI27" s="109">
        <f t="shared" si="155"/>
        <v>0.65416666666666656</v>
      </c>
      <c r="CJ27" s="109">
        <f t="shared" si="155"/>
        <v>1</v>
      </c>
      <c r="CK27" s="109">
        <f t="shared" si="155"/>
        <v>1</v>
      </c>
      <c r="CL27" s="109">
        <f t="shared" si="155"/>
        <v>1</v>
      </c>
      <c r="CM27" s="109">
        <f t="shared" si="155"/>
        <v>0.86708333333333332</v>
      </c>
      <c r="CN27" s="109">
        <f t="shared" si="155"/>
        <v>1</v>
      </c>
      <c r="CO27" s="109">
        <f t="shared" si="155"/>
        <v>1</v>
      </c>
      <c r="CP27" s="109">
        <f t="shared" si="155"/>
        <v>0.745</v>
      </c>
      <c r="CQ27" s="109">
        <f t="shared" si="155"/>
        <v>1</v>
      </c>
      <c r="CR27" s="109">
        <f t="shared" si="155"/>
        <v>1</v>
      </c>
      <c r="CS27" s="109">
        <f t="shared" si="155"/>
        <v>1</v>
      </c>
      <c r="CT27" s="109">
        <f t="shared" si="155"/>
        <v>0.98333333333333328</v>
      </c>
      <c r="CU27" s="109">
        <f t="shared" si="155"/>
        <v>1</v>
      </c>
      <c r="CV27" s="109">
        <f t="shared" si="155"/>
        <v>0.97499999999999998</v>
      </c>
      <c r="CW27" s="109">
        <f t="shared" si="155"/>
        <v>1</v>
      </c>
      <c r="CX27" s="109">
        <f t="shared" si="155"/>
        <v>1</v>
      </c>
      <c r="CY27" s="109">
        <f t="shared" si="155"/>
        <v>1</v>
      </c>
      <c r="CZ27" s="109">
        <f t="shared" si="155"/>
        <v>1</v>
      </c>
      <c r="DA27" s="109">
        <f t="shared" si="155"/>
        <v>0.8075</v>
      </c>
      <c r="DB27" s="109">
        <f t="shared" si="155"/>
        <v>1</v>
      </c>
      <c r="DC27" s="109">
        <f t="shared" si="155"/>
        <v>1</v>
      </c>
      <c r="DD27" s="109">
        <f t="shared" si="155"/>
        <v>0.95499999999999996</v>
      </c>
      <c r="DE27" s="109">
        <f t="shared" si="155"/>
        <v>1</v>
      </c>
      <c r="DF27" s="109">
        <f t="shared" si="155"/>
        <v>1</v>
      </c>
      <c r="DG27" s="109">
        <f t="shared" si="155"/>
        <v>1</v>
      </c>
      <c r="DH27" s="109">
        <f t="shared" si="155"/>
        <v>1</v>
      </c>
      <c r="DI27" s="109">
        <f t="shared" si="155"/>
        <v>1</v>
      </c>
      <c r="DJ27" s="109">
        <f t="shared" si="155"/>
        <v>1</v>
      </c>
      <c r="DK27" s="109">
        <f t="shared" si="155"/>
        <v>0.90541666666666665</v>
      </c>
      <c r="DL27" s="109">
        <f t="shared" si="155"/>
        <v>0.84916666666666663</v>
      </c>
      <c r="DM27" s="109">
        <f t="shared" si="155"/>
        <v>1</v>
      </c>
      <c r="DN27" s="109">
        <f t="shared" si="155"/>
        <v>1</v>
      </c>
      <c r="DO27" s="109">
        <f t="shared" si="155"/>
        <v>1</v>
      </c>
      <c r="DP27" s="109">
        <f t="shared" si="155"/>
        <v>1</v>
      </c>
      <c r="DQ27" s="109">
        <f t="shared" si="155"/>
        <v>1</v>
      </c>
      <c r="DR27" s="109">
        <f t="shared" si="155"/>
        <v>1</v>
      </c>
      <c r="DS27" s="109">
        <f t="shared" si="155"/>
        <v>1</v>
      </c>
      <c r="DT27" s="109">
        <f t="shared" si="155"/>
        <v>0.87291666666666667</v>
      </c>
      <c r="DU27" s="109">
        <f t="shared" si="155"/>
        <v>1</v>
      </c>
      <c r="DV27" s="109">
        <f t="shared" si="155"/>
        <v>1</v>
      </c>
      <c r="DW27" s="109">
        <f t="shared" si="155"/>
        <v>1</v>
      </c>
      <c r="DX27" s="109">
        <f t="shared" si="155"/>
        <v>1</v>
      </c>
      <c r="DY27" s="109">
        <f t="shared" si="155"/>
        <v>1</v>
      </c>
      <c r="DZ27" s="109">
        <f t="shared" si="155"/>
        <v>0.88749999999999996</v>
      </c>
      <c r="EA27" s="109">
        <f t="shared" ref="EA27:GL27" si="156">IF(OR(EA$13="",EA$17="",EA$14="",EA$15="",EA$16="",EA$18="",EA$19="",EA$20="",EA$21=""),"",1-(EA13/(EA$1*24)))</f>
        <v>1</v>
      </c>
      <c r="EB27" s="109">
        <f t="shared" si="156"/>
        <v>0.90125</v>
      </c>
      <c r="EC27" s="109">
        <f t="shared" si="156"/>
        <v>0.29166666666666685</v>
      </c>
      <c r="ED27" s="109">
        <f t="shared" si="156"/>
        <v>0.56666666666666665</v>
      </c>
      <c r="EE27" s="109">
        <f t="shared" si="156"/>
        <v>0.5708333333333333</v>
      </c>
      <c r="EF27" s="109">
        <f t="shared" si="156"/>
        <v>1</v>
      </c>
      <c r="EG27" s="109">
        <f t="shared" si="156"/>
        <v>0.66250000000000009</v>
      </c>
      <c r="EH27" s="109">
        <f t="shared" si="156"/>
        <v>0.98458333333333337</v>
      </c>
      <c r="EI27" s="109">
        <f t="shared" si="156"/>
        <v>0.78</v>
      </c>
      <c r="EJ27" s="109">
        <f t="shared" si="156"/>
        <v>1</v>
      </c>
      <c r="EK27" s="109">
        <f t="shared" si="156"/>
        <v>1</v>
      </c>
      <c r="EL27" s="109">
        <f t="shared" si="156"/>
        <v>1</v>
      </c>
      <c r="EM27" s="109">
        <f t="shared" si="156"/>
        <v>1</v>
      </c>
      <c r="EN27" s="109">
        <f t="shared" si="156"/>
        <v>1</v>
      </c>
      <c r="EO27" s="109">
        <f t="shared" si="156"/>
        <v>1</v>
      </c>
      <c r="EP27" s="109">
        <f t="shared" si="156"/>
        <v>1</v>
      </c>
      <c r="EQ27" s="109">
        <f t="shared" si="156"/>
        <v>1</v>
      </c>
      <c r="ER27" s="109">
        <f t="shared" si="156"/>
        <v>0.60833333333333339</v>
      </c>
      <c r="ES27" s="109">
        <f t="shared" si="156"/>
        <v>1</v>
      </c>
      <c r="ET27" s="109">
        <f t="shared" si="156"/>
        <v>1</v>
      </c>
      <c r="EU27" s="109">
        <f t="shared" si="156"/>
        <v>1</v>
      </c>
      <c r="EV27" s="109">
        <f t="shared" si="156"/>
        <v>1</v>
      </c>
      <c r="EW27" s="109">
        <f t="shared" si="156"/>
        <v>1</v>
      </c>
      <c r="EX27" s="109">
        <f t="shared" si="156"/>
        <v>1</v>
      </c>
      <c r="EY27" s="109">
        <f t="shared" si="156"/>
        <v>1</v>
      </c>
      <c r="EZ27" s="109">
        <f t="shared" si="156"/>
        <v>1</v>
      </c>
      <c r="FA27" s="109">
        <f t="shared" si="156"/>
        <v>1</v>
      </c>
      <c r="FB27" s="109">
        <f t="shared" si="156"/>
        <v>1</v>
      </c>
      <c r="FC27" s="109">
        <f t="shared" si="156"/>
        <v>1</v>
      </c>
      <c r="FD27" s="109">
        <f t="shared" si="156"/>
        <v>1</v>
      </c>
      <c r="FE27" s="109">
        <f t="shared" si="156"/>
        <v>-6.5416666666666679E-2</v>
      </c>
      <c r="FF27" s="109">
        <f t="shared" si="156"/>
        <v>0.82416666666666671</v>
      </c>
      <c r="FG27" s="109">
        <f t="shared" si="156"/>
        <v>0.98958333333333337</v>
      </c>
      <c r="FH27" s="109">
        <f t="shared" si="156"/>
        <v>0.57291666666666674</v>
      </c>
      <c r="FI27" s="109">
        <f t="shared" si="156"/>
        <v>0.61708333333333343</v>
      </c>
      <c r="FJ27" s="109">
        <f t="shared" si="156"/>
        <v>1</v>
      </c>
      <c r="FK27" s="109">
        <f t="shared" si="156"/>
        <v>1</v>
      </c>
      <c r="FL27" s="109">
        <f t="shared" si="156"/>
        <v>1</v>
      </c>
      <c r="FM27" s="109">
        <f t="shared" si="156"/>
        <v>1</v>
      </c>
      <c r="FN27" s="109">
        <f t="shared" si="156"/>
        <v>1</v>
      </c>
      <c r="FO27" s="109">
        <f t="shared" si="156"/>
        <v>1</v>
      </c>
      <c r="FP27" s="109">
        <f t="shared" si="156"/>
        <v>1</v>
      </c>
      <c r="FQ27" s="109">
        <f t="shared" si="156"/>
        <v>1</v>
      </c>
      <c r="FR27" s="109">
        <f t="shared" si="156"/>
        <v>1</v>
      </c>
      <c r="FS27" s="109">
        <f t="shared" si="156"/>
        <v>1</v>
      </c>
      <c r="FT27" s="109">
        <f t="shared" si="156"/>
        <v>1</v>
      </c>
      <c r="FU27" s="109">
        <f t="shared" si="156"/>
        <v>1</v>
      </c>
      <c r="FV27" s="109">
        <f t="shared" si="156"/>
        <v>0.62083333333333335</v>
      </c>
      <c r="FW27" s="109">
        <f t="shared" si="156"/>
        <v>0.87583333333333335</v>
      </c>
      <c r="FX27" s="109">
        <f t="shared" si="156"/>
        <v>1</v>
      </c>
      <c r="FY27" s="109">
        <f t="shared" si="156"/>
        <v>1</v>
      </c>
      <c r="FZ27" s="109">
        <f t="shared" si="156"/>
        <v>0.52</v>
      </c>
      <c r="GA27" s="109">
        <f t="shared" ref="GA27:GB35" si="157">IF(OR(GA$13="",GA$17="",GA$14="",GA$15="",GA$16="",GA$18="",GA$19="",GA$20="",GA$21=""),"",1-(GA13/(GA$1*24)))</f>
        <v>1</v>
      </c>
      <c r="GB27" s="109">
        <f t="shared" si="157"/>
        <v>1</v>
      </c>
      <c r="GC27" s="109">
        <f t="shared" si="156"/>
        <v>0.97458333333333336</v>
      </c>
      <c r="GD27" s="109">
        <f t="shared" si="156"/>
        <v>1</v>
      </c>
      <c r="GE27" s="109">
        <f t="shared" si="156"/>
        <v>0.9966666666666667</v>
      </c>
      <c r="GF27" s="109">
        <f t="shared" si="156"/>
        <v>1</v>
      </c>
      <c r="GG27" s="109">
        <f t="shared" si="156"/>
        <v>1</v>
      </c>
      <c r="GH27" s="109">
        <f t="shared" si="156"/>
        <v>0.95750000000000002</v>
      </c>
      <c r="GI27" s="109">
        <f t="shared" si="156"/>
        <v>1</v>
      </c>
      <c r="GJ27" s="109">
        <f t="shared" si="156"/>
        <v>1</v>
      </c>
      <c r="GK27" s="109">
        <f t="shared" si="156"/>
        <v>1</v>
      </c>
      <c r="GL27" s="109">
        <f t="shared" si="156"/>
        <v>1</v>
      </c>
      <c r="GM27" s="109">
        <f t="shared" ref="GM27:IX27" si="158">IF(OR(GM$13="",GM$17="",GM$14="",GM$15="",GM$16="",GM$18="",GM$19="",GM$20="",GM$21=""),"",1-(GM13/(GM$1*24)))</f>
        <v>1</v>
      </c>
      <c r="GN27" s="109">
        <f t="shared" si="158"/>
        <v>1</v>
      </c>
      <c r="GO27" s="109">
        <f t="shared" si="158"/>
        <v>1</v>
      </c>
      <c r="GP27" s="109">
        <f t="shared" si="158"/>
        <v>1</v>
      </c>
      <c r="GQ27" s="109">
        <f t="shared" si="158"/>
        <v>1</v>
      </c>
      <c r="GR27" s="109">
        <f t="shared" si="158"/>
        <v>1</v>
      </c>
      <c r="GS27" s="109">
        <f t="shared" si="158"/>
        <v>1</v>
      </c>
      <c r="GT27" s="109">
        <f t="shared" si="158"/>
        <v>1</v>
      </c>
      <c r="GU27" s="109">
        <f t="shared" si="158"/>
        <v>-0.99249999999999994</v>
      </c>
      <c r="GV27" s="109">
        <f t="shared" si="158"/>
        <v>1</v>
      </c>
      <c r="GW27" s="109">
        <f t="shared" si="158"/>
        <v>0.86750000000000005</v>
      </c>
      <c r="GX27" s="109">
        <f t="shared" si="158"/>
        <v>1</v>
      </c>
      <c r="GY27" s="109">
        <f t="shared" si="158"/>
        <v>1</v>
      </c>
      <c r="GZ27" s="109">
        <f t="shared" si="158"/>
        <v>1</v>
      </c>
      <c r="HA27" s="109">
        <f t="shared" si="158"/>
        <v>1</v>
      </c>
      <c r="HB27" s="109">
        <f t="shared" si="158"/>
        <v>1</v>
      </c>
      <c r="HC27" s="109">
        <f t="shared" si="158"/>
        <v>1</v>
      </c>
      <c r="HD27" s="109">
        <f t="shared" si="158"/>
        <v>0.26333333333333331</v>
      </c>
      <c r="HE27" s="109">
        <f t="shared" si="158"/>
        <v>1</v>
      </c>
      <c r="HF27" s="109">
        <f t="shared" si="158"/>
        <v>1</v>
      </c>
      <c r="HG27" s="109">
        <f t="shared" si="158"/>
        <v>1</v>
      </c>
      <c r="HH27" s="109">
        <f t="shared" si="158"/>
        <v>1</v>
      </c>
      <c r="HI27" s="109">
        <f t="shared" si="158"/>
        <v>1</v>
      </c>
      <c r="HJ27" s="109">
        <f t="shared" si="158"/>
        <v>0.9713194444444444</v>
      </c>
      <c r="HK27" s="109">
        <f t="shared" si="158"/>
        <v>0.17689814814814808</v>
      </c>
      <c r="HL27" s="109">
        <f t="shared" si="158"/>
        <v>0.97329861111111116</v>
      </c>
      <c r="HM27" s="109">
        <f t="shared" si="158"/>
        <v>1</v>
      </c>
      <c r="HN27" s="109">
        <f t="shared" si="158"/>
        <v>1</v>
      </c>
      <c r="HO27" s="109">
        <f t="shared" si="158"/>
        <v>1</v>
      </c>
      <c r="HP27" s="109">
        <f t="shared" si="158"/>
        <v>1</v>
      </c>
      <c r="HQ27" s="109">
        <f t="shared" si="158"/>
        <v>1</v>
      </c>
      <c r="HR27" s="109">
        <f t="shared" si="158"/>
        <v>1</v>
      </c>
      <c r="HS27" s="109">
        <f t="shared" si="158"/>
        <v>0.31868055555555552</v>
      </c>
      <c r="HT27" s="109">
        <f t="shared" si="158"/>
        <v>1</v>
      </c>
      <c r="HU27" s="109">
        <f t="shared" si="158"/>
        <v>0.77640046296296295</v>
      </c>
      <c r="HV27" s="109">
        <f t="shared" si="158"/>
        <v>1</v>
      </c>
      <c r="HW27" s="109">
        <f t="shared" si="158"/>
        <v>1</v>
      </c>
      <c r="HX27" s="109">
        <f t="shared" si="158"/>
        <v>0.44572916666666673</v>
      </c>
      <c r="HY27" s="109">
        <f t="shared" si="158"/>
        <v>0.84685185185185186</v>
      </c>
      <c r="HZ27" s="109">
        <f t="shared" si="158"/>
        <v>0.73144675925925928</v>
      </c>
      <c r="IA27" s="109">
        <f t="shared" si="158"/>
        <v>0.96987268518518521</v>
      </c>
      <c r="IB27" s="109">
        <f t="shared" si="158"/>
        <v>0.7390162037037038</v>
      </c>
      <c r="IC27" s="109">
        <f t="shared" si="158"/>
        <v>5.6666666666666643E-2</v>
      </c>
      <c r="ID27" s="109">
        <f t="shared" si="158"/>
        <v>0.93874999999999997</v>
      </c>
      <c r="IE27" s="109">
        <f t="shared" si="158"/>
        <v>1</v>
      </c>
      <c r="IF27" s="109">
        <f t="shared" si="158"/>
        <v>0.82416666666666671</v>
      </c>
      <c r="IG27" s="109">
        <f t="shared" si="158"/>
        <v>0.71541666666666659</v>
      </c>
      <c r="IH27" s="109">
        <f t="shared" si="158"/>
        <v>1</v>
      </c>
      <c r="II27" s="109">
        <f t="shared" si="158"/>
        <v>1</v>
      </c>
      <c r="IJ27" s="109">
        <f t="shared" si="158"/>
        <v>0.84750000000000003</v>
      </c>
      <c r="IK27" s="109">
        <f t="shared" si="158"/>
        <v>1</v>
      </c>
      <c r="IL27" s="109">
        <f t="shared" si="158"/>
        <v>1</v>
      </c>
      <c r="IM27" s="109">
        <f t="shared" si="158"/>
        <v>1</v>
      </c>
      <c r="IN27" s="109">
        <f t="shared" si="158"/>
        <v>0.55711805555555549</v>
      </c>
      <c r="IO27" s="109">
        <f t="shared" si="158"/>
        <v>0.54790509259259257</v>
      </c>
      <c r="IP27" s="109">
        <f t="shared" si="158"/>
        <v>0.98289351851851847</v>
      </c>
      <c r="IQ27" s="109">
        <f t="shared" si="158"/>
        <v>0.80811342592592594</v>
      </c>
      <c r="IR27" s="109">
        <f t="shared" si="158"/>
        <v>0.99380787037037033</v>
      </c>
      <c r="IS27" s="109">
        <f t="shared" si="158"/>
        <v>0.93732638888888886</v>
      </c>
      <c r="IT27" s="109">
        <f t="shared" si="158"/>
        <v>1</v>
      </c>
      <c r="IU27" s="109">
        <f t="shared" si="158"/>
        <v>0.55317129629629624</v>
      </c>
      <c r="IV27" s="109">
        <f t="shared" si="158"/>
        <v>0.93495370370370368</v>
      </c>
      <c r="IW27" s="109">
        <f t="shared" si="158"/>
        <v>1</v>
      </c>
      <c r="IX27" s="109">
        <f t="shared" si="158"/>
        <v>0.52374999999999994</v>
      </c>
      <c r="IY27" s="109">
        <f t="shared" ref="IY27:LJ27" si="159">IF(OR(IY$13="",IY$17="",IY$14="",IY$15="",IY$16="",IY$18="",IY$19="",IY$20="",IY$21=""),"",1-(IY13/(IY$1*24)))</f>
        <v>1</v>
      </c>
      <c r="IZ27" s="109">
        <f t="shared" si="159"/>
        <v>1</v>
      </c>
      <c r="JA27" s="109">
        <f t="shared" si="159"/>
        <v>0.78181712962962968</v>
      </c>
      <c r="JB27" s="109">
        <f t="shared" si="159"/>
        <v>0.99762731481481481</v>
      </c>
      <c r="JC27" s="109">
        <f t="shared" si="159"/>
        <v>1</v>
      </c>
      <c r="JD27" s="109">
        <f t="shared" si="159"/>
        <v>1</v>
      </c>
      <c r="JE27" s="109">
        <f t="shared" si="159"/>
        <v>1</v>
      </c>
      <c r="JF27" s="109">
        <f t="shared" si="159"/>
        <v>1</v>
      </c>
      <c r="JG27" s="109">
        <f t="shared" si="159"/>
        <v>1</v>
      </c>
      <c r="JH27" s="109">
        <f t="shared" si="159"/>
        <v>1</v>
      </c>
      <c r="JI27" s="109">
        <f t="shared" si="159"/>
        <v>1</v>
      </c>
      <c r="JJ27" s="109">
        <f t="shared" si="159"/>
        <v>1</v>
      </c>
      <c r="JK27" s="109">
        <f t="shared" si="159"/>
        <v>1</v>
      </c>
      <c r="JL27" s="109">
        <f t="shared" si="159"/>
        <v>1</v>
      </c>
      <c r="JM27" s="109">
        <f t="shared" si="159"/>
        <v>0.69083333333333341</v>
      </c>
      <c r="JN27" s="109">
        <f t="shared" si="159"/>
        <v>1</v>
      </c>
      <c r="JO27" s="109">
        <f t="shared" si="159"/>
        <v>0.95833333333333337</v>
      </c>
      <c r="JP27" s="109">
        <f t="shared" si="159"/>
        <v>0.95833333333333337</v>
      </c>
      <c r="JQ27" s="109">
        <f t="shared" si="159"/>
        <v>0.75041666666666662</v>
      </c>
      <c r="JR27" s="109">
        <f t="shared" si="159"/>
        <v>0.17341435185185183</v>
      </c>
      <c r="JS27" s="109">
        <f t="shared" si="159"/>
        <v>0.98519675925925931</v>
      </c>
      <c r="JT27" s="109">
        <f t="shared" si="159"/>
        <v>1</v>
      </c>
      <c r="JU27" s="109">
        <f t="shared" si="159"/>
        <v>1</v>
      </c>
      <c r="JV27" s="109">
        <f t="shared" si="159"/>
        <v>0.95833333333333337</v>
      </c>
      <c r="JW27" s="109">
        <f t="shared" si="159"/>
        <v>1</v>
      </c>
      <c r="JX27" s="109">
        <f t="shared" si="159"/>
        <v>0.83333333333333337</v>
      </c>
      <c r="JY27" s="109">
        <f t="shared" si="159"/>
        <v>0</v>
      </c>
      <c r="JZ27" s="109">
        <f t="shared" si="159"/>
        <v>0</v>
      </c>
      <c r="KA27" s="109">
        <f t="shared" si="159"/>
        <v>1</v>
      </c>
      <c r="KB27" s="109">
        <f t="shared" si="159"/>
        <v>1</v>
      </c>
      <c r="KC27" s="109">
        <f t="shared" si="159"/>
        <v>1</v>
      </c>
      <c r="KD27" s="109">
        <f t="shared" si="159"/>
        <v>1</v>
      </c>
      <c r="KE27" s="109">
        <f t="shared" si="159"/>
        <v>1</v>
      </c>
      <c r="KF27" s="109">
        <f t="shared" si="159"/>
        <v>1</v>
      </c>
      <c r="KG27" s="109">
        <f t="shared" si="159"/>
        <v>1</v>
      </c>
      <c r="KH27" s="109">
        <f t="shared" si="159"/>
        <v>0.5</v>
      </c>
      <c r="KI27" s="109">
        <f t="shared" si="159"/>
        <v>1</v>
      </c>
      <c r="KJ27" s="109">
        <f t="shared" si="159"/>
        <v>0.75</v>
      </c>
      <c r="KK27" s="109">
        <f t="shared" si="159"/>
        <v>1</v>
      </c>
      <c r="KL27" s="109">
        <f t="shared" si="159"/>
        <v>1</v>
      </c>
      <c r="KM27" s="109">
        <f t="shared" si="159"/>
        <v>1</v>
      </c>
      <c r="KN27" s="109">
        <f t="shared" si="159"/>
        <v>1</v>
      </c>
      <c r="KO27" s="109">
        <f t="shared" si="159"/>
        <v>1</v>
      </c>
      <c r="KP27" s="109">
        <f t="shared" si="159"/>
        <v>1</v>
      </c>
      <c r="KQ27" s="109">
        <f t="shared" si="159"/>
        <v>1</v>
      </c>
      <c r="KR27" s="109">
        <f t="shared" si="159"/>
        <v>1</v>
      </c>
      <c r="KS27" s="109">
        <f t="shared" si="159"/>
        <v>1</v>
      </c>
      <c r="KT27" s="109">
        <f t="shared" si="159"/>
        <v>1</v>
      </c>
      <c r="KU27" s="109" t="str">
        <f t="shared" si="159"/>
        <v/>
      </c>
      <c r="KV27" s="109" t="str">
        <f t="shared" si="159"/>
        <v/>
      </c>
      <c r="KW27" s="109" t="str">
        <f t="shared" si="159"/>
        <v/>
      </c>
      <c r="KX27" s="109" t="str">
        <f t="shared" si="159"/>
        <v/>
      </c>
      <c r="KY27" s="109" t="str">
        <f t="shared" si="159"/>
        <v/>
      </c>
      <c r="KZ27" s="109" t="str">
        <f t="shared" si="159"/>
        <v/>
      </c>
      <c r="LA27" s="109" t="str">
        <f t="shared" si="159"/>
        <v/>
      </c>
      <c r="LB27" s="109" t="str">
        <f t="shared" si="159"/>
        <v/>
      </c>
      <c r="LC27" s="109" t="str">
        <f t="shared" si="159"/>
        <v/>
      </c>
      <c r="LD27" s="109" t="str">
        <f t="shared" si="159"/>
        <v/>
      </c>
      <c r="LE27" s="109" t="str">
        <f t="shared" si="159"/>
        <v/>
      </c>
      <c r="LF27" s="109" t="str">
        <f t="shared" si="159"/>
        <v/>
      </c>
      <c r="LG27" s="109" t="str">
        <f t="shared" si="159"/>
        <v/>
      </c>
      <c r="LH27" s="109" t="str">
        <f t="shared" si="159"/>
        <v/>
      </c>
      <c r="LI27" s="109" t="str">
        <f t="shared" si="159"/>
        <v/>
      </c>
      <c r="LJ27" s="109" t="str">
        <f t="shared" si="159"/>
        <v/>
      </c>
      <c r="LK27" s="109" t="str">
        <f t="shared" ref="LK27:NV27" si="160">IF(OR(LK$13="",LK$17="",LK$14="",LK$15="",LK$16="",LK$18="",LK$19="",LK$20="",LK$21=""),"",1-(LK13/(LK$1*24)))</f>
        <v/>
      </c>
      <c r="LL27" s="109" t="str">
        <f t="shared" si="160"/>
        <v/>
      </c>
      <c r="LM27" s="109" t="str">
        <f t="shared" si="160"/>
        <v/>
      </c>
      <c r="LN27" s="109" t="str">
        <f t="shared" si="160"/>
        <v/>
      </c>
      <c r="LO27" s="109" t="str">
        <f t="shared" si="160"/>
        <v/>
      </c>
      <c r="LP27" s="109" t="str">
        <f t="shared" si="160"/>
        <v/>
      </c>
      <c r="LQ27" s="109" t="str">
        <f t="shared" si="160"/>
        <v/>
      </c>
      <c r="LR27" s="109" t="str">
        <f t="shared" si="160"/>
        <v/>
      </c>
      <c r="LS27" s="109" t="str">
        <f t="shared" si="160"/>
        <v/>
      </c>
      <c r="LT27" s="109" t="str">
        <f t="shared" si="160"/>
        <v/>
      </c>
      <c r="LU27" s="109" t="str">
        <f t="shared" si="160"/>
        <v/>
      </c>
      <c r="LV27" s="109" t="str">
        <f t="shared" si="160"/>
        <v/>
      </c>
      <c r="LW27" s="109" t="str">
        <f t="shared" si="160"/>
        <v/>
      </c>
      <c r="LX27" s="109" t="str">
        <f t="shared" si="160"/>
        <v/>
      </c>
      <c r="LY27" s="109" t="str">
        <f t="shared" si="160"/>
        <v/>
      </c>
      <c r="LZ27" s="109" t="str">
        <f t="shared" si="160"/>
        <v/>
      </c>
      <c r="MA27" s="109" t="str">
        <f t="shared" si="160"/>
        <v/>
      </c>
      <c r="MB27" s="109" t="str">
        <f t="shared" si="160"/>
        <v/>
      </c>
      <c r="MC27" s="109" t="str">
        <f t="shared" si="160"/>
        <v/>
      </c>
      <c r="MD27" s="109" t="str">
        <f t="shared" si="160"/>
        <v/>
      </c>
      <c r="ME27" s="109" t="str">
        <f t="shared" si="160"/>
        <v/>
      </c>
      <c r="MF27" s="109" t="str">
        <f t="shared" si="160"/>
        <v/>
      </c>
      <c r="MG27" s="109" t="str">
        <f t="shared" si="160"/>
        <v/>
      </c>
      <c r="MH27" s="109" t="str">
        <f t="shared" si="160"/>
        <v/>
      </c>
      <c r="MI27" s="109" t="str">
        <f t="shared" si="160"/>
        <v/>
      </c>
      <c r="MJ27" s="109" t="str">
        <f t="shared" si="160"/>
        <v/>
      </c>
      <c r="MK27" s="109" t="str">
        <f t="shared" si="160"/>
        <v/>
      </c>
      <c r="ML27" s="109" t="str">
        <f t="shared" si="160"/>
        <v/>
      </c>
      <c r="MM27" s="109" t="str">
        <f t="shared" si="160"/>
        <v/>
      </c>
      <c r="MN27" s="109" t="str">
        <f t="shared" si="160"/>
        <v/>
      </c>
      <c r="MO27" s="109" t="str">
        <f t="shared" si="160"/>
        <v/>
      </c>
      <c r="MP27" s="109" t="str">
        <f t="shared" si="160"/>
        <v/>
      </c>
      <c r="MQ27" s="109" t="str">
        <f t="shared" si="160"/>
        <v/>
      </c>
      <c r="MR27" s="109" t="str">
        <f t="shared" si="160"/>
        <v/>
      </c>
      <c r="MS27" s="109" t="str">
        <f t="shared" si="160"/>
        <v/>
      </c>
      <c r="MT27" s="109" t="str">
        <f t="shared" si="160"/>
        <v/>
      </c>
      <c r="MU27" s="109" t="str">
        <f t="shared" si="160"/>
        <v/>
      </c>
      <c r="MV27" s="109" t="str">
        <f t="shared" si="160"/>
        <v/>
      </c>
      <c r="MW27" s="109" t="str">
        <f t="shared" si="160"/>
        <v/>
      </c>
      <c r="MX27" s="109" t="str">
        <f t="shared" si="160"/>
        <v/>
      </c>
      <c r="MY27" s="109" t="str">
        <f t="shared" si="160"/>
        <v/>
      </c>
      <c r="MZ27" s="109" t="str">
        <f t="shared" si="160"/>
        <v/>
      </c>
      <c r="NA27" s="109" t="str">
        <f t="shared" si="160"/>
        <v/>
      </c>
      <c r="NB27" s="109" t="str">
        <f t="shared" si="160"/>
        <v/>
      </c>
      <c r="NC27" s="109" t="str">
        <f t="shared" si="160"/>
        <v/>
      </c>
      <c r="ND27" s="109" t="str">
        <f t="shared" si="160"/>
        <v/>
      </c>
      <c r="NE27" s="109" t="str">
        <f t="shared" si="160"/>
        <v/>
      </c>
      <c r="NF27" s="109" t="str">
        <f t="shared" si="160"/>
        <v/>
      </c>
      <c r="NG27" s="109" t="str">
        <f t="shared" si="160"/>
        <v/>
      </c>
      <c r="NH27" s="109" t="str">
        <f t="shared" si="160"/>
        <v/>
      </c>
      <c r="NI27" s="109" t="str">
        <f t="shared" si="160"/>
        <v/>
      </c>
      <c r="NJ27" s="109" t="str">
        <f t="shared" si="160"/>
        <v/>
      </c>
      <c r="NK27" s="109" t="str">
        <f t="shared" si="160"/>
        <v/>
      </c>
      <c r="NL27" s="109" t="str">
        <f t="shared" si="160"/>
        <v/>
      </c>
      <c r="NM27" s="109" t="str">
        <f t="shared" si="160"/>
        <v/>
      </c>
      <c r="NN27" s="109" t="str">
        <f t="shared" si="160"/>
        <v/>
      </c>
      <c r="NO27" s="109" t="str">
        <f t="shared" si="160"/>
        <v/>
      </c>
      <c r="NP27" s="109" t="str">
        <f t="shared" si="160"/>
        <v/>
      </c>
      <c r="NQ27" s="109" t="str">
        <f t="shared" si="160"/>
        <v/>
      </c>
      <c r="NR27" s="109" t="str">
        <f t="shared" si="160"/>
        <v/>
      </c>
      <c r="NS27" s="109" t="str">
        <f t="shared" si="160"/>
        <v/>
      </c>
      <c r="NT27" s="109" t="str">
        <f t="shared" si="160"/>
        <v/>
      </c>
      <c r="NU27" s="109" t="str">
        <f t="shared" si="160"/>
        <v/>
      </c>
      <c r="NV27" s="109" t="str">
        <f t="shared" si="160"/>
        <v/>
      </c>
      <c r="NW27" s="109" t="str">
        <f t="shared" ref="NW27:QH27" si="161">IF(OR(NW$13="",NW$17="",NW$14="",NW$15="",NW$16="",NW$18="",NW$19="",NW$20="",NW$21=""),"",1-(NW13/(NW$1*24)))</f>
        <v/>
      </c>
      <c r="NX27" s="109" t="str">
        <f t="shared" si="161"/>
        <v/>
      </c>
      <c r="NY27" s="109" t="str">
        <f t="shared" si="161"/>
        <v/>
      </c>
      <c r="NZ27" s="109" t="str">
        <f t="shared" si="161"/>
        <v/>
      </c>
      <c r="OA27" s="109" t="str">
        <f t="shared" si="161"/>
        <v/>
      </c>
      <c r="OB27" s="109" t="str">
        <f t="shared" si="161"/>
        <v/>
      </c>
      <c r="OC27" s="109" t="str">
        <f t="shared" si="161"/>
        <v/>
      </c>
      <c r="OD27" s="109" t="str">
        <f t="shared" si="161"/>
        <v/>
      </c>
      <c r="OE27" s="109" t="str">
        <f t="shared" si="161"/>
        <v/>
      </c>
      <c r="OF27" s="109" t="str">
        <f t="shared" si="161"/>
        <v/>
      </c>
      <c r="OG27" s="109" t="str">
        <f t="shared" si="161"/>
        <v/>
      </c>
      <c r="OH27" s="109" t="str">
        <f t="shared" si="161"/>
        <v/>
      </c>
      <c r="OI27" s="109" t="str">
        <f t="shared" si="161"/>
        <v/>
      </c>
      <c r="OJ27" s="109" t="str">
        <f t="shared" si="161"/>
        <v/>
      </c>
      <c r="OK27" s="109" t="str">
        <f t="shared" si="161"/>
        <v/>
      </c>
      <c r="OL27" s="109" t="str">
        <f t="shared" si="161"/>
        <v/>
      </c>
      <c r="OM27" s="109" t="str">
        <f t="shared" si="161"/>
        <v/>
      </c>
      <c r="ON27" s="109" t="str">
        <f t="shared" si="161"/>
        <v/>
      </c>
      <c r="OO27" s="109" t="str">
        <f t="shared" si="161"/>
        <v/>
      </c>
      <c r="OP27" s="109" t="str">
        <f t="shared" si="161"/>
        <v/>
      </c>
      <c r="OQ27" s="109" t="str">
        <f t="shared" si="161"/>
        <v/>
      </c>
      <c r="OR27" s="109" t="str">
        <f t="shared" si="161"/>
        <v/>
      </c>
      <c r="OS27" s="109" t="str">
        <f t="shared" si="161"/>
        <v/>
      </c>
      <c r="OT27" s="109" t="str">
        <f t="shared" si="161"/>
        <v/>
      </c>
      <c r="OU27" s="109" t="str">
        <f t="shared" si="161"/>
        <v/>
      </c>
      <c r="OV27" s="109" t="str">
        <f t="shared" si="161"/>
        <v/>
      </c>
      <c r="OW27" s="109" t="str">
        <f t="shared" si="161"/>
        <v/>
      </c>
      <c r="OX27" s="109" t="str">
        <f t="shared" si="161"/>
        <v/>
      </c>
      <c r="OY27" s="109" t="str">
        <f t="shared" si="161"/>
        <v/>
      </c>
      <c r="OZ27" s="109" t="str">
        <f t="shared" si="161"/>
        <v/>
      </c>
      <c r="PA27" s="109" t="str">
        <f t="shared" si="161"/>
        <v/>
      </c>
      <c r="PB27" s="109" t="str">
        <f t="shared" si="161"/>
        <v/>
      </c>
      <c r="PC27" s="109" t="str">
        <f t="shared" si="161"/>
        <v/>
      </c>
      <c r="PD27" s="109" t="str">
        <f t="shared" si="161"/>
        <v/>
      </c>
      <c r="PE27" s="109" t="str">
        <f t="shared" si="161"/>
        <v/>
      </c>
      <c r="PF27" s="109" t="str">
        <f t="shared" si="161"/>
        <v/>
      </c>
      <c r="PG27" s="109" t="str">
        <f t="shared" si="161"/>
        <v/>
      </c>
      <c r="PH27" s="109" t="str">
        <f t="shared" si="161"/>
        <v/>
      </c>
      <c r="PI27" s="109" t="str">
        <f t="shared" si="161"/>
        <v/>
      </c>
      <c r="PJ27" s="109" t="str">
        <f t="shared" si="161"/>
        <v/>
      </c>
      <c r="PK27" s="109" t="str">
        <f t="shared" si="161"/>
        <v/>
      </c>
      <c r="PL27" s="109" t="str">
        <f t="shared" si="161"/>
        <v/>
      </c>
      <c r="PM27" s="109" t="str">
        <f t="shared" si="161"/>
        <v/>
      </c>
      <c r="PN27" s="109" t="str">
        <f t="shared" si="161"/>
        <v/>
      </c>
      <c r="PO27" s="109" t="str">
        <f t="shared" si="161"/>
        <v/>
      </c>
      <c r="PP27" s="109" t="str">
        <f t="shared" si="161"/>
        <v/>
      </c>
      <c r="PQ27" s="109" t="str">
        <f t="shared" si="161"/>
        <v/>
      </c>
      <c r="PR27" s="109" t="str">
        <f t="shared" si="161"/>
        <v/>
      </c>
      <c r="PS27" s="109" t="str">
        <f t="shared" si="161"/>
        <v/>
      </c>
      <c r="PT27" s="109" t="str">
        <f t="shared" si="161"/>
        <v/>
      </c>
      <c r="PU27" s="109" t="str">
        <f t="shared" si="161"/>
        <v/>
      </c>
      <c r="PV27" s="109" t="str">
        <f t="shared" si="161"/>
        <v/>
      </c>
      <c r="PW27" s="109" t="str">
        <f t="shared" si="161"/>
        <v/>
      </c>
      <c r="PX27" s="109" t="str">
        <f t="shared" si="161"/>
        <v/>
      </c>
      <c r="PY27" s="109" t="str">
        <f t="shared" si="161"/>
        <v/>
      </c>
      <c r="PZ27" s="109" t="str">
        <f t="shared" si="161"/>
        <v/>
      </c>
      <c r="QA27" s="109" t="str">
        <f t="shared" si="161"/>
        <v/>
      </c>
      <c r="QB27" s="109" t="str">
        <f t="shared" si="161"/>
        <v/>
      </c>
      <c r="QC27" s="109" t="str">
        <f t="shared" si="161"/>
        <v/>
      </c>
      <c r="QD27" s="109" t="str">
        <f t="shared" si="161"/>
        <v/>
      </c>
      <c r="QE27" s="109" t="str">
        <f t="shared" si="161"/>
        <v/>
      </c>
      <c r="QF27" s="109" t="str">
        <f t="shared" si="161"/>
        <v/>
      </c>
      <c r="QG27" s="109" t="str">
        <f t="shared" si="161"/>
        <v/>
      </c>
      <c r="QH27" s="109" t="str">
        <f t="shared" si="161"/>
        <v/>
      </c>
      <c r="QI27" s="109" t="str">
        <f t="shared" ref="QI27:SW27" si="162">IF(OR(QI$13="",QI$17="",QI$14="",QI$15="",QI$16="",QI$18="",QI$19="",QI$20="",QI$21=""),"",1-(QI13/(QI$1*24)))</f>
        <v/>
      </c>
      <c r="QJ27" s="109" t="str">
        <f t="shared" si="162"/>
        <v/>
      </c>
      <c r="QK27" s="109" t="str">
        <f t="shared" si="162"/>
        <v/>
      </c>
      <c r="QL27" s="109" t="str">
        <f t="shared" si="162"/>
        <v/>
      </c>
      <c r="QM27" s="109" t="str">
        <f t="shared" si="162"/>
        <v/>
      </c>
      <c r="QN27" s="109" t="str">
        <f t="shared" si="162"/>
        <v/>
      </c>
      <c r="QO27" s="109" t="str">
        <f t="shared" si="162"/>
        <v/>
      </c>
      <c r="QP27" s="109" t="str">
        <f t="shared" si="162"/>
        <v/>
      </c>
      <c r="QQ27" s="109" t="str">
        <f t="shared" si="162"/>
        <v/>
      </c>
      <c r="QR27" s="109" t="str">
        <f t="shared" si="162"/>
        <v/>
      </c>
      <c r="QS27" s="109" t="str">
        <f t="shared" si="162"/>
        <v/>
      </c>
      <c r="QT27" s="109" t="str">
        <f t="shared" si="162"/>
        <v/>
      </c>
      <c r="QU27" s="109" t="str">
        <f t="shared" si="162"/>
        <v/>
      </c>
      <c r="QV27" s="109" t="str">
        <f t="shared" si="162"/>
        <v/>
      </c>
      <c r="QW27" s="109" t="str">
        <f t="shared" si="162"/>
        <v/>
      </c>
      <c r="QX27" s="109" t="str">
        <f t="shared" si="162"/>
        <v/>
      </c>
      <c r="QY27" s="109" t="str">
        <f t="shared" si="162"/>
        <v/>
      </c>
      <c r="QZ27" s="109" t="str">
        <f t="shared" si="162"/>
        <v/>
      </c>
      <c r="RA27" s="109" t="str">
        <f t="shared" si="162"/>
        <v/>
      </c>
      <c r="RB27" s="109" t="str">
        <f t="shared" si="162"/>
        <v/>
      </c>
      <c r="RC27" s="109" t="str">
        <f t="shared" si="162"/>
        <v/>
      </c>
      <c r="RD27" s="109" t="str">
        <f t="shared" si="162"/>
        <v/>
      </c>
      <c r="RE27" s="109" t="str">
        <f t="shared" si="162"/>
        <v/>
      </c>
      <c r="RF27" s="109" t="str">
        <f t="shared" si="162"/>
        <v/>
      </c>
      <c r="RG27" s="109" t="str">
        <f t="shared" si="162"/>
        <v/>
      </c>
      <c r="RH27" s="109" t="str">
        <f t="shared" si="162"/>
        <v/>
      </c>
      <c r="RI27" s="109" t="str">
        <f t="shared" si="162"/>
        <v/>
      </c>
      <c r="RJ27" s="109" t="str">
        <f t="shared" si="162"/>
        <v/>
      </c>
      <c r="RK27" s="109" t="str">
        <f t="shared" si="162"/>
        <v/>
      </c>
      <c r="RL27" s="109" t="str">
        <f t="shared" si="162"/>
        <v/>
      </c>
      <c r="RM27" s="109" t="str">
        <f t="shared" si="162"/>
        <v/>
      </c>
      <c r="RN27" s="109" t="str">
        <f t="shared" si="162"/>
        <v/>
      </c>
      <c r="RO27" s="109" t="str">
        <f t="shared" si="162"/>
        <v/>
      </c>
      <c r="RP27" s="109" t="str">
        <f t="shared" si="162"/>
        <v/>
      </c>
      <c r="RQ27" s="109" t="str">
        <f t="shared" si="162"/>
        <v/>
      </c>
      <c r="RR27" s="109" t="str">
        <f t="shared" si="162"/>
        <v/>
      </c>
      <c r="RS27" s="109" t="str">
        <f t="shared" si="162"/>
        <v/>
      </c>
      <c r="RT27" s="109" t="str">
        <f t="shared" si="162"/>
        <v/>
      </c>
      <c r="RU27" s="109" t="str">
        <f t="shared" si="162"/>
        <v/>
      </c>
      <c r="RV27" s="109" t="str">
        <f t="shared" si="162"/>
        <v/>
      </c>
      <c r="RW27" s="109" t="str">
        <f t="shared" si="162"/>
        <v/>
      </c>
      <c r="RX27" s="109" t="str">
        <f t="shared" si="162"/>
        <v/>
      </c>
      <c r="RY27" s="109" t="str">
        <f t="shared" si="162"/>
        <v/>
      </c>
      <c r="RZ27" s="109" t="str">
        <f t="shared" si="162"/>
        <v/>
      </c>
      <c r="SA27" s="109" t="str">
        <f t="shared" si="162"/>
        <v/>
      </c>
      <c r="SB27" s="109" t="str">
        <f t="shared" si="162"/>
        <v/>
      </c>
      <c r="SC27" s="109" t="str">
        <f t="shared" si="162"/>
        <v/>
      </c>
      <c r="SD27" s="109" t="str">
        <f t="shared" si="162"/>
        <v/>
      </c>
      <c r="SE27" s="109" t="str">
        <f t="shared" si="162"/>
        <v/>
      </c>
      <c r="SF27" s="109" t="str">
        <f t="shared" si="162"/>
        <v/>
      </c>
      <c r="SG27" s="109" t="str">
        <f t="shared" si="162"/>
        <v/>
      </c>
      <c r="SH27" s="109" t="str">
        <f t="shared" si="162"/>
        <v/>
      </c>
      <c r="SI27" s="109" t="str">
        <f t="shared" si="162"/>
        <v/>
      </c>
      <c r="SJ27" s="109" t="str">
        <f t="shared" si="162"/>
        <v/>
      </c>
      <c r="SK27" s="109" t="str">
        <f t="shared" si="162"/>
        <v/>
      </c>
      <c r="SL27" s="109" t="str">
        <f t="shared" si="162"/>
        <v/>
      </c>
      <c r="SM27" s="109" t="str">
        <f t="shared" si="162"/>
        <v/>
      </c>
      <c r="SN27" s="109" t="str">
        <f t="shared" si="162"/>
        <v/>
      </c>
      <c r="SO27" s="109" t="str">
        <f t="shared" si="162"/>
        <v/>
      </c>
      <c r="SP27" s="109" t="str">
        <f t="shared" si="162"/>
        <v/>
      </c>
      <c r="SQ27" s="109" t="str">
        <f t="shared" si="162"/>
        <v/>
      </c>
      <c r="SR27" s="109" t="str">
        <f t="shared" si="162"/>
        <v/>
      </c>
      <c r="SS27" s="109" t="str">
        <f t="shared" si="162"/>
        <v/>
      </c>
      <c r="ST27" s="109" t="str">
        <f t="shared" si="162"/>
        <v/>
      </c>
      <c r="SU27" s="109" t="str">
        <f t="shared" si="162"/>
        <v/>
      </c>
      <c r="SV27" s="109" t="str">
        <f t="shared" si="162"/>
        <v/>
      </c>
      <c r="SW27" s="109" t="str">
        <f t="shared" si="162"/>
        <v/>
      </c>
    </row>
    <row r="28" spans="1:517" ht="24" customHeight="1" x14ac:dyDescent="0.2">
      <c r="A28" s="94" t="s">
        <v>86</v>
      </c>
      <c r="B28" s="117" t="s">
        <v>78</v>
      </c>
      <c r="C28" s="109">
        <f t="shared" ref="C28:BN28" si="163">IF(OR(C$13="",C$17="",C$14="",C$15="",C$16="",C$18="",C$19="",C$20="",C$21=""),"",1-(C14/(C$1*24)))</f>
        <v>1</v>
      </c>
      <c r="D28" s="109">
        <f t="shared" si="163"/>
        <v>1</v>
      </c>
      <c r="E28" s="109">
        <f t="shared" si="163"/>
        <v>1</v>
      </c>
      <c r="F28" s="109">
        <f t="shared" si="163"/>
        <v>1</v>
      </c>
      <c r="G28" s="109">
        <f t="shared" si="163"/>
        <v>1</v>
      </c>
      <c r="H28" s="109">
        <f t="shared" si="163"/>
        <v>1</v>
      </c>
      <c r="I28" s="109">
        <f t="shared" si="163"/>
        <v>1</v>
      </c>
      <c r="J28" s="109">
        <f t="shared" si="163"/>
        <v>1</v>
      </c>
      <c r="K28" s="109">
        <f t="shared" si="163"/>
        <v>1</v>
      </c>
      <c r="L28" s="109">
        <f t="shared" si="163"/>
        <v>1</v>
      </c>
      <c r="M28" s="109">
        <f t="shared" si="163"/>
        <v>1</v>
      </c>
      <c r="N28" s="109">
        <f t="shared" si="163"/>
        <v>1</v>
      </c>
      <c r="O28" s="109">
        <f t="shared" si="163"/>
        <v>1</v>
      </c>
      <c r="P28" s="109">
        <f t="shared" si="163"/>
        <v>1</v>
      </c>
      <c r="Q28" s="109">
        <f t="shared" si="163"/>
        <v>1</v>
      </c>
      <c r="R28" s="109">
        <f t="shared" si="163"/>
        <v>1</v>
      </c>
      <c r="S28" s="109">
        <f t="shared" si="163"/>
        <v>1</v>
      </c>
      <c r="T28" s="109">
        <f t="shared" si="163"/>
        <v>1</v>
      </c>
      <c r="U28" s="109">
        <f t="shared" si="163"/>
        <v>1</v>
      </c>
      <c r="V28" s="109">
        <f t="shared" si="163"/>
        <v>1</v>
      </c>
      <c r="W28" s="109">
        <f t="shared" si="163"/>
        <v>1</v>
      </c>
      <c r="X28" s="109">
        <f t="shared" si="163"/>
        <v>1</v>
      </c>
      <c r="Y28" s="109">
        <f t="shared" si="163"/>
        <v>1</v>
      </c>
      <c r="Z28" s="109">
        <f t="shared" si="163"/>
        <v>1</v>
      </c>
      <c r="AA28" s="109">
        <f t="shared" si="163"/>
        <v>1</v>
      </c>
      <c r="AB28" s="109">
        <f t="shared" si="163"/>
        <v>1</v>
      </c>
      <c r="AC28" s="109">
        <f t="shared" si="163"/>
        <v>1</v>
      </c>
      <c r="AD28" s="109">
        <f t="shared" si="163"/>
        <v>1</v>
      </c>
      <c r="AE28" s="109">
        <f t="shared" si="163"/>
        <v>1</v>
      </c>
      <c r="AF28" s="109">
        <f t="shared" si="163"/>
        <v>1</v>
      </c>
      <c r="AG28" s="109">
        <f t="shared" si="163"/>
        <v>1</v>
      </c>
      <c r="AH28" s="109">
        <f t="shared" si="163"/>
        <v>1</v>
      </c>
      <c r="AI28" s="109">
        <f t="shared" si="163"/>
        <v>0.83</v>
      </c>
      <c r="AJ28" s="109">
        <f t="shared" si="163"/>
        <v>0.74916666666666665</v>
      </c>
      <c r="AK28" s="109">
        <f t="shared" si="163"/>
        <v>0.82625000000000004</v>
      </c>
      <c r="AL28" s="109">
        <f t="shared" si="163"/>
        <v>1</v>
      </c>
      <c r="AM28" s="109">
        <f t="shared" si="163"/>
        <v>0.70708333333333329</v>
      </c>
      <c r="AN28" s="109">
        <f t="shared" si="163"/>
        <v>1</v>
      </c>
      <c r="AO28" s="109">
        <f t="shared" si="163"/>
        <v>1</v>
      </c>
      <c r="AP28" s="109">
        <f t="shared" si="163"/>
        <v>0.6020833333333333</v>
      </c>
      <c r="AQ28" s="109">
        <f t="shared" si="163"/>
        <v>1</v>
      </c>
      <c r="AR28" s="109">
        <f t="shared" si="163"/>
        <v>0.86583333333333334</v>
      </c>
      <c r="AS28" s="109">
        <f t="shared" si="163"/>
        <v>1</v>
      </c>
      <c r="AT28" s="109">
        <f t="shared" si="163"/>
        <v>1</v>
      </c>
      <c r="AU28" s="109">
        <f t="shared" si="163"/>
        <v>1</v>
      </c>
      <c r="AV28" s="109">
        <f t="shared" si="163"/>
        <v>0.75749999999999995</v>
      </c>
      <c r="AW28" s="109">
        <f t="shared" si="163"/>
        <v>0.97499999999999998</v>
      </c>
      <c r="AX28" s="109">
        <f t="shared" si="163"/>
        <v>0.92208333333333337</v>
      </c>
      <c r="AY28" s="109">
        <f t="shared" si="163"/>
        <v>0.86125000000000007</v>
      </c>
      <c r="AZ28" s="109">
        <f t="shared" si="163"/>
        <v>0.50624999999999987</v>
      </c>
      <c r="BA28" s="109">
        <f t="shared" si="163"/>
        <v>0.3945833333333334</v>
      </c>
      <c r="BB28" s="109">
        <f t="shared" si="163"/>
        <v>1</v>
      </c>
      <c r="BC28" s="109">
        <f t="shared" si="163"/>
        <v>0.74041666666666672</v>
      </c>
      <c r="BD28" s="109">
        <f t="shared" si="163"/>
        <v>1</v>
      </c>
      <c r="BE28" s="109">
        <f t="shared" si="163"/>
        <v>1</v>
      </c>
      <c r="BF28" s="109">
        <f t="shared" si="163"/>
        <v>1</v>
      </c>
      <c r="BG28" s="109">
        <f t="shared" si="163"/>
        <v>1</v>
      </c>
      <c r="BH28" s="109">
        <f t="shared" si="163"/>
        <v>1</v>
      </c>
      <c r="BI28" s="109">
        <f t="shared" si="163"/>
        <v>0.67708333333333326</v>
      </c>
      <c r="BJ28" s="109">
        <f t="shared" si="163"/>
        <v>1</v>
      </c>
      <c r="BK28" s="109">
        <f t="shared" si="163"/>
        <v>1</v>
      </c>
      <c r="BL28" s="109">
        <f t="shared" si="163"/>
        <v>0.95291666666666663</v>
      </c>
      <c r="BM28" s="109">
        <f t="shared" si="163"/>
        <v>1</v>
      </c>
      <c r="BN28" s="109">
        <f t="shared" si="163"/>
        <v>1</v>
      </c>
      <c r="BO28" s="109">
        <f t="shared" ref="BO28:DZ28" si="164">IF(OR(BO$13="",BO$17="",BO$14="",BO$15="",BO$16="",BO$18="",BO$19="",BO$20="",BO$21=""),"",1-(BO14/(BO$1*24)))</f>
        <v>0.71124999999999994</v>
      </c>
      <c r="BP28" s="109">
        <f t="shared" si="164"/>
        <v>0.92833333333333334</v>
      </c>
      <c r="BQ28" s="109">
        <f t="shared" si="164"/>
        <v>1</v>
      </c>
      <c r="BR28" s="109">
        <f t="shared" si="164"/>
        <v>0.84791666666666665</v>
      </c>
      <c r="BS28" s="109">
        <f t="shared" si="164"/>
        <v>1</v>
      </c>
      <c r="BT28" s="109">
        <f t="shared" si="164"/>
        <v>0.91583333333333328</v>
      </c>
      <c r="BU28" s="109">
        <f t="shared" si="164"/>
        <v>0.95874999999999999</v>
      </c>
      <c r="BV28" s="109">
        <f t="shared" si="164"/>
        <v>1</v>
      </c>
      <c r="BW28" s="109">
        <f t="shared" si="164"/>
        <v>1</v>
      </c>
      <c r="BX28" s="109">
        <f t="shared" si="164"/>
        <v>0.89500000000000002</v>
      </c>
      <c r="BY28" s="109">
        <f t="shared" si="164"/>
        <v>1</v>
      </c>
      <c r="BZ28" s="109">
        <f t="shared" si="164"/>
        <v>1</v>
      </c>
      <c r="CA28" s="109">
        <f t="shared" si="164"/>
        <v>1</v>
      </c>
      <c r="CB28" s="109">
        <f t="shared" si="164"/>
        <v>1</v>
      </c>
      <c r="CC28" s="109">
        <f t="shared" si="164"/>
        <v>0.36249999999999993</v>
      </c>
      <c r="CD28" s="109">
        <f t="shared" si="164"/>
        <v>1</v>
      </c>
      <c r="CE28" s="109">
        <f t="shared" si="164"/>
        <v>1</v>
      </c>
      <c r="CF28" s="109">
        <f t="shared" si="164"/>
        <v>1</v>
      </c>
      <c r="CG28" s="109">
        <f t="shared" si="164"/>
        <v>1</v>
      </c>
      <c r="CH28" s="109">
        <f t="shared" si="164"/>
        <v>1</v>
      </c>
      <c r="CI28" s="109">
        <f t="shared" si="164"/>
        <v>0.9770833333333333</v>
      </c>
      <c r="CJ28" s="109">
        <f t="shared" si="164"/>
        <v>0.95</v>
      </c>
      <c r="CK28" s="109">
        <f t="shared" si="164"/>
        <v>1</v>
      </c>
      <c r="CL28" s="109">
        <f t="shared" si="164"/>
        <v>1</v>
      </c>
      <c r="CM28" s="109">
        <f t="shared" si="164"/>
        <v>1</v>
      </c>
      <c r="CN28" s="109">
        <f t="shared" si="164"/>
        <v>1</v>
      </c>
      <c r="CO28" s="109">
        <f t="shared" si="164"/>
        <v>0.87375000000000003</v>
      </c>
      <c r="CP28" s="109">
        <f t="shared" si="164"/>
        <v>1</v>
      </c>
      <c r="CQ28" s="109">
        <f t="shared" si="164"/>
        <v>0.95125000000000004</v>
      </c>
      <c r="CR28" s="109">
        <f t="shared" si="164"/>
        <v>1</v>
      </c>
      <c r="CS28" s="109">
        <f t="shared" si="164"/>
        <v>1</v>
      </c>
      <c r="CT28" s="109">
        <f t="shared" si="164"/>
        <v>1</v>
      </c>
      <c r="CU28" s="109">
        <f t="shared" si="164"/>
        <v>1</v>
      </c>
      <c r="CV28" s="109">
        <f t="shared" si="164"/>
        <v>1</v>
      </c>
      <c r="CW28" s="109">
        <f t="shared" si="164"/>
        <v>1</v>
      </c>
      <c r="CX28" s="109">
        <f t="shared" si="164"/>
        <v>1</v>
      </c>
      <c r="CY28" s="109">
        <f t="shared" si="164"/>
        <v>0.64250000000000007</v>
      </c>
      <c r="CZ28" s="109">
        <f t="shared" si="164"/>
        <v>1</v>
      </c>
      <c r="DA28" s="109">
        <f t="shared" si="164"/>
        <v>1</v>
      </c>
      <c r="DB28" s="109">
        <f t="shared" si="164"/>
        <v>1</v>
      </c>
      <c r="DC28" s="109">
        <f t="shared" si="164"/>
        <v>1</v>
      </c>
      <c r="DD28" s="109">
        <f t="shared" si="164"/>
        <v>0.96458333333333335</v>
      </c>
      <c r="DE28" s="109">
        <f t="shared" si="164"/>
        <v>0.91958333333333331</v>
      </c>
      <c r="DF28" s="109">
        <f t="shared" si="164"/>
        <v>0.91666666666666663</v>
      </c>
      <c r="DG28" s="109">
        <f t="shared" si="164"/>
        <v>0.50750000000000006</v>
      </c>
      <c r="DH28" s="109">
        <f t="shared" si="164"/>
        <v>1</v>
      </c>
      <c r="DI28" s="109">
        <f t="shared" si="164"/>
        <v>1</v>
      </c>
      <c r="DJ28" s="109">
        <f t="shared" si="164"/>
        <v>0.90625</v>
      </c>
      <c r="DK28" s="109">
        <f t="shared" si="164"/>
        <v>1</v>
      </c>
      <c r="DL28" s="109">
        <f t="shared" si="164"/>
        <v>1</v>
      </c>
      <c r="DM28" s="109">
        <f t="shared" si="164"/>
        <v>1</v>
      </c>
      <c r="DN28" s="109">
        <f t="shared" si="164"/>
        <v>1</v>
      </c>
      <c r="DO28" s="109">
        <f t="shared" si="164"/>
        <v>0.82208333333333328</v>
      </c>
      <c r="DP28" s="109">
        <f t="shared" si="164"/>
        <v>1</v>
      </c>
      <c r="DQ28" s="109">
        <f t="shared" si="164"/>
        <v>0.95291666666666663</v>
      </c>
      <c r="DR28" s="109">
        <f t="shared" si="164"/>
        <v>-0.50083333333333324</v>
      </c>
      <c r="DS28" s="109">
        <f t="shared" si="164"/>
        <v>0.43541666666666667</v>
      </c>
      <c r="DT28" s="109">
        <f t="shared" si="164"/>
        <v>1</v>
      </c>
      <c r="DU28" s="109">
        <f t="shared" si="164"/>
        <v>0.7</v>
      </c>
      <c r="DV28" s="109">
        <f t="shared" si="164"/>
        <v>1</v>
      </c>
      <c r="DW28" s="109">
        <f t="shared" si="164"/>
        <v>1</v>
      </c>
      <c r="DX28" s="109">
        <f t="shared" si="164"/>
        <v>1</v>
      </c>
      <c r="DY28" s="109">
        <f t="shared" si="164"/>
        <v>1</v>
      </c>
      <c r="DZ28" s="109">
        <f t="shared" si="164"/>
        <v>0.93791666666666662</v>
      </c>
      <c r="EA28" s="109">
        <f t="shared" ref="EA28:GL28" si="165">IF(OR(EA$13="",EA$17="",EA$14="",EA$15="",EA$16="",EA$18="",EA$19="",EA$20="",EA$21=""),"",1-(EA14/(EA$1*24)))</f>
        <v>1</v>
      </c>
      <c r="EB28" s="109">
        <f t="shared" si="165"/>
        <v>0.76583333333333337</v>
      </c>
      <c r="EC28" s="109">
        <f t="shared" si="165"/>
        <v>-6.8333333333333357E-2</v>
      </c>
      <c r="ED28" s="109">
        <f t="shared" si="165"/>
        <v>0.84583333333333333</v>
      </c>
      <c r="EE28" s="109">
        <f t="shared" si="165"/>
        <v>-0.53874999999999962</v>
      </c>
      <c r="EF28" s="109">
        <f t="shared" si="165"/>
        <v>1</v>
      </c>
      <c r="EG28" s="109">
        <f t="shared" si="165"/>
        <v>1</v>
      </c>
      <c r="EH28" s="109">
        <f t="shared" si="165"/>
        <v>1</v>
      </c>
      <c r="EI28" s="109">
        <f t="shared" si="165"/>
        <v>1</v>
      </c>
      <c r="EJ28" s="109">
        <f t="shared" si="165"/>
        <v>1</v>
      </c>
      <c r="EK28" s="109">
        <f t="shared" si="165"/>
        <v>0.67083333333333339</v>
      </c>
      <c r="EL28" s="109">
        <f t="shared" si="165"/>
        <v>1</v>
      </c>
      <c r="EM28" s="109">
        <f t="shared" si="165"/>
        <v>1</v>
      </c>
      <c r="EN28" s="109">
        <f t="shared" si="165"/>
        <v>1</v>
      </c>
      <c r="EO28" s="109">
        <f t="shared" si="165"/>
        <v>1</v>
      </c>
      <c r="EP28" s="109">
        <f t="shared" si="165"/>
        <v>1</v>
      </c>
      <c r="EQ28" s="109">
        <f t="shared" si="165"/>
        <v>1</v>
      </c>
      <c r="ER28" s="109">
        <f t="shared" si="165"/>
        <v>1</v>
      </c>
      <c r="ES28" s="109">
        <f t="shared" si="165"/>
        <v>1</v>
      </c>
      <c r="ET28" s="109">
        <f t="shared" si="165"/>
        <v>1</v>
      </c>
      <c r="EU28" s="109">
        <f t="shared" si="165"/>
        <v>1</v>
      </c>
      <c r="EV28" s="109">
        <f t="shared" si="165"/>
        <v>1</v>
      </c>
      <c r="EW28" s="109">
        <f t="shared" si="165"/>
        <v>1</v>
      </c>
      <c r="EX28" s="109">
        <f t="shared" si="165"/>
        <v>1</v>
      </c>
      <c r="EY28" s="109">
        <f t="shared" si="165"/>
        <v>1</v>
      </c>
      <c r="EZ28" s="109">
        <f t="shared" si="165"/>
        <v>1</v>
      </c>
      <c r="FA28" s="109">
        <f t="shared" si="165"/>
        <v>1</v>
      </c>
      <c r="FB28" s="109">
        <f t="shared" si="165"/>
        <v>1</v>
      </c>
      <c r="FC28" s="109">
        <f t="shared" si="165"/>
        <v>1</v>
      </c>
      <c r="FD28" s="109">
        <f t="shared" si="165"/>
        <v>1</v>
      </c>
      <c r="FE28" s="109">
        <f t="shared" si="165"/>
        <v>0.93625000000000003</v>
      </c>
      <c r="FF28" s="109">
        <f t="shared" si="165"/>
        <v>0.69708333333333328</v>
      </c>
      <c r="FG28" s="109">
        <f t="shared" si="165"/>
        <v>0.52916666666666656</v>
      </c>
      <c r="FH28" s="109">
        <f t="shared" si="165"/>
        <v>0.9458333333333333</v>
      </c>
      <c r="FI28" s="109">
        <f t="shared" si="165"/>
        <v>0.96750000000000003</v>
      </c>
      <c r="FJ28" s="109">
        <f t="shared" si="165"/>
        <v>0.70916666666666672</v>
      </c>
      <c r="FK28" s="109">
        <f t="shared" si="165"/>
        <v>1</v>
      </c>
      <c r="FL28" s="109">
        <f t="shared" si="165"/>
        <v>1</v>
      </c>
      <c r="FM28" s="109">
        <f t="shared" si="165"/>
        <v>1</v>
      </c>
      <c r="FN28" s="109">
        <f t="shared" si="165"/>
        <v>1</v>
      </c>
      <c r="FO28" s="109">
        <f t="shared" si="165"/>
        <v>0.41083333333333327</v>
      </c>
      <c r="FP28" s="109">
        <f t="shared" si="165"/>
        <v>-1.6766666666666663</v>
      </c>
      <c r="FQ28" s="109">
        <f t="shared" si="165"/>
        <v>1</v>
      </c>
      <c r="FR28" s="109">
        <f t="shared" si="165"/>
        <v>1</v>
      </c>
      <c r="FS28" s="109">
        <f t="shared" si="165"/>
        <v>0.47624999999999995</v>
      </c>
      <c r="FT28" s="109">
        <f t="shared" si="165"/>
        <v>-0.11583333333333345</v>
      </c>
      <c r="FU28" s="109">
        <f t="shared" si="165"/>
        <v>1</v>
      </c>
      <c r="FV28" s="109">
        <f t="shared" si="165"/>
        <v>0.89875000000000005</v>
      </c>
      <c r="FW28" s="109">
        <f t="shared" si="165"/>
        <v>0.93874999999999997</v>
      </c>
      <c r="FX28" s="109">
        <f t="shared" si="165"/>
        <v>0.22875000000000012</v>
      </c>
      <c r="FY28" s="109">
        <f t="shared" si="165"/>
        <v>-10.440833333333332</v>
      </c>
      <c r="FZ28" s="109">
        <f t="shared" si="165"/>
        <v>1</v>
      </c>
      <c r="GA28" s="109">
        <f t="shared" si="157"/>
        <v>1</v>
      </c>
      <c r="GB28" s="109">
        <f t="shared" si="157"/>
        <v>-1.6729166666666662</v>
      </c>
      <c r="GC28" s="109">
        <f t="shared" si="165"/>
        <v>1</v>
      </c>
      <c r="GD28" s="109">
        <f t="shared" si="165"/>
        <v>-1.0416666666666741E-2</v>
      </c>
      <c r="GE28" s="109">
        <f t="shared" si="165"/>
        <v>-0.47999999999999976</v>
      </c>
      <c r="GF28" s="109">
        <f t="shared" si="165"/>
        <v>1</v>
      </c>
      <c r="GG28" s="109">
        <f t="shared" si="165"/>
        <v>-2.3125</v>
      </c>
      <c r="GH28" s="109">
        <f t="shared" si="165"/>
        <v>1</v>
      </c>
      <c r="GI28" s="109">
        <f t="shared" si="165"/>
        <v>1</v>
      </c>
      <c r="GJ28" s="109">
        <f t="shared" si="165"/>
        <v>1</v>
      </c>
      <c r="GK28" s="109">
        <f t="shared" si="165"/>
        <v>1</v>
      </c>
      <c r="GL28" s="109">
        <f t="shared" si="165"/>
        <v>1</v>
      </c>
      <c r="GM28" s="109">
        <f t="shared" ref="GM28:IX28" si="166">IF(OR(GM$13="",GM$17="",GM$14="",GM$15="",GM$16="",GM$18="",GM$19="",GM$20="",GM$21=""),"",1-(GM14/(GM$1*24)))</f>
        <v>1</v>
      </c>
      <c r="GN28" s="109">
        <f t="shared" si="166"/>
        <v>1</v>
      </c>
      <c r="GO28" s="109">
        <f t="shared" si="166"/>
        <v>1</v>
      </c>
      <c r="GP28" s="109">
        <f t="shared" si="166"/>
        <v>1</v>
      </c>
      <c r="GQ28" s="109">
        <f t="shared" si="166"/>
        <v>1</v>
      </c>
      <c r="GR28" s="109">
        <f t="shared" si="166"/>
        <v>1</v>
      </c>
      <c r="GS28" s="109">
        <f t="shared" si="166"/>
        <v>1</v>
      </c>
      <c r="GT28" s="109">
        <f t="shared" si="166"/>
        <v>1</v>
      </c>
      <c r="GU28" s="109">
        <f t="shared" si="166"/>
        <v>1</v>
      </c>
      <c r="GV28" s="109">
        <f t="shared" si="166"/>
        <v>1</v>
      </c>
      <c r="GW28" s="109">
        <f t="shared" si="166"/>
        <v>0.96958333333333335</v>
      </c>
      <c r="GX28" s="109">
        <f t="shared" si="166"/>
        <v>1</v>
      </c>
      <c r="GY28" s="109">
        <f t="shared" si="166"/>
        <v>1</v>
      </c>
      <c r="GZ28" s="109">
        <f t="shared" si="166"/>
        <v>1</v>
      </c>
      <c r="HA28" s="109">
        <f t="shared" si="166"/>
        <v>1</v>
      </c>
      <c r="HB28" s="109">
        <f t="shared" si="166"/>
        <v>0.88874999999999993</v>
      </c>
      <c r="HC28" s="109">
        <f t="shared" si="166"/>
        <v>0.16875000000000007</v>
      </c>
      <c r="HD28" s="109">
        <f t="shared" si="166"/>
        <v>1</v>
      </c>
      <c r="HE28" s="109">
        <f t="shared" si="166"/>
        <v>1</v>
      </c>
      <c r="HF28" s="109">
        <f t="shared" si="166"/>
        <v>0.99458333333333337</v>
      </c>
      <c r="HG28" s="109">
        <f t="shared" si="166"/>
        <v>0.38322916666666662</v>
      </c>
      <c r="HH28" s="109">
        <f t="shared" si="166"/>
        <v>0.77087962962962964</v>
      </c>
      <c r="HI28" s="109">
        <f t="shared" si="166"/>
        <v>0.32770833333333338</v>
      </c>
      <c r="HJ28" s="109">
        <f t="shared" si="166"/>
        <v>1</v>
      </c>
      <c r="HK28" s="109">
        <f t="shared" si="166"/>
        <v>0.96597222222222223</v>
      </c>
      <c r="HL28" s="109">
        <f t="shared" si="166"/>
        <v>0.15787037037037044</v>
      </c>
      <c r="HM28" s="109">
        <f t="shared" si="166"/>
        <v>0.13887731481481469</v>
      </c>
      <c r="HN28" s="109">
        <f t="shared" si="166"/>
        <v>0.67010416666666672</v>
      </c>
      <c r="HO28" s="109">
        <f t="shared" si="166"/>
        <v>0.98481481481481481</v>
      </c>
      <c r="HP28" s="109">
        <f t="shared" si="166"/>
        <v>0.52986111111111112</v>
      </c>
      <c r="HQ28" s="109">
        <f t="shared" si="166"/>
        <v>1</v>
      </c>
      <c r="HR28" s="109">
        <f t="shared" si="166"/>
        <v>1</v>
      </c>
      <c r="HS28" s="109">
        <f t="shared" si="166"/>
        <v>1</v>
      </c>
      <c r="HT28" s="109">
        <f t="shared" si="166"/>
        <v>1</v>
      </c>
      <c r="HU28" s="109">
        <f t="shared" si="166"/>
        <v>1</v>
      </c>
      <c r="HV28" s="109">
        <f t="shared" si="166"/>
        <v>1</v>
      </c>
      <c r="HW28" s="109">
        <f t="shared" si="166"/>
        <v>0.93405092592592598</v>
      </c>
      <c r="HX28" s="109">
        <f t="shared" si="166"/>
        <v>0.87252314814814813</v>
      </c>
      <c r="HY28" s="109">
        <f t="shared" si="166"/>
        <v>0.72908564814814814</v>
      </c>
      <c r="HZ28" s="109">
        <f t="shared" si="166"/>
        <v>0.67920138888888892</v>
      </c>
      <c r="IA28" s="109">
        <f t="shared" si="166"/>
        <v>1</v>
      </c>
      <c r="IB28" s="109">
        <f t="shared" si="166"/>
        <v>1</v>
      </c>
      <c r="IC28" s="109">
        <f t="shared" si="166"/>
        <v>1</v>
      </c>
      <c r="ID28" s="109">
        <f t="shared" si="166"/>
        <v>1</v>
      </c>
      <c r="IE28" s="109">
        <f t="shared" si="166"/>
        <v>0.47833333333333339</v>
      </c>
      <c r="IF28" s="109">
        <f t="shared" si="166"/>
        <v>1</v>
      </c>
      <c r="IG28" s="109">
        <f t="shared" si="166"/>
        <v>1</v>
      </c>
      <c r="IH28" s="109">
        <f t="shared" si="166"/>
        <v>0.89375000000000004</v>
      </c>
      <c r="II28" s="109">
        <f t="shared" si="166"/>
        <v>1</v>
      </c>
      <c r="IJ28" s="109">
        <f t="shared" si="166"/>
        <v>1</v>
      </c>
      <c r="IK28" s="109">
        <f t="shared" si="166"/>
        <v>1</v>
      </c>
      <c r="IL28" s="109">
        <f t="shared" si="166"/>
        <v>1</v>
      </c>
      <c r="IM28" s="109">
        <f t="shared" si="166"/>
        <v>0.53662037037037047</v>
      </c>
      <c r="IN28" s="109">
        <f t="shared" si="166"/>
        <v>0.18465277777777767</v>
      </c>
      <c r="IO28" s="109">
        <f t="shared" si="166"/>
        <v>0.97780092592592593</v>
      </c>
      <c r="IP28" s="109">
        <f t="shared" si="166"/>
        <v>0.93692129629629628</v>
      </c>
      <c r="IQ28" s="109">
        <f t="shared" si="166"/>
        <v>1</v>
      </c>
      <c r="IR28" s="109">
        <f t="shared" si="166"/>
        <v>0.96446759259259263</v>
      </c>
      <c r="IS28" s="109">
        <f t="shared" si="166"/>
        <v>1</v>
      </c>
      <c r="IT28" s="109">
        <f t="shared" si="166"/>
        <v>1</v>
      </c>
      <c r="IU28" s="109">
        <f t="shared" si="166"/>
        <v>0.72997685185185179</v>
      </c>
      <c r="IV28" s="109">
        <f t="shared" si="166"/>
        <v>1</v>
      </c>
      <c r="IW28" s="109">
        <f t="shared" si="166"/>
        <v>1</v>
      </c>
      <c r="IX28" s="109">
        <f t="shared" si="166"/>
        <v>0.93961805555555555</v>
      </c>
      <c r="IY28" s="109">
        <f t="shared" ref="IY28:LJ28" si="167">IF(OR(IY$13="",IY$17="",IY$14="",IY$15="",IY$16="",IY$18="",IY$19="",IY$20="",IY$21=""),"",1-(IY14/(IY$1*24)))</f>
        <v>1</v>
      </c>
      <c r="IZ28" s="109">
        <f t="shared" si="167"/>
        <v>1</v>
      </c>
      <c r="JA28" s="109">
        <f t="shared" si="167"/>
        <v>0.59581018518518514</v>
      </c>
      <c r="JB28" s="109">
        <f t="shared" si="167"/>
        <v>0.95197916666666671</v>
      </c>
      <c r="JC28" s="109">
        <f t="shared" si="167"/>
        <v>1</v>
      </c>
      <c r="JD28" s="109">
        <f t="shared" si="167"/>
        <v>0.83699074074074076</v>
      </c>
      <c r="JE28" s="109">
        <f t="shared" si="167"/>
        <v>1</v>
      </c>
      <c r="JF28" s="109">
        <f t="shared" si="167"/>
        <v>1</v>
      </c>
      <c r="JG28" s="109">
        <f t="shared" si="167"/>
        <v>1</v>
      </c>
      <c r="JH28" s="109">
        <f t="shared" si="167"/>
        <v>0.5867592592592592</v>
      </c>
      <c r="JI28" s="109">
        <f t="shared" si="167"/>
        <v>0.77164351851851853</v>
      </c>
      <c r="JJ28" s="109">
        <f t="shared" si="167"/>
        <v>0.8003703703703704</v>
      </c>
      <c r="JK28" s="109">
        <f t="shared" si="167"/>
        <v>0.88124999999999998</v>
      </c>
      <c r="JL28" s="109">
        <f t="shared" si="167"/>
        <v>0.93248842592592596</v>
      </c>
      <c r="JM28" s="109">
        <f t="shared" si="167"/>
        <v>1</v>
      </c>
      <c r="JN28" s="109">
        <f t="shared" si="167"/>
        <v>0.95833333333333337</v>
      </c>
      <c r="JO28" s="109">
        <f t="shared" si="167"/>
        <v>0.95833333333333337</v>
      </c>
      <c r="JP28" s="109">
        <f t="shared" si="167"/>
        <v>0.95833333333333337</v>
      </c>
      <c r="JQ28" s="109">
        <f t="shared" si="167"/>
        <v>0.83333333333333337</v>
      </c>
      <c r="JR28" s="109">
        <f t="shared" si="167"/>
        <v>3.791666666666671E-2</v>
      </c>
      <c r="JS28" s="109">
        <f t="shared" si="167"/>
        <v>0.875</v>
      </c>
      <c r="JT28" s="109">
        <f t="shared" si="167"/>
        <v>1</v>
      </c>
      <c r="JU28" s="109">
        <f t="shared" si="167"/>
        <v>1</v>
      </c>
      <c r="JV28" s="109">
        <f t="shared" si="167"/>
        <v>0.95833333333333337</v>
      </c>
      <c r="JW28" s="109">
        <f t="shared" si="167"/>
        <v>1</v>
      </c>
      <c r="JX28" s="109">
        <f t="shared" si="167"/>
        <v>1</v>
      </c>
      <c r="JY28" s="109">
        <f t="shared" si="167"/>
        <v>1</v>
      </c>
      <c r="JZ28" s="109">
        <f t="shared" si="167"/>
        <v>1</v>
      </c>
      <c r="KA28" s="109">
        <f t="shared" si="167"/>
        <v>1</v>
      </c>
      <c r="KB28" s="109">
        <f t="shared" si="167"/>
        <v>1</v>
      </c>
      <c r="KC28" s="109">
        <f t="shared" si="167"/>
        <v>0</v>
      </c>
      <c r="KD28" s="109">
        <f t="shared" si="167"/>
        <v>0.75</v>
      </c>
      <c r="KE28" s="109">
        <f t="shared" si="167"/>
        <v>1</v>
      </c>
      <c r="KF28" s="109">
        <f t="shared" si="167"/>
        <v>1</v>
      </c>
      <c r="KG28" s="109">
        <f t="shared" si="167"/>
        <v>1</v>
      </c>
      <c r="KH28" s="109">
        <f t="shared" si="167"/>
        <v>1</v>
      </c>
      <c r="KI28" s="109">
        <f t="shared" si="167"/>
        <v>1</v>
      </c>
      <c r="KJ28" s="109">
        <f t="shared" si="167"/>
        <v>1</v>
      </c>
      <c r="KK28" s="109">
        <f t="shared" si="167"/>
        <v>1</v>
      </c>
      <c r="KL28" s="109">
        <f t="shared" si="167"/>
        <v>1</v>
      </c>
      <c r="KM28" s="109">
        <f t="shared" si="167"/>
        <v>1</v>
      </c>
      <c r="KN28" s="109">
        <f t="shared" si="167"/>
        <v>1</v>
      </c>
      <c r="KO28" s="109">
        <f t="shared" si="167"/>
        <v>1</v>
      </c>
      <c r="KP28" s="109">
        <f t="shared" si="167"/>
        <v>1</v>
      </c>
      <c r="KQ28" s="109">
        <f t="shared" si="167"/>
        <v>1</v>
      </c>
      <c r="KR28" s="109">
        <f t="shared" si="167"/>
        <v>1</v>
      </c>
      <c r="KS28" s="109">
        <f t="shared" si="167"/>
        <v>1</v>
      </c>
      <c r="KT28" s="109">
        <f t="shared" si="167"/>
        <v>1</v>
      </c>
      <c r="KU28" s="109" t="str">
        <f t="shared" si="167"/>
        <v/>
      </c>
      <c r="KV28" s="109" t="str">
        <f t="shared" si="167"/>
        <v/>
      </c>
      <c r="KW28" s="109" t="str">
        <f t="shared" si="167"/>
        <v/>
      </c>
      <c r="KX28" s="109" t="str">
        <f t="shared" si="167"/>
        <v/>
      </c>
      <c r="KY28" s="109" t="str">
        <f t="shared" si="167"/>
        <v/>
      </c>
      <c r="KZ28" s="109" t="str">
        <f t="shared" si="167"/>
        <v/>
      </c>
      <c r="LA28" s="109" t="str">
        <f t="shared" si="167"/>
        <v/>
      </c>
      <c r="LB28" s="109" t="str">
        <f t="shared" si="167"/>
        <v/>
      </c>
      <c r="LC28" s="109" t="str">
        <f t="shared" si="167"/>
        <v/>
      </c>
      <c r="LD28" s="109" t="str">
        <f t="shared" si="167"/>
        <v/>
      </c>
      <c r="LE28" s="109" t="str">
        <f t="shared" si="167"/>
        <v/>
      </c>
      <c r="LF28" s="109" t="str">
        <f t="shared" si="167"/>
        <v/>
      </c>
      <c r="LG28" s="109" t="str">
        <f t="shared" si="167"/>
        <v/>
      </c>
      <c r="LH28" s="109" t="str">
        <f t="shared" si="167"/>
        <v/>
      </c>
      <c r="LI28" s="109" t="str">
        <f t="shared" si="167"/>
        <v/>
      </c>
      <c r="LJ28" s="109" t="str">
        <f t="shared" si="167"/>
        <v/>
      </c>
      <c r="LK28" s="109" t="str">
        <f t="shared" ref="LK28:NV28" si="168">IF(OR(LK$13="",LK$17="",LK$14="",LK$15="",LK$16="",LK$18="",LK$19="",LK$20="",LK$21=""),"",1-(LK14/(LK$1*24)))</f>
        <v/>
      </c>
      <c r="LL28" s="109" t="str">
        <f t="shared" si="168"/>
        <v/>
      </c>
      <c r="LM28" s="109" t="str">
        <f t="shared" si="168"/>
        <v/>
      </c>
      <c r="LN28" s="109" t="str">
        <f t="shared" si="168"/>
        <v/>
      </c>
      <c r="LO28" s="109" t="str">
        <f t="shared" si="168"/>
        <v/>
      </c>
      <c r="LP28" s="109" t="str">
        <f t="shared" si="168"/>
        <v/>
      </c>
      <c r="LQ28" s="109" t="str">
        <f t="shared" si="168"/>
        <v/>
      </c>
      <c r="LR28" s="109" t="str">
        <f t="shared" si="168"/>
        <v/>
      </c>
      <c r="LS28" s="109" t="str">
        <f t="shared" si="168"/>
        <v/>
      </c>
      <c r="LT28" s="109" t="str">
        <f t="shared" si="168"/>
        <v/>
      </c>
      <c r="LU28" s="109" t="str">
        <f t="shared" si="168"/>
        <v/>
      </c>
      <c r="LV28" s="109" t="str">
        <f t="shared" si="168"/>
        <v/>
      </c>
      <c r="LW28" s="109" t="str">
        <f t="shared" si="168"/>
        <v/>
      </c>
      <c r="LX28" s="109" t="str">
        <f t="shared" si="168"/>
        <v/>
      </c>
      <c r="LY28" s="109" t="str">
        <f t="shared" si="168"/>
        <v/>
      </c>
      <c r="LZ28" s="109" t="str">
        <f t="shared" si="168"/>
        <v/>
      </c>
      <c r="MA28" s="109" t="str">
        <f t="shared" si="168"/>
        <v/>
      </c>
      <c r="MB28" s="109" t="str">
        <f t="shared" si="168"/>
        <v/>
      </c>
      <c r="MC28" s="109" t="str">
        <f t="shared" si="168"/>
        <v/>
      </c>
      <c r="MD28" s="109" t="str">
        <f t="shared" si="168"/>
        <v/>
      </c>
      <c r="ME28" s="109" t="str">
        <f t="shared" si="168"/>
        <v/>
      </c>
      <c r="MF28" s="109" t="str">
        <f t="shared" si="168"/>
        <v/>
      </c>
      <c r="MG28" s="109" t="str">
        <f t="shared" si="168"/>
        <v/>
      </c>
      <c r="MH28" s="109" t="str">
        <f t="shared" si="168"/>
        <v/>
      </c>
      <c r="MI28" s="109" t="str">
        <f t="shared" si="168"/>
        <v/>
      </c>
      <c r="MJ28" s="109" t="str">
        <f t="shared" si="168"/>
        <v/>
      </c>
      <c r="MK28" s="109" t="str">
        <f t="shared" si="168"/>
        <v/>
      </c>
      <c r="ML28" s="109" t="str">
        <f t="shared" si="168"/>
        <v/>
      </c>
      <c r="MM28" s="109" t="str">
        <f t="shared" si="168"/>
        <v/>
      </c>
      <c r="MN28" s="109" t="str">
        <f t="shared" si="168"/>
        <v/>
      </c>
      <c r="MO28" s="109" t="str">
        <f t="shared" si="168"/>
        <v/>
      </c>
      <c r="MP28" s="109" t="str">
        <f t="shared" si="168"/>
        <v/>
      </c>
      <c r="MQ28" s="109" t="str">
        <f t="shared" si="168"/>
        <v/>
      </c>
      <c r="MR28" s="109" t="str">
        <f t="shared" si="168"/>
        <v/>
      </c>
      <c r="MS28" s="109" t="str">
        <f t="shared" si="168"/>
        <v/>
      </c>
      <c r="MT28" s="109" t="str">
        <f t="shared" si="168"/>
        <v/>
      </c>
      <c r="MU28" s="109" t="str">
        <f t="shared" si="168"/>
        <v/>
      </c>
      <c r="MV28" s="109" t="str">
        <f t="shared" si="168"/>
        <v/>
      </c>
      <c r="MW28" s="109" t="str">
        <f t="shared" si="168"/>
        <v/>
      </c>
      <c r="MX28" s="109" t="str">
        <f t="shared" si="168"/>
        <v/>
      </c>
      <c r="MY28" s="109" t="str">
        <f t="shared" si="168"/>
        <v/>
      </c>
      <c r="MZ28" s="109" t="str">
        <f t="shared" si="168"/>
        <v/>
      </c>
      <c r="NA28" s="109" t="str">
        <f t="shared" si="168"/>
        <v/>
      </c>
      <c r="NB28" s="109" t="str">
        <f t="shared" si="168"/>
        <v/>
      </c>
      <c r="NC28" s="109" t="str">
        <f t="shared" si="168"/>
        <v/>
      </c>
      <c r="ND28" s="109" t="str">
        <f t="shared" si="168"/>
        <v/>
      </c>
      <c r="NE28" s="109" t="str">
        <f t="shared" si="168"/>
        <v/>
      </c>
      <c r="NF28" s="109" t="str">
        <f t="shared" si="168"/>
        <v/>
      </c>
      <c r="NG28" s="109" t="str">
        <f t="shared" si="168"/>
        <v/>
      </c>
      <c r="NH28" s="109" t="str">
        <f t="shared" si="168"/>
        <v/>
      </c>
      <c r="NI28" s="109" t="str">
        <f t="shared" si="168"/>
        <v/>
      </c>
      <c r="NJ28" s="109" t="str">
        <f t="shared" si="168"/>
        <v/>
      </c>
      <c r="NK28" s="109" t="str">
        <f t="shared" si="168"/>
        <v/>
      </c>
      <c r="NL28" s="109" t="str">
        <f t="shared" si="168"/>
        <v/>
      </c>
      <c r="NM28" s="109" t="str">
        <f t="shared" si="168"/>
        <v/>
      </c>
      <c r="NN28" s="109" t="str">
        <f t="shared" si="168"/>
        <v/>
      </c>
      <c r="NO28" s="109" t="str">
        <f t="shared" si="168"/>
        <v/>
      </c>
      <c r="NP28" s="109" t="str">
        <f t="shared" si="168"/>
        <v/>
      </c>
      <c r="NQ28" s="109" t="str">
        <f t="shared" si="168"/>
        <v/>
      </c>
      <c r="NR28" s="109" t="str">
        <f t="shared" si="168"/>
        <v/>
      </c>
      <c r="NS28" s="109" t="str">
        <f t="shared" si="168"/>
        <v/>
      </c>
      <c r="NT28" s="109" t="str">
        <f t="shared" si="168"/>
        <v/>
      </c>
      <c r="NU28" s="109" t="str">
        <f t="shared" si="168"/>
        <v/>
      </c>
      <c r="NV28" s="109" t="str">
        <f t="shared" si="168"/>
        <v/>
      </c>
      <c r="NW28" s="109" t="str">
        <f t="shared" ref="NW28:QH28" si="169">IF(OR(NW$13="",NW$17="",NW$14="",NW$15="",NW$16="",NW$18="",NW$19="",NW$20="",NW$21=""),"",1-(NW14/(NW$1*24)))</f>
        <v/>
      </c>
      <c r="NX28" s="109" t="str">
        <f t="shared" si="169"/>
        <v/>
      </c>
      <c r="NY28" s="109" t="str">
        <f t="shared" si="169"/>
        <v/>
      </c>
      <c r="NZ28" s="109" t="str">
        <f t="shared" si="169"/>
        <v/>
      </c>
      <c r="OA28" s="109" t="str">
        <f t="shared" si="169"/>
        <v/>
      </c>
      <c r="OB28" s="109" t="str">
        <f t="shared" si="169"/>
        <v/>
      </c>
      <c r="OC28" s="109" t="str">
        <f t="shared" si="169"/>
        <v/>
      </c>
      <c r="OD28" s="109" t="str">
        <f t="shared" si="169"/>
        <v/>
      </c>
      <c r="OE28" s="109" t="str">
        <f t="shared" si="169"/>
        <v/>
      </c>
      <c r="OF28" s="109" t="str">
        <f t="shared" si="169"/>
        <v/>
      </c>
      <c r="OG28" s="109" t="str">
        <f t="shared" si="169"/>
        <v/>
      </c>
      <c r="OH28" s="109" t="str">
        <f t="shared" si="169"/>
        <v/>
      </c>
      <c r="OI28" s="109" t="str">
        <f t="shared" si="169"/>
        <v/>
      </c>
      <c r="OJ28" s="109" t="str">
        <f t="shared" si="169"/>
        <v/>
      </c>
      <c r="OK28" s="109" t="str">
        <f t="shared" si="169"/>
        <v/>
      </c>
      <c r="OL28" s="109" t="str">
        <f t="shared" si="169"/>
        <v/>
      </c>
      <c r="OM28" s="109" t="str">
        <f t="shared" si="169"/>
        <v/>
      </c>
      <c r="ON28" s="109" t="str">
        <f t="shared" si="169"/>
        <v/>
      </c>
      <c r="OO28" s="109" t="str">
        <f t="shared" si="169"/>
        <v/>
      </c>
      <c r="OP28" s="109" t="str">
        <f t="shared" si="169"/>
        <v/>
      </c>
      <c r="OQ28" s="109" t="str">
        <f t="shared" si="169"/>
        <v/>
      </c>
      <c r="OR28" s="109" t="str">
        <f t="shared" si="169"/>
        <v/>
      </c>
      <c r="OS28" s="109" t="str">
        <f t="shared" si="169"/>
        <v/>
      </c>
      <c r="OT28" s="109" t="str">
        <f t="shared" si="169"/>
        <v/>
      </c>
      <c r="OU28" s="109" t="str">
        <f t="shared" si="169"/>
        <v/>
      </c>
      <c r="OV28" s="109" t="str">
        <f t="shared" si="169"/>
        <v/>
      </c>
      <c r="OW28" s="109" t="str">
        <f t="shared" si="169"/>
        <v/>
      </c>
      <c r="OX28" s="109" t="str">
        <f t="shared" si="169"/>
        <v/>
      </c>
      <c r="OY28" s="109" t="str">
        <f t="shared" si="169"/>
        <v/>
      </c>
      <c r="OZ28" s="109" t="str">
        <f t="shared" si="169"/>
        <v/>
      </c>
      <c r="PA28" s="109" t="str">
        <f t="shared" si="169"/>
        <v/>
      </c>
      <c r="PB28" s="109" t="str">
        <f t="shared" si="169"/>
        <v/>
      </c>
      <c r="PC28" s="109" t="str">
        <f t="shared" si="169"/>
        <v/>
      </c>
      <c r="PD28" s="109" t="str">
        <f t="shared" si="169"/>
        <v/>
      </c>
      <c r="PE28" s="109" t="str">
        <f t="shared" si="169"/>
        <v/>
      </c>
      <c r="PF28" s="109" t="str">
        <f t="shared" si="169"/>
        <v/>
      </c>
      <c r="PG28" s="109" t="str">
        <f t="shared" si="169"/>
        <v/>
      </c>
      <c r="PH28" s="109" t="str">
        <f t="shared" si="169"/>
        <v/>
      </c>
      <c r="PI28" s="109" t="str">
        <f t="shared" si="169"/>
        <v/>
      </c>
      <c r="PJ28" s="109" t="str">
        <f t="shared" si="169"/>
        <v/>
      </c>
      <c r="PK28" s="109" t="str">
        <f t="shared" si="169"/>
        <v/>
      </c>
      <c r="PL28" s="109" t="str">
        <f t="shared" si="169"/>
        <v/>
      </c>
      <c r="PM28" s="109" t="str">
        <f t="shared" si="169"/>
        <v/>
      </c>
      <c r="PN28" s="109" t="str">
        <f t="shared" si="169"/>
        <v/>
      </c>
      <c r="PO28" s="109" t="str">
        <f t="shared" si="169"/>
        <v/>
      </c>
      <c r="PP28" s="109" t="str">
        <f t="shared" si="169"/>
        <v/>
      </c>
      <c r="PQ28" s="109" t="str">
        <f t="shared" si="169"/>
        <v/>
      </c>
      <c r="PR28" s="109" t="str">
        <f t="shared" si="169"/>
        <v/>
      </c>
      <c r="PS28" s="109" t="str">
        <f t="shared" si="169"/>
        <v/>
      </c>
      <c r="PT28" s="109" t="str">
        <f t="shared" si="169"/>
        <v/>
      </c>
      <c r="PU28" s="109" t="str">
        <f t="shared" si="169"/>
        <v/>
      </c>
      <c r="PV28" s="109" t="str">
        <f t="shared" si="169"/>
        <v/>
      </c>
      <c r="PW28" s="109" t="str">
        <f t="shared" si="169"/>
        <v/>
      </c>
      <c r="PX28" s="109" t="str">
        <f t="shared" si="169"/>
        <v/>
      </c>
      <c r="PY28" s="109" t="str">
        <f t="shared" si="169"/>
        <v/>
      </c>
      <c r="PZ28" s="109" t="str">
        <f t="shared" si="169"/>
        <v/>
      </c>
      <c r="QA28" s="109" t="str">
        <f t="shared" si="169"/>
        <v/>
      </c>
      <c r="QB28" s="109" t="str">
        <f t="shared" si="169"/>
        <v/>
      </c>
      <c r="QC28" s="109" t="str">
        <f t="shared" si="169"/>
        <v/>
      </c>
      <c r="QD28" s="109" t="str">
        <f t="shared" si="169"/>
        <v/>
      </c>
      <c r="QE28" s="109" t="str">
        <f t="shared" si="169"/>
        <v/>
      </c>
      <c r="QF28" s="109" t="str">
        <f t="shared" si="169"/>
        <v/>
      </c>
      <c r="QG28" s="109" t="str">
        <f t="shared" si="169"/>
        <v/>
      </c>
      <c r="QH28" s="109" t="str">
        <f t="shared" si="169"/>
        <v/>
      </c>
      <c r="QI28" s="109" t="str">
        <f t="shared" ref="QI28:SW28" si="170">IF(OR(QI$13="",QI$17="",QI$14="",QI$15="",QI$16="",QI$18="",QI$19="",QI$20="",QI$21=""),"",1-(QI14/(QI$1*24)))</f>
        <v/>
      </c>
      <c r="QJ28" s="109" t="str">
        <f t="shared" si="170"/>
        <v/>
      </c>
      <c r="QK28" s="109" t="str">
        <f t="shared" si="170"/>
        <v/>
      </c>
      <c r="QL28" s="109" t="str">
        <f t="shared" si="170"/>
        <v/>
      </c>
      <c r="QM28" s="109" t="str">
        <f t="shared" si="170"/>
        <v/>
      </c>
      <c r="QN28" s="109" t="str">
        <f t="shared" si="170"/>
        <v/>
      </c>
      <c r="QO28" s="109" t="str">
        <f t="shared" si="170"/>
        <v/>
      </c>
      <c r="QP28" s="109" t="str">
        <f t="shared" si="170"/>
        <v/>
      </c>
      <c r="QQ28" s="109" t="str">
        <f t="shared" si="170"/>
        <v/>
      </c>
      <c r="QR28" s="109" t="str">
        <f t="shared" si="170"/>
        <v/>
      </c>
      <c r="QS28" s="109" t="str">
        <f t="shared" si="170"/>
        <v/>
      </c>
      <c r="QT28" s="109" t="str">
        <f t="shared" si="170"/>
        <v/>
      </c>
      <c r="QU28" s="109" t="str">
        <f t="shared" si="170"/>
        <v/>
      </c>
      <c r="QV28" s="109" t="str">
        <f t="shared" si="170"/>
        <v/>
      </c>
      <c r="QW28" s="109" t="str">
        <f t="shared" si="170"/>
        <v/>
      </c>
      <c r="QX28" s="109" t="str">
        <f t="shared" si="170"/>
        <v/>
      </c>
      <c r="QY28" s="109" t="str">
        <f t="shared" si="170"/>
        <v/>
      </c>
      <c r="QZ28" s="109" t="str">
        <f t="shared" si="170"/>
        <v/>
      </c>
      <c r="RA28" s="109" t="str">
        <f t="shared" si="170"/>
        <v/>
      </c>
      <c r="RB28" s="109" t="str">
        <f t="shared" si="170"/>
        <v/>
      </c>
      <c r="RC28" s="109" t="str">
        <f t="shared" si="170"/>
        <v/>
      </c>
      <c r="RD28" s="109" t="str">
        <f t="shared" si="170"/>
        <v/>
      </c>
      <c r="RE28" s="109" t="str">
        <f t="shared" si="170"/>
        <v/>
      </c>
      <c r="RF28" s="109" t="str">
        <f t="shared" si="170"/>
        <v/>
      </c>
      <c r="RG28" s="109" t="str">
        <f t="shared" si="170"/>
        <v/>
      </c>
      <c r="RH28" s="109" t="str">
        <f t="shared" si="170"/>
        <v/>
      </c>
      <c r="RI28" s="109" t="str">
        <f t="shared" si="170"/>
        <v/>
      </c>
      <c r="RJ28" s="109" t="str">
        <f t="shared" si="170"/>
        <v/>
      </c>
      <c r="RK28" s="109" t="str">
        <f t="shared" si="170"/>
        <v/>
      </c>
      <c r="RL28" s="109" t="str">
        <f t="shared" si="170"/>
        <v/>
      </c>
      <c r="RM28" s="109" t="str">
        <f t="shared" si="170"/>
        <v/>
      </c>
      <c r="RN28" s="109" t="str">
        <f t="shared" si="170"/>
        <v/>
      </c>
      <c r="RO28" s="109" t="str">
        <f t="shared" si="170"/>
        <v/>
      </c>
      <c r="RP28" s="109" t="str">
        <f t="shared" si="170"/>
        <v/>
      </c>
      <c r="RQ28" s="109" t="str">
        <f t="shared" si="170"/>
        <v/>
      </c>
      <c r="RR28" s="109" t="str">
        <f t="shared" si="170"/>
        <v/>
      </c>
      <c r="RS28" s="109" t="str">
        <f t="shared" si="170"/>
        <v/>
      </c>
      <c r="RT28" s="109" t="str">
        <f t="shared" si="170"/>
        <v/>
      </c>
      <c r="RU28" s="109" t="str">
        <f t="shared" si="170"/>
        <v/>
      </c>
      <c r="RV28" s="109" t="str">
        <f t="shared" si="170"/>
        <v/>
      </c>
      <c r="RW28" s="109" t="str">
        <f t="shared" si="170"/>
        <v/>
      </c>
      <c r="RX28" s="109" t="str">
        <f t="shared" si="170"/>
        <v/>
      </c>
      <c r="RY28" s="109" t="str">
        <f t="shared" si="170"/>
        <v/>
      </c>
      <c r="RZ28" s="109" t="str">
        <f t="shared" si="170"/>
        <v/>
      </c>
      <c r="SA28" s="109" t="str">
        <f t="shared" si="170"/>
        <v/>
      </c>
      <c r="SB28" s="109" t="str">
        <f t="shared" si="170"/>
        <v/>
      </c>
      <c r="SC28" s="109" t="str">
        <f t="shared" si="170"/>
        <v/>
      </c>
      <c r="SD28" s="109" t="str">
        <f t="shared" si="170"/>
        <v/>
      </c>
      <c r="SE28" s="109" t="str">
        <f t="shared" si="170"/>
        <v/>
      </c>
      <c r="SF28" s="109" t="str">
        <f t="shared" si="170"/>
        <v/>
      </c>
      <c r="SG28" s="109" t="str">
        <f t="shared" si="170"/>
        <v/>
      </c>
      <c r="SH28" s="109" t="str">
        <f t="shared" si="170"/>
        <v/>
      </c>
      <c r="SI28" s="109" t="str">
        <f t="shared" si="170"/>
        <v/>
      </c>
      <c r="SJ28" s="109" t="str">
        <f t="shared" si="170"/>
        <v/>
      </c>
      <c r="SK28" s="109" t="str">
        <f t="shared" si="170"/>
        <v/>
      </c>
      <c r="SL28" s="109" t="str">
        <f t="shared" si="170"/>
        <v/>
      </c>
      <c r="SM28" s="109" t="str">
        <f t="shared" si="170"/>
        <v/>
      </c>
      <c r="SN28" s="109" t="str">
        <f t="shared" si="170"/>
        <v/>
      </c>
      <c r="SO28" s="109" t="str">
        <f t="shared" si="170"/>
        <v/>
      </c>
      <c r="SP28" s="109" t="str">
        <f t="shared" si="170"/>
        <v/>
      </c>
      <c r="SQ28" s="109" t="str">
        <f t="shared" si="170"/>
        <v/>
      </c>
      <c r="SR28" s="109" t="str">
        <f t="shared" si="170"/>
        <v/>
      </c>
      <c r="SS28" s="109" t="str">
        <f t="shared" si="170"/>
        <v/>
      </c>
      <c r="ST28" s="109" t="str">
        <f t="shared" si="170"/>
        <v/>
      </c>
      <c r="SU28" s="109" t="str">
        <f t="shared" si="170"/>
        <v/>
      </c>
      <c r="SV28" s="109" t="str">
        <f t="shared" si="170"/>
        <v/>
      </c>
      <c r="SW28" s="109" t="str">
        <f t="shared" si="170"/>
        <v/>
      </c>
    </row>
    <row r="29" spans="1:517" ht="24" customHeight="1" x14ac:dyDescent="0.2">
      <c r="A29" s="94" t="s">
        <v>86</v>
      </c>
      <c r="B29" s="117" t="s">
        <v>79</v>
      </c>
      <c r="C29" s="109">
        <f t="shared" ref="C29:BN29" si="171">IF(OR(C$13="",C$17="",C$14="",C$15="",C$16="",C$18="",C$19="",C$20="",C$21=""),"",1-(C15/(C$1*24)))</f>
        <v>1</v>
      </c>
      <c r="D29" s="109">
        <f t="shared" si="171"/>
        <v>1</v>
      </c>
      <c r="E29" s="109">
        <f t="shared" si="171"/>
        <v>1</v>
      </c>
      <c r="F29" s="109">
        <f t="shared" si="171"/>
        <v>1</v>
      </c>
      <c r="G29" s="109">
        <f t="shared" si="171"/>
        <v>1</v>
      </c>
      <c r="H29" s="109">
        <f t="shared" si="171"/>
        <v>1</v>
      </c>
      <c r="I29" s="109">
        <f t="shared" si="171"/>
        <v>1</v>
      </c>
      <c r="J29" s="109">
        <f t="shared" si="171"/>
        <v>1</v>
      </c>
      <c r="K29" s="109">
        <f t="shared" si="171"/>
        <v>1</v>
      </c>
      <c r="L29" s="109">
        <f t="shared" si="171"/>
        <v>1</v>
      </c>
      <c r="M29" s="109">
        <f t="shared" si="171"/>
        <v>1</v>
      </c>
      <c r="N29" s="109">
        <f t="shared" si="171"/>
        <v>1</v>
      </c>
      <c r="O29" s="109">
        <f t="shared" si="171"/>
        <v>1</v>
      </c>
      <c r="P29" s="109">
        <f t="shared" si="171"/>
        <v>1</v>
      </c>
      <c r="Q29" s="109">
        <f t="shared" si="171"/>
        <v>1</v>
      </c>
      <c r="R29" s="109">
        <f t="shared" si="171"/>
        <v>1</v>
      </c>
      <c r="S29" s="109">
        <f t="shared" si="171"/>
        <v>1</v>
      </c>
      <c r="T29" s="109">
        <f t="shared" si="171"/>
        <v>1</v>
      </c>
      <c r="U29" s="109">
        <f t="shared" si="171"/>
        <v>1</v>
      </c>
      <c r="V29" s="109">
        <f t="shared" si="171"/>
        <v>1</v>
      </c>
      <c r="W29" s="109">
        <f t="shared" si="171"/>
        <v>1</v>
      </c>
      <c r="X29" s="109">
        <f t="shared" si="171"/>
        <v>-4.1250000000000009E-2</v>
      </c>
      <c r="Y29" s="109">
        <f t="shared" si="171"/>
        <v>1</v>
      </c>
      <c r="Z29" s="109">
        <f t="shared" si="171"/>
        <v>0.97166666666666668</v>
      </c>
      <c r="AA29" s="109">
        <f t="shared" si="171"/>
        <v>1</v>
      </c>
      <c r="AB29" s="109">
        <f t="shared" si="171"/>
        <v>1</v>
      </c>
      <c r="AC29" s="109">
        <f t="shared" si="171"/>
        <v>1</v>
      </c>
      <c r="AD29" s="109">
        <f t="shared" si="171"/>
        <v>1</v>
      </c>
      <c r="AE29" s="109">
        <f t="shared" si="171"/>
        <v>1</v>
      </c>
      <c r="AF29" s="109">
        <f t="shared" si="171"/>
        <v>1</v>
      </c>
      <c r="AG29" s="109">
        <f t="shared" si="171"/>
        <v>1</v>
      </c>
      <c r="AH29" s="109">
        <f t="shared" si="171"/>
        <v>1</v>
      </c>
      <c r="AI29" s="109">
        <f t="shared" si="171"/>
        <v>0.78125</v>
      </c>
      <c r="AJ29" s="109">
        <f t="shared" si="171"/>
        <v>1</v>
      </c>
      <c r="AK29" s="109">
        <f t="shared" si="171"/>
        <v>0.88541666666666663</v>
      </c>
      <c r="AL29" s="109">
        <f t="shared" si="171"/>
        <v>0.78541666666666665</v>
      </c>
      <c r="AM29" s="109">
        <f t="shared" si="171"/>
        <v>0.51750000000000007</v>
      </c>
      <c r="AN29" s="109">
        <f t="shared" si="171"/>
        <v>0.87416666666666665</v>
      </c>
      <c r="AO29" s="109">
        <f t="shared" si="171"/>
        <v>1</v>
      </c>
      <c r="AP29" s="109">
        <f t="shared" si="171"/>
        <v>0.81</v>
      </c>
      <c r="AQ29" s="109">
        <f t="shared" si="171"/>
        <v>0.63583333333333325</v>
      </c>
      <c r="AR29" s="109">
        <f t="shared" si="171"/>
        <v>0.44208333333333327</v>
      </c>
      <c r="AS29" s="109">
        <f t="shared" si="171"/>
        <v>1</v>
      </c>
      <c r="AT29" s="109">
        <f t="shared" si="171"/>
        <v>1</v>
      </c>
      <c r="AU29" s="109">
        <f t="shared" si="171"/>
        <v>1</v>
      </c>
      <c r="AV29" s="109">
        <f t="shared" si="171"/>
        <v>1</v>
      </c>
      <c r="AW29" s="109">
        <f t="shared" si="171"/>
        <v>0.87583333333333335</v>
      </c>
      <c r="AX29" s="109">
        <f t="shared" si="171"/>
        <v>0.94499999999999995</v>
      </c>
      <c r="AY29" s="109">
        <f t="shared" si="171"/>
        <v>0.63250000000000006</v>
      </c>
      <c r="AZ29" s="109">
        <f t="shared" si="171"/>
        <v>1</v>
      </c>
      <c r="BA29" s="109">
        <f t="shared" si="171"/>
        <v>0.79625000000000001</v>
      </c>
      <c r="BB29" s="109">
        <f t="shared" si="171"/>
        <v>0.9375</v>
      </c>
      <c r="BC29" s="109">
        <f t="shared" si="171"/>
        <v>1</v>
      </c>
      <c r="BD29" s="109">
        <f t="shared" si="171"/>
        <v>1</v>
      </c>
      <c r="BE29" s="109">
        <f t="shared" si="171"/>
        <v>0.91749999999999998</v>
      </c>
      <c r="BF29" s="109">
        <f t="shared" si="171"/>
        <v>0.83666666666666667</v>
      </c>
      <c r="BG29" s="109">
        <f t="shared" si="171"/>
        <v>1</v>
      </c>
      <c r="BH29" s="109">
        <f t="shared" si="171"/>
        <v>1</v>
      </c>
      <c r="BI29" s="109">
        <f t="shared" si="171"/>
        <v>0.96750000000000003</v>
      </c>
      <c r="BJ29" s="109">
        <f t="shared" si="171"/>
        <v>0.80125000000000002</v>
      </c>
      <c r="BK29" s="109">
        <f t="shared" si="171"/>
        <v>0.48208333333333331</v>
      </c>
      <c r="BL29" s="109">
        <f t="shared" si="171"/>
        <v>1.375000000000004E-2</v>
      </c>
      <c r="BM29" s="109">
        <f t="shared" si="171"/>
        <v>1</v>
      </c>
      <c r="BN29" s="109">
        <f t="shared" si="171"/>
        <v>1</v>
      </c>
      <c r="BO29" s="109">
        <f t="shared" ref="BO29:DZ29" si="172">IF(OR(BO$13="",BO$17="",BO$14="",BO$15="",BO$16="",BO$18="",BO$19="",BO$20="",BO$21=""),"",1-(BO15/(BO$1*24)))</f>
        <v>0.95208333333333339</v>
      </c>
      <c r="BP29" s="109">
        <f t="shared" si="172"/>
        <v>0.90333333333333332</v>
      </c>
      <c r="BQ29" s="109">
        <f t="shared" si="172"/>
        <v>0.86375000000000002</v>
      </c>
      <c r="BR29" s="109">
        <f t="shared" si="172"/>
        <v>0.53208333333333324</v>
      </c>
      <c r="BS29" s="109">
        <f t="shared" si="172"/>
        <v>0.76208333333333333</v>
      </c>
      <c r="BT29" s="109">
        <f t="shared" si="172"/>
        <v>0.82708333333333339</v>
      </c>
      <c r="BU29" s="109">
        <f t="shared" si="172"/>
        <v>0.84083333333333332</v>
      </c>
      <c r="BV29" s="109">
        <f t="shared" si="172"/>
        <v>0.6495833333333334</v>
      </c>
      <c r="BW29" s="109">
        <f t="shared" si="172"/>
        <v>0.54041666666666655</v>
      </c>
      <c r="BX29" s="109">
        <f t="shared" si="172"/>
        <v>1</v>
      </c>
      <c r="BY29" s="109">
        <f t="shared" si="172"/>
        <v>1</v>
      </c>
      <c r="BZ29" s="109">
        <f t="shared" si="172"/>
        <v>1</v>
      </c>
      <c r="CA29" s="109">
        <f t="shared" si="172"/>
        <v>0.46333333333333337</v>
      </c>
      <c r="CB29" s="109">
        <f t="shared" si="172"/>
        <v>0.75541666666666674</v>
      </c>
      <c r="CC29" s="109">
        <f t="shared" si="172"/>
        <v>2.9166666666666785E-3</v>
      </c>
      <c r="CD29" s="109">
        <f t="shared" si="172"/>
        <v>1</v>
      </c>
      <c r="CE29" s="109">
        <f t="shared" si="172"/>
        <v>1</v>
      </c>
      <c r="CF29" s="109">
        <f t="shared" si="172"/>
        <v>0.87250000000000005</v>
      </c>
      <c r="CG29" s="109">
        <f t="shared" si="172"/>
        <v>1</v>
      </c>
      <c r="CH29" s="109">
        <f t="shared" si="172"/>
        <v>1</v>
      </c>
      <c r="CI29" s="109">
        <f t="shared" si="172"/>
        <v>0.95750000000000002</v>
      </c>
      <c r="CJ29" s="109">
        <f t="shared" si="172"/>
        <v>0.62250000000000005</v>
      </c>
      <c r="CK29" s="109">
        <f t="shared" si="172"/>
        <v>1</v>
      </c>
      <c r="CL29" s="109">
        <f t="shared" si="172"/>
        <v>1</v>
      </c>
      <c r="CM29" s="109">
        <f t="shared" si="172"/>
        <v>0.67416666666666658</v>
      </c>
      <c r="CN29" s="109">
        <f t="shared" si="172"/>
        <v>1</v>
      </c>
      <c r="CO29" s="109">
        <f t="shared" si="172"/>
        <v>0.74875000000000003</v>
      </c>
      <c r="CP29" s="109">
        <f t="shared" si="172"/>
        <v>0.80249999999999999</v>
      </c>
      <c r="CQ29" s="109">
        <f t="shared" si="172"/>
        <v>0.31041666666666667</v>
      </c>
      <c r="CR29" s="109">
        <f t="shared" si="172"/>
        <v>-0.37416666666666676</v>
      </c>
      <c r="CS29" s="109">
        <f t="shared" si="172"/>
        <v>1</v>
      </c>
      <c r="CT29" s="109">
        <f t="shared" si="172"/>
        <v>1</v>
      </c>
      <c r="CU29" s="109">
        <f t="shared" si="172"/>
        <v>0.91041666666666665</v>
      </c>
      <c r="CV29" s="109">
        <f t="shared" si="172"/>
        <v>1</v>
      </c>
      <c r="CW29" s="109">
        <f t="shared" si="172"/>
        <v>1</v>
      </c>
      <c r="CX29" s="109">
        <f t="shared" si="172"/>
        <v>1</v>
      </c>
      <c r="CY29" s="109">
        <f t="shared" si="172"/>
        <v>0.96375</v>
      </c>
      <c r="CZ29" s="109">
        <f t="shared" si="172"/>
        <v>1</v>
      </c>
      <c r="DA29" s="109">
        <f t="shared" si="172"/>
        <v>0.78333333333333333</v>
      </c>
      <c r="DB29" s="109">
        <f t="shared" si="172"/>
        <v>0.90916666666666668</v>
      </c>
      <c r="DC29" s="109">
        <f t="shared" si="172"/>
        <v>1</v>
      </c>
      <c r="DD29" s="109">
        <f t="shared" si="172"/>
        <v>0.50500000000000012</v>
      </c>
      <c r="DE29" s="109">
        <f t="shared" si="172"/>
        <v>0.89</v>
      </c>
      <c r="DF29" s="109">
        <f t="shared" si="172"/>
        <v>1</v>
      </c>
      <c r="DG29" s="109">
        <f t="shared" si="172"/>
        <v>0.85708333333333331</v>
      </c>
      <c r="DH29" s="109">
        <f t="shared" si="172"/>
        <v>0.43333333333333335</v>
      </c>
      <c r="DI29" s="109">
        <f t="shared" si="172"/>
        <v>1</v>
      </c>
      <c r="DJ29" s="109">
        <f t="shared" si="172"/>
        <v>1</v>
      </c>
      <c r="DK29" s="109">
        <f t="shared" si="172"/>
        <v>1</v>
      </c>
      <c r="DL29" s="109">
        <f t="shared" si="172"/>
        <v>1</v>
      </c>
      <c r="DM29" s="109">
        <f t="shared" si="172"/>
        <v>1</v>
      </c>
      <c r="DN29" s="109">
        <f t="shared" si="172"/>
        <v>1</v>
      </c>
      <c r="DO29" s="109">
        <f t="shared" si="172"/>
        <v>1</v>
      </c>
      <c r="DP29" s="109">
        <f t="shared" si="172"/>
        <v>1</v>
      </c>
      <c r="DQ29" s="109">
        <f t="shared" si="172"/>
        <v>1</v>
      </c>
      <c r="DR29" s="109">
        <f t="shared" si="172"/>
        <v>1</v>
      </c>
      <c r="DS29" s="109">
        <f t="shared" si="172"/>
        <v>1</v>
      </c>
      <c r="DT29" s="109">
        <f t="shared" si="172"/>
        <v>1</v>
      </c>
      <c r="DU29" s="109">
        <f t="shared" si="172"/>
        <v>0.61583333333333323</v>
      </c>
      <c r="DV29" s="109">
        <f t="shared" si="172"/>
        <v>1</v>
      </c>
      <c r="DW29" s="109">
        <f t="shared" si="172"/>
        <v>1</v>
      </c>
      <c r="DX29" s="109">
        <f t="shared" si="172"/>
        <v>1</v>
      </c>
      <c r="DY29" s="109">
        <f t="shared" si="172"/>
        <v>1</v>
      </c>
      <c r="DZ29" s="109">
        <f t="shared" si="172"/>
        <v>1</v>
      </c>
      <c r="EA29" s="109">
        <f t="shared" ref="EA29:GL29" si="173">IF(OR(EA$13="",EA$17="",EA$14="",EA$15="",EA$16="",EA$18="",EA$19="",EA$20="",EA$21=""),"",1-(EA15/(EA$1*24)))</f>
        <v>1</v>
      </c>
      <c r="EB29" s="109">
        <f t="shared" si="173"/>
        <v>1</v>
      </c>
      <c r="EC29" s="109">
        <f t="shared" si="173"/>
        <v>1</v>
      </c>
      <c r="ED29" s="109">
        <f t="shared" si="173"/>
        <v>1</v>
      </c>
      <c r="EE29" s="109">
        <f t="shared" si="173"/>
        <v>1</v>
      </c>
      <c r="EF29" s="109">
        <f t="shared" si="173"/>
        <v>1</v>
      </c>
      <c r="EG29" s="109">
        <f t="shared" si="173"/>
        <v>-0.32583333333333342</v>
      </c>
      <c r="EH29" s="109">
        <f t="shared" si="173"/>
        <v>1</v>
      </c>
      <c r="EI29" s="109">
        <f t="shared" si="173"/>
        <v>1</v>
      </c>
      <c r="EJ29" s="109">
        <f t="shared" si="173"/>
        <v>1</v>
      </c>
      <c r="EK29" s="109">
        <f t="shared" si="173"/>
        <v>1</v>
      </c>
      <c r="EL29" s="109">
        <f t="shared" si="173"/>
        <v>0.74291666666666667</v>
      </c>
      <c r="EM29" s="109">
        <f t="shared" si="173"/>
        <v>1</v>
      </c>
      <c r="EN29" s="109">
        <f t="shared" si="173"/>
        <v>0.91249999999999998</v>
      </c>
      <c r="EO29" s="109">
        <f t="shared" si="173"/>
        <v>0</v>
      </c>
      <c r="EP29" s="109">
        <f t="shared" si="173"/>
        <v>0.16666666666666663</v>
      </c>
      <c r="EQ29" s="109">
        <f t="shared" si="173"/>
        <v>1</v>
      </c>
      <c r="ER29" s="109">
        <f t="shared" si="173"/>
        <v>1</v>
      </c>
      <c r="ES29" s="109">
        <f t="shared" si="173"/>
        <v>0.77916666666666667</v>
      </c>
      <c r="ET29" s="109">
        <f t="shared" si="173"/>
        <v>0.9375</v>
      </c>
      <c r="EU29" s="109">
        <f t="shared" si="173"/>
        <v>1</v>
      </c>
      <c r="EV29" s="109">
        <f t="shared" si="173"/>
        <v>1</v>
      </c>
      <c r="EW29" s="109">
        <f t="shared" si="173"/>
        <v>1</v>
      </c>
      <c r="EX29" s="109">
        <f t="shared" si="173"/>
        <v>1</v>
      </c>
      <c r="EY29" s="109">
        <f t="shared" si="173"/>
        <v>1</v>
      </c>
      <c r="EZ29" s="109">
        <f t="shared" si="173"/>
        <v>1</v>
      </c>
      <c r="FA29" s="109">
        <f t="shared" si="173"/>
        <v>1</v>
      </c>
      <c r="FB29" s="109">
        <f t="shared" si="173"/>
        <v>1</v>
      </c>
      <c r="FC29" s="109">
        <f t="shared" si="173"/>
        <v>1</v>
      </c>
      <c r="FD29" s="109">
        <f t="shared" si="173"/>
        <v>1</v>
      </c>
      <c r="FE29" s="109">
        <f t="shared" si="173"/>
        <v>0.99875000000000003</v>
      </c>
      <c r="FF29" s="109">
        <f t="shared" si="173"/>
        <v>1</v>
      </c>
      <c r="FG29" s="109">
        <f t="shared" si="173"/>
        <v>0.45499999999999996</v>
      </c>
      <c r="FH29" s="109">
        <f t="shared" si="173"/>
        <v>1</v>
      </c>
      <c r="FI29" s="109">
        <f t="shared" si="173"/>
        <v>0.98875000000000002</v>
      </c>
      <c r="FJ29" s="109">
        <f t="shared" si="173"/>
        <v>1</v>
      </c>
      <c r="FK29" s="109">
        <f t="shared" si="173"/>
        <v>1</v>
      </c>
      <c r="FL29" s="109">
        <f t="shared" si="173"/>
        <v>0.8666666666666667</v>
      </c>
      <c r="FM29" s="109">
        <f t="shared" si="173"/>
        <v>1</v>
      </c>
      <c r="FN29" s="109">
        <f t="shared" si="173"/>
        <v>1</v>
      </c>
      <c r="FO29" s="109">
        <f t="shared" si="173"/>
        <v>1</v>
      </c>
      <c r="FP29" s="109">
        <f t="shared" si="173"/>
        <v>1</v>
      </c>
      <c r="FQ29" s="109">
        <f t="shared" si="173"/>
        <v>1</v>
      </c>
      <c r="FR29" s="109">
        <f t="shared" si="173"/>
        <v>0.91166666666666663</v>
      </c>
      <c r="FS29" s="109">
        <f t="shared" si="173"/>
        <v>1</v>
      </c>
      <c r="FT29" s="109">
        <f t="shared" si="173"/>
        <v>1</v>
      </c>
      <c r="FU29" s="109">
        <f t="shared" si="173"/>
        <v>0.70124999999999993</v>
      </c>
      <c r="FV29" s="109">
        <f t="shared" si="173"/>
        <v>0.60083333333333333</v>
      </c>
      <c r="FW29" s="109">
        <f t="shared" si="173"/>
        <v>0.755</v>
      </c>
      <c r="FX29" s="109">
        <f t="shared" si="173"/>
        <v>1</v>
      </c>
      <c r="FY29" s="109">
        <f t="shared" si="173"/>
        <v>1</v>
      </c>
      <c r="FZ29" s="109">
        <f t="shared" si="173"/>
        <v>1</v>
      </c>
      <c r="GA29" s="109">
        <f t="shared" si="157"/>
        <v>0.9458333333333333</v>
      </c>
      <c r="GB29" s="109">
        <f t="shared" si="157"/>
        <v>1</v>
      </c>
      <c r="GC29" s="109">
        <f t="shared" si="173"/>
        <v>1</v>
      </c>
      <c r="GD29" s="109">
        <f t="shared" si="173"/>
        <v>1</v>
      </c>
      <c r="GE29" s="109">
        <f t="shared" si="173"/>
        <v>1</v>
      </c>
      <c r="GF29" s="109">
        <f t="shared" si="173"/>
        <v>0.87416666666666665</v>
      </c>
      <c r="GG29" s="109">
        <f t="shared" si="173"/>
        <v>1</v>
      </c>
      <c r="GH29" s="109">
        <f t="shared" si="173"/>
        <v>1</v>
      </c>
      <c r="GI29" s="109">
        <f t="shared" si="173"/>
        <v>0.73249999999999993</v>
      </c>
      <c r="GJ29" s="109">
        <f t="shared" si="173"/>
        <v>0.74916666666666676</v>
      </c>
      <c r="GK29" s="109">
        <f t="shared" si="173"/>
        <v>1</v>
      </c>
      <c r="GL29" s="109">
        <f t="shared" si="173"/>
        <v>-6.9533333333333331</v>
      </c>
      <c r="GM29" s="109">
        <f t="shared" ref="GM29:IX29" si="174">IF(OR(GM$13="",GM$17="",GM$14="",GM$15="",GM$16="",GM$18="",GM$19="",GM$20="",GM$21=""),"",1-(GM15/(GM$1*24)))</f>
        <v>1</v>
      </c>
      <c r="GN29" s="109">
        <f t="shared" si="174"/>
        <v>1</v>
      </c>
      <c r="GO29" s="109">
        <f t="shared" si="174"/>
        <v>1</v>
      </c>
      <c r="GP29" s="109">
        <f t="shared" si="174"/>
        <v>1</v>
      </c>
      <c r="GQ29" s="109">
        <f t="shared" si="174"/>
        <v>1</v>
      </c>
      <c r="GR29" s="109">
        <f t="shared" si="174"/>
        <v>1</v>
      </c>
      <c r="GS29" s="109">
        <f t="shared" si="174"/>
        <v>1</v>
      </c>
      <c r="GT29" s="109">
        <f t="shared" si="174"/>
        <v>1</v>
      </c>
      <c r="GU29" s="109">
        <f t="shared" si="174"/>
        <v>1</v>
      </c>
      <c r="GV29" s="109">
        <f t="shared" si="174"/>
        <v>1</v>
      </c>
      <c r="GW29" s="109">
        <f t="shared" si="174"/>
        <v>0.79166666666666663</v>
      </c>
      <c r="GX29" s="109">
        <f t="shared" si="174"/>
        <v>1</v>
      </c>
      <c r="GY29" s="109">
        <f t="shared" si="174"/>
        <v>1</v>
      </c>
      <c r="GZ29" s="109">
        <f t="shared" si="174"/>
        <v>1</v>
      </c>
      <c r="HA29" s="109">
        <f t="shared" si="174"/>
        <v>1</v>
      </c>
      <c r="HB29" s="109">
        <f t="shared" si="174"/>
        <v>1</v>
      </c>
      <c r="HC29" s="109">
        <f t="shared" si="174"/>
        <v>1</v>
      </c>
      <c r="HD29" s="109">
        <f t="shared" si="174"/>
        <v>1</v>
      </c>
      <c r="HE29" s="109">
        <f t="shared" si="174"/>
        <v>1</v>
      </c>
      <c r="HF29" s="109">
        <f t="shared" si="174"/>
        <v>0.36791666666666667</v>
      </c>
      <c r="HG29" s="109">
        <f t="shared" si="174"/>
        <v>1</v>
      </c>
      <c r="HH29" s="109">
        <f t="shared" si="174"/>
        <v>1</v>
      </c>
      <c r="HI29" s="109">
        <f t="shared" si="174"/>
        <v>1</v>
      </c>
      <c r="HJ29" s="109">
        <f t="shared" si="174"/>
        <v>1</v>
      </c>
      <c r="HK29" s="109">
        <f t="shared" si="174"/>
        <v>1</v>
      </c>
      <c r="HL29" s="109">
        <f t="shared" si="174"/>
        <v>1</v>
      </c>
      <c r="HM29" s="109">
        <f t="shared" si="174"/>
        <v>1</v>
      </c>
      <c r="HN29" s="109">
        <f t="shared" si="174"/>
        <v>1</v>
      </c>
      <c r="HO29" s="109">
        <f t="shared" si="174"/>
        <v>1</v>
      </c>
      <c r="HP29" s="109">
        <f t="shared" si="174"/>
        <v>1</v>
      </c>
      <c r="HQ29" s="109">
        <f t="shared" si="174"/>
        <v>1</v>
      </c>
      <c r="HR29" s="109">
        <f t="shared" si="174"/>
        <v>1</v>
      </c>
      <c r="HS29" s="109">
        <f t="shared" si="174"/>
        <v>1</v>
      </c>
      <c r="HT29" s="109">
        <f t="shared" si="174"/>
        <v>1</v>
      </c>
      <c r="HU29" s="109">
        <f t="shared" si="174"/>
        <v>1</v>
      </c>
      <c r="HV29" s="109">
        <f t="shared" si="174"/>
        <v>1</v>
      </c>
      <c r="HW29" s="109">
        <f t="shared" si="174"/>
        <v>0.58075231481481482</v>
      </c>
      <c r="HX29" s="109">
        <f t="shared" si="174"/>
        <v>1</v>
      </c>
      <c r="HY29" s="109">
        <f t="shared" si="174"/>
        <v>0.99525462962962963</v>
      </c>
      <c r="HZ29" s="109">
        <f t="shared" si="174"/>
        <v>0.45743055555555545</v>
      </c>
      <c r="IA29" s="109">
        <f t="shared" si="174"/>
        <v>1</v>
      </c>
      <c r="IB29" s="109">
        <f t="shared" si="174"/>
        <v>1</v>
      </c>
      <c r="IC29" s="109">
        <f t="shared" si="174"/>
        <v>1</v>
      </c>
      <c r="ID29" s="109">
        <f t="shared" si="174"/>
        <v>0.84791666666666665</v>
      </c>
      <c r="IE29" s="109">
        <f t="shared" si="174"/>
        <v>1</v>
      </c>
      <c r="IF29" s="109">
        <f t="shared" si="174"/>
        <v>1</v>
      </c>
      <c r="IG29" s="109">
        <f t="shared" si="174"/>
        <v>1</v>
      </c>
      <c r="IH29" s="109">
        <f t="shared" si="174"/>
        <v>1</v>
      </c>
      <c r="II29" s="109">
        <f t="shared" si="174"/>
        <v>1</v>
      </c>
      <c r="IJ29" s="109">
        <f t="shared" si="174"/>
        <v>1</v>
      </c>
      <c r="IK29" s="109">
        <f t="shared" si="174"/>
        <v>1</v>
      </c>
      <c r="IL29" s="109">
        <f t="shared" si="174"/>
        <v>0.83839120370370368</v>
      </c>
      <c r="IM29" s="109">
        <f t="shared" si="174"/>
        <v>1</v>
      </c>
      <c r="IN29" s="109">
        <f t="shared" si="174"/>
        <v>1</v>
      </c>
      <c r="IO29" s="109">
        <f t="shared" si="174"/>
        <v>1</v>
      </c>
      <c r="IP29" s="109">
        <f t="shared" si="174"/>
        <v>1</v>
      </c>
      <c r="IQ29" s="109">
        <f t="shared" si="174"/>
        <v>1</v>
      </c>
      <c r="IR29" s="109">
        <f t="shared" si="174"/>
        <v>0.94358796296296299</v>
      </c>
      <c r="IS29" s="109">
        <f t="shared" si="174"/>
        <v>0.83071759259259259</v>
      </c>
      <c r="IT29" s="109">
        <f t="shared" si="174"/>
        <v>0.19401620370370376</v>
      </c>
      <c r="IU29" s="109">
        <f t="shared" si="174"/>
        <v>5.3703703703703587E-3</v>
      </c>
      <c r="IV29" s="109">
        <f t="shared" si="174"/>
        <v>0</v>
      </c>
      <c r="IW29" s="109">
        <f t="shared" si="174"/>
        <v>0</v>
      </c>
      <c r="IX29" s="109">
        <f t="shared" si="174"/>
        <v>0</v>
      </c>
      <c r="IY29" s="109">
        <f t="shared" ref="IY29:LJ29" si="175">IF(OR(IY$13="",IY$17="",IY$14="",IY$15="",IY$16="",IY$18="",IY$19="",IY$20="",IY$21=""),"",1-(IY15/(IY$1*24)))</f>
        <v>0.36631944444444453</v>
      </c>
      <c r="IZ29" s="109">
        <f t="shared" si="175"/>
        <v>1</v>
      </c>
      <c r="JA29" s="109">
        <f t="shared" si="175"/>
        <v>1</v>
      </c>
      <c r="JB29" s="109">
        <f t="shared" si="175"/>
        <v>1</v>
      </c>
      <c r="JC29" s="109">
        <f t="shared" si="175"/>
        <v>1</v>
      </c>
      <c r="JD29" s="109">
        <f t="shared" si="175"/>
        <v>1</v>
      </c>
      <c r="JE29" s="109">
        <f t="shared" si="175"/>
        <v>0.89731481481481479</v>
      </c>
      <c r="JF29" s="109">
        <f t="shared" si="175"/>
        <v>1</v>
      </c>
      <c r="JG29" s="109">
        <f t="shared" si="175"/>
        <v>1</v>
      </c>
      <c r="JH29" s="109">
        <f t="shared" si="175"/>
        <v>1</v>
      </c>
      <c r="JI29" s="109">
        <f t="shared" si="175"/>
        <v>0.99783564814814818</v>
      </c>
      <c r="JJ29" s="109">
        <f t="shared" si="175"/>
        <v>0.98159722222222223</v>
      </c>
      <c r="JK29" s="109">
        <f t="shared" si="175"/>
        <v>0.99159722222222224</v>
      </c>
      <c r="JL29" s="109">
        <f t="shared" si="175"/>
        <v>1</v>
      </c>
      <c r="JM29" s="109">
        <f t="shared" si="175"/>
        <v>1</v>
      </c>
      <c r="JN29" s="109">
        <f t="shared" si="175"/>
        <v>0.62062499999999998</v>
      </c>
      <c r="JO29" s="109">
        <f t="shared" si="175"/>
        <v>0.95833333333333337</v>
      </c>
      <c r="JP29" s="109">
        <f t="shared" si="175"/>
        <v>0.89781250000000001</v>
      </c>
      <c r="JQ29" s="109">
        <f t="shared" si="175"/>
        <v>0.95833333333333337</v>
      </c>
      <c r="JR29" s="109">
        <f t="shared" si="175"/>
        <v>0.71875</v>
      </c>
      <c r="JS29" s="109">
        <f t="shared" si="175"/>
        <v>0.875</v>
      </c>
      <c r="JT29" s="109">
        <f t="shared" si="175"/>
        <v>0.93</v>
      </c>
      <c r="JU29" s="109">
        <f t="shared" si="175"/>
        <v>1</v>
      </c>
      <c r="JV29" s="109">
        <f t="shared" si="175"/>
        <v>0.99375000000000002</v>
      </c>
      <c r="JW29" s="109">
        <f t="shared" si="175"/>
        <v>1</v>
      </c>
      <c r="JX29" s="109">
        <f t="shared" si="175"/>
        <v>1</v>
      </c>
      <c r="JY29" s="109">
        <f t="shared" si="175"/>
        <v>1</v>
      </c>
      <c r="JZ29" s="109">
        <f t="shared" si="175"/>
        <v>1</v>
      </c>
      <c r="KA29" s="109">
        <f t="shared" si="175"/>
        <v>1</v>
      </c>
      <c r="KB29" s="109">
        <f t="shared" si="175"/>
        <v>1</v>
      </c>
      <c r="KC29" s="109">
        <f t="shared" si="175"/>
        <v>1</v>
      </c>
      <c r="KD29" s="109">
        <f t="shared" si="175"/>
        <v>1</v>
      </c>
      <c r="KE29" s="109">
        <f t="shared" si="175"/>
        <v>1</v>
      </c>
      <c r="KF29" s="109">
        <f t="shared" si="175"/>
        <v>1</v>
      </c>
      <c r="KG29" s="109">
        <f t="shared" si="175"/>
        <v>1</v>
      </c>
      <c r="KH29" s="109">
        <f t="shared" si="175"/>
        <v>1</v>
      </c>
      <c r="KI29" s="109">
        <f t="shared" si="175"/>
        <v>1</v>
      </c>
      <c r="KJ29" s="109">
        <f t="shared" si="175"/>
        <v>1</v>
      </c>
      <c r="KK29" s="109">
        <f t="shared" si="175"/>
        <v>1</v>
      </c>
      <c r="KL29" s="109">
        <f t="shared" si="175"/>
        <v>1</v>
      </c>
      <c r="KM29" s="109">
        <f t="shared" si="175"/>
        <v>1</v>
      </c>
      <c r="KN29" s="109">
        <f t="shared" si="175"/>
        <v>1</v>
      </c>
      <c r="KO29" s="109">
        <f t="shared" si="175"/>
        <v>1</v>
      </c>
      <c r="KP29" s="109">
        <f t="shared" si="175"/>
        <v>1</v>
      </c>
      <c r="KQ29" s="109">
        <f t="shared" si="175"/>
        <v>1</v>
      </c>
      <c r="KR29" s="109">
        <f t="shared" si="175"/>
        <v>1</v>
      </c>
      <c r="KS29" s="109">
        <f t="shared" si="175"/>
        <v>1</v>
      </c>
      <c r="KT29" s="109">
        <f t="shared" si="175"/>
        <v>1</v>
      </c>
      <c r="KU29" s="109" t="str">
        <f t="shared" si="175"/>
        <v/>
      </c>
      <c r="KV29" s="109" t="str">
        <f t="shared" si="175"/>
        <v/>
      </c>
      <c r="KW29" s="109" t="str">
        <f t="shared" si="175"/>
        <v/>
      </c>
      <c r="KX29" s="109" t="str">
        <f t="shared" si="175"/>
        <v/>
      </c>
      <c r="KY29" s="109" t="str">
        <f t="shared" si="175"/>
        <v/>
      </c>
      <c r="KZ29" s="109" t="str">
        <f t="shared" si="175"/>
        <v/>
      </c>
      <c r="LA29" s="109" t="str">
        <f t="shared" si="175"/>
        <v/>
      </c>
      <c r="LB29" s="109" t="str">
        <f t="shared" si="175"/>
        <v/>
      </c>
      <c r="LC29" s="109" t="str">
        <f t="shared" si="175"/>
        <v/>
      </c>
      <c r="LD29" s="109" t="str">
        <f t="shared" si="175"/>
        <v/>
      </c>
      <c r="LE29" s="109" t="str">
        <f t="shared" si="175"/>
        <v/>
      </c>
      <c r="LF29" s="109" t="str">
        <f t="shared" si="175"/>
        <v/>
      </c>
      <c r="LG29" s="109" t="str">
        <f t="shared" si="175"/>
        <v/>
      </c>
      <c r="LH29" s="109" t="str">
        <f t="shared" si="175"/>
        <v/>
      </c>
      <c r="LI29" s="109" t="str">
        <f t="shared" si="175"/>
        <v/>
      </c>
      <c r="LJ29" s="109" t="str">
        <f t="shared" si="175"/>
        <v/>
      </c>
      <c r="LK29" s="109" t="str">
        <f t="shared" ref="LK29:NV29" si="176">IF(OR(LK$13="",LK$17="",LK$14="",LK$15="",LK$16="",LK$18="",LK$19="",LK$20="",LK$21=""),"",1-(LK15/(LK$1*24)))</f>
        <v/>
      </c>
      <c r="LL29" s="109" t="str">
        <f t="shared" si="176"/>
        <v/>
      </c>
      <c r="LM29" s="109" t="str">
        <f t="shared" si="176"/>
        <v/>
      </c>
      <c r="LN29" s="109" t="str">
        <f t="shared" si="176"/>
        <v/>
      </c>
      <c r="LO29" s="109" t="str">
        <f t="shared" si="176"/>
        <v/>
      </c>
      <c r="LP29" s="109" t="str">
        <f t="shared" si="176"/>
        <v/>
      </c>
      <c r="LQ29" s="109" t="str">
        <f t="shared" si="176"/>
        <v/>
      </c>
      <c r="LR29" s="109" t="str">
        <f t="shared" si="176"/>
        <v/>
      </c>
      <c r="LS29" s="109" t="str">
        <f t="shared" si="176"/>
        <v/>
      </c>
      <c r="LT29" s="109" t="str">
        <f t="shared" si="176"/>
        <v/>
      </c>
      <c r="LU29" s="109" t="str">
        <f t="shared" si="176"/>
        <v/>
      </c>
      <c r="LV29" s="109" t="str">
        <f t="shared" si="176"/>
        <v/>
      </c>
      <c r="LW29" s="109" t="str">
        <f t="shared" si="176"/>
        <v/>
      </c>
      <c r="LX29" s="109" t="str">
        <f t="shared" si="176"/>
        <v/>
      </c>
      <c r="LY29" s="109" t="str">
        <f t="shared" si="176"/>
        <v/>
      </c>
      <c r="LZ29" s="109" t="str">
        <f t="shared" si="176"/>
        <v/>
      </c>
      <c r="MA29" s="109" t="str">
        <f t="shared" si="176"/>
        <v/>
      </c>
      <c r="MB29" s="109" t="str">
        <f t="shared" si="176"/>
        <v/>
      </c>
      <c r="MC29" s="109" t="str">
        <f t="shared" si="176"/>
        <v/>
      </c>
      <c r="MD29" s="109" t="str">
        <f t="shared" si="176"/>
        <v/>
      </c>
      <c r="ME29" s="109" t="str">
        <f t="shared" si="176"/>
        <v/>
      </c>
      <c r="MF29" s="109" t="str">
        <f t="shared" si="176"/>
        <v/>
      </c>
      <c r="MG29" s="109" t="str">
        <f t="shared" si="176"/>
        <v/>
      </c>
      <c r="MH29" s="109" t="str">
        <f t="shared" si="176"/>
        <v/>
      </c>
      <c r="MI29" s="109" t="str">
        <f t="shared" si="176"/>
        <v/>
      </c>
      <c r="MJ29" s="109" t="str">
        <f t="shared" si="176"/>
        <v/>
      </c>
      <c r="MK29" s="109" t="str">
        <f t="shared" si="176"/>
        <v/>
      </c>
      <c r="ML29" s="109" t="str">
        <f t="shared" si="176"/>
        <v/>
      </c>
      <c r="MM29" s="109" t="str">
        <f t="shared" si="176"/>
        <v/>
      </c>
      <c r="MN29" s="109" t="str">
        <f t="shared" si="176"/>
        <v/>
      </c>
      <c r="MO29" s="109" t="str">
        <f t="shared" si="176"/>
        <v/>
      </c>
      <c r="MP29" s="109" t="str">
        <f t="shared" si="176"/>
        <v/>
      </c>
      <c r="MQ29" s="109" t="str">
        <f t="shared" si="176"/>
        <v/>
      </c>
      <c r="MR29" s="109" t="str">
        <f t="shared" si="176"/>
        <v/>
      </c>
      <c r="MS29" s="109" t="str">
        <f t="shared" si="176"/>
        <v/>
      </c>
      <c r="MT29" s="109" t="str">
        <f t="shared" si="176"/>
        <v/>
      </c>
      <c r="MU29" s="109" t="str">
        <f t="shared" si="176"/>
        <v/>
      </c>
      <c r="MV29" s="109" t="str">
        <f t="shared" si="176"/>
        <v/>
      </c>
      <c r="MW29" s="109" t="str">
        <f t="shared" si="176"/>
        <v/>
      </c>
      <c r="MX29" s="109" t="str">
        <f t="shared" si="176"/>
        <v/>
      </c>
      <c r="MY29" s="109" t="str">
        <f t="shared" si="176"/>
        <v/>
      </c>
      <c r="MZ29" s="109" t="str">
        <f t="shared" si="176"/>
        <v/>
      </c>
      <c r="NA29" s="109" t="str">
        <f t="shared" si="176"/>
        <v/>
      </c>
      <c r="NB29" s="109" t="str">
        <f t="shared" si="176"/>
        <v/>
      </c>
      <c r="NC29" s="109" t="str">
        <f t="shared" si="176"/>
        <v/>
      </c>
      <c r="ND29" s="109" t="str">
        <f t="shared" si="176"/>
        <v/>
      </c>
      <c r="NE29" s="109" t="str">
        <f t="shared" si="176"/>
        <v/>
      </c>
      <c r="NF29" s="109" t="str">
        <f t="shared" si="176"/>
        <v/>
      </c>
      <c r="NG29" s="109" t="str">
        <f t="shared" si="176"/>
        <v/>
      </c>
      <c r="NH29" s="109" t="str">
        <f t="shared" si="176"/>
        <v/>
      </c>
      <c r="NI29" s="109" t="str">
        <f t="shared" si="176"/>
        <v/>
      </c>
      <c r="NJ29" s="109" t="str">
        <f t="shared" si="176"/>
        <v/>
      </c>
      <c r="NK29" s="109" t="str">
        <f t="shared" si="176"/>
        <v/>
      </c>
      <c r="NL29" s="109" t="str">
        <f t="shared" si="176"/>
        <v/>
      </c>
      <c r="NM29" s="109" t="str">
        <f t="shared" si="176"/>
        <v/>
      </c>
      <c r="NN29" s="109" t="str">
        <f t="shared" si="176"/>
        <v/>
      </c>
      <c r="NO29" s="109" t="str">
        <f t="shared" si="176"/>
        <v/>
      </c>
      <c r="NP29" s="109" t="str">
        <f t="shared" si="176"/>
        <v/>
      </c>
      <c r="NQ29" s="109" t="str">
        <f t="shared" si="176"/>
        <v/>
      </c>
      <c r="NR29" s="109" t="str">
        <f t="shared" si="176"/>
        <v/>
      </c>
      <c r="NS29" s="109" t="str">
        <f t="shared" si="176"/>
        <v/>
      </c>
      <c r="NT29" s="109" t="str">
        <f t="shared" si="176"/>
        <v/>
      </c>
      <c r="NU29" s="109" t="str">
        <f t="shared" si="176"/>
        <v/>
      </c>
      <c r="NV29" s="109" t="str">
        <f t="shared" si="176"/>
        <v/>
      </c>
      <c r="NW29" s="109" t="str">
        <f t="shared" ref="NW29:QH29" si="177">IF(OR(NW$13="",NW$17="",NW$14="",NW$15="",NW$16="",NW$18="",NW$19="",NW$20="",NW$21=""),"",1-(NW15/(NW$1*24)))</f>
        <v/>
      </c>
      <c r="NX29" s="109" t="str">
        <f t="shared" si="177"/>
        <v/>
      </c>
      <c r="NY29" s="109" t="str">
        <f t="shared" si="177"/>
        <v/>
      </c>
      <c r="NZ29" s="109" t="str">
        <f t="shared" si="177"/>
        <v/>
      </c>
      <c r="OA29" s="109" t="str">
        <f t="shared" si="177"/>
        <v/>
      </c>
      <c r="OB29" s="109" t="str">
        <f t="shared" si="177"/>
        <v/>
      </c>
      <c r="OC29" s="109" t="str">
        <f t="shared" si="177"/>
        <v/>
      </c>
      <c r="OD29" s="109" t="str">
        <f t="shared" si="177"/>
        <v/>
      </c>
      <c r="OE29" s="109" t="str">
        <f t="shared" si="177"/>
        <v/>
      </c>
      <c r="OF29" s="109" t="str">
        <f t="shared" si="177"/>
        <v/>
      </c>
      <c r="OG29" s="109" t="str">
        <f t="shared" si="177"/>
        <v/>
      </c>
      <c r="OH29" s="109" t="str">
        <f t="shared" si="177"/>
        <v/>
      </c>
      <c r="OI29" s="109" t="str">
        <f t="shared" si="177"/>
        <v/>
      </c>
      <c r="OJ29" s="109" t="str">
        <f t="shared" si="177"/>
        <v/>
      </c>
      <c r="OK29" s="109" t="str">
        <f t="shared" si="177"/>
        <v/>
      </c>
      <c r="OL29" s="109" t="str">
        <f t="shared" si="177"/>
        <v/>
      </c>
      <c r="OM29" s="109" t="str">
        <f t="shared" si="177"/>
        <v/>
      </c>
      <c r="ON29" s="109" t="str">
        <f t="shared" si="177"/>
        <v/>
      </c>
      <c r="OO29" s="109" t="str">
        <f t="shared" si="177"/>
        <v/>
      </c>
      <c r="OP29" s="109" t="str">
        <f t="shared" si="177"/>
        <v/>
      </c>
      <c r="OQ29" s="109" t="str">
        <f t="shared" si="177"/>
        <v/>
      </c>
      <c r="OR29" s="109" t="str">
        <f t="shared" si="177"/>
        <v/>
      </c>
      <c r="OS29" s="109" t="str">
        <f t="shared" si="177"/>
        <v/>
      </c>
      <c r="OT29" s="109" t="str">
        <f t="shared" si="177"/>
        <v/>
      </c>
      <c r="OU29" s="109" t="str">
        <f t="shared" si="177"/>
        <v/>
      </c>
      <c r="OV29" s="109" t="str">
        <f t="shared" si="177"/>
        <v/>
      </c>
      <c r="OW29" s="109" t="str">
        <f t="shared" si="177"/>
        <v/>
      </c>
      <c r="OX29" s="109" t="str">
        <f t="shared" si="177"/>
        <v/>
      </c>
      <c r="OY29" s="109" t="str">
        <f t="shared" si="177"/>
        <v/>
      </c>
      <c r="OZ29" s="109" t="str">
        <f t="shared" si="177"/>
        <v/>
      </c>
      <c r="PA29" s="109" t="str">
        <f t="shared" si="177"/>
        <v/>
      </c>
      <c r="PB29" s="109" t="str">
        <f t="shared" si="177"/>
        <v/>
      </c>
      <c r="PC29" s="109" t="str">
        <f t="shared" si="177"/>
        <v/>
      </c>
      <c r="PD29" s="109" t="str">
        <f t="shared" si="177"/>
        <v/>
      </c>
      <c r="PE29" s="109" t="str">
        <f t="shared" si="177"/>
        <v/>
      </c>
      <c r="PF29" s="109" t="str">
        <f t="shared" si="177"/>
        <v/>
      </c>
      <c r="PG29" s="109" t="str">
        <f t="shared" si="177"/>
        <v/>
      </c>
      <c r="PH29" s="109" t="str">
        <f t="shared" si="177"/>
        <v/>
      </c>
      <c r="PI29" s="109" t="str">
        <f t="shared" si="177"/>
        <v/>
      </c>
      <c r="PJ29" s="109" t="str">
        <f t="shared" si="177"/>
        <v/>
      </c>
      <c r="PK29" s="109" t="str">
        <f t="shared" si="177"/>
        <v/>
      </c>
      <c r="PL29" s="109" t="str">
        <f t="shared" si="177"/>
        <v/>
      </c>
      <c r="PM29" s="109" t="str">
        <f t="shared" si="177"/>
        <v/>
      </c>
      <c r="PN29" s="109" t="str">
        <f t="shared" si="177"/>
        <v/>
      </c>
      <c r="PO29" s="109" t="str">
        <f t="shared" si="177"/>
        <v/>
      </c>
      <c r="PP29" s="109" t="str">
        <f t="shared" si="177"/>
        <v/>
      </c>
      <c r="PQ29" s="109" t="str">
        <f t="shared" si="177"/>
        <v/>
      </c>
      <c r="PR29" s="109" t="str">
        <f t="shared" si="177"/>
        <v/>
      </c>
      <c r="PS29" s="109" t="str">
        <f t="shared" si="177"/>
        <v/>
      </c>
      <c r="PT29" s="109" t="str">
        <f t="shared" si="177"/>
        <v/>
      </c>
      <c r="PU29" s="109" t="str">
        <f t="shared" si="177"/>
        <v/>
      </c>
      <c r="PV29" s="109" t="str">
        <f t="shared" si="177"/>
        <v/>
      </c>
      <c r="PW29" s="109" t="str">
        <f t="shared" si="177"/>
        <v/>
      </c>
      <c r="PX29" s="109" t="str">
        <f t="shared" si="177"/>
        <v/>
      </c>
      <c r="PY29" s="109" t="str">
        <f t="shared" si="177"/>
        <v/>
      </c>
      <c r="PZ29" s="109" t="str">
        <f t="shared" si="177"/>
        <v/>
      </c>
      <c r="QA29" s="109" t="str">
        <f t="shared" si="177"/>
        <v/>
      </c>
      <c r="QB29" s="109" t="str">
        <f t="shared" si="177"/>
        <v/>
      </c>
      <c r="QC29" s="109" t="str">
        <f t="shared" si="177"/>
        <v/>
      </c>
      <c r="QD29" s="109" t="str">
        <f t="shared" si="177"/>
        <v/>
      </c>
      <c r="QE29" s="109" t="str">
        <f t="shared" si="177"/>
        <v/>
      </c>
      <c r="QF29" s="109" t="str">
        <f t="shared" si="177"/>
        <v/>
      </c>
      <c r="QG29" s="109" t="str">
        <f t="shared" si="177"/>
        <v/>
      </c>
      <c r="QH29" s="109" t="str">
        <f t="shared" si="177"/>
        <v/>
      </c>
      <c r="QI29" s="109" t="str">
        <f t="shared" ref="QI29:SW29" si="178">IF(OR(QI$13="",QI$17="",QI$14="",QI$15="",QI$16="",QI$18="",QI$19="",QI$20="",QI$21=""),"",1-(QI15/(QI$1*24)))</f>
        <v/>
      </c>
      <c r="QJ29" s="109" t="str">
        <f t="shared" si="178"/>
        <v/>
      </c>
      <c r="QK29" s="109" t="str">
        <f t="shared" si="178"/>
        <v/>
      </c>
      <c r="QL29" s="109" t="str">
        <f t="shared" si="178"/>
        <v/>
      </c>
      <c r="QM29" s="109" t="str">
        <f t="shared" si="178"/>
        <v/>
      </c>
      <c r="QN29" s="109" t="str">
        <f t="shared" si="178"/>
        <v/>
      </c>
      <c r="QO29" s="109" t="str">
        <f t="shared" si="178"/>
        <v/>
      </c>
      <c r="QP29" s="109" t="str">
        <f t="shared" si="178"/>
        <v/>
      </c>
      <c r="QQ29" s="109" t="str">
        <f t="shared" si="178"/>
        <v/>
      </c>
      <c r="QR29" s="109" t="str">
        <f t="shared" si="178"/>
        <v/>
      </c>
      <c r="QS29" s="109" t="str">
        <f t="shared" si="178"/>
        <v/>
      </c>
      <c r="QT29" s="109" t="str">
        <f t="shared" si="178"/>
        <v/>
      </c>
      <c r="QU29" s="109" t="str">
        <f t="shared" si="178"/>
        <v/>
      </c>
      <c r="QV29" s="109" t="str">
        <f t="shared" si="178"/>
        <v/>
      </c>
      <c r="QW29" s="109" t="str">
        <f t="shared" si="178"/>
        <v/>
      </c>
      <c r="QX29" s="109" t="str">
        <f t="shared" si="178"/>
        <v/>
      </c>
      <c r="QY29" s="109" t="str">
        <f t="shared" si="178"/>
        <v/>
      </c>
      <c r="QZ29" s="109" t="str">
        <f t="shared" si="178"/>
        <v/>
      </c>
      <c r="RA29" s="109" t="str">
        <f t="shared" si="178"/>
        <v/>
      </c>
      <c r="RB29" s="109" t="str">
        <f t="shared" si="178"/>
        <v/>
      </c>
      <c r="RC29" s="109" t="str">
        <f t="shared" si="178"/>
        <v/>
      </c>
      <c r="RD29" s="109" t="str">
        <f t="shared" si="178"/>
        <v/>
      </c>
      <c r="RE29" s="109" t="str">
        <f t="shared" si="178"/>
        <v/>
      </c>
      <c r="RF29" s="109" t="str">
        <f t="shared" si="178"/>
        <v/>
      </c>
      <c r="RG29" s="109" t="str">
        <f t="shared" si="178"/>
        <v/>
      </c>
      <c r="RH29" s="109" t="str">
        <f t="shared" si="178"/>
        <v/>
      </c>
      <c r="RI29" s="109" t="str">
        <f t="shared" si="178"/>
        <v/>
      </c>
      <c r="RJ29" s="109" t="str">
        <f t="shared" si="178"/>
        <v/>
      </c>
      <c r="RK29" s="109" t="str">
        <f t="shared" si="178"/>
        <v/>
      </c>
      <c r="RL29" s="109" t="str">
        <f t="shared" si="178"/>
        <v/>
      </c>
      <c r="RM29" s="109" t="str">
        <f t="shared" si="178"/>
        <v/>
      </c>
      <c r="RN29" s="109" t="str">
        <f t="shared" si="178"/>
        <v/>
      </c>
      <c r="RO29" s="109" t="str">
        <f t="shared" si="178"/>
        <v/>
      </c>
      <c r="RP29" s="109" t="str">
        <f t="shared" si="178"/>
        <v/>
      </c>
      <c r="RQ29" s="109" t="str">
        <f t="shared" si="178"/>
        <v/>
      </c>
      <c r="RR29" s="109" t="str">
        <f t="shared" si="178"/>
        <v/>
      </c>
      <c r="RS29" s="109" t="str">
        <f t="shared" si="178"/>
        <v/>
      </c>
      <c r="RT29" s="109" t="str">
        <f t="shared" si="178"/>
        <v/>
      </c>
      <c r="RU29" s="109" t="str">
        <f t="shared" si="178"/>
        <v/>
      </c>
      <c r="RV29" s="109" t="str">
        <f t="shared" si="178"/>
        <v/>
      </c>
      <c r="RW29" s="109" t="str">
        <f t="shared" si="178"/>
        <v/>
      </c>
      <c r="RX29" s="109" t="str">
        <f t="shared" si="178"/>
        <v/>
      </c>
      <c r="RY29" s="109" t="str">
        <f t="shared" si="178"/>
        <v/>
      </c>
      <c r="RZ29" s="109" t="str">
        <f t="shared" si="178"/>
        <v/>
      </c>
      <c r="SA29" s="109" t="str">
        <f t="shared" si="178"/>
        <v/>
      </c>
      <c r="SB29" s="109" t="str">
        <f t="shared" si="178"/>
        <v/>
      </c>
      <c r="SC29" s="109" t="str">
        <f t="shared" si="178"/>
        <v/>
      </c>
      <c r="SD29" s="109" t="str">
        <f t="shared" si="178"/>
        <v/>
      </c>
      <c r="SE29" s="109" t="str">
        <f t="shared" si="178"/>
        <v/>
      </c>
      <c r="SF29" s="109" t="str">
        <f t="shared" si="178"/>
        <v/>
      </c>
      <c r="SG29" s="109" t="str">
        <f t="shared" si="178"/>
        <v/>
      </c>
      <c r="SH29" s="109" t="str">
        <f t="shared" si="178"/>
        <v/>
      </c>
      <c r="SI29" s="109" t="str">
        <f t="shared" si="178"/>
        <v/>
      </c>
      <c r="SJ29" s="109" t="str">
        <f t="shared" si="178"/>
        <v/>
      </c>
      <c r="SK29" s="109" t="str">
        <f t="shared" si="178"/>
        <v/>
      </c>
      <c r="SL29" s="109" t="str">
        <f t="shared" si="178"/>
        <v/>
      </c>
      <c r="SM29" s="109" t="str">
        <f t="shared" si="178"/>
        <v/>
      </c>
      <c r="SN29" s="109" t="str">
        <f t="shared" si="178"/>
        <v/>
      </c>
      <c r="SO29" s="109" t="str">
        <f t="shared" si="178"/>
        <v/>
      </c>
      <c r="SP29" s="109" t="str">
        <f t="shared" si="178"/>
        <v/>
      </c>
      <c r="SQ29" s="109" t="str">
        <f t="shared" si="178"/>
        <v/>
      </c>
      <c r="SR29" s="109" t="str">
        <f t="shared" si="178"/>
        <v/>
      </c>
      <c r="SS29" s="109" t="str">
        <f t="shared" si="178"/>
        <v/>
      </c>
      <c r="ST29" s="109" t="str">
        <f t="shared" si="178"/>
        <v/>
      </c>
      <c r="SU29" s="109" t="str">
        <f t="shared" si="178"/>
        <v/>
      </c>
      <c r="SV29" s="109" t="str">
        <f t="shared" si="178"/>
        <v/>
      </c>
      <c r="SW29" s="109" t="str">
        <f t="shared" si="178"/>
        <v/>
      </c>
    </row>
    <row r="30" spans="1:517" ht="24" customHeight="1" x14ac:dyDescent="0.2">
      <c r="A30" s="94" t="s">
        <v>86</v>
      </c>
      <c r="B30" s="117" t="s">
        <v>80</v>
      </c>
      <c r="C30" s="109">
        <f t="shared" ref="C30:BN30" si="179">IF(OR(C$13="",C$17="",C$14="",C$15="",C$16="",C$18="",C$19="",C$20="",C$21=""),"",1-(C16/(C$1*24)))</f>
        <v>1</v>
      </c>
      <c r="D30" s="109">
        <f t="shared" si="179"/>
        <v>1</v>
      </c>
      <c r="E30" s="109">
        <f t="shared" si="179"/>
        <v>1</v>
      </c>
      <c r="F30" s="109">
        <f t="shared" si="179"/>
        <v>1</v>
      </c>
      <c r="G30" s="109">
        <f t="shared" si="179"/>
        <v>1</v>
      </c>
      <c r="H30" s="109">
        <f t="shared" si="179"/>
        <v>1</v>
      </c>
      <c r="I30" s="109">
        <f t="shared" si="179"/>
        <v>1</v>
      </c>
      <c r="J30" s="109">
        <f t="shared" si="179"/>
        <v>1</v>
      </c>
      <c r="K30" s="109">
        <f t="shared" si="179"/>
        <v>1</v>
      </c>
      <c r="L30" s="109">
        <f t="shared" si="179"/>
        <v>1</v>
      </c>
      <c r="M30" s="109">
        <f t="shared" si="179"/>
        <v>1</v>
      </c>
      <c r="N30" s="109">
        <f t="shared" si="179"/>
        <v>1</v>
      </c>
      <c r="O30" s="109">
        <f t="shared" si="179"/>
        <v>1</v>
      </c>
      <c r="P30" s="109">
        <f t="shared" si="179"/>
        <v>1</v>
      </c>
      <c r="Q30" s="109">
        <f t="shared" si="179"/>
        <v>1</v>
      </c>
      <c r="R30" s="109">
        <f t="shared" si="179"/>
        <v>1</v>
      </c>
      <c r="S30" s="109">
        <f t="shared" si="179"/>
        <v>1</v>
      </c>
      <c r="T30" s="109">
        <f t="shared" si="179"/>
        <v>1</v>
      </c>
      <c r="U30" s="109">
        <f t="shared" si="179"/>
        <v>1</v>
      </c>
      <c r="V30" s="109">
        <f t="shared" si="179"/>
        <v>1</v>
      </c>
      <c r="W30" s="109">
        <f t="shared" si="179"/>
        <v>1</v>
      </c>
      <c r="X30" s="109">
        <f t="shared" si="179"/>
        <v>1</v>
      </c>
      <c r="Y30" s="109">
        <f t="shared" si="179"/>
        <v>-0.18333333333333335</v>
      </c>
      <c r="Z30" s="109">
        <f t="shared" si="179"/>
        <v>1</v>
      </c>
      <c r="AA30" s="109">
        <f t="shared" si="179"/>
        <v>1</v>
      </c>
      <c r="AB30" s="109">
        <f t="shared" si="179"/>
        <v>1</v>
      </c>
      <c r="AC30" s="109">
        <f t="shared" si="179"/>
        <v>1</v>
      </c>
      <c r="AD30" s="109">
        <f t="shared" si="179"/>
        <v>1</v>
      </c>
      <c r="AE30" s="109">
        <f t="shared" si="179"/>
        <v>1</v>
      </c>
      <c r="AF30" s="109">
        <f t="shared" si="179"/>
        <v>1</v>
      </c>
      <c r="AG30" s="109">
        <f t="shared" si="179"/>
        <v>0.94125000000000003</v>
      </c>
      <c r="AH30" s="109">
        <f t="shared" si="179"/>
        <v>1</v>
      </c>
      <c r="AI30" s="109">
        <f t="shared" si="179"/>
        <v>0.88416666666666666</v>
      </c>
      <c r="AJ30" s="109">
        <f t="shared" si="179"/>
        <v>1</v>
      </c>
      <c r="AK30" s="109">
        <f t="shared" si="179"/>
        <v>0.9604166666666667</v>
      </c>
      <c r="AL30" s="109">
        <f t="shared" si="179"/>
        <v>0.94166666666666665</v>
      </c>
      <c r="AM30" s="109">
        <f t="shared" si="179"/>
        <v>1</v>
      </c>
      <c r="AN30" s="109">
        <f t="shared" si="179"/>
        <v>0.91916666666666669</v>
      </c>
      <c r="AO30" s="109">
        <f t="shared" si="179"/>
        <v>0.87624999999999997</v>
      </c>
      <c r="AP30" s="109">
        <f t="shared" si="179"/>
        <v>1</v>
      </c>
      <c r="AQ30" s="109">
        <f t="shared" si="179"/>
        <v>1</v>
      </c>
      <c r="AR30" s="109">
        <f t="shared" si="179"/>
        <v>1</v>
      </c>
      <c r="AS30" s="109">
        <f t="shared" si="179"/>
        <v>1</v>
      </c>
      <c r="AT30" s="109">
        <f t="shared" si="179"/>
        <v>0.88291666666666668</v>
      </c>
      <c r="AU30" s="109">
        <f t="shared" si="179"/>
        <v>1</v>
      </c>
      <c r="AV30" s="109">
        <f t="shared" si="179"/>
        <v>0.11541666666666661</v>
      </c>
      <c r="AW30" s="109">
        <f t="shared" si="179"/>
        <v>1</v>
      </c>
      <c r="AX30" s="109">
        <f t="shared" si="179"/>
        <v>1</v>
      </c>
      <c r="AY30" s="109">
        <f t="shared" si="179"/>
        <v>1</v>
      </c>
      <c r="AZ30" s="109">
        <f t="shared" si="179"/>
        <v>0.85125000000000006</v>
      </c>
      <c r="BA30" s="109">
        <f t="shared" si="179"/>
        <v>1</v>
      </c>
      <c r="BB30" s="109">
        <f t="shared" si="179"/>
        <v>1</v>
      </c>
      <c r="BC30" s="109">
        <f t="shared" si="179"/>
        <v>1</v>
      </c>
      <c r="BD30" s="109">
        <f t="shared" si="179"/>
        <v>1</v>
      </c>
      <c r="BE30" s="109">
        <f t="shared" si="179"/>
        <v>1</v>
      </c>
      <c r="BF30" s="109">
        <f t="shared" si="179"/>
        <v>1</v>
      </c>
      <c r="BG30" s="109">
        <f t="shared" si="179"/>
        <v>0.79874999999999996</v>
      </c>
      <c r="BH30" s="109">
        <f t="shared" si="179"/>
        <v>1</v>
      </c>
      <c r="BI30" s="109">
        <f t="shared" si="179"/>
        <v>1</v>
      </c>
      <c r="BJ30" s="109">
        <f t="shared" si="179"/>
        <v>1</v>
      </c>
      <c r="BK30" s="109">
        <f t="shared" si="179"/>
        <v>0.37875000000000003</v>
      </c>
      <c r="BL30" s="109">
        <f t="shared" si="179"/>
        <v>0.51958333333333329</v>
      </c>
      <c r="BM30" s="109">
        <f t="shared" si="179"/>
        <v>1</v>
      </c>
      <c r="BN30" s="109">
        <f t="shared" si="179"/>
        <v>2.0000000000000018E-2</v>
      </c>
      <c r="BO30" s="109">
        <f t="shared" ref="BO30:DZ30" si="180">IF(OR(BO$13="",BO$17="",BO$14="",BO$15="",BO$16="",BO$18="",BO$19="",BO$20="",BO$21=""),"",1-(BO16/(BO$1*24)))</f>
        <v>1</v>
      </c>
      <c r="BP30" s="109">
        <f t="shared" si="180"/>
        <v>1</v>
      </c>
      <c r="BQ30" s="109">
        <f t="shared" si="180"/>
        <v>1</v>
      </c>
      <c r="BR30" s="109">
        <f t="shared" si="180"/>
        <v>1</v>
      </c>
      <c r="BS30" s="109">
        <f t="shared" si="180"/>
        <v>1</v>
      </c>
      <c r="BT30" s="109">
        <f t="shared" si="180"/>
        <v>1</v>
      </c>
      <c r="BU30" s="109">
        <f t="shared" si="180"/>
        <v>0.95958333333333334</v>
      </c>
      <c r="BV30" s="109">
        <f t="shared" si="180"/>
        <v>1</v>
      </c>
      <c r="BW30" s="109">
        <f t="shared" si="180"/>
        <v>1</v>
      </c>
      <c r="BX30" s="109">
        <f t="shared" si="180"/>
        <v>1</v>
      </c>
      <c r="BY30" s="109">
        <f t="shared" si="180"/>
        <v>1</v>
      </c>
      <c r="BZ30" s="109">
        <f t="shared" si="180"/>
        <v>1</v>
      </c>
      <c r="CA30" s="109">
        <f t="shared" si="180"/>
        <v>1</v>
      </c>
      <c r="CB30" s="109">
        <f t="shared" si="180"/>
        <v>-0.36791666666666667</v>
      </c>
      <c r="CC30" s="109">
        <f t="shared" si="180"/>
        <v>1</v>
      </c>
      <c r="CD30" s="109">
        <f t="shared" si="180"/>
        <v>1</v>
      </c>
      <c r="CE30" s="109">
        <f t="shared" si="180"/>
        <v>1</v>
      </c>
      <c r="CF30" s="109">
        <f t="shared" si="180"/>
        <v>1</v>
      </c>
      <c r="CG30" s="109">
        <f t="shared" si="180"/>
        <v>1</v>
      </c>
      <c r="CH30" s="109">
        <f t="shared" si="180"/>
        <v>0.97083333333333333</v>
      </c>
      <c r="CI30" s="109">
        <f t="shared" si="180"/>
        <v>1</v>
      </c>
      <c r="CJ30" s="109">
        <f t="shared" si="180"/>
        <v>1</v>
      </c>
      <c r="CK30" s="109">
        <f t="shared" si="180"/>
        <v>1</v>
      </c>
      <c r="CL30" s="109">
        <f t="shared" si="180"/>
        <v>1</v>
      </c>
      <c r="CM30" s="109">
        <f t="shared" si="180"/>
        <v>1</v>
      </c>
      <c r="CN30" s="109">
        <f t="shared" si="180"/>
        <v>1</v>
      </c>
      <c r="CO30" s="109">
        <f t="shared" si="180"/>
        <v>5.5416666666666559E-2</v>
      </c>
      <c r="CP30" s="109">
        <f t="shared" si="180"/>
        <v>1</v>
      </c>
      <c r="CQ30" s="109">
        <f t="shared" si="180"/>
        <v>1</v>
      </c>
      <c r="CR30" s="109">
        <f t="shared" si="180"/>
        <v>1</v>
      </c>
      <c r="CS30" s="109">
        <f t="shared" si="180"/>
        <v>-0.29916666666666658</v>
      </c>
      <c r="CT30" s="109">
        <f t="shared" si="180"/>
        <v>0.26666666666666661</v>
      </c>
      <c r="CU30" s="109">
        <f t="shared" si="180"/>
        <v>0.82916666666666661</v>
      </c>
      <c r="CV30" s="109">
        <f t="shared" si="180"/>
        <v>0.9654166666666667</v>
      </c>
      <c r="CW30" s="109">
        <f t="shared" si="180"/>
        <v>1</v>
      </c>
      <c r="CX30" s="109">
        <f t="shared" si="180"/>
        <v>1</v>
      </c>
      <c r="CY30" s="109">
        <f t="shared" si="180"/>
        <v>0.83</v>
      </c>
      <c r="CZ30" s="109">
        <f t="shared" si="180"/>
        <v>1</v>
      </c>
      <c r="DA30" s="109">
        <f t="shared" si="180"/>
        <v>1</v>
      </c>
      <c r="DB30" s="109">
        <f t="shared" si="180"/>
        <v>0.90833333333333333</v>
      </c>
      <c r="DC30" s="109">
        <f t="shared" si="180"/>
        <v>1</v>
      </c>
      <c r="DD30" s="109">
        <f t="shared" si="180"/>
        <v>1</v>
      </c>
      <c r="DE30" s="109">
        <f t="shared" si="180"/>
        <v>0.78666666666666663</v>
      </c>
      <c r="DF30" s="109">
        <f t="shared" si="180"/>
        <v>1</v>
      </c>
      <c r="DG30" s="109">
        <f t="shared" si="180"/>
        <v>1</v>
      </c>
      <c r="DH30" s="109">
        <f t="shared" si="180"/>
        <v>1</v>
      </c>
      <c r="DI30" s="109">
        <f t="shared" si="180"/>
        <v>0.92333333333333334</v>
      </c>
      <c r="DJ30" s="109">
        <f t="shared" si="180"/>
        <v>1</v>
      </c>
      <c r="DK30" s="109">
        <f t="shared" si="180"/>
        <v>0.9408333333333333</v>
      </c>
      <c r="DL30" s="109">
        <f t="shared" si="180"/>
        <v>1</v>
      </c>
      <c r="DM30" s="109">
        <f t="shared" si="180"/>
        <v>1</v>
      </c>
      <c r="DN30" s="109">
        <f t="shared" si="180"/>
        <v>1</v>
      </c>
      <c r="DO30" s="109">
        <f t="shared" si="180"/>
        <v>1</v>
      </c>
      <c r="DP30" s="109">
        <f t="shared" si="180"/>
        <v>0.8520833333333333</v>
      </c>
      <c r="DQ30" s="109">
        <f t="shared" si="180"/>
        <v>1</v>
      </c>
      <c r="DR30" s="109">
        <f t="shared" si="180"/>
        <v>1</v>
      </c>
      <c r="DS30" s="109">
        <f t="shared" si="180"/>
        <v>0.88208333333333333</v>
      </c>
      <c r="DT30" s="109">
        <f t="shared" si="180"/>
        <v>0.92041666666666666</v>
      </c>
      <c r="DU30" s="109">
        <f t="shared" si="180"/>
        <v>0.7895833333333333</v>
      </c>
      <c r="DV30" s="109">
        <f t="shared" si="180"/>
        <v>1</v>
      </c>
      <c r="DW30" s="109">
        <f t="shared" si="180"/>
        <v>1</v>
      </c>
      <c r="DX30" s="109">
        <f t="shared" si="180"/>
        <v>0.86875000000000002</v>
      </c>
      <c r="DY30" s="109">
        <f t="shared" si="180"/>
        <v>0.80874999999999997</v>
      </c>
      <c r="DZ30" s="109">
        <f t="shared" si="180"/>
        <v>0.58874999999999988</v>
      </c>
      <c r="EA30" s="109">
        <f t="shared" ref="EA30:GL30" si="181">IF(OR(EA$13="",EA$17="",EA$14="",EA$15="",EA$16="",EA$18="",EA$19="",EA$20="",EA$21=""),"",1-(EA16/(EA$1*24)))</f>
        <v>1</v>
      </c>
      <c r="EB30" s="109">
        <f t="shared" si="181"/>
        <v>1</v>
      </c>
      <c r="EC30" s="109">
        <f t="shared" si="181"/>
        <v>1</v>
      </c>
      <c r="ED30" s="109">
        <f t="shared" si="181"/>
        <v>1</v>
      </c>
      <c r="EE30" s="109">
        <f t="shared" si="181"/>
        <v>1</v>
      </c>
      <c r="EF30" s="109">
        <f t="shared" si="181"/>
        <v>1</v>
      </c>
      <c r="EG30" s="109">
        <f t="shared" si="181"/>
        <v>1</v>
      </c>
      <c r="EH30" s="109">
        <f t="shared" si="181"/>
        <v>1</v>
      </c>
      <c r="EI30" s="109">
        <f t="shared" si="181"/>
        <v>1.6666666666666607E-2</v>
      </c>
      <c r="EJ30" s="109">
        <f t="shared" si="181"/>
        <v>1</v>
      </c>
      <c r="EK30" s="109">
        <f t="shared" si="181"/>
        <v>1</v>
      </c>
      <c r="EL30" s="109">
        <f t="shared" si="181"/>
        <v>0.20916666666666661</v>
      </c>
      <c r="EM30" s="109">
        <f t="shared" si="181"/>
        <v>0.97416666666666663</v>
      </c>
      <c r="EN30" s="109">
        <f t="shared" si="181"/>
        <v>1</v>
      </c>
      <c r="EO30" s="109">
        <f t="shared" si="181"/>
        <v>0.83624999999999994</v>
      </c>
      <c r="EP30" s="109">
        <f t="shared" si="181"/>
        <v>1</v>
      </c>
      <c r="EQ30" s="109">
        <f t="shared" si="181"/>
        <v>0.85916666666666663</v>
      </c>
      <c r="ER30" s="109">
        <f t="shared" si="181"/>
        <v>1</v>
      </c>
      <c r="ES30" s="109">
        <f t="shared" si="181"/>
        <v>0.8979166666666667</v>
      </c>
      <c r="ET30" s="109">
        <f t="shared" si="181"/>
        <v>1</v>
      </c>
      <c r="EU30" s="109">
        <f t="shared" si="181"/>
        <v>1</v>
      </c>
      <c r="EV30" s="109">
        <f t="shared" si="181"/>
        <v>1</v>
      </c>
      <c r="EW30" s="109">
        <f t="shared" si="181"/>
        <v>1</v>
      </c>
      <c r="EX30" s="109">
        <f t="shared" si="181"/>
        <v>1</v>
      </c>
      <c r="EY30" s="109">
        <f t="shared" si="181"/>
        <v>1</v>
      </c>
      <c r="EZ30" s="109">
        <f t="shared" si="181"/>
        <v>1</v>
      </c>
      <c r="FA30" s="109">
        <f t="shared" si="181"/>
        <v>1</v>
      </c>
      <c r="FB30" s="109">
        <f t="shared" si="181"/>
        <v>1</v>
      </c>
      <c r="FC30" s="109">
        <f t="shared" si="181"/>
        <v>1</v>
      </c>
      <c r="FD30" s="109">
        <f t="shared" si="181"/>
        <v>1</v>
      </c>
      <c r="FE30" s="109">
        <f t="shared" si="181"/>
        <v>1</v>
      </c>
      <c r="FF30" s="109">
        <f t="shared" si="181"/>
        <v>1</v>
      </c>
      <c r="FG30" s="109">
        <f t="shared" si="181"/>
        <v>1</v>
      </c>
      <c r="FH30" s="109">
        <f t="shared" si="181"/>
        <v>1</v>
      </c>
      <c r="FI30" s="109">
        <f t="shared" si="181"/>
        <v>0.48</v>
      </c>
      <c r="FJ30" s="109">
        <f t="shared" si="181"/>
        <v>1</v>
      </c>
      <c r="FK30" s="109">
        <f t="shared" si="181"/>
        <v>4.8749999999999738E-2</v>
      </c>
      <c r="FL30" s="109">
        <f t="shared" si="181"/>
        <v>1</v>
      </c>
      <c r="FM30" s="109">
        <f t="shared" si="181"/>
        <v>1</v>
      </c>
      <c r="FN30" s="109">
        <f t="shared" si="181"/>
        <v>1</v>
      </c>
      <c r="FO30" s="109">
        <f t="shared" si="181"/>
        <v>1</v>
      </c>
      <c r="FP30" s="109">
        <f t="shared" si="181"/>
        <v>0.9916666666666667</v>
      </c>
      <c r="FQ30" s="109">
        <f t="shared" si="181"/>
        <v>0.61541666666666672</v>
      </c>
      <c r="FR30" s="109">
        <f t="shared" si="181"/>
        <v>0.66874999999999996</v>
      </c>
      <c r="FS30" s="109">
        <f t="shared" si="181"/>
        <v>0.92083333333333339</v>
      </c>
      <c r="FT30" s="109">
        <f t="shared" si="181"/>
        <v>1</v>
      </c>
      <c r="FU30" s="109">
        <f t="shared" si="181"/>
        <v>0.38958333333333339</v>
      </c>
      <c r="FV30" s="109">
        <f t="shared" si="181"/>
        <v>1</v>
      </c>
      <c r="FW30" s="109">
        <f t="shared" si="181"/>
        <v>0.58833333333333337</v>
      </c>
      <c r="FX30" s="109">
        <f t="shared" si="181"/>
        <v>1</v>
      </c>
      <c r="FY30" s="109">
        <f t="shared" si="181"/>
        <v>0.88416666666666666</v>
      </c>
      <c r="FZ30" s="109">
        <f t="shared" si="181"/>
        <v>1</v>
      </c>
      <c r="GA30" s="109">
        <f t="shared" si="157"/>
        <v>1</v>
      </c>
      <c r="GB30" s="109">
        <f t="shared" si="157"/>
        <v>1</v>
      </c>
      <c r="GC30" s="109">
        <f t="shared" si="181"/>
        <v>0.40583333333333338</v>
      </c>
      <c r="GD30" s="109">
        <f t="shared" si="181"/>
        <v>1</v>
      </c>
      <c r="GE30" s="109">
        <f t="shared" si="181"/>
        <v>1</v>
      </c>
      <c r="GF30" s="109">
        <f t="shared" si="181"/>
        <v>1</v>
      </c>
      <c r="GG30" s="109">
        <f t="shared" si="181"/>
        <v>1</v>
      </c>
      <c r="GH30" s="109">
        <f t="shared" si="181"/>
        <v>1</v>
      </c>
      <c r="GI30" s="109">
        <f t="shared" si="181"/>
        <v>1</v>
      </c>
      <c r="GJ30" s="109">
        <f t="shared" si="181"/>
        <v>1</v>
      </c>
      <c r="GK30" s="109">
        <f t="shared" si="181"/>
        <v>1</v>
      </c>
      <c r="GL30" s="109">
        <f t="shared" si="181"/>
        <v>1</v>
      </c>
      <c r="GM30" s="109">
        <f t="shared" ref="GM30:IX30" si="182">IF(OR(GM$13="",GM$17="",GM$14="",GM$15="",GM$16="",GM$18="",GM$19="",GM$20="",GM$21=""),"",1-(GM16/(GM$1*24)))</f>
        <v>0.57208333333333328</v>
      </c>
      <c r="GN30" s="109">
        <f t="shared" si="182"/>
        <v>1</v>
      </c>
      <c r="GO30" s="109">
        <f t="shared" si="182"/>
        <v>1</v>
      </c>
      <c r="GP30" s="109">
        <f t="shared" si="182"/>
        <v>1</v>
      </c>
      <c r="GQ30" s="109">
        <f t="shared" si="182"/>
        <v>1</v>
      </c>
      <c r="GR30" s="109">
        <f t="shared" si="182"/>
        <v>-0.99666666666666681</v>
      </c>
      <c r="GS30" s="109">
        <f t="shared" si="182"/>
        <v>1</v>
      </c>
      <c r="GT30" s="109">
        <f t="shared" si="182"/>
        <v>0.51749999999999985</v>
      </c>
      <c r="GU30" s="109">
        <f t="shared" si="182"/>
        <v>1</v>
      </c>
      <c r="GV30" s="109">
        <f t="shared" si="182"/>
        <v>1</v>
      </c>
      <c r="GW30" s="109">
        <f t="shared" si="182"/>
        <v>1</v>
      </c>
      <c r="GX30" s="109">
        <f t="shared" si="182"/>
        <v>1</v>
      </c>
      <c r="GY30" s="109">
        <f t="shared" si="182"/>
        <v>1</v>
      </c>
      <c r="GZ30" s="109">
        <f t="shared" si="182"/>
        <v>1</v>
      </c>
      <c r="HA30" s="109">
        <f t="shared" si="182"/>
        <v>1</v>
      </c>
      <c r="HB30" s="109">
        <f t="shared" si="182"/>
        <v>1</v>
      </c>
      <c r="HC30" s="109">
        <f t="shared" si="182"/>
        <v>1</v>
      </c>
      <c r="HD30" s="109">
        <f t="shared" si="182"/>
        <v>1</v>
      </c>
      <c r="HE30" s="109">
        <f t="shared" si="182"/>
        <v>1</v>
      </c>
      <c r="HF30" s="109">
        <f t="shared" si="182"/>
        <v>1</v>
      </c>
      <c r="HG30" s="109">
        <f t="shared" si="182"/>
        <v>1</v>
      </c>
      <c r="HH30" s="109">
        <f t="shared" si="182"/>
        <v>1</v>
      </c>
      <c r="HI30" s="109">
        <f t="shared" si="182"/>
        <v>1</v>
      </c>
      <c r="HJ30" s="109">
        <f t="shared" si="182"/>
        <v>1</v>
      </c>
      <c r="HK30" s="109">
        <f t="shared" si="182"/>
        <v>1</v>
      </c>
      <c r="HL30" s="109">
        <f t="shared" si="182"/>
        <v>1</v>
      </c>
      <c r="HM30" s="109">
        <f t="shared" si="182"/>
        <v>1</v>
      </c>
      <c r="HN30" s="109">
        <f t="shared" si="182"/>
        <v>0.71652777777777787</v>
      </c>
      <c r="HO30" s="109">
        <f t="shared" si="182"/>
        <v>1</v>
      </c>
      <c r="HP30" s="109">
        <f t="shared" si="182"/>
        <v>1</v>
      </c>
      <c r="HQ30" s="109">
        <f t="shared" si="182"/>
        <v>1</v>
      </c>
      <c r="HR30" s="109">
        <f t="shared" si="182"/>
        <v>1</v>
      </c>
      <c r="HS30" s="109">
        <f t="shared" si="182"/>
        <v>1</v>
      </c>
      <c r="HT30" s="109">
        <f t="shared" si="182"/>
        <v>1</v>
      </c>
      <c r="HU30" s="109">
        <f t="shared" si="182"/>
        <v>1</v>
      </c>
      <c r="HV30" s="109">
        <f t="shared" si="182"/>
        <v>1</v>
      </c>
      <c r="HW30" s="109">
        <f t="shared" si="182"/>
        <v>1</v>
      </c>
      <c r="HX30" s="109">
        <f t="shared" si="182"/>
        <v>0.99244212962962963</v>
      </c>
      <c r="HY30" s="109">
        <f t="shared" si="182"/>
        <v>0.81863425925925926</v>
      </c>
      <c r="HZ30" s="109">
        <f t="shared" si="182"/>
        <v>0.11306712962962961</v>
      </c>
      <c r="IA30" s="109">
        <f t="shared" si="182"/>
        <v>0.65762731481481485</v>
      </c>
      <c r="IB30" s="109">
        <f t="shared" si="182"/>
        <v>1</v>
      </c>
      <c r="IC30" s="109">
        <f t="shared" si="182"/>
        <v>1</v>
      </c>
      <c r="ID30" s="109">
        <f t="shared" si="182"/>
        <v>1</v>
      </c>
      <c r="IE30" s="109">
        <f t="shared" si="182"/>
        <v>1</v>
      </c>
      <c r="IF30" s="109">
        <f t="shared" si="182"/>
        <v>0.84166666666666667</v>
      </c>
      <c r="IG30" s="109">
        <f t="shared" si="182"/>
        <v>1</v>
      </c>
      <c r="IH30" s="109">
        <f t="shared" si="182"/>
        <v>1</v>
      </c>
      <c r="II30" s="109">
        <f t="shared" si="182"/>
        <v>1</v>
      </c>
      <c r="IJ30" s="109">
        <f t="shared" si="182"/>
        <v>1</v>
      </c>
      <c r="IK30" s="109">
        <f t="shared" si="182"/>
        <v>0.40635416666666668</v>
      </c>
      <c r="IL30" s="109">
        <f t="shared" si="182"/>
        <v>0.78170138888888885</v>
      </c>
      <c r="IM30" s="109">
        <f t="shared" si="182"/>
        <v>1</v>
      </c>
      <c r="IN30" s="109">
        <f t="shared" si="182"/>
        <v>1</v>
      </c>
      <c r="IO30" s="109">
        <f t="shared" si="182"/>
        <v>0.79040509259259262</v>
      </c>
      <c r="IP30" s="109">
        <f t="shared" si="182"/>
        <v>0.63452546296296286</v>
      </c>
      <c r="IQ30" s="109">
        <f t="shared" si="182"/>
        <v>0.74226851851851849</v>
      </c>
      <c r="IR30" s="109">
        <f t="shared" si="182"/>
        <v>0.57755787037037032</v>
      </c>
      <c r="IS30" s="109">
        <f t="shared" si="182"/>
        <v>0.9962847222222222</v>
      </c>
      <c r="IT30" s="109">
        <f t="shared" si="182"/>
        <v>0.97712962962962968</v>
      </c>
      <c r="IU30" s="109">
        <f t="shared" si="182"/>
        <v>1</v>
      </c>
      <c r="IV30" s="109">
        <f t="shared" si="182"/>
        <v>0.91379629629629633</v>
      </c>
      <c r="IW30" s="109">
        <f t="shared" si="182"/>
        <v>1</v>
      </c>
      <c r="IX30" s="109">
        <f t="shared" si="182"/>
        <v>0.31043981481481486</v>
      </c>
      <c r="IY30" s="109">
        <f t="shared" ref="IY30:LJ30" si="183">IF(OR(IY$13="",IY$17="",IY$14="",IY$15="",IY$16="",IY$18="",IY$19="",IY$20="",IY$21=""),"",1-(IY16/(IY$1*24)))</f>
        <v>0.13111111111111118</v>
      </c>
      <c r="IZ30" s="109">
        <f t="shared" si="183"/>
        <v>0.63122685185185179</v>
      </c>
      <c r="JA30" s="109">
        <f t="shared" si="183"/>
        <v>0.84989583333333329</v>
      </c>
      <c r="JB30" s="109">
        <f t="shared" si="183"/>
        <v>1</v>
      </c>
      <c r="JC30" s="109">
        <f t="shared" si="183"/>
        <v>0.99777777777777776</v>
      </c>
      <c r="JD30" s="109">
        <f t="shared" si="183"/>
        <v>1</v>
      </c>
      <c r="JE30" s="109">
        <f t="shared" si="183"/>
        <v>0.99936342592592597</v>
      </c>
      <c r="JF30" s="109">
        <f t="shared" si="183"/>
        <v>1</v>
      </c>
      <c r="JG30" s="109">
        <f t="shared" si="183"/>
        <v>1</v>
      </c>
      <c r="JH30" s="109">
        <f t="shared" si="183"/>
        <v>1</v>
      </c>
      <c r="JI30" s="109">
        <f t="shared" si="183"/>
        <v>0.38334490740740745</v>
      </c>
      <c r="JJ30" s="109">
        <f t="shared" si="183"/>
        <v>0</v>
      </c>
      <c r="JK30" s="109">
        <f t="shared" si="183"/>
        <v>0.73793981481481485</v>
      </c>
      <c r="JL30" s="109">
        <f t="shared" si="183"/>
        <v>1</v>
      </c>
      <c r="JM30" s="109">
        <f t="shared" si="183"/>
        <v>1</v>
      </c>
      <c r="JN30" s="109">
        <f t="shared" si="183"/>
        <v>0.68291666666666662</v>
      </c>
      <c r="JO30" s="109">
        <f t="shared" si="183"/>
        <v>0.95833333333333337</v>
      </c>
      <c r="JP30" s="109">
        <f t="shared" si="183"/>
        <v>0.95833333333333337</v>
      </c>
      <c r="JQ30" s="109">
        <f t="shared" si="183"/>
        <v>0.95833333333333337</v>
      </c>
      <c r="JR30" s="109">
        <f t="shared" si="183"/>
        <v>0.45571759259259259</v>
      </c>
      <c r="JS30" s="109">
        <f t="shared" si="183"/>
        <v>0.95833333333333337</v>
      </c>
      <c r="JT30" s="109">
        <f t="shared" si="183"/>
        <v>0.97499999999999998</v>
      </c>
      <c r="JU30" s="109">
        <f t="shared" si="183"/>
        <v>0.81416666666666671</v>
      </c>
      <c r="JV30" s="109">
        <f t="shared" si="183"/>
        <v>0.99375000000000002</v>
      </c>
      <c r="JW30" s="109">
        <f t="shared" si="183"/>
        <v>1</v>
      </c>
      <c r="JX30" s="109">
        <f t="shared" si="183"/>
        <v>1</v>
      </c>
      <c r="JY30" s="109">
        <f t="shared" si="183"/>
        <v>1</v>
      </c>
      <c r="JZ30" s="109">
        <f t="shared" si="183"/>
        <v>1</v>
      </c>
      <c r="KA30" s="109">
        <f t="shared" si="183"/>
        <v>1</v>
      </c>
      <c r="KB30" s="109">
        <f t="shared" si="183"/>
        <v>1</v>
      </c>
      <c r="KC30" s="109">
        <f t="shared" si="183"/>
        <v>1</v>
      </c>
      <c r="KD30" s="109">
        <f t="shared" si="183"/>
        <v>1</v>
      </c>
      <c r="KE30" s="109">
        <f t="shared" si="183"/>
        <v>1</v>
      </c>
      <c r="KF30" s="109">
        <f t="shared" si="183"/>
        <v>1</v>
      </c>
      <c r="KG30" s="109">
        <f t="shared" si="183"/>
        <v>1</v>
      </c>
      <c r="KH30" s="109">
        <f t="shared" si="183"/>
        <v>0</v>
      </c>
      <c r="KI30" s="109">
        <f t="shared" si="183"/>
        <v>1</v>
      </c>
      <c r="KJ30" s="109">
        <f t="shared" si="183"/>
        <v>1</v>
      </c>
      <c r="KK30" s="109">
        <f t="shared" si="183"/>
        <v>1</v>
      </c>
      <c r="KL30" s="109">
        <f t="shared" si="183"/>
        <v>1</v>
      </c>
      <c r="KM30" s="109">
        <f t="shared" si="183"/>
        <v>1</v>
      </c>
      <c r="KN30" s="109">
        <f t="shared" si="183"/>
        <v>1</v>
      </c>
      <c r="KO30" s="109">
        <f t="shared" si="183"/>
        <v>1</v>
      </c>
      <c r="KP30" s="109">
        <f t="shared" si="183"/>
        <v>1</v>
      </c>
      <c r="KQ30" s="109">
        <f t="shared" si="183"/>
        <v>1</v>
      </c>
      <c r="KR30" s="109">
        <f t="shared" si="183"/>
        <v>1</v>
      </c>
      <c r="KS30" s="109">
        <f t="shared" si="183"/>
        <v>1</v>
      </c>
      <c r="KT30" s="109">
        <f t="shared" si="183"/>
        <v>1</v>
      </c>
      <c r="KU30" s="109" t="str">
        <f t="shared" si="183"/>
        <v/>
      </c>
      <c r="KV30" s="109" t="str">
        <f t="shared" si="183"/>
        <v/>
      </c>
      <c r="KW30" s="109" t="str">
        <f t="shared" si="183"/>
        <v/>
      </c>
      <c r="KX30" s="109" t="str">
        <f t="shared" si="183"/>
        <v/>
      </c>
      <c r="KY30" s="109" t="str">
        <f t="shared" si="183"/>
        <v/>
      </c>
      <c r="KZ30" s="109" t="str">
        <f t="shared" si="183"/>
        <v/>
      </c>
      <c r="LA30" s="109" t="str">
        <f t="shared" si="183"/>
        <v/>
      </c>
      <c r="LB30" s="109" t="str">
        <f t="shared" si="183"/>
        <v/>
      </c>
      <c r="LC30" s="109" t="str">
        <f t="shared" si="183"/>
        <v/>
      </c>
      <c r="LD30" s="109" t="str">
        <f t="shared" si="183"/>
        <v/>
      </c>
      <c r="LE30" s="109" t="str">
        <f t="shared" si="183"/>
        <v/>
      </c>
      <c r="LF30" s="109" t="str">
        <f t="shared" si="183"/>
        <v/>
      </c>
      <c r="LG30" s="109" t="str">
        <f t="shared" si="183"/>
        <v/>
      </c>
      <c r="LH30" s="109" t="str">
        <f t="shared" si="183"/>
        <v/>
      </c>
      <c r="LI30" s="109" t="str">
        <f t="shared" si="183"/>
        <v/>
      </c>
      <c r="LJ30" s="109" t="str">
        <f t="shared" si="183"/>
        <v/>
      </c>
      <c r="LK30" s="109" t="str">
        <f t="shared" ref="LK30:NV30" si="184">IF(OR(LK$13="",LK$17="",LK$14="",LK$15="",LK$16="",LK$18="",LK$19="",LK$20="",LK$21=""),"",1-(LK16/(LK$1*24)))</f>
        <v/>
      </c>
      <c r="LL30" s="109" t="str">
        <f t="shared" si="184"/>
        <v/>
      </c>
      <c r="LM30" s="109" t="str">
        <f t="shared" si="184"/>
        <v/>
      </c>
      <c r="LN30" s="109" t="str">
        <f t="shared" si="184"/>
        <v/>
      </c>
      <c r="LO30" s="109" t="str">
        <f t="shared" si="184"/>
        <v/>
      </c>
      <c r="LP30" s="109" t="str">
        <f t="shared" si="184"/>
        <v/>
      </c>
      <c r="LQ30" s="109" t="str">
        <f t="shared" si="184"/>
        <v/>
      </c>
      <c r="LR30" s="109" t="str">
        <f t="shared" si="184"/>
        <v/>
      </c>
      <c r="LS30" s="109" t="str">
        <f t="shared" si="184"/>
        <v/>
      </c>
      <c r="LT30" s="109" t="str">
        <f t="shared" si="184"/>
        <v/>
      </c>
      <c r="LU30" s="109" t="str">
        <f t="shared" si="184"/>
        <v/>
      </c>
      <c r="LV30" s="109" t="str">
        <f t="shared" si="184"/>
        <v/>
      </c>
      <c r="LW30" s="109" t="str">
        <f t="shared" si="184"/>
        <v/>
      </c>
      <c r="LX30" s="109" t="str">
        <f t="shared" si="184"/>
        <v/>
      </c>
      <c r="LY30" s="109" t="str">
        <f t="shared" si="184"/>
        <v/>
      </c>
      <c r="LZ30" s="109" t="str">
        <f t="shared" si="184"/>
        <v/>
      </c>
      <c r="MA30" s="109" t="str">
        <f t="shared" si="184"/>
        <v/>
      </c>
      <c r="MB30" s="109" t="str">
        <f t="shared" si="184"/>
        <v/>
      </c>
      <c r="MC30" s="109" t="str">
        <f t="shared" si="184"/>
        <v/>
      </c>
      <c r="MD30" s="109" t="str">
        <f t="shared" si="184"/>
        <v/>
      </c>
      <c r="ME30" s="109" t="str">
        <f t="shared" si="184"/>
        <v/>
      </c>
      <c r="MF30" s="109" t="str">
        <f t="shared" si="184"/>
        <v/>
      </c>
      <c r="MG30" s="109" t="str">
        <f t="shared" si="184"/>
        <v/>
      </c>
      <c r="MH30" s="109" t="str">
        <f t="shared" si="184"/>
        <v/>
      </c>
      <c r="MI30" s="109" t="str">
        <f t="shared" si="184"/>
        <v/>
      </c>
      <c r="MJ30" s="109" t="str">
        <f t="shared" si="184"/>
        <v/>
      </c>
      <c r="MK30" s="109" t="str">
        <f t="shared" si="184"/>
        <v/>
      </c>
      <c r="ML30" s="109" t="str">
        <f t="shared" si="184"/>
        <v/>
      </c>
      <c r="MM30" s="109" t="str">
        <f t="shared" si="184"/>
        <v/>
      </c>
      <c r="MN30" s="109" t="str">
        <f t="shared" si="184"/>
        <v/>
      </c>
      <c r="MO30" s="109" t="str">
        <f t="shared" si="184"/>
        <v/>
      </c>
      <c r="MP30" s="109" t="str">
        <f t="shared" si="184"/>
        <v/>
      </c>
      <c r="MQ30" s="109" t="str">
        <f t="shared" si="184"/>
        <v/>
      </c>
      <c r="MR30" s="109" t="str">
        <f t="shared" si="184"/>
        <v/>
      </c>
      <c r="MS30" s="109" t="str">
        <f t="shared" si="184"/>
        <v/>
      </c>
      <c r="MT30" s="109" t="str">
        <f t="shared" si="184"/>
        <v/>
      </c>
      <c r="MU30" s="109" t="str">
        <f t="shared" si="184"/>
        <v/>
      </c>
      <c r="MV30" s="109" t="str">
        <f t="shared" si="184"/>
        <v/>
      </c>
      <c r="MW30" s="109" t="str">
        <f t="shared" si="184"/>
        <v/>
      </c>
      <c r="MX30" s="109" t="str">
        <f t="shared" si="184"/>
        <v/>
      </c>
      <c r="MY30" s="109" t="str">
        <f t="shared" si="184"/>
        <v/>
      </c>
      <c r="MZ30" s="109" t="str">
        <f t="shared" si="184"/>
        <v/>
      </c>
      <c r="NA30" s="109" t="str">
        <f t="shared" si="184"/>
        <v/>
      </c>
      <c r="NB30" s="109" t="str">
        <f t="shared" si="184"/>
        <v/>
      </c>
      <c r="NC30" s="109" t="str">
        <f t="shared" si="184"/>
        <v/>
      </c>
      <c r="ND30" s="109" t="str">
        <f t="shared" si="184"/>
        <v/>
      </c>
      <c r="NE30" s="109" t="str">
        <f t="shared" si="184"/>
        <v/>
      </c>
      <c r="NF30" s="109" t="str">
        <f t="shared" si="184"/>
        <v/>
      </c>
      <c r="NG30" s="109" t="str">
        <f t="shared" si="184"/>
        <v/>
      </c>
      <c r="NH30" s="109" t="str">
        <f t="shared" si="184"/>
        <v/>
      </c>
      <c r="NI30" s="109" t="str">
        <f t="shared" si="184"/>
        <v/>
      </c>
      <c r="NJ30" s="109" t="str">
        <f t="shared" si="184"/>
        <v/>
      </c>
      <c r="NK30" s="109" t="str">
        <f t="shared" si="184"/>
        <v/>
      </c>
      <c r="NL30" s="109" t="str">
        <f t="shared" si="184"/>
        <v/>
      </c>
      <c r="NM30" s="109" t="str">
        <f t="shared" si="184"/>
        <v/>
      </c>
      <c r="NN30" s="109" t="str">
        <f t="shared" si="184"/>
        <v/>
      </c>
      <c r="NO30" s="109" t="str">
        <f t="shared" si="184"/>
        <v/>
      </c>
      <c r="NP30" s="109" t="str">
        <f t="shared" si="184"/>
        <v/>
      </c>
      <c r="NQ30" s="109" t="str">
        <f t="shared" si="184"/>
        <v/>
      </c>
      <c r="NR30" s="109" t="str">
        <f t="shared" si="184"/>
        <v/>
      </c>
      <c r="NS30" s="109" t="str">
        <f t="shared" si="184"/>
        <v/>
      </c>
      <c r="NT30" s="109" t="str">
        <f t="shared" si="184"/>
        <v/>
      </c>
      <c r="NU30" s="109" t="str">
        <f t="shared" si="184"/>
        <v/>
      </c>
      <c r="NV30" s="109" t="str">
        <f t="shared" si="184"/>
        <v/>
      </c>
      <c r="NW30" s="109" t="str">
        <f t="shared" ref="NW30:QH30" si="185">IF(OR(NW$13="",NW$17="",NW$14="",NW$15="",NW$16="",NW$18="",NW$19="",NW$20="",NW$21=""),"",1-(NW16/(NW$1*24)))</f>
        <v/>
      </c>
      <c r="NX30" s="109" t="str">
        <f t="shared" si="185"/>
        <v/>
      </c>
      <c r="NY30" s="109" t="str">
        <f t="shared" si="185"/>
        <v/>
      </c>
      <c r="NZ30" s="109" t="str">
        <f t="shared" si="185"/>
        <v/>
      </c>
      <c r="OA30" s="109" t="str">
        <f t="shared" si="185"/>
        <v/>
      </c>
      <c r="OB30" s="109" t="str">
        <f t="shared" si="185"/>
        <v/>
      </c>
      <c r="OC30" s="109" t="str">
        <f t="shared" si="185"/>
        <v/>
      </c>
      <c r="OD30" s="109" t="str">
        <f t="shared" si="185"/>
        <v/>
      </c>
      <c r="OE30" s="109" t="str">
        <f t="shared" si="185"/>
        <v/>
      </c>
      <c r="OF30" s="109" t="str">
        <f t="shared" si="185"/>
        <v/>
      </c>
      <c r="OG30" s="109" t="str">
        <f t="shared" si="185"/>
        <v/>
      </c>
      <c r="OH30" s="109" t="str">
        <f t="shared" si="185"/>
        <v/>
      </c>
      <c r="OI30" s="109" t="str">
        <f t="shared" si="185"/>
        <v/>
      </c>
      <c r="OJ30" s="109" t="str">
        <f t="shared" si="185"/>
        <v/>
      </c>
      <c r="OK30" s="109" t="str">
        <f t="shared" si="185"/>
        <v/>
      </c>
      <c r="OL30" s="109" t="str">
        <f t="shared" si="185"/>
        <v/>
      </c>
      <c r="OM30" s="109" t="str">
        <f t="shared" si="185"/>
        <v/>
      </c>
      <c r="ON30" s="109" t="str">
        <f t="shared" si="185"/>
        <v/>
      </c>
      <c r="OO30" s="109" t="str">
        <f t="shared" si="185"/>
        <v/>
      </c>
      <c r="OP30" s="109" t="str">
        <f t="shared" si="185"/>
        <v/>
      </c>
      <c r="OQ30" s="109" t="str">
        <f t="shared" si="185"/>
        <v/>
      </c>
      <c r="OR30" s="109" t="str">
        <f t="shared" si="185"/>
        <v/>
      </c>
      <c r="OS30" s="109" t="str">
        <f t="shared" si="185"/>
        <v/>
      </c>
      <c r="OT30" s="109" t="str">
        <f t="shared" si="185"/>
        <v/>
      </c>
      <c r="OU30" s="109" t="str">
        <f t="shared" si="185"/>
        <v/>
      </c>
      <c r="OV30" s="109" t="str">
        <f t="shared" si="185"/>
        <v/>
      </c>
      <c r="OW30" s="109" t="str">
        <f t="shared" si="185"/>
        <v/>
      </c>
      <c r="OX30" s="109" t="str">
        <f t="shared" si="185"/>
        <v/>
      </c>
      <c r="OY30" s="109" t="str">
        <f t="shared" si="185"/>
        <v/>
      </c>
      <c r="OZ30" s="109" t="str">
        <f t="shared" si="185"/>
        <v/>
      </c>
      <c r="PA30" s="109" t="str">
        <f t="shared" si="185"/>
        <v/>
      </c>
      <c r="PB30" s="109" t="str">
        <f t="shared" si="185"/>
        <v/>
      </c>
      <c r="PC30" s="109" t="str">
        <f t="shared" si="185"/>
        <v/>
      </c>
      <c r="PD30" s="109" t="str">
        <f t="shared" si="185"/>
        <v/>
      </c>
      <c r="PE30" s="109" t="str">
        <f t="shared" si="185"/>
        <v/>
      </c>
      <c r="PF30" s="109" t="str">
        <f t="shared" si="185"/>
        <v/>
      </c>
      <c r="PG30" s="109" t="str">
        <f t="shared" si="185"/>
        <v/>
      </c>
      <c r="PH30" s="109" t="str">
        <f t="shared" si="185"/>
        <v/>
      </c>
      <c r="PI30" s="109" t="str">
        <f t="shared" si="185"/>
        <v/>
      </c>
      <c r="PJ30" s="109" t="str">
        <f t="shared" si="185"/>
        <v/>
      </c>
      <c r="PK30" s="109" t="str">
        <f t="shared" si="185"/>
        <v/>
      </c>
      <c r="PL30" s="109" t="str">
        <f t="shared" si="185"/>
        <v/>
      </c>
      <c r="PM30" s="109" t="str">
        <f t="shared" si="185"/>
        <v/>
      </c>
      <c r="PN30" s="109" t="str">
        <f t="shared" si="185"/>
        <v/>
      </c>
      <c r="PO30" s="109" t="str">
        <f t="shared" si="185"/>
        <v/>
      </c>
      <c r="PP30" s="109" t="str">
        <f t="shared" si="185"/>
        <v/>
      </c>
      <c r="PQ30" s="109" t="str">
        <f t="shared" si="185"/>
        <v/>
      </c>
      <c r="PR30" s="109" t="str">
        <f t="shared" si="185"/>
        <v/>
      </c>
      <c r="PS30" s="109" t="str">
        <f t="shared" si="185"/>
        <v/>
      </c>
      <c r="PT30" s="109" t="str">
        <f t="shared" si="185"/>
        <v/>
      </c>
      <c r="PU30" s="109" t="str">
        <f t="shared" si="185"/>
        <v/>
      </c>
      <c r="PV30" s="109" t="str">
        <f t="shared" si="185"/>
        <v/>
      </c>
      <c r="PW30" s="109" t="str">
        <f t="shared" si="185"/>
        <v/>
      </c>
      <c r="PX30" s="109" t="str">
        <f t="shared" si="185"/>
        <v/>
      </c>
      <c r="PY30" s="109" t="str">
        <f t="shared" si="185"/>
        <v/>
      </c>
      <c r="PZ30" s="109" t="str">
        <f t="shared" si="185"/>
        <v/>
      </c>
      <c r="QA30" s="109" t="str">
        <f t="shared" si="185"/>
        <v/>
      </c>
      <c r="QB30" s="109" t="str">
        <f t="shared" si="185"/>
        <v/>
      </c>
      <c r="QC30" s="109" t="str">
        <f t="shared" si="185"/>
        <v/>
      </c>
      <c r="QD30" s="109" t="str">
        <f t="shared" si="185"/>
        <v/>
      </c>
      <c r="QE30" s="109" t="str">
        <f t="shared" si="185"/>
        <v/>
      </c>
      <c r="QF30" s="109" t="str">
        <f t="shared" si="185"/>
        <v/>
      </c>
      <c r="QG30" s="109" t="str">
        <f t="shared" si="185"/>
        <v/>
      </c>
      <c r="QH30" s="109" t="str">
        <f t="shared" si="185"/>
        <v/>
      </c>
      <c r="QI30" s="109" t="str">
        <f t="shared" ref="QI30:SW30" si="186">IF(OR(QI$13="",QI$17="",QI$14="",QI$15="",QI$16="",QI$18="",QI$19="",QI$20="",QI$21=""),"",1-(QI16/(QI$1*24)))</f>
        <v/>
      </c>
      <c r="QJ30" s="109" t="str">
        <f t="shared" si="186"/>
        <v/>
      </c>
      <c r="QK30" s="109" t="str">
        <f t="shared" si="186"/>
        <v/>
      </c>
      <c r="QL30" s="109" t="str">
        <f t="shared" si="186"/>
        <v/>
      </c>
      <c r="QM30" s="109" t="str">
        <f t="shared" si="186"/>
        <v/>
      </c>
      <c r="QN30" s="109" t="str">
        <f t="shared" si="186"/>
        <v/>
      </c>
      <c r="QO30" s="109" t="str">
        <f t="shared" si="186"/>
        <v/>
      </c>
      <c r="QP30" s="109" t="str">
        <f t="shared" si="186"/>
        <v/>
      </c>
      <c r="QQ30" s="109" t="str">
        <f t="shared" si="186"/>
        <v/>
      </c>
      <c r="QR30" s="109" t="str">
        <f t="shared" si="186"/>
        <v/>
      </c>
      <c r="QS30" s="109" t="str">
        <f t="shared" si="186"/>
        <v/>
      </c>
      <c r="QT30" s="109" t="str">
        <f t="shared" si="186"/>
        <v/>
      </c>
      <c r="QU30" s="109" t="str">
        <f t="shared" si="186"/>
        <v/>
      </c>
      <c r="QV30" s="109" t="str">
        <f t="shared" si="186"/>
        <v/>
      </c>
      <c r="QW30" s="109" t="str">
        <f t="shared" si="186"/>
        <v/>
      </c>
      <c r="QX30" s="109" t="str">
        <f t="shared" si="186"/>
        <v/>
      </c>
      <c r="QY30" s="109" t="str">
        <f t="shared" si="186"/>
        <v/>
      </c>
      <c r="QZ30" s="109" t="str">
        <f t="shared" si="186"/>
        <v/>
      </c>
      <c r="RA30" s="109" t="str">
        <f t="shared" si="186"/>
        <v/>
      </c>
      <c r="RB30" s="109" t="str">
        <f t="shared" si="186"/>
        <v/>
      </c>
      <c r="RC30" s="109" t="str">
        <f t="shared" si="186"/>
        <v/>
      </c>
      <c r="RD30" s="109" t="str">
        <f t="shared" si="186"/>
        <v/>
      </c>
      <c r="RE30" s="109" t="str">
        <f t="shared" si="186"/>
        <v/>
      </c>
      <c r="RF30" s="109" t="str">
        <f t="shared" si="186"/>
        <v/>
      </c>
      <c r="RG30" s="109" t="str">
        <f t="shared" si="186"/>
        <v/>
      </c>
      <c r="RH30" s="109" t="str">
        <f t="shared" si="186"/>
        <v/>
      </c>
      <c r="RI30" s="109" t="str">
        <f t="shared" si="186"/>
        <v/>
      </c>
      <c r="RJ30" s="109" t="str">
        <f t="shared" si="186"/>
        <v/>
      </c>
      <c r="RK30" s="109" t="str">
        <f t="shared" si="186"/>
        <v/>
      </c>
      <c r="RL30" s="109" t="str">
        <f t="shared" si="186"/>
        <v/>
      </c>
      <c r="RM30" s="109" t="str">
        <f t="shared" si="186"/>
        <v/>
      </c>
      <c r="RN30" s="109" t="str">
        <f t="shared" si="186"/>
        <v/>
      </c>
      <c r="RO30" s="109" t="str">
        <f t="shared" si="186"/>
        <v/>
      </c>
      <c r="RP30" s="109" t="str">
        <f t="shared" si="186"/>
        <v/>
      </c>
      <c r="RQ30" s="109" t="str">
        <f t="shared" si="186"/>
        <v/>
      </c>
      <c r="RR30" s="109" t="str">
        <f t="shared" si="186"/>
        <v/>
      </c>
      <c r="RS30" s="109" t="str">
        <f t="shared" si="186"/>
        <v/>
      </c>
      <c r="RT30" s="109" t="str">
        <f t="shared" si="186"/>
        <v/>
      </c>
      <c r="RU30" s="109" t="str">
        <f t="shared" si="186"/>
        <v/>
      </c>
      <c r="RV30" s="109" t="str">
        <f t="shared" si="186"/>
        <v/>
      </c>
      <c r="RW30" s="109" t="str">
        <f t="shared" si="186"/>
        <v/>
      </c>
      <c r="RX30" s="109" t="str">
        <f t="shared" si="186"/>
        <v/>
      </c>
      <c r="RY30" s="109" t="str">
        <f t="shared" si="186"/>
        <v/>
      </c>
      <c r="RZ30" s="109" t="str">
        <f t="shared" si="186"/>
        <v/>
      </c>
      <c r="SA30" s="109" t="str">
        <f t="shared" si="186"/>
        <v/>
      </c>
      <c r="SB30" s="109" t="str">
        <f t="shared" si="186"/>
        <v/>
      </c>
      <c r="SC30" s="109" t="str">
        <f t="shared" si="186"/>
        <v/>
      </c>
      <c r="SD30" s="109" t="str">
        <f t="shared" si="186"/>
        <v/>
      </c>
      <c r="SE30" s="109" t="str">
        <f t="shared" si="186"/>
        <v/>
      </c>
      <c r="SF30" s="109" t="str">
        <f t="shared" si="186"/>
        <v/>
      </c>
      <c r="SG30" s="109" t="str">
        <f t="shared" si="186"/>
        <v/>
      </c>
      <c r="SH30" s="109" t="str">
        <f t="shared" si="186"/>
        <v/>
      </c>
      <c r="SI30" s="109" t="str">
        <f t="shared" si="186"/>
        <v/>
      </c>
      <c r="SJ30" s="109" t="str">
        <f t="shared" si="186"/>
        <v/>
      </c>
      <c r="SK30" s="109" t="str">
        <f t="shared" si="186"/>
        <v/>
      </c>
      <c r="SL30" s="109" t="str">
        <f t="shared" si="186"/>
        <v/>
      </c>
      <c r="SM30" s="109" t="str">
        <f t="shared" si="186"/>
        <v/>
      </c>
      <c r="SN30" s="109" t="str">
        <f t="shared" si="186"/>
        <v/>
      </c>
      <c r="SO30" s="109" t="str">
        <f t="shared" si="186"/>
        <v/>
      </c>
      <c r="SP30" s="109" t="str">
        <f t="shared" si="186"/>
        <v/>
      </c>
      <c r="SQ30" s="109" t="str">
        <f t="shared" si="186"/>
        <v/>
      </c>
      <c r="SR30" s="109" t="str">
        <f t="shared" si="186"/>
        <v/>
      </c>
      <c r="SS30" s="109" t="str">
        <f t="shared" si="186"/>
        <v/>
      </c>
      <c r="ST30" s="109" t="str">
        <f t="shared" si="186"/>
        <v/>
      </c>
      <c r="SU30" s="109" t="str">
        <f t="shared" si="186"/>
        <v/>
      </c>
      <c r="SV30" s="109" t="str">
        <f t="shared" si="186"/>
        <v/>
      </c>
      <c r="SW30" s="109" t="str">
        <f t="shared" si="186"/>
        <v/>
      </c>
    </row>
    <row r="31" spans="1:517" ht="24" customHeight="1" x14ac:dyDescent="0.2">
      <c r="A31" s="94" t="s">
        <v>86</v>
      </c>
      <c r="B31" s="117" t="s">
        <v>81</v>
      </c>
      <c r="C31" s="109">
        <f t="shared" ref="C31:BN31" si="187">IF(OR(C$13="",C$17="",C$14="",C$15="",C$16="",C$18="",C$19="",C$20="",C$21=""),"",1-(C17/(C$1*24)))</f>
        <v>1</v>
      </c>
      <c r="D31" s="109">
        <f t="shared" si="187"/>
        <v>1</v>
      </c>
      <c r="E31" s="109">
        <f t="shared" si="187"/>
        <v>1</v>
      </c>
      <c r="F31" s="109">
        <f t="shared" si="187"/>
        <v>1</v>
      </c>
      <c r="G31" s="109">
        <f t="shared" si="187"/>
        <v>1</v>
      </c>
      <c r="H31" s="109">
        <f t="shared" si="187"/>
        <v>1</v>
      </c>
      <c r="I31" s="109">
        <f t="shared" si="187"/>
        <v>1</v>
      </c>
      <c r="J31" s="109">
        <f t="shared" si="187"/>
        <v>1</v>
      </c>
      <c r="K31" s="109">
        <f t="shared" si="187"/>
        <v>0.94791666666666663</v>
      </c>
      <c r="L31" s="109">
        <f t="shared" si="187"/>
        <v>0.65708333333333324</v>
      </c>
      <c r="M31" s="109">
        <f t="shared" si="187"/>
        <v>-0.51541666666666686</v>
      </c>
      <c r="N31" s="109">
        <f t="shared" si="187"/>
        <v>1</v>
      </c>
      <c r="O31" s="109">
        <f t="shared" si="187"/>
        <v>-0.78416666666666668</v>
      </c>
      <c r="P31" s="109">
        <f t="shared" si="187"/>
        <v>1</v>
      </c>
      <c r="Q31" s="109">
        <f t="shared" si="187"/>
        <v>0.73124999999999996</v>
      </c>
      <c r="R31" s="109">
        <f t="shared" si="187"/>
        <v>0.59166666666666679</v>
      </c>
      <c r="S31" s="109">
        <f t="shared" si="187"/>
        <v>0.95750000000000002</v>
      </c>
      <c r="T31" s="109">
        <f t="shared" si="187"/>
        <v>0.77375000000000005</v>
      </c>
      <c r="U31" s="109">
        <f t="shared" si="187"/>
        <v>0.86375000000000002</v>
      </c>
      <c r="V31" s="109">
        <f t="shared" si="187"/>
        <v>0.63874999999999993</v>
      </c>
      <c r="W31" s="109">
        <f t="shared" si="187"/>
        <v>1</v>
      </c>
      <c r="X31" s="109">
        <f t="shared" si="187"/>
        <v>1</v>
      </c>
      <c r="Y31" s="109">
        <f t="shared" si="187"/>
        <v>0.1283333333333333</v>
      </c>
      <c r="Z31" s="109">
        <f t="shared" si="187"/>
        <v>0.63666666666666671</v>
      </c>
      <c r="AA31" s="109">
        <f t="shared" si="187"/>
        <v>0.97166666666666668</v>
      </c>
      <c r="AB31" s="109">
        <f t="shared" si="187"/>
        <v>1</v>
      </c>
      <c r="AC31" s="109">
        <f t="shared" si="187"/>
        <v>1</v>
      </c>
      <c r="AD31" s="109">
        <f t="shared" si="187"/>
        <v>-0.62999999999999989</v>
      </c>
      <c r="AE31" s="109">
        <f t="shared" si="187"/>
        <v>1</v>
      </c>
      <c r="AF31" s="109">
        <f t="shared" si="187"/>
        <v>0.36541666666666661</v>
      </c>
      <c r="AG31" s="109">
        <f t="shared" si="187"/>
        <v>0.80958333333333332</v>
      </c>
      <c r="AH31" s="109">
        <f t="shared" si="187"/>
        <v>0.91791666666666671</v>
      </c>
      <c r="AI31" s="109">
        <f t="shared" si="187"/>
        <v>1</v>
      </c>
      <c r="AJ31" s="109">
        <f t="shared" si="187"/>
        <v>1</v>
      </c>
      <c r="AK31" s="109">
        <f t="shared" si="187"/>
        <v>1</v>
      </c>
      <c r="AL31" s="109">
        <f t="shared" si="187"/>
        <v>1</v>
      </c>
      <c r="AM31" s="109">
        <f t="shared" si="187"/>
        <v>0.95</v>
      </c>
      <c r="AN31" s="109">
        <f t="shared" si="187"/>
        <v>1</v>
      </c>
      <c r="AO31" s="109">
        <f t="shared" si="187"/>
        <v>0.53208333333333324</v>
      </c>
      <c r="AP31" s="109">
        <f t="shared" si="187"/>
        <v>0.85083333333333333</v>
      </c>
      <c r="AQ31" s="109">
        <f t="shared" si="187"/>
        <v>0.88250000000000006</v>
      </c>
      <c r="AR31" s="109">
        <f t="shared" si="187"/>
        <v>1</v>
      </c>
      <c r="AS31" s="109">
        <f t="shared" si="187"/>
        <v>1</v>
      </c>
      <c r="AT31" s="109">
        <f t="shared" si="187"/>
        <v>1</v>
      </c>
      <c r="AU31" s="109">
        <f t="shared" si="187"/>
        <v>0.84291666666666665</v>
      </c>
      <c r="AV31" s="109">
        <f t="shared" si="187"/>
        <v>1</v>
      </c>
      <c r="AW31" s="109">
        <f t="shared" si="187"/>
        <v>1</v>
      </c>
      <c r="AX31" s="109">
        <f t="shared" si="187"/>
        <v>1</v>
      </c>
      <c r="AY31" s="109">
        <f t="shared" si="187"/>
        <v>6.25E-2</v>
      </c>
      <c r="AZ31" s="109">
        <f t="shared" si="187"/>
        <v>0.64708333333333345</v>
      </c>
      <c r="BA31" s="109">
        <f t="shared" si="187"/>
        <v>1</v>
      </c>
      <c r="BB31" s="109">
        <f t="shared" si="187"/>
        <v>1</v>
      </c>
      <c r="BC31" s="109">
        <f t="shared" si="187"/>
        <v>1</v>
      </c>
      <c r="BD31" s="109">
        <f t="shared" si="187"/>
        <v>0.86375000000000002</v>
      </c>
      <c r="BE31" s="109">
        <f t="shared" si="187"/>
        <v>1</v>
      </c>
      <c r="BF31" s="109">
        <f t="shared" si="187"/>
        <v>1</v>
      </c>
      <c r="BG31" s="109">
        <f t="shared" si="187"/>
        <v>1</v>
      </c>
      <c r="BH31" s="109">
        <f t="shared" si="187"/>
        <v>1</v>
      </c>
      <c r="BI31" s="109">
        <f t="shared" si="187"/>
        <v>1</v>
      </c>
      <c r="BJ31" s="109">
        <f t="shared" si="187"/>
        <v>-9.8333333333333384E-2</v>
      </c>
      <c r="BK31" s="109">
        <f t="shared" si="187"/>
        <v>1</v>
      </c>
      <c r="BL31" s="109">
        <f t="shared" si="187"/>
        <v>0.72</v>
      </c>
      <c r="BM31" s="109">
        <f t="shared" si="187"/>
        <v>1</v>
      </c>
      <c r="BN31" s="109">
        <f t="shared" si="187"/>
        <v>0.95083333333333331</v>
      </c>
      <c r="BO31" s="109">
        <f t="shared" ref="BO31:DZ31" si="188">IF(OR(BO$13="",BO$17="",BO$14="",BO$15="",BO$16="",BO$18="",BO$19="",BO$20="",BO$21=""),"",1-(BO17/(BO$1*24)))</f>
        <v>0.31541666666666668</v>
      </c>
      <c r="BP31" s="109">
        <f t="shared" si="188"/>
        <v>1</v>
      </c>
      <c r="BQ31" s="109">
        <f t="shared" si="188"/>
        <v>0.88666666666666671</v>
      </c>
      <c r="BR31" s="109">
        <f t="shared" si="188"/>
        <v>0.93041666666666667</v>
      </c>
      <c r="BS31" s="109">
        <f t="shared" si="188"/>
        <v>0.2845833333333333</v>
      </c>
      <c r="BT31" s="109">
        <f t="shared" si="188"/>
        <v>1</v>
      </c>
      <c r="BU31" s="109">
        <f t="shared" si="188"/>
        <v>1</v>
      </c>
      <c r="BV31" s="109">
        <f t="shared" si="188"/>
        <v>0.60000000000000009</v>
      </c>
      <c r="BW31" s="109">
        <f t="shared" si="188"/>
        <v>0.95125000000000004</v>
      </c>
      <c r="BX31" s="109">
        <f t="shared" si="188"/>
        <v>1</v>
      </c>
      <c r="BY31" s="109">
        <f t="shared" si="188"/>
        <v>1</v>
      </c>
      <c r="BZ31" s="109">
        <f t="shared" si="188"/>
        <v>0.85291666666666666</v>
      </c>
      <c r="CA31" s="109">
        <f t="shared" si="188"/>
        <v>1</v>
      </c>
      <c r="CB31" s="109">
        <f t="shared" si="188"/>
        <v>1</v>
      </c>
      <c r="CC31" s="109">
        <f t="shared" si="188"/>
        <v>1</v>
      </c>
      <c r="CD31" s="109">
        <f t="shared" si="188"/>
        <v>0.91708333333333336</v>
      </c>
      <c r="CE31" s="109">
        <f t="shared" si="188"/>
        <v>1</v>
      </c>
      <c r="CF31" s="109">
        <f t="shared" si="188"/>
        <v>1</v>
      </c>
      <c r="CG31" s="109">
        <f t="shared" si="188"/>
        <v>1</v>
      </c>
      <c r="CH31" s="109">
        <f t="shared" si="188"/>
        <v>1</v>
      </c>
      <c r="CI31" s="109">
        <f t="shared" si="188"/>
        <v>0.92583333333333329</v>
      </c>
      <c r="CJ31" s="109">
        <f t="shared" si="188"/>
        <v>1</v>
      </c>
      <c r="CK31" s="109">
        <f t="shared" si="188"/>
        <v>1</v>
      </c>
      <c r="CL31" s="109">
        <f t="shared" si="188"/>
        <v>0.91333333333333333</v>
      </c>
      <c r="CM31" s="109">
        <f t="shared" si="188"/>
        <v>0.27500000000000002</v>
      </c>
      <c r="CN31" s="109">
        <f t="shared" si="188"/>
        <v>0.55208333333333326</v>
      </c>
      <c r="CO31" s="109">
        <f t="shared" si="188"/>
        <v>0.86541666666666672</v>
      </c>
      <c r="CP31" s="109">
        <f t="shared" si="188"/>
        <v>1</v>
      </c>
      <c r="CQ31" s="109">
        <f t="shared" si="188"/>
        <v>1</v>
      </c>
      <c r="CR31" s="109">
        <f t="shared" si="188"/>
        <v>1</v>
      </c>
      <c r="CS31" s="109">
        <f t="shared" si="188"/>
        <v>1</v>
      </c>
      <c r="CT31" s="109">
        <f t="shared" si="188"/>
        <v>1</v>
      </c>
      <c r="CU31" s="109">
        <f t="shared" si="188"/>
        <v>0.8241666666666666</v>
      </c>
      <c r="CV31" s="109">
        <f t="shared" si="188"/>
        <v>1</v>
      </c>
      <c r="CW31" s="109">
        <f t="shared" si="188"/>
        <v>1</v>
      </c>
      <c r="CX31" s="109">
        <f t="shared" si="188"/>
        <v>1</v>
      </c>
      <c r="CY31" s="109">
        <f t="shared" si="188"/>
        <v>0.85833333333333339</v>
      </c>
      <c r="CZ31" s="109">
        <f t="shared" si="188"/>
        <v>1</v>
      </c>
      <c r="DA31" s="109">
        <f t="shared" si="188"/>
        <v>0.68458333333333332</v>
      </c>
      <c r="DB31" s="109">
        <f t="shared" si="188"/>
        <v>1</v>
      </c>
      <c r="DC31" s="109">
        <f t="shared" si="188"/>
        <v>1</v>
      </c>
      <c r="DD31" s="109">
        <f t="shared" si="188"/>
        <v>1</v>
      </c>
      <c r="DE31" s="109">
        <f t="shared" si="188"/>
        <v>0.91625000000000001</v>
      </c>
      <c r="DF31" s="109">
        <f t="shared" si="188"/>
        <v>1</v>
      </c>
      <c r="DG31" s="109">
        <f t="shared" si="188"/>
        <v>1</v>
      </c>
      <c r="DH31" s="109">
        <f t="shared" si="188"/>
        <v>-0.2975000000000001</v>
      </c>
      <c r="DI31" s="109">
        <f t="shared" si="188"/>
        <v>1</v>
      </c>
      <c r="DJ31" s="109">
        <f t="shared" si="188"/>
        <v>0.83291666666666664</v>
      </c>
      <c r="DK31" s="109">
        <f t="shared" si="188"/>
        <v>1</v>
      </c>
      <c r="DL31" s="109">
        <f t="shared" si="188"/>
        <v>1</v>
      </c>
      <c r="DM31" s="109">
        <f t="shared" si="188"/>
        <v>1</v>
      </c>
      <c r="DN31" s="109">
        <f t="shared" si="188"/>
        <v>1</v>
      </c>
      <c r="DO31" s="109">
        <f t="shared" si="188"/>
        <v>0.81333333333333335</v>
      </c>
      <c r="DP31" s="109">
        <f t="shared" si="188"/>
        <v>0.81041666666666667</v>
      </c>
      <c r="DQ31" s="109">
        <f t="shared" si="188"/>
        <v>1</v>
      </c>
      <c r="DR31" s="109">
        <f t="shared" si="188"/>
        <v>1</v>
      </c>
      <c r="DS31" s="109">
        <f t="shared" si="188"/>
        <v>1</v>
      </c>
      <c r="DT31" s="109">
        <f t="shared" si="188"/>
        <v>1</v>
      </c>
      <c r="DU31" s="109">
        <f t="shared" si="188"/>
        <v>0.39666666666666661</v>
      </c>
      <c r="DV31" s="109">
        <f t="shared" si="188"/>
        <v>0.75624999999999998</v>
      </c>
      <c r="DW31" s="109">
        <f t="shared" si="188"/>
        <v>0.94708333333333328</v>
      </c>
      <c r="DX31" s="109">
        <f t="shared" si="188"/>
        <v>0.54583333333333339</v>
      </c>
      <c r="DY31" s="109">
        <f t="shared" si="188"/>
        <v>1</v>
      </c>
      <c r="DZ31" s="109">
        <f t="shared" si="188"/>
        <v>0.75958333333333339</v>
      </c>
      <c r="EA31" s="109">
        <f t="shared" ref="EA31:GL31" si="189">IF(OR(EA$13="",EA$17="",EA$14="",EA$15="",EA$16="",EA$18="",EA$19="",EA$20="",EA$21=""),"",1-(EA17/(EA$1*24)))</f>
        <v>1</v>
      </c>
      <c r="EB31" s="109">
        <f t="shared" si="189"/>
        <v>1</v>
      </c>
      <c r="EC31" s="109">
        <f t="shared" si="189"/>
        <v>1</v>
      </c>
      <c r="ED31" s="109">
        <f t="shared" si="189"/>
        <v>1</v>
      </c>
      <c r="EE31" s="109">
        <f t="shared" si="189"/>
        <v>1</v>
      </c>
      <c r="EF31" s="109">
        <f t="shared" si="189"/>
        <v>1</v>
      </c>
      <c r="EG31" s="109">
        <f t="shared" si="189"/>
        <v>1</v>
      </c>
      <c r="EH31" s="109">
        <f t="shared" si="189"/>
        <v>1</v>
      </c>
      <c r="EI31" s="109">
        <f t="shared" si="189"/>
        <v>1</v>
      </c>
      <c r="EJ31" s="109">
        <f t="shared" si="189"/>
        <v>0.43916666666666659</v>
      </c>
      <c r="EK31" s="109">
        <f t="shared" si="189"/>
        <v>1</v>
      </c>
      <c r="EL31" s="109">
        <f t="shared" si="189"/>
        <v>1</v>
      </c>
      <c r="EM31" s="109">
        <f t="shared" si="189"/>
        <v>0.5854166666666667</v>
      </c>
      <c r="EN31" s="109">
        <f t="shared" si="189"/>
        <v>1</v>
      </c>
      <c r="EO31" s="109">
        <f t="shared" si="189"/>
        <v>1</v>
      </c>
      <c r="EP31" s="109">
        <f t="shared" si="189"/>
        <v>0.38041666666666674</v>
      </c>
      <c r="EQ31" s="109">
        <f t="shared" si="189"/>
        <v>1</v>
      </c>
      <c r="ER31" s="109">
        <f t="shared" si="189"/>
        <v>1</v>
      </c>
      <c r="ES31" s="109">
        <f t="shared" si="189"/>
        <v>1</v>
      </c>
      <c r="ET31" s="109">
        <f t="shared" si="189"/>
        <v>0.79041666666666666</v>
      </c>
      <c r="EU31" s="109">
        <f t="shared" si="189"/>
        <v>1</v>
      </c>
      <c r="EV31" s="109">
        <f t="shared" si="189"/>
        <v>1</v>
      </c>
      <c r="EW31" s="109">
        <f t="shared" si="189"/>
        <v>1</v>
      </c>
      <c r="EX31" s="109">
        <f t="shared" si="189"/>
        <v>1</v>
      </c>
      <c r="EY31" s="109">
        <f t="shared" si="189"/>
        <v>1</v>
      </c>
      <c r="EZ31" s="109">
        <f t="shared" si="189"/>
        <v>1</v>
      </c>
      <c r="FA31" s="109">
        <f t="shared" si="189"/>
        <v>1</v>
      </c>
      <c r="FB31" s="109">
        <f t="shared" si="189"/>
        <v>1</v>
      </c>
      <c r="FC31" s="109">
        <f t="shared" si="189"/>
        <v>1</v>
      </c>
      <c r="FD31" s="109">
        <f t="shared" si="189"/>
        <v>0.81041666666666667</v>
      </c>
      <c r="FE31" s="109">
        <f t="shared" si="189"/>
        <v>1</v>
      </c>
      <c r="FF31" s="109">
        <f t="shared" si="189"/>
        <v>1</v>
      </c>
      <c r="FG31" s="109">
        <f t="shared" si="189"/>
        <v>1</v>
      </c>
      <c r="FH31" s="109">
        <f t="shared" si="189"/>
        <v>1</v>
      </c>
      <c r="FI31" s="109">
        <f t="shared" si="189"/>
        <v>1</v>
      </c>
      <c r="FJ31" s="109">
        <f t="shared" si="189"/>
        <v>1</v>
      </c>
      <c r="FK31" s="109">
        <f t="shared" si="189"/>
        <v>1</v>
      </c>
      <c r="FL31" s="109">
        <f t="shared" si="189"/>
        <v>1</v>
      </c>
      <c r="FM31" s="109">
        <f t="shared" si="189"/>
        <v>0.78666666666666663</v>
      </c>
      <c r="FN31" s="109">
        <f t="shared" si="189"/>
        <v>1</v>
      </c>
      <c r="FO31" s="109">
        <f t="shared" si="189"/>
        <v>0.27</v>
      </c>
      <c r="FP31" s="109">
        <f t="shared" si="189"/>
        <v>1</v>
      </c>
      <c r="FQ31" s="109">
        <f t="shared" si="189"/>
        <v>1</v>
      </c>
      <c r="FR31" s="109">
        <f t="shared" si="189"/>
        <v>-4.9979166666666677</v>
      </c>
      <c r="FS31" s="109">
        <f t="shared" si="189"/>
        <v>1</v>
      </c>
      <c r="FT31" s="109">
        <f t="shared" si="189"/>
        <v>1</v>
      </c>
      <c r="FU31" s="109">
        <f t="shared" si="189"/>
        <v>1</v>
      </c>
      <c r="FV31" s="109">
        <f t="shared" si="189"/>
        <v>1</v>
      </c>
      <c r="FW31" s="109">
        <f t="shared" si="189"/>
        <v>1</v>
      </c>
      <c r="FX31" s="109">
        <f t="shared" si="189"/>
        <v>1</v>
      </c>
      <c r="FY31" s="109">
        <f t="shared" si="189"/>
        <v>1</v>
      </c>
      <c r="FZ31" s="109">
        <f t="shared" si="189"/>
        <v>1</v>
      </c>
      <c r="GA31" s="109">
        <f t="shared" si="157"/>
        <v>1</v>
      </c>
      <c r="GB31" s="109">
        <f t="shared" si="157"/>
        <v>1</v>
      </c>
      <c r="GC31" s="109">
        <f t="shared" si="189"/>
        <v>1</v>
      </c>
      <c r="GD31" s="109">
        <f t="shared" si="189"/>
        <v>1</v>
      </c>
      <c r="GE31" s="109">
        <f t="shared" si="189"/>
        <v>1</v>
      </c>
      <c r="GF31" s="109">
        <f t="shared" si="189"/>
        <v>0.72374999999999989</v>
      </c>
      <c r="GG31" s="109">
        <f t="shared" si="189"/>
        <v>0.51249999999999996</v>
      </c>
      <c r="GH31" s="109">
        <f t="shared" si="189"/>
        <v>6.3333333333333353E-2</v>
      </c>
      <c r="GI31" s="109">
        <f t="shared" si="189"/>
        <v>1</v>
      </c>
      <c r="GJ31" s="109">
        <f t="shared" si="189"/>
        <v>0.98458333333333337</v>
      </c>
      <c r="GK31" s="109">
        <f t="shared" si="189"/>
        <v>1</v>
      </c>
      <c r="GL31" s="109">
        <f t="shared" si="189"/>
        <v>1</v>
      </c>
      <c r="GM31" s="109">
        <f t="shared" ref="GM31:IX31" si="190">IF(OR(GM$13="",GM$17="",GM$14="",GM$15="",GM$16="",GM$18="",GM$19="",GM$20="",GM$21=""),"",1-(GM17/(GM$1*24)))</f>
        <v>0.89</v>
      </c>
      <c r="GN31" s="109">
        <f t="shared" si="190"/>
        <v>1</v>
      </c>
      <c r="GO31" s="109">
        <f t="shared" si="190"/>
        <v>1</v>
      </c>
      <c r="GP31" s="109">
        <f t="shared" si="190"/>
        <v>1</v>
      </c>
      <c r="GQ31" s="109">
        <f t="shared" si="190"/>
        <v>1</v>
      </c>
      <c r="GR31" s="109">
        <f t="shared" si="190"/>
        <v>1</v>
      </c>
      <c r="GS31" s="109">
        <f t="shared" si="190"/>
        <v>1</v>
      </c>
      <c r="GT31" s="109">
        <f t="shared" si="190"/>
        <v>1</v>
      </c>
      <c r="GU31" s="109">
        <f t="shared" si="190"/>
        <v>1</v>
      </c>
      <c r="GV31" s="109">
        <f t="shared" si="190"/>
        <v>1</v>
      </c>
      <c r="GW31" s="109">
        <f t="shared" si="190"/>
        <v>-0.44458333333333333</v>
      </c>
      <c r="GX31" s="109">
        <f t="shared" si="190"/>
        <v>1</v>
      </c>
      <c r="GY31" s="109">
        <f t="shared" si="190"/>
        <v>1</v>
      </c>
      <c r="GZ31" s="109">
        <f t="shared" si="190"/>
        <v>1</v>
      </c>
      <c r="HA31" s="109">
        <f t="shared" si="190"/>
        <v>1</v>
      </c>
      <c r="HB31" s="109">
        <f t="shared" si="190"/>
        <v>1</v>
      </c>
      <c r="HC31" s="109">
        <f t="shared" si="190"/>
        <v>1</v>
      </c>
      <c r="HD31" s="109">
        <f t="shared" si="190"/>
        <v>1</v>
      </c>
      <c r="HE31" s="109">
        <f t="shared" si="190"/>
        <v>1</v>
      </c>
      <c r="HF31" s="109">
        <f t="shared" si="190"/>
        <v>1</v>
      </c>
      <c r="HG31" s="109">
        <f t="shared" si="190"/>
        <v>0.9019328703703704</v>
      </c>
      <c r="HH31" s="109">
        <f t="shared" si="190"/>
        <v>1</v>
      </c>
      <c r="HI31" s="109">
        <f t="shared" si="190"/>
        <v>0.52629629629629626</v>
      </c>
      <c r="HJ31" s="109">
        <f t="shared" si="190"/>
        <v>0.68902777777777779</v>
      </c>
      <c r="HK31" s="109">
        <f t="shared" si="190"/>
        <v>1</v>
      </c>
      <c r="HL31" s="109">
        <f t="shared" si="190"/>
        <v>1</v>
      </c>
      <c r="HM31" s="109">
        <f t="shared" si="190"/>
        <v>0.72898148148148145</v>
      </c>
      <c r="HN31" s="109">
        <f t="shared" si="190"/>
        <v>0.98289351851851847</v>
      </c>
      <c r="HO31" s="109">
        <f t="shared" si="190"/>
        <v>1</v>
      </c>
      <c r="HP31" s="109">
        <f t="shared" si="190"/>
        <v>-9.1203703703703898E-3</v>
      </c>
      <c r="HQ31" s="109">
        <f t="shared" si="190"/>
        <v>0.92370370370370369</v>
      </c>
      <c r="HR31" s="109">
        <f t="shared" si="190"/>
        <v>5.5775462962962874E-2</v>
      </c>
      <c r="HS31" s="109">
        <f t="shared" si="190"/>
        <v>1</v>
      </c>
      <c r="HT31" s="109">
        <f t="shared" si="190"/>
        <v>0.66355324074074074</v>
      </c>
      <c r="HU31" s="109">
        <f t="shared" si="190"/>
        <v>0.7314236111111112</v>
      </c>
      <c r="HV31" s="109">
        <f t="shared" si="190"/>
        <v>0.90082175925925922</v>
      </c>
      <c r="HW31" s="109">
        <f t="shared" si="190"/>
        <v>0.99624999999999997</v>
      </c>
      <c r="HX31" s="109">
        <f t="shared" si="190"/>
        <v>0.8573263888888889</v>
      </c>
      <c r="HY31" s="109">
        <f t="shared" si="190"/>
        <v>0.99093750000000003</v>
      </c>
      <c r="HZ31" s="109">
        <f t="shared" si="190"/>
        <v>0.67690972222222223</v>
      </c>
      <c r="IA31" s="109">
        <f t="shared" si="190"/>
        <v>1</v>
      </c>
      <c r="IB31" s="109">
        <f t="shared" si="190"/>
        <v>1</v>
      </c>
      <c r="IC31" s="109">
        <f t="shared" si="190"/>
        <v>1</v>
      </c>
      <c r="ID31" s="109">
        <f t="shared" si="190"/>
        <v>1</v>
      </c>
      <c r="IE31" s="109">
        <f t="shared" si="190"/>
        <v>1</v>
      </c>
      <c r="IF31" s="109">
        <f t="shared" si="190"/>
        <v>0.92291666666666661</v>
      </c>
      <c r="IG31" s="109">
        <f t="shared" si="190"/>
        <v>1</v>
      </c>
      <c r="IH31" s="109">
        <f t="shared" si="190"/>
        <v>-2.65625</v>
      </c>
      <c r="II31" s="109">
        <f t="shared" si="190"/>
        <v>1</v>
      </c>
      <c r="IJ31" s="109">
        <f t="shared" si="190"/>
        <v>-1.8179166666666666</v>
      </c>
      <c r="IK31" s="109">
        <f t="shared" si="190"/>
        <v>1</v>
      </c>
      <c r="IL31" s="109">
        <f t="shared" si="190"/>
        <v>1</v>
      </c>
      <c r="IM31" s="109">
        <f t="shared" si="190"/>
        <v>1</v>
      </c>
      <c r="IN31" s="109">
        <f t="shared" si="190"/>
        <v>1</v>
      </c>
      <c r="IO31" s="109">
        <f t="shared" si="190"/>
        <v>1</v>
      </c>
      <c r="IP31" s="109">
        <f t="shared" si="190"/>
        <v>1</v>
      </c>
      <c r="IQ31" s="109">
        <f t="shared" si="190"/>
        <v>1</v>
      </c>
      <c r="IR31" s="109">
        <f t="shared" si="190"/>
        <v>1</v>
      </c>
      <c r="IS31" s="109">
        <f t="shared" si="190"/>
        <v>1</v>
      </c>
      <c r="IT31" s="109">
        <f t="shared" si="190"/>
        <v>1</v>
      </c>
      <c r="IU31" s="109">
        <f t="shared" si="190"/>
        <v>0.96046296296296296</v>
      </c>
      <c r="IV31" s="109">
        <f t="shared" si="190"/>
        <v>0.75862268518518516</v>
      </c>
      <c r="IW31" s="109">
        <f t="shared" si="190"/>
        <v>0.57538194444444435</v>
      </c>
      <c r="IX31" s="109">
        <f t="shared" si="190"/>
        <v>0.95959490740740738</v>
      </c>
      <c r="IY31" s="109">
        <f t="shared" ref="IY31:LJ31" si="191">IF(OR(IY$13="",IY$17="",IY$14="",IY$15="",IY$16="",IY$18="",IY$19="",IY$20="",IY$21=""),"",1-(IY17/(IY$1*24)))</f>
        <v>0.71704861111111118</v>
      </c>
      <c r="IZ31" s="109">
        <f t="shared" si="191"/>
        <v>0.63075231481481486</v>
      </c>
      <c r="JA31" s="109">
        <f t="shared" si="191"/>
        <v>0.9786111111111111</v>
      </c>
      <c r="JB31" s="109">
        <f t="shared" si="191"/>
        <v>1</v>
      </c>
      <c r="JC31" s="109">
        <f t="shared" si="191"/>
        <v>0.96164351851851848</v>
      </c>
      <c r="JD31" s="109">
        <f t="shared" si="191"/>
        <v>0.75589120370370366</v>
      </c>
      <c r="JE31" s="109">
        <f t="shared" si="191"/>
        <v>1</v>
      </c>
      <c r="JF31" s="109">
        <f t="shared" si="191"/>
        <v>1</v>
      </c>
      <c r="JG31" s="109">
        <f t="shared" si="191"/>
        <v>1</v>
      </c>
      <c r="JH31" s="109">
        <f t="shared" si="191"/>
        <v>1</v>
      </c>
      <c r="JI31" s="109">
        <f t="shared" si="191"/>
        <v>0.72498842592592583</v>
      </c>
      <c r="JJ31" s="109">
        <f t="shared" si="191"/>
        <v>1</v>
      </c>
      <c r="JK31" s="109">
        <f t="shared" si="191"/>
        <v>1</v>
      </c>
      <c r="JL31" s="109">
        <f t="shared" si="191"/>
        <v>0.80377314814814815</v>
      </c>
      <c r="JM31" s="109">
        <f t="shared" si="191"/>
        <v>1</v>
      </c>
      <c r="JN31" s="109">
        <f t="shared" si="191"/>
        <v>0.95833333333333337</v>
      </c>
      <c r="JO31" s="109">
        <f t="shared" si="191"/>
        <v>0.95833333333333337</v>
      </c>
      <c r="JP31" s="109">
        <f t="shared" si="191"/>
        <v>0.625</v>
      </c>
      <c r="JQ31" s="109">
        <f t="shared" si="191"/>
        <v>0.95041666666666669</v>
      </c>
      <c r="JR31" s="109">
        <f t="shared" si="191"/>
        <v>0.95833333333333337</v>
      </c>
      <c r="JS31" s="109">
        <f t="shared" si="191"/>
        <v>0.95833333333333337</v>
      </c>
      <c r="JT31" s="109">
        <f t="shared" si="191"/>
        <v>1</v>
      </c>
      <c r="JU31" s="109">
        <f t="shared" si="191"/>
        <v>1</v>
      </c>
      <c r="JV31" s="109">
        <f t="shared" si="191"/>
        <v>1</v>
      </c>
      <c r="JW31" s="109">
        <f t="shared" si="191"/>
        <v>1</v>
      </c>
      <c r="JX31" s="109">
        <f t="shared" si="191"/>
        <v>1</v>
      </c>
      <c r="JY31" s="109">
        <f t="shared" si="191"/>
        <v>1</v>
      </c>
      <c r="JZ31" s="109">
        <f t="shared" si="191"/>
        <v>1</v>
      </c>
      <c r="KA31" s="109">
        <f t="shared" si="191"/>
        <v>1</v>
      </c>
      <c r="KB31" s="109">
        <f t="shared" si="191"/>
        <v>1</v>
      </c>
      <c r="KC31" s="109">
        <f t="shared" si="191"/>
        <v>1</v>
      </c>
      <c r="KD31" s="109">
        <f t="shared" si="191"/>
        <v>1</v>
      </c>
      <c r="KE31" s="109">
        <f t="shared" si="191"/>
        <v>1</v>
      </c>
      <c r="KF31" s="109">
        <f t="shared" si="191"/>
        <v>1</v>
      </c>
      <c r="KG31" s="109">
        <f t="shared" si="191"/>
        <v>1</v>
      </c>
      <c r="KH31" s="109">
        <f t="shared" si="191"/>
        <v>1</v>
      </c>
      <c r="KI31" s="109">
        <f t="shared" si="191"/>
        <v>1</v>
      </c>
      <c r="KJ31" s="109">
        <f t="shared" si="191"/>
        <v>1</v>
      </c>
      <c r="KK31" s="109">
        <f t="shared" si="191"/>
        <v>1</v>
      </c>
      <c r="KL31" s="109">
        <f t="shared" si="191"/>
        <v>1</v>
      </c>
      <c r="KM31" s="109">
        <f t="shared" si="191"/>
        <v>1</v>
      </c>
      <c r="KN31" s="109">
        <f t="shared" si="191"/>
        <v>1</v>
      </c>
      <c r="KO31" s="109">
        <f t="shared" si="191"/>
        <v>1</v>
      </c>
      <c r="KP31" s="109">
        <f t="shared" si="191"/>
        <v>1</v>
      </c>
      <c r="KQ31" s="109">
        <f t="shared" si="191"/>
        <v>1</v>
      </c>
      <c r="KR31" s="109">
        <f t="shared" si="191"/>
        <v>1</v>
      </c>
      <c r="KS31" s="109">
        <f t="shared" si="191"/>
        <v>1</v>
      </c>
      <c r="KT31" s="109">
        <f t="shared" si="191"/>
        <v>1</v>
      </c>
      <c r="KU31" s="109" t="str">
        <f t="shared" si="191"/>
        <v/>
      </c>
      <c r="KV31" s="109" t="str">
        <f t="shared" si="191"/>
        <v/>
      </c>
      <c r="KW31" s="109" t="str">
        <f t="shared" si="191"/>
        <v/>
      </c>
      <c r="KX31" s="109" t="str">
        <f t="shared" si="191"/>
        <v/>
      </c>
      <c r="KY31" s="109" t="str">
        <f t="shared" si="191"/>
        <v/>
      </c>
      <c r="KZ31" s="109" t="str">
        <f t="shared" si="191"/>
        <v/>
      </c>
      <c r="LA31" s="109" t="str">
        <f t="shared" si="191"/>
        <v/>
      </c>
      <c r="LB31" s="109" t="str">
        <f t="shared" si="191"/>
        <v/>
      </c>
      <c r="LC31" s="109" t="str">
        <f t="shared" si="191"/>
        <v/>
      </c>
      <c r="LD31" s="109" t="str">
        <f t="shared" si="191"/>
        <v/>
      </c>
      <c r="LE31" s="109" t="str">
        <f t="shared" si="191"/>
        <v/>
      </c>
      <c r="LF31" s="109" t="str">
        <f t="shared" si="191"/>
        <v/>
      </c>
      <c r="LG31" s="109" t="str">
        <f t="shared" si="191"/>
        <v/>
      </c>
      <c r="LH31" s="109" t="str">
        <f t="shared" si="191"/>
        <v/>
      </c>
      <c r="LI31" s="109" t="str">
        <f t="shared" si="191"/>
        <v/>
      </c>
      <c r="LJ31" s="109" t="str">
        <f t="shared" si="191"/>
        <v/>
      </c>
      <c r="LK31" s="109" t="str">
        <f t="shared" ref="LK31:NV31" si="192">IF(OR(LK$13="",LK$17="",LK$14="",LK$15="",LK$16="",LK$18="",LK$19="",LK$20="",LK$21=""),"",1-(LK17/(LK$1*24)))</f>
        <v/>
      </c>
      <c r="LL31" s="109" t="str">
        <f t="shared" si="192"/>
        <v/>
      </c>
      <c r="LM31" s="109" t="str">
        <f t="shared" si="192"/>
        <v/>
      </c>
      <c r="LN31" s="109" t="str">
        <f t="shared" si="192"/>
        <v/>
      </c>
      <c r="LO31" s="109" t="str">
        <f t="shared" si="192"/>
        <v/>
      </c>
      <c r="LP31" s="109" t="str">
        <f t="shared" si="192"/>
        <v/>
      </c>
      <c r="LQ31" s="109" t="str">
        <f t="shared" si="192"/>
        <v/>
      </c>
      <c r="LR31" s="109" t="str">
        <f t="shared" si="192"/>
        <v/>
      </c>
      <c r="LS31" s="109" t="str">
        <f t="shared" si="192"/>
        <v/>
      </c>
      <c r="LT31" s="109" t="str">
        <f t="shared" si="192"/>
        <v/>
      </c>
      <c r="LU31" s="109" t="str">
        <f t="shared" si="192"/>
        <v/>
      </c>
      <c r="LV31" s="109" t="str">
        <f t="shared" si="192"/>
        <v/>
      </c>
      <c r="LW31" s="109" t="str">
        <f t="shared" si="192"/>
        <v/>
      </c>
      <c r="LX31" s="109" t="str">
        <f t="shared" si="192"/>
        <v/>
      </c>
      <c r="LY31" s="109" t="str">
        <f t="shared" si="192"/>
        <v/>
      </c>
      <c r="LZ31" s="109" t="str">
        <f t="shared" si="192"/>
        <v/>
      </c>
      <c r="MA31" s="109" t="str">
        <f t="shared" si="192"/>
        <v/>
      </c>
      <c r="MB31" s="109" t="str">
        <f t="shared" si="192"/>
        <v/>
      </c>
      <c r="MC31" s="109" t="str">
        <f t="shared" si="192"/>
        <v/>
      </c>
      <c r="MD31" s="109" t="str">
        <f t="shared" si="192"/>
        <v/>
      </c>
      <c r="ME31" s="109" t="str">
        <f t="shared" si="192"/>
        <v/>
      </c>
      <c r="MF31" s="109" t="str">
        <f t="shared" si="192"/>
        <v/>
      </c>
      <c r="MG31" s="109" t="str">
        <f t="shared" si="192"/>
        <v/>
      </c>
      <c r="MH31" s="109" t="str">
        <f t="shared" si="192"/>
        <v/>
      </c>
      <c r="MI31" s="109" t="str">
        <f t="shared" si="192"/>
        <v/>
      </c>
      <c r="MJ31" s="109" t="str">
        <f t="shared" si="192"/>
        <v/>
      </c>
      <c r="MK31" s="109" t="str">
        <f t="shared" si="192"/>
        <v/>
      </c>
      <c r="ML31" s="109" t="str">
        <f t="shared" si="192"/>
        <v/>
      </c>
      <c r="MM31" s="109" t="str">
        <f t="shared" si="192"/>
        <v/>
      </c>
      <c r="MN31" s="109" t="str">
        <f t="shared" si="192"/>
        <v/>
      </c>
      <c r="MO31" s="109" t="str">
        <f t="shared" si="192"/>
        <v/>
      </c>
      <c r="MP31" s="109" t="str">
        <f t="shared" si="192"/>
        <v/>
      </c>
      <c r="MQ31" s="109" t="str">
        <f t="shared" si="192"/>
        <v/>
      </c>
      <c r="MR31" s="109" t="str">
        <f t="shared" si="192"/>
        <v/>
      </c>
      <c r="MS31" s="109" t="str">
        <f t="shared" si="192"/>
        <v/>
      </c>
      <c r="MT31" s="109" t="str">
        <f t="shared" si="192"/>
        <v/>
      </c>
      <c r="MU31" s="109" t="str">
        <f t="shared" si="192"/>
        <v/>
      </c>
      <c r="MV31" s="109" t="str">
        <f t="shared" si="192"/>
        <v/>
      </c>
      <c r="MW31" s="109" t="str">
        <f t="shared" si="192"/>
        <v/>
      </c>
      <c r="MX31" s="109" t="str">
        <f t="shared" si="192"/>
        <v/>
      </c>
      <c r="MY31" s="109" t="str">
        <f t="shared" si="192"/>
        <v/>
      </c>
      <c r="MZ31" s="109" t="str">
        <f t="shared" si="192"/>
        <v/>
      </c>
      <c r="NA31" s="109" t="str">
        <f t="shared" si="192"/>
        <v/>
      </c>
      <c r="NB31" s="109" t="str">
        <f t="shared" si="192"/>
        <v/>
      </c>
      <c r="NC31" s="109" t="str">
        <f t="shared" si="192"/>
        <v/>
      </c>
      <c r="ND31" s="109" t="str">
        <f t="shared" si="192"/>
        <v/>
      </c>
      <c r="NE31" s="109" t="str">
        <f t="shared" si="192"/>
        <v/>
      </c>
      <c r="NF31" s="109" t="str">
        <f t="shared" si="192"/>
        <v/>
      </c>
      <c r="NG31" s="109" t="str">
        <f t="shared" si="192"/>
        <v/>
      </c>
      <c r="NH31" s="109" t="str">
        <f t="shared" si="192"/>
        <v/>
      </c>
      <c r="NI31" s="109" t="str">
        <f t="shared" si="192"/>
        <v/>
      </c>
      <c r="NJ31" s="109" t="str">
        <f t="shared" si="192"/>
        <v/>
      </c>
      <c r="NK31" s="109" t="str">
        <f t="shared" si="192"/>
        <v/>
      </c>
      <c r="NL31" s="109" t="str">
        <f t="shared" si="192"/>
        <v/>
      </c>
      <c r="NM31" s="109" t="str">
        <f t="shared" si="192"/>
        <v/>
      </c>
      <c r="NN31" s="109" t="str">
        <f t="shared" si="192"/>
        <v/>
      </c>
      <c r="NO31" s="109" t="str">
        <f t="shared" si="192"/>
        <v/>
      </c>
      <c r="NP31" s="109" t="str">
        <f t="shared" si="192"/>
        <v/>
      </c>
      <c r="NQ31" s="109" t="str">
        <f t="shared" si="192"/>
        <v/>
      </c>
      <c r="NR31" s="109" t="str">
        <f t="shared" si="192"/>
        <v/>
      </c>
      <c r="NS31" s="109" t="str">
        <f t="shared" si="192"/>
        <v/>
      </c>
      <c r="NT31" s="109" t="str">
        <f t="shared" si="192"/>
        <v/>
      </c>
      <c r="NU31" s="109" t="str">
        <f t="shared" si="192"/>
        <v/>
      </c>
      <c r="NV31" s="109" t="str">
        <f t="shared" si="192"/>
        <v/>
      </c>
      <c r="NW31" s="109" t="str">
        <f t="shared" ref="NW31:QH31" si="193">IF(OR(NW$13="",NW$17="",NW$14="",NW$15="",NW$16="",NW$18="",NW$19="",NW$20="",NW$21=""),"",1-(NW17/(NW$1*24)))</f>
        <v/>
      </c>
      <c r="NX31" s="109" t="str">
        <f t="shared" si="193"/>
        <v/>
      </c>
      <c r="NY31" s="109" t="str">
        <f t="shared" si="193"/>
        <v/>
      </c>
      <c r="NZ31" s="109" t="str">
        <f t="shared" si="193"/>
        <v/>
      </c>
      <c r="OA31" s="109" t="str">
        <f t="shared" si="193"/>
        <v/>
      </c>
      <c r="OB31" s="109" t="str">
        <f t="shared" si="193"/>
        <v/>
      </c>
      <c r="OC31" s="109" t="str">
        <f t="shared" si="193"/>
        <v/>
      </c>
      <c r="OD31" s="109" t="str">
        <f t="shared" si="193"/>
        <v/>
      </c>
      <c r="OE31" s="109" t="str">
        <f t="shared" si="193"/>
        <v/>
      </c>
      <c r="OF31" s="109" t="str">
        <f t="shared" si="193"/>
        <v/>
      </c>
      <c r="OG31" s="109" t="str">
        <f t="shared" si="193"/>
        <v/>
      </c>
      <c r="OH31" s="109" t="str">
        <f t="shared" si="193"/>
        <v/>
      </c>
      <c r="OI31" s="109" t="str">
        <f t="shared" si="193"/>
        <v/>
      </c>
      <c r="OJ31" s="109" t="str">
        <f t="shared" si="193"/>
        <v/>
      </c>
      <c r="OK31" s="109" t="str">
        <f t="shared" si="193"/>
        <v/>
      </c>
      <c r="OL31" s="109" t="str">
        <f t="shared" si="193"/>
        <v/>
      </c>
      <c r="OM31" s="109" t="str">
        <f t="shared" si="193"/>
        <v/>
      </c>
      <c r="ON31" s="109" t="str">
        <f t="shared" si="193"/>
        <v/>
      </c>
      <c r="OO31" s="109" t="str">
        <f t="shared" si="193"/>
        <v/>
      </c>
      <c r="OP31" s="109" t="str">
        <f t="shared" si="193"/>
        <v/>
      </c>
      <c r="OQ31" s="109" t="str">
        <f t="shared" si="193"/>
        <v/>
      </c>
      <c r="OR31" s="109" t="str">
        <f t="shared" si="193"/>
        <v/>
      </c>
      <c r="OS31" s="109" t="str">
        <f t="shared" si="193"/>
        <v/>
      </c>
      <c r="OT31" s="109" t="str">
        <f t="shared" si="193"/>
        <v/>
      </c>
      <c r="OU31" s="109" t="str">
        <f t="shared" si="193"/>
        <v/>
      </c>
      <c r="OV31" s="109" t="str">
        <f t="shared" si="193"/>
        <v/>
      </c>
      <c r="OW31" s="109" t="str">
        <f t="shared" si="193"/>
        <v/>
      </c>
      <c r="OX31" s="109" t="str">
        <f t="shared" si="193"/>
        <v/>
      </c>
      <c r="OY31" s="109" t="str">
        <f t="shared" si="193"/>
        <v/>
      </c>
      <c r="OZ31" s="109" t="str">
        <f t="shared" si="193"/>
        <v/>
      </c>
      <c r="PA31" s="109" t="str">
        <f t="shared" si="193"/>
        <v/>
      </c>
      <c r="PB31" s="109" t="str">
        <f t="shared" si="193"/>
        <v/>
      </c>
      <c r="PC31" s="109" t="str">
        <f t="shared" si="193"/>
        <v/>
      </c>
      <c r="PD31" s="109" t="str">
        <f t="shared" si="193"/>
        <v/>
      </c>
      <c r="PE31" s="109" t="str">
        <f t="shared" si="193"/>
        <v/>
      </c>
      <c r="PF31" s="109" t="str">
        <f t="shared" si="193"/>
        <v/>
      </c>
      <c r="PG31" s="109" t="str">
        <f t="shared" si="193"/>
        <v/>
      </c>
      <c r="PH31" s="109" t="str">
        <f t="shared" si="193"/>
        <v/>
      </c>
      <c r="PI31" s="109" t="str">
        <f t="shared" si="193"/>
        <v/>
      </c>
      <c r="PJ31" s="109" t="str">
        <f t="shared" si="193"/>
        <v/>
      </c>
      <c r="PK31" s="109" t="str">
        <f t="shared" si="193"/>
        <v/>
      </c>
      <c r="PL31" s="109" t="str">
        <f t="shared" si="193"/>
        <v/>
      </c>
      <c r="PM31" s="109" t="str">
        <f t="shared" si="193"/>
        <v/>
      </c>
      <c r="PN31" s="109" t="str">
        <f t="shared" si="193"/>
        <v/>
      </c>
      <c r="PO31" s="109" t="str">
        <f t="shared" si="193"/>
        <v/>
      </c>
      <c r="PP31" s="109" t="str">
        <f t="shared" si="193"/>
        <v/>
      </c>
      <c r="PQ31" s="109" t="str">
        <f t="shared" si="193"/>
        <v/>
      </c>
      <c r="PR31" s="109" t="str">
        <f t="shared" si="193"/>
        <v/>
      </c>
      <c r="PS31" s="109" t="str">
        <f t="shared" si="193"/>
        <v/>
      </c>
      <c r="PT31" s="109" t="str">
        <f t="shared" si="193"/>
        <v/>
      </c>
      <c r="PU31" s="109" t="str">
        <f t="shared" si="193"/>
        <v/>
      </c>
      <c r="PV31" s="109" t="str">
        <f t="shared" si="193"/>
        <v/>
      </c>
      <c r="PW31" s="109" t="str">
        <f t="shared" si="193"/>
        <v/>
      </c>
      <c r="PX31" s="109" t="str">
        <f t="shared" si="193"/>
        <v/>
      </c>
      <c r="PY31" s="109" t="str">
        <f t="shared" si="193"/>
        <v/>
      </c>
      <c r="PZ31" s="109" t="str">
        <f t="shared" si="193"/>
        <v/>
      </c>
      <c r="QA31" s="109" t="str">
        <f t="shared" si="193"/>
        <v/>
      </c>
      <c r="QB31" s="109" t="str">
        <f t="shared" si="193"/>
        <v/>
      </c>
      <c r="QC31" s="109" t="str">
        <f t="shared" si="193"/>
        <v/>
      </c>
      <c r="QD31" s="109" t="str">
        <f t="shared" si="193"/>
        <v/>
      </c>
      <c r="QE31" s="109" t="str">
        <f t="shared" si="193"/>
        <v/>
      </c>
      <c r="QF31" s="109" t="str">
        <f t="shared" si="193"/>
        <v/>
      </c>
      <c r="QG31" s="109" t="str">
        <f t="shared" si="193"/>
        <v/>
      </c>
      <c r="QH31" s="109" t="str">
        <f t="shared" si="193"/>
        <v/>
      </c>
      <c r="QI31" s="109" t="str">
        <f t="shared" ref="QI31:SW31" si="194">IF(OR(QI$13="",QI$17="",QI$14="",QI$15="",QI$16="",QI$18="",QI$19="",QI$20="",QI$21=""),"",1-(QI17/(QI$1*24)))</f>
        <v/>
      </c>
      <c r="QJ31" s="109" t="str">
        <f t="shared" si="194"/>
        <v/>
      </c>
      <c r="QK31" s="109" t="str">
        <f t="shared" si="194"/>
        <v/>
      </c>
      <c r="QL31" s="109" t="str">
        <f t="shared" si="194"/>
        <v/>
      </c>
      <c r="QM31" s="109" t="str">
        <f t="shared" si="194"/>
        <v/>
      </c>
      <c r="QN31" s="109" t="str">
        <f t="shared" si="194"/>
        <v/>
      </c>
      <c r="QO31" s="109" t="str">
        <f t="shared" si="194"/>
        <v/>
      </c>
      <c r="QP31" s="109" t="str">
        <f t="shared" si="194"/>
        <v/>
      </c>
      <c r="QQ31" s="109" t="str">
        <f t="shared" si="194"/>
        <v/>
      </c>
      <c r="QR31" s="109" t="str">
        <f t="shared" si="194"/>
        <v/>
      </c>
      <c r="QS31" s="109" t="str">
        <f t="shared" si="194"/>
        <v/>
      </c>
      <c r="QT31" s="109" t="str">
        <f t="shared" si="194"/>
        <v/>
      </c>
      <c r="QU31" s="109" t="str">
        <f t="shared" si="194"/>
        <v/>
      </c>
      <c r="QV31" s="109" t="str">
        <f t="shared" si="194"/>
        <v/>
      </c>
      <c r="QW31" s="109" t="str">
        <f t="shared" si="194"/>
        <v/>
      </c>
      <c r="QX31" s="109" t="str">
        <f t="shared" si="194"/>
        <v/>
      </c>
      <c r="QY31" s="109" t="str">
        <f t="shared" si="194"/>
        <v/>
      </c>
      <c r="QZ31" s="109" t="str">
        <f t="shared" si="194"/>
        <v/>
      </c>
      <c r="RA31" s="109" t="str">
        <f t="shared" si="194"/>
        <v/>
      </c>
      <c r="RB31" s="109" t="str">
        <f t="shared" si="194"/>
        <v/>
      </c>
      <c r="RC31" s="109" t="str">
        <f t="shared" si="194"/>
        <v/>
      </c>
      <c r="RD31" s="109" t="str">
        <f t="shared" si="194"/>
        <v/>
      </c>
      <c r="RE31" s="109" t="str">
        <f t="shared" si="194"/>
        <v/>
      </c>
      <c r="RF31" s="109" t="str">
        <f t="shared" si="194"/>
        <v/>
      </c>
      <c r="RG31" s="109" t="str">
        <f t="shared" si="194"/>
        <v/>
      </c>
      <c r="RH31" s="109" t="str">
        <f t="shared" si="194"/>
        <v/>
      </c>
      <c r="RI31" s="109" t="str">
        <f t="shared" si="194"/>
        <v/>
      </c>
      <c r="RJ31" s="109" t="str">
        <f t="shared" si="194"/>
        <v/>
      </c>
      <c r="RK31" s="109" t="str">
        <f t="shared" si="194"/>
        <v/>
      </c>
      <c r="RL31" s="109" t="str">
        <f t="shared" si="194"/>
        <v/>
      </c>
      <c r="RM31" s="109" t="str">
        <f t="shared" si="194"/>
        <v/>
      </c>
      <c r="RN31" s="109" t="str">
        <f t="shared" si="194"/>
        <v/>
      </c>
      <c r="RO31" s="109" t="str">
        <f t="shared" si="194"/>
        <v/>
      </c>
      <c r="RP31" s="109" t="str">
        <f t="shared" si="194"/>
        <v/>
      </c>
      <c r="RQ31" s="109" t="str">
        <f t="shared" si="194"/>
        <v/>
      </c>
      <c r="RR31" s="109" t="str">
        <f t="shared" si="194"/>
        <v/>
      </c>
      <c r="RS31" s="109" t="str">
        <f t="shared" si="194"/>
        <v/>
      </c>
      <c r="RT31" s="109" t="str">
        <f t="shared" si="194"/>
        <v/>
      </c>
      <c r="RU31" s="109" t="str">
        <f t="shared" si="194"/>
        <v/>
      </c>
      <c r="RV31" s="109" t="str">
        <f t="shared" si="194"/>
        <v/>
      </c>
      <c r="RW31" s="109" t="str">
        <f t="shared" si="194"/>
        <v/>
      </c>
      <c r="RX31" s="109" t="str">
        <f t="shared" si="194"/>
        <v/>
      </c>
      <c r="RY31" s="109" t="str">
        <f t="shared" si="194"/>
        <v/>
      </c>
      <c r="RZ31" s="109" t="str">
        <f t="shared" si="194"/>
        <v/>
      </c>
      <c r="SA31" s="109" t="str">
        <f t="shared" si="194"/>
        <v/>
      </c>
      <c r="SB31" s="109" t="str">
        <f t="shared" si="194"/>
        <v/>
      </c>
      <c r="SC31" s="109" t="str">
        <f t="shared" si="194"/>
        <v/>
      </c>
      <c r="SD31" s="109" t="str">
        <f t="shared" si="194"/>
        <v/>
      </c>
      <c r="SE31" s="109" t="str">
        <f t="shared" si="194"/>
        <v/>
      </c>
      <c r="SF31" s="109" t="str">
        <f t="shared" si="194"/>
        <v/>
      </c>
      <c r="SG31" s="109" t="str">
        <f t="shared" si="194"/>
        <v/>
      </c>
      <c r="SH31" s="109" t="str">
        <f t="shared" si="194"/>
        <v/>
      </c>
      <c r="SI31" s="109" t="str">
        <f t="shared" si="194"/>
        <v/>
      </c>
      <c r="SJ31" s="109" t="str">
        <f t="shared" si="194"/>
        <v/>
      </c>
      <c r="SK31" s="109" t="str">
        <f t="shared" si="194"/>
        <v/>
      </c>
      <c r="SL31" s="109" t="str">
        <f t="shared" si="194"/>
        <v/>
      </c>
      <c r="SM31" s="109" t="str">
        <f t="shared" si="194"/>
        <v/>
      </c>
      <c r="SN31" s="109" t="str">
        <f t="shared" si="194"/>
        <v/>
      </c>
      <c r="SO31" s="109" t="str">
        <f t="shared" si="194"/>
        <v/>
      </c>
      <c r="SP31" s="109" t="str">
        <f t="shared" si="194"/>
        <v/>
      </c>
      <c r="SQ31" s="109" t="str">
        <f t="shared" si="194"/>
        <v/>
      </c>
      <c r="SR31" s="109" t="str">
        <f t="shared" si="194"/>
        <v/>
      </c>
      <c r="SS31" s="109" t="str">
        <f t="shared" si="194"/>
        <v/>
      </c>
      <c r="ST31" s="109" t="str">
        <f t="shared" si="194"/>
        <v/>
      </c>
      <c r="SU31" s="109" t="str">
        <f t="shared" si="194"/>
        <v/>
      </c>
      <c r="SV31" s="109" t="str">
        <f t="shared" si="194"/>
        <v/>
      </c>
      <c r="SW31" s="109" t="str">
        <f t="shared" si="194"/>
        <v/>
      </c>
    </row>
    <row r="32" spans="1:517" ht="24" customHeight="1" x14ac:dyDescent="0.2">
      <c r="A32" s="94">
        <v>777</v>
      </c>
      <c r="B32" s="117" t="s">
        <v>82</v>
      </c>
      <c r="C32" s="109">
        <f t="shared" ref="C32:BN32" si="195">IF(OR(C$13="",C$17="",C$14="",C$15="",C$16="",C$18="",C$19="",C$20="",C$21=""),"",1-(C18/(C$1*24)))</f>
        <v>1</v>
      </c>
      <c r="D32" s="109">
        <f t="shared" si="195"/>
        <v>-1.2550000000000003</v>
      </c>
      <c r="E32" s="109">
        <f t="shared" si="195"/>
        <v>1</v>
      </c>
      <c r="F32" s="109">
        <f t="shared" si="195"/>
        <v>1</v>
      </c>
      <c r="G32" s="109">
        <f t="shared" si="195"/>
        <v>-0.28000000000000003</v>
      </c>
      <c r="H32" s="109">
        <f t="shared" si="195"/>
        <v>0.70208333333333339</v>
      </c>
      <c r="I32" s="109">
        <f t="shared" si="195"/>
        <v>1</v>
      </c>
      <c r="J32" s="109">
        <f t="shared" si="195"/>
        <v>0.51208333333333345</v>
      </c>
      <c r="K32" s="109">
        <f t="shared" si="195"/>
        <v>1</v>
      </c>
      <c r="L32" s="109">
        <f t="shared" si="195"/>
        <v>0.86583333333333334</v>
      </c>
      <c r="M32" s="109">
        <f t="shared" si="195"/>
        <v>1</v>
      </c>
      <c r="N32" s="109">
        <f t="shared" si="195"/>
        <v>0.94916666666666671</v>
      </c>
      <c r="O32" s="109">
        <f t="shared" si="195"/>
        <v>1</v>
      </c>
      <c r="P32" s="109">
        <f t="shared" si="195"/>
        <v>0.86749999999999994</v>
      </c>
      <c r="Q32" s="109">
        <f t="shared" si="195"/>
        <v>1</v>
      </c>
      <c r="R32" s="109">
        <f t="shared" si="195"/>
        <v>1</v>
      </c>
      <c r="S32" s="109">
        <f t="shared" si="195"/>
        <v>1</v>
      </c>
      <c r="T32" s="109">
        <f t="shared" si="195"/>
        <v>1</v>
      </c>
      <c r="U32" s="109">
        <f t="shared" si="195"/>
        <v>1</v>
      </c>
      <c r="V32" s="109">
        <f t="shared" si="195"/>
        <v>1</v>
      </c>
      <c r="W32" s="109">
        <f t="shared" si="195"/>
        <v>1</v>
      </c>
      <c r="X32" s="109">
        <f t="shared" si="195"/>
        <v>1</v>
      </c>
      <c r="Y32" s="109">
        <f t="shared" si="195"/>
        <v>1</v>
      </c>
      <c r="Z32" s="109">
        <f t="shared" si="195"/>
        <v>0.85916666666666663</v>
      </c>
      <c r="AA32" s="109">
        <f t="shared" si="195"/>
        <v>1</v>
      </c>
      <c r="AB32" s="109">
        <f t="shared" si="195"/>
        <v>1</v>
      </c>
      <c r="AC32" s="109">
        <f t="shared" si="195"/>
        <v>-0.28833333333333333</v>
      </c>
      <c r="AD32" s="109">
        <f t="shared" si="195"/>
        <v>1</v>
      </c>
      <c r="AE32" s="109">
        <f t="shared" si="195"/>
        <v>1</v>
      </c>
      <c r="AF32" s="109">
        <f t="shared" si="195"/>
        <v>1</v>
      </c>
      <c r="AG32" s="109">
        <f t="shared" si="195"/>
        <v>1</v>
      </c>
      <c r="AH32" s="109">
        <f t="shared" si="195"/>
        <v>1</v>
      </c>
      <c r="AI32" s="109">
        <f t="shared" si="195"/>
        <v>1</v>
      </c>
      <c r="AJ32" s="109">
        <f t="shared" si="195"/>
        <v>1</v>
      </c>
      <c r="AK32" s="109">
        <f t="shared" si="195"/>
        <v>1</v>
      </c>
      <c r="AL32" s="109">
        <f t="shared" si="195"/>
        <v>0.92333333333333334</v>
      </c>
      <c r="AM32" s="109">
        <f t="shared" si="195"/>
        <v>1</v>
      </c>
      <c r="AN32" s="109">
        <f t="shared" si="195"/>
        <v>1</v>
      </c>
      <c r="AO32" s="109">
        <f t="shared" si="195"/>
        <v>1</v>
      </c>
      <c r="AP32" s="109">
        <f t="shared" si="195"/>
        <v>1</v>
      </c>
      <c r="AQ32" s="109">
        <f t="shared" si="195"/>
        <v>1</v>
      </c>
      <c r="AR32" s="109">
        <f t="shared" si="195"/>
        <v>1</v>
      </c>
      <c r="AS32" s="109">
        <f t="shared" si="195"/>
        <v>1</v>
      </c>
      <c r="AT32" s="109">
        <f t="shared" si="195"/>
        <v>1</v>
      </c>
      <c r="AU32" s="109">
        <f t="shared" si="195"/>
        <v>1</v>
      </c>
      <c r="AV32" s="109">
        <f t="shared" si="195"/>
        <v>1</v>
      </c>
      <c r="AW32" s="109">
        <f t="shared" si="195"/>
        <v>1</v>
      </c>
      <c r="AX32" s="109">
        <f t="shared" si="195"/>
        <v>1</v>
      </c>
      <c r="AY32" s="109">
        <f t="shared" si="195"/>
        <v>1</v>
      </c>
      <c r="AZ32" s="109">
        <f t="shared" si="195"/>
        <v>1</v>
      </c>
      <c r="BA32" s="109">
        <f t="shared" si="195"/>
        <v>0.98333333333333328</v>
      </c>
      <c r="BB32" s="109">
        <f t="shared" si="195"/>
        <v>1</v>
      </c>
      <c r="BC32" s="109">
        <f t="shared" si="195"/>
        <v>1</v>
      </c>
      <c r="BD32" s="109">
        <f t="shared" si="195"/>
        <v>5.8333333333333237E-2</v>
      </c>
      <c r="BE32" s="109">
        <f t="shared" si="195"/>
        <v>1</v>
      </c>
      <c r="BF32" s="109">
        <f t="shared" si="195"/>
        <v>1</v>
      </c>
      <c r="BG32" s="109">
        <f t="shared" si="195"/>
        <v>1</v>
      </c>
      <c r="BH32" s="109">
        <f t="shared" si="195"/>
        <v>1</v>
      </c>
      <c r="BI32" s="109">
        <f t="shared" si="195"/>
        <v>0.7845833333333333</v>
      </c>
      <c r="BJ32" s="109">
        <f t="shared" si="195"/>
        <v>0.60083333333333333</v>
      </c>
      <c r="BK32" s="109">
        <f t="shared" si="195"/>
        <v>0.68041666666666667</v>
      </c>
      <c r="BL32" s="109">
        <f t="shared" si="195"/>
        <v>0.40125</v>
      </c>
      <c r="BM32" s="109">
        <f t="shared" si="195"/>
        <v>0.67708333333333326</v>
      </c>
      <c r="BN32" s="109">
        <f t="shared" si="195"/>
        <v>0.69500000000000006</v>
      </c>
      <c r="BO32" s="109">
        <f t="shared" ref="BO32:DZ32" si="196">IF(OR(BO$13="",BO$17="",BO$14="",BO$15="",BO$16="",BO$18="",BO$19="",BO$20="",BO$21=""),"",1-(BO18/(BO$1*24)))</f>
        <v>-0.25208333333333344</v>
      </c>
      <c r="BP32" s="109">
        <f t="shared" si="196"/>
        <v>1</v>
      </c>
      <c r="BQ32" s="109">
        <f t="shared" si="196"/>
        <v>0.96375</v>
      </c>
      <c r="BR32" s="109">
        <f t="shared" si="196"/>
        <v>0.85499999999999998</v>
      </c>
      <c r="BS32" s="109">
        <f t="shared" si="196"/>
        <v>0.78208333333333335</v>
      </c>
      <c r="BT32" s="109">
        <f t="shared" si="196"/>
        <v>1</v>
      </c>
      <c r="BU32" s="109">
        <f t="shared" si="196"/>
        <v>1</v>
      </c>
      <c r="BV32" s="109">
        <f t="shared" si="196"/>
        <v>1</v>
      </c>
      <c r="BW32" s="109">
        <f t="shared" si="196"/>
        <v>1</v>
      </c>
      <c r="BX32" s="109">
        <f t="shared" si="196"/>
        <v>-3.5416666666666652E-2</v>
      </c>
      <c r="BY32" s="109">
        <f t="shared" si="196"/>
        <v>0.32625000000000004</v>
      </c>
      <c r="BZ32" s="109">
        <f t="shared" si="196"/>
        <v>1</v>
      </c>
      <c r="CA32" s="109">
        <f t="shared" si="196"/>
        <v>1</v>
      </c>
      <c r="CB32" s="109">
        <f t="shared" si="196"/>
        <v>0.95041666666666669</v>
      </c>
      <c r="CC32" s="109">
        <f t="shared" si="196"/>
        <v>0.84583333333333333</v>
      </c>
      <c r="CD32" s="109">
        <f t="shared" si="196"/>
        <v>1</v>
      </c>
      <c r="CE32" s="109">
        <f t="shared" si="196"/>
        <v>1</v>
      </c>
      <c r="CF32" s="109">
        <f t="shared" si="196"/>
        <v>1</v>
      </c>
      <c r="CG32" s="109">
        <f t="shared" si="196"/>
        <v>1</v>
      </c>
      <c r="CH32" s="109">
        <f t="shared" si="196"/>
        <v>0.88666666666666671</v>
      </c>
      <c r="CI32" s="109">
        <f t="shared" si="196"/>
        <v>0.49791666666666667</v>
      </c>
      <c r="CJ32" s="109">
        <f t="shared" si="196"/>
        <v>1</v>
      </c>
      <c r="CK32" s="109">
        <f t="shared" si="196"/>
        <v>1</v>
      </c>
      <c r="CL32" s="109">
        <f t="shared" si="196"/>
        <v>0.94</v>
      </c>
      <c r="CM32" s="109">
        <f t="shared" si="196"/>
        <v>1</v>
      </c>
      <c r="CN32" s="109">
        <f t="shared" si="196"/>
        <v>1</v>
      </c>
      <c r="CO32" s="109">
        <f t="shared" si="196"/>
        <v>1</v>
      </c>
      <c r="CP32" s="109">
        <f t="shared" si="196"/>
        <v>1</v>
      </c>
      <c r="CQ32" s="109">
        <f t="shared" si="196"/>
        <v>0.92625000000000002</v>
      </c>
      <c r="CR32" s="109">
        <f t="shared" si="196"/>
        <v>1</v>
      </c>
      <c r="CS32" s="109">
        <f t="shared" si="196"/>
        <v>0.94916666666666671</v>
      </c>
      <c r="CT32" s="109">
        <f t="shared" si="196"/>
        <v>1</v>
      </c>
      <c r="CU32" s="109">
        <f t="shared" si="196"/>
        <v>1</v>
      </c>
      <c r="CV32" s="109">
        <f t="shared" si="196"/>
        <v>1</v>
      </c>
      <c r="CW32" s="109">
        <f t="shared" si="196"/>
        <v>1</v>
      </c>
      <c r="CX32" s="109">
        <f t="shared" si="196"/>
        <v>-0.52416666666666667</v>
      </c>
      <c r="CY32" s="109">
        <f t="shared" si="196"/>
        <v>1</v>
      </c>
      <c r="CZ32" s="109">
        <f t="shared" si="196"/>
        <v>0.9375</v>
      </c>
      <c r="DA32" s="109">
        <f t="shared" si="196"/>
        <v>1</v>
      </c>
      <c r="DB32" s="109">
        <f t="shared" si="196"/>
        <v>0.59375</v>
      </c>
      <c r="DC32" s="109">
        <f t="shared" si="196"/>
        <v>0.9291666666666667</v>
      </c>
      <c r="DD32" s="109">
        <f t="shared" si="196"/>
        <v>1</v>
      </c>
      <c r="DE32" s="109">
        <f t="shared" si="196"/>
        <v>1</v>
      </c>
      <c r="DF32" s="109">
        <f t="shared" si="196"/>
        <v>0.93458333333333332</v>
      </c>
      <c r="DG32" s="109">
        <f t="shared" si="196"/>
        <v>1</v>
      </c>
      <c r="DH32" s="109">
        <f t="shared" si="196"/>
        <v>1</v>
      </c>
      <c r="DI32" s="109">
        <f t="shared" si="196"/>
        <v>1</v>
      </c>
      <c r="DJ32" s="109">
        <f t="shared" si="196"/>
        <v>1</v>
      </c>
      <c r="DK32" s="109">
        <f t="shared" si="196"/>
        <v>1</v>
      </c>
      <c r="DL32" s="109">
        <f t="shared" si="196"/>
        <v>1</v>
      </c>
      <c r="DM32" s="109">
        <f t="shared" si="196"/>
        <v>1</v>
      </c>
      <c r="DN32" s="109">
        <f t="shared" si="196"/>
        <v>1</v>
      </c>
      <c r="DO32" s="109">
        <f t="shared" si="196"/>
        <v>1</v>
      </c>
      <c r="DP32" s="109">
        <f t="shared" si="196"/>
        <v>0.95708333333333329</v>
      </c>
      <c r="DQ32" s="109">
        <f t="shared" si="196"/>
        <v>0.95333333333333337</v>
      </c>
      <c r="DR32" s="109">
        <f t="shared" si="196"/>
        <v>1</v>
      </c>
      <c r="DS32" s="109">
        <f t="shared" si="196"/>
        <v>0.9604166666666667</v>
      </c>
      <c r="DT32" s="109">
        <f t="shared" si="196"/>
        <v>0.67708333333333326</v>
      </c>
      <c r="DU32" s="109">
        <f t="shared" si="196"/>
        <v>1</v>
      </c>
      <c r="DV32" s="109">
        <f t="shared" si="196"/>
        <v>1</v>
      </c>
      <c r="DW32" s="109">
        <f t="shared" si="196"/>
        <v>1</v>
      </c>
      <c r="DX32" s="109">
        <f t="shared" si="196"/>
        <v>1</v>
      </c>
      <c r="DY32" s="109">
        <f t="shared" si="196"/>
        <v>1</v>
      </c>
      <c r="DZ32" s="109">
        <f t="shared" si="196"/>
        <v>1</v>
      </c>
      <c r="EA32" s="109">
        <f t="shared" ref="EA32:GL32" si="197">IF(OR(EA$13="",EA$17="",EA$14="",EA$15="",EA$16="",EA$18="",EA$19="",EA$20="",EA$21=""),"",1-(EA18/(EA$1*24)))</f>
        <v>1</v>
      </c>
      <c r="EB32" s="109">
        <f t="shared" si="197"/>
        <v>0.90416666666666667</v>
      </c>
      <c r="EC32" s="109">
        <f t="shared" si="197"/>
        <v>1</v>
      </c>
      <c r="ED32" s="109">
        <f t="shared" si="197"/>
        <v>1</v>
      </c>
      <c r="EE32" s="109">
        <f t="shared" si="197"/>
        <v>0.48749999999999993</v>
      </c>
      <c r="EF32" s="109">
        <f t="shared" si="197"/>
        <v>1</v>
      </c>
      <c r="EG32" s="109">
        <f t="shared" si="197"/>
        <v>0.46666666666666667</v>
      </c>
      <c r="EH32" s="109">
        <f t="shared" si="197"/>
        <v>1</v>
      </c>
      <c r="EI32" s="109">
        <f t="shared" si="197"/>
        <v>1</v>
      </c>
      <c r="EJ32" s="109">
        <f t="shared" si="197"/>
        <v>1</v>
      </c>
      <c r="EK32" s="109">
        <f t="shared" si="197"/>
        <v>1</v>
      </c>
      <c r="EL32" s="109">
        <f t="shared" si="197"/>
        <v>1</v>
      </c>
      <c r="EM32" s="109">
        <f t="shared" si="197"/>
        <v>0.87791666666666668</v>
      </c>
      <c r="EN32" s="109">
        <f t="shared" si="197"/>
        <v>1</v>
      </c>
      <c r="EO32" s="109">
        <f t="shared" si="197"/>
        <v>1</v>
      </c>
      <c r="EP32" s="109">
        <f t="shared" si="197"/>
        <v>0.70708333333333329</v>
      </c>
      <c r="EQ32" s="109">
        <f t="shared" si="197"/>
        <v>1</v>
      </c>
      <c r="ER32" s="109">
        <f t="shared" si="197"/>
        <v>1</v>
      </c>
      <c r="ES32" s="109">
        <f t="shared" si="197"/>
        <v>1</v>
      </c>
      <c r="ET32" s="109">
        <f t="shared" si="197"/>
        <v>1</v>
      </c>
      <c r="EU32" s="109">
        <f t="shared" si="197"/>
        <v>1</v>
      </c>
      <c r="EV32" s="109">
        <f t="shared" si="197"/>
        <v>1</v>
      </c>
      <c r="EW32" s="109">
        <f t="shared" si="197"/>
        <v>1</v>
      </c>
      <c r="EX32" s="109">
        <f t="shared" si="197"/>
        <v>1</v>
      </c>
      <c r="EY32" s="109">
        <f t="shared" si="197"/>
        <v>1</v>
      </c>
      <c r="EZ32" s="109">
        <f t="shared" si="197"/>
        <v>1</v>
      </c>
      <c r="FA32" s="109">
        <f t="shared" si="197"/>
        <v>1</v>
      </c>
      <c r="FB32" s="109">
        <f t="shared" si="197"/>
        <v>1</v>
      </c>
      <c r="FC32" s="109">
        <f t="shared" si="197"/>
        <v>1</v>
      </c>
      <c r="FD32" s="109">
        <f t="shared" si="197"/>
        <v>0.82833333333333337</v>
      </c>
      <c r="FE32" s="109">
        <f t="shared" si="197"/>
        <v>1</v>
      </c>
      <c r="FF32" s="109">
        <f t="shared" si="197"/>
        <v>0.97916666666666663</v>
      </c>
      <c r="FG32" s="109">
        <f t="shared" si="197"/>
        <v>1</v>
      </c>
      <c r="FH32" s="109">
        <f t="shared" si="197"/>
        <v>1</v>
      </c>
      <c r="FI32" s="109">
        <f t="shared" si="197"/>
        <v>1</v>
      </c>
      <c r="FJ32" s="109">
        <f t="shared" si="197"/>
        <v>1</v>
      </c>
      <c r="FK32" s="109">
        <f t="shared" si="197"/>
        <v>1</v>
      </c>
      <c r="FL32" s="109">
        <f t="shared" si="197"/>
        <v>0.80958333333333332</v>
      </c>
      <c r="FM32" s="109">
        <f t="shared" si="197"/>
        <v>1</v>
      </c>
      <c r="FN32" s="109">
        <f t="shared" si="197"/>
        <v>1</v>
      </c>
      <c r="FO32" s="109">
        <f t="shared" si="197"/>
        <v>0.93541666666666667</v>
      </c>
      <c r="FP32" s="109">
        <f t="shared" si="197"/>
        <v>1</v>
      </c>
      <c r="FQ32" s="109">
        <f t="shared" si="197"/>
        <v>0.99916666666666665</v>
      </c>
      <c r="FR32" s="109">
        <f t="shared" si="197"/>
        <v>1</v>
      </c>
      <c r="FS32" s="109">
        <f t="shared" si="197"/>
        <v>1</v>
      </c>
      <c r="FT32" s="109">
        <f t="shared" si="197"/>
        <v>3.3333333333333215E-2</v>
      </c>
      <c r="FU32" s="109">
        <f t="shared" si="197"/>
        <v>1</v>
      </c>
      <c r="FV32" s="109">
        <f t="shared" si="197"/>
        <v>1</v>
      </c>
      <c r="FW32" s="109">
        <f t="shared" si="197"/>
        <v>1</v>
      </c>
      <c r="FX32" s="109">
        <f t="shared" si="197"/>
        <v>0.87875000000000003</v>
      </c>
      <c r="FY32" s="109">
        <f t="shared" si="197"/>
        <v>1</v>
      </c>
      <c r="FZ32" s="109">
        <f t="shared" si="197"/>
        <v>1</v>
      </c>
      <c r="GA32" s="109">
        <f t="shared" si="157"/>
        <v>1</v>
      </c>
      <c r="GB32" s="109">
        <f t="shared" si="157"/>
        <v>0.8320833333333334</v>
      </c>
      <c r="GC32" s="109">
        <f t="shared" si="197"/>
        <v>1</v>
      </c>
      <c r="GD32" s="109">
        <f t="shared" si="197"/>
        <v>1</v>
      </c>
      <c r="GE32" s="109">
        <f t="shared" si="197"/>
        <v>1</v>
      </c>
      <c r="GF32" s="109">
        <f t="shared" si="197"/>
        <v>0.49875000000000003</v>
      </c>
      <c r="GG32" s="109">
        <f t="shared" si="197"/>
        <v>0.93083333333333329</v>
      </c>
      <c r="GH32" s="109">
        <f t="shared" si="197"/>
        <v>1</v>
      </c>
      <c r="GI32" s="109">
        <f t="shared" si="197"/>
        <v>1</v>
      </c>
      <c r="GJ32" s="109">
        <f t="shared" si="197"/>
        <v>0.8175</v>
      </c>
      <c r="GK32" s="109">
        <f t="shared" si="197"/>
        <v>1</v>
      </c>
      <c r="GL32" s="109">
        <f t="shared" si="197"/>
        <v>1</v>
      </c>
      <c r="GM32" s="109">
        <f t="shared" ref="GM32:IX32" si="198">IF(OR(GM$13="",GM$17="",GM$14="",GM$15="",GM$16="",GM$18="",GM$19="",GM$20="",GM$21=""),"",1-(GM18/(GM$1*24)))</f>
        <v>1</v>
      </c>
      <c r="GN32" s="109">
        <f t="shared" si="198"/>
        <v>1</v>
      </c>
      <c r="GO32" s="109">
        <f t="shared" si="198"/>
        <v>1</v>
      </c>
      <c r="GP32" s="109">
        <f t="shared" si="198"/>
        <v>1</v>
      </c>
      <c r="GQ32" s="109">
        <f t="shared" si="198"/>
        <v>1</v>
      </c>
      <c r="GR32" s="109">
        <f t="shared" si="198"/>
        <v>0.91125</v>
      </c>
      <c r="GS32" s="109">
        <f t="shared" si="198"/>
        <v>1</v>
      </c>
      <c r="GT32" s="109">
        <f t="shared" si="198"/>
        <v>1</v>
      </c>
      <c r="GU32" s="109">
        <f t="shared" si="198"/>
        <v>1</v>
      </c>
      <c r="GV32" s="109">
        <f t="shared" si="198"/>
        <v>1</v>
      </c>
      <c r="GW32" s="109">
        <f t="shared" si="198"/>
        <v>0.6825</v>
      </c>
      <c r="GX32" s="109">
        <f t="shared" si="198"/>
        <v>1</v>
      </c>
      <c r="GY32" s="109">
        <f t="shared" si="198"/>
        <v>1</v>
      </c>
      <c r="GZ32" s="109">
        <f t="shared" si="198"/>
        <v>1</v>
      </c>
      <c r="HA32" s="109">
        <f t="shared" si="198"/>
        <v>1</v>
      </c>
      <c r="HB32" s="109">
        <f t="shared" si="198"/>
        <v>1</v>
      </c>
      <c r="HC32" s="109">
        <f t="shared" si="198"/>
        <v>1</v>
      </c>
      <c r="HD32" s="109">
        <f t="shared" si="198"/>
        <v>1</v>
      </c>
      <c r="HE32" s="109">
        <f t="shared" si="198"/>
        <v>1</v>
      </c>
      <c r="HF32" s="109">
        <f t="shared" si="198"/>
        <v>1</v>
      </c>
      <c r="HG32" s="109">
        <f t="shared" si="198"/>
        <v>1</v>
      </c>
      <c r="HH32" s="109">
        <f t="shared" si="198"/>
        <v>1</v>
      </c>
      <c r="HI32" s="109">
        <f t="shared" si="198"/>
        <v>1</v>
      </c>
      <c r="HJ32" s="109">
        <f t="shared" si="198"/>
        <v>1</v>
      </c>
      <c r="HK32" s="109">
        <f t="shared" si="198"/>
        <v>0.15226851851851853</v>
      </c>
      <c r="HL32" s="109">
        <f t="shared" si="198"/>
        <v>0</v>
      </c>
      <c r="HM32" s="109">
        <f t="shared" si="198"/>
        <v>0.1384143518518518</v>
      </c>
      <c r="HN32" s="109">
        <f t="shared" si="198"/>
        <v>0.97826388888888893</v>
      </c>
      <c r="HO32" s="109">
        <f t="shared" si="198"/>
        <v>1</v>
      </c>
      <c r="HP32" s="109">
        <f t="shared" si="198"/>
        <v>1</v>
      </c>
      <c r="HQ32" s="109">
        <f t="shared" si="198"/>
        <v>1</v>
      </c>
      <c r="HR32" s="109">
        <f t="shared" si="198"/>
        <v>1</v>
      </c>
      <c r="HS32" s="109">
        <f t="shared" si="198"/>
        <v>0.61040509259259257</v>
      </c>
      <c r="HT32" s="109">
        <f t="shared" si="198"/>
        <v>1</v>
      </c>
      <c r="HU32" s="109">
        <f t="shared" si="198"/>
        <v>1</v>
      </c>
      <c r="HV32" s="109">
        <f t="shared" si="198"/>
        <v>1</v>
      </c>
      <c r="HW32" s="109">
        <f t="shared" si="198"/>
        <v>0.88490740740740736</v>
      </c>
      <c r="HX32" s="109">
        <f t="shared" si="198"/>
        <v>1</v>
      </c>
      <c r="HY32" s="109">
        <f t="shared" si="198"/>
        <v>1</v>
      </c>
      <c r="HZ32" s="109">
        <f t="shared" si="198"/>
        <v>0.6643865740740742</v>
      </c>
      <c r="IA32" s="109">
        <f t="shared" si="198"/>
        <v>1</v>
      </c>
      <c r="IB32" s="109">
        <f t="shared" si="198"/>
        <v>1</v>
      </c>
      <c r="IC32" s="109">
        <f t="shared" si="198"/>
        <v>1</v>
      </c>
      <c r="ID32" s="109">
        <f t="shared" si="198"/>
        <v>0.90833333333333333</v>
      </c>
      <c r="IE32" s="109">
        <f t="shared" si="198"/>
        <v>1</v>
      </c>
      <c r="IF32" s="109">
        <f t="shared" si="198"/>
        <v>0.79041666666666666</v>
      </c>
      <c r="IG32" s="109">
        <f t="shared" si="198"/>
        <v>1</v>
      </c>
      <c r="IH32" s="109">
        <f t="shared" si="198"/>
        <v>1</v>
      </c>
      <c r="II32" s="109">
        <f t="shared" si="198"/>
        <v>1</v>
      </c>
      <c r="IJ32" s="109">
        <f t="shared" si="198"/>
        <v>1</v>
      </c>
      <c r="IK32" s="109">
        <f t="shared" si="198"/>
        <v>0.83576388888888886</v>
      </c>
      <c r="IL32" s="109">
        <f t="shared" si="198"/>
        <v>1</v>
      </c>
      <c r="IM32" s="109">
        <f t="shared" si="198"/>
        <v>1</v>
      </c>
      <c r="IN32" s="109">
        <f t="shared" si="198"/>
        <v>0.83718749999999997</v>
      </c>
      <c r="IO32" s="109">
        <f t="shared" si="198"/>
        <v>1</v>
      </c>
      <c r="IP32" s="109">
        <f t="shared" si="198"/>
        <v>1</v>
      </c>
      <c r="IQ32" s="109">
        <f t="shared" si="198"/>
        <v>0.93648148148148147</v>
      </c>
      <c r="IR32" s="109">
        <f t="shared" si="198"/>
        <v>1</v>
      </c>
      <c r="IS32" s="109">
        <f t="shared" si="198"/>
        <v>0.9972685185185185</v>
      </c>
      <c r="IT32" s="109">
        <f t="shared" si="198"/>
        <v>1</v>
      </c>
      <c r="IU32" s="109">
        <f t="shared" si="198"/>
        <v>1</v>
      </c>
      <c r="IV32" s="109">
        <f t="shared" si="198"/>
        <v>0.99565972222222221</v>
      </c>
      <c r="IW32" s="109">
        <f t="shared" si="198"/>
        <v>0.99606481481481479</v>
      </c>
      <c r="IX32" s="109">
        <f t="shared" si="198"/>
        <v>1</v>
      </c>
      <c r="IY32" s="109">
        <f t="shared" ref="IY32:LJ32" si="199">IF(OR(IY$13="",IY$17="",IY$14="",IY$15="",IY$16="",IY$18="",IY$19="",IY$20="",IY$21=""),"",1-(IY18/(IY$1*24)))</f>
        <v>0.99682870370370369</v>
      </c>
      <c r="IZ32" s="109">
        <f t="shared" si="199"/>
        <v>0.99781249999999999</v>
      </c>
      <c r="JA32" s="109">
        <f t="shared" si="199"/>
        <v>0.92607638888888888</v>
      </c>
      <c r="JB32" s="109">
        <f t="shared" si="199"/>
        <v>0.75346064814814817</v>
      </c>
      <c r="JC32" s="109">
        <f t="shared" si="199"/>
        <v>1</v>
      </c>
      <c r="JD32" s="109">
        <f t="shared" si="199"/>
        <v>1</v>
      </c>
      <c r="JE32" s="109">
        <f t="shared" si="199"/>
        <v>1</v>
      </c>
      <c r="JF32" s="109">
        <f t="shared" si="199"/>
        <v>1</v>
      </c>
      <c r="JG32" s="109">
        <f t="shared" si="199"/>
        <v>1</v>
      </c>
      <c r="JH32" s="109">
        <f t="shared" si="199"/>
        <v>0.79781250000000004</v>
      </c>
      <c r="JI32" s="109">
        <f t="shared" si="199"/>
        <v>0.85815972222222225</v>
      </c>
      <c r="JJ32" s="109">
        <f t="shared" si="199"/>
        <v>0.86626157407407411</v>
      </c>
      <c r="JK32" s="109">
        <f t="shared" si="199"/>
        <v>0.67202546296296295</v>
      </c>
      <c r="JL32" s="109">
        <f t="shared" si="199"/>
        <v>0.6191550925925926</v>
      </c>
      <c r="JM32" s="109">
        <f t="shared" si="199"/>
        <v>0.76273148148148151</v>
      </c>
      <c r="JN32" s="109">
        <f t="shared" si="199"/>
        <v>0.95833333333333337</v>
      </c>
      <c r="JO32" s="109">
        <f t="shared" si="199"/>
        <v>0.95833333333333337</v>
      </c>
      <c r="JP32" s="109">
        <f t="shared" si="199"/>
        <v>0.95833333333333337</v>
      </c>
      <c r="JQ32" s="109">
        <f t="shared" si="199"/>
        <v>0.95833333333333337</v>
      </c>
      <c r="JR32" s="109">
        <f t="shared" si="199"/>
        <v>0.95833333333333337</v>
      </c>
      <c r="JS32" s="109">
        <f t="shared" si="199"/>
        <v>0.59583333333333344</v>
      </c>
      <c r="JT32" s="109">
        <f t="shared" si="199"/>
        <v>0.83333333333333337</v>
      </c>
      <c r="JU32" s="109">
        <f t="shared" si="199"/>
        <v>0.98624999999999996</v>
      </c>
      <c r="JV32" s="109">
        <f t="shared" si="199"/>
        <v>0.95833333333333337</v>
      </c>
      <c r="JW32" s="109">
        <f t="shared" si="199"/>
        <v>1</v>
      </c>
      <c r="JX32" s="109">
        <f t="shared" si="199"/>
        <v>1</v>
      </c>
      <c r="JY32" s="109">
        <f t="shared" si="199"/>
        <v>1</v>
      </c>
      <c r="JZ32" s="109">
        <f t="shared" si="199"/>
        <v>1</v>
      </c>
      <c r="KA32" s="109">
        <f t="shared" si="199"/>
        <v>1</v>
      </c>
      <c r="KB32" s="109">
        <f t="shared" si="199"/>
        <v>1</v>
      </c>
      <c r="KC32" s="109">
        <f t="shared" si="199"/>
        <v>1</v>
      </c>
      <c r="KD32" s="109">
        <f t="shared" si="199"/>
        <v>1</v>
      </c>
      <c r="KE32" s="109">
        <f t="shared" si="199"/>
        <v>1</v>
      </c>
      <c r="KF32" s="109">
        <f t="shared" si="199"/>
        <v>1</v>
      </c>
      <c r="KG32" s="109">
        <f t="shared" si="199"/>
        <v>1</v>
      </c>
      <c r="KH32" s="109">
        <f t="shared" si="199"/>
        <v>1</v>
      </c>
      <c r="KI32" s="109">
        <f t="shared" si="199"/>
        <v>1</v>
      </c>
      <c r="KJ32" s="109">
        <f t="shared" si="199"/>
        <v>1</v>
      </c>
      <c r="KK32" s="109">
        <f t="shared" si="199"/>
        <v>1</v>
      </c>
      <c r="KL32" s="109">
        <f t="shared" si="199"/>
        <v>1</v>
      </c>
      <c r="KM32" s="109">
        <f t="shared" si="199"/>
        <v>1</v>
      </c>
      <c r="KN32" s="109">
        <f t="shared" si="199"/>
        <v>1</v>
      </c>
      <c r="KO32" s="109">
        <f t="shared" si="199"/>
        <v>1</v>
      </c>
      <c r="KP32" s="109">
        <f t="shared" si="199"/>
        <v>1</v>
      </c>
      <c r="KQ32" s="109">
        <f t="shared" si="199"/>
        <v>1</v>
      </c>
      <c r="KR32" s="109">
        <f t="shared" si="199"/>
        <v>1</v>
      </c>
      <c r="KS32" s="109">
        <f t="shared" si="199"/>
        <v>1</v>
      </c>
      <c r="KT32" s="109">
        <f t="shared" si="199"/>
        <v>1</v>
      </c>
      <c r="KU32" s="109" t="str">
        <f t="shared" si="199"/>
        <v/>
      </c>
      <c r="KV32" s="109" t="str">
        <f t="shared" si="199"/>
        <v/>
      </c>
      <c r="KW32" s="109" t="str">
        <f t="shared" si="199"/>
        <v/>
      </c>
      <c r="KX32" s="109" t="str">
        <f t="shared" si="199"/>
        <v/>
      </c>
      <c r="KY32" s="109" t="str">
        <f t="shared" si="199"/>
        <v/>
      </c>
      <c r="KZ32" s="109" t="str">
        <f t="shared" si="199"/>
        <v/>
      </c>
      <c r="LA32" s="109" t="str">
        <f t="shared" si="199"/>
        <v/>
      </c>
      <c r="LB32" s="109" t="str">
        <f t="shared" si="199"/>
        <v/>
      </c>
      <c r="LC32" s="109" t="str">
        <f t="shared" si="199"/>
        <v/>
      </c>
      <c r="LD32" s="109" t="str">
        <f t="shared" si="199"/>
        <v/>
      </c>
      <c r="LE32" s="109" t="str">
        <f t="shared" si="199"/>
        <v/>
      </c>
      <c r="LF32" s="109" t="str">
        <f t="shared" si="199"/>
        <v/>
      </c>
      <c r="LG32" s="109" t="str">
        <f t="shared" si="199"/>
        <v/>
      </c>
      <c r="LH32" s="109" t="str">
        <f t="shared" si="199"/>
        <v/>
      </c>
      <c r="LI32" s="109" t="str">
        <f t="shared" si="199"/>
        <v/>
      </c>
      <c r="LJ32" s="109" t="str">
        <f t="shared" si="199"/>
        <v/>
      </c>
      <c r="LK32" s="109" t="str">
        <f t="shared" ref="LK32:NV32" si="200">IF(OR(LK$13="",LK$17="",LK$14="",LK$15="",LK$16="",LK$18="",LK$19="",LK$20="",LK$21=""),"",1-(LK18/(LK$1*24)))</f>
        <v/>
      </c>
      <c r="LL32" s="109" t="str">
        <f t="shared" si="200"/>
        <v/>
      </c>
      <c r="LM32" s="109" t="str">
        <f t="shared" si="200"/>
        <v/>
      </c>
      <c r="LN32" s="109" t="str">
        <f t="shared" si="200"/>
        <v/>
      </c>
      <c r="LO32" s="109" t="str">
        <f t="shared" si="200"/>
        <v/>
      </c>
      <c r="LP32" s="109" t="str">
        <f t="shared" si="200"/>
        <v/>
      </c>
      <c r="LQ32" s="109" t="str">
        <f t="shared" si="200"/>
        <v/>
      </c>
      <c r="LR32" s="109" t="str">
        <f t="shared" si="200"/>
        <v/>
      </c>
      <c r="LS32" s="109" t="str">
        <f t="shared" si="200"/>
        <v/>
      </c>
      <c r="LT32" s="109" t="str">
        <f t="shared" si="200"/>
        <v/>
      </c>
      <c r="LU32" s="109" t="str">
        <f t="shared" si="200"/>
        <v/>
      </c>
      <c r="LV32" s="109" t="str">
        <f t="shared" si="200"/>
        <v/>
      </c>
      <c r="LW32" s="109" t="str">
        <f t="shared" si="200"/>
        <v/>
      </c>
      <c r="LX32" s="109" t="str">
        <f t="shared" si="200"/>
        <v/>
      </c>
      <c r="LY32" s="109" t="str">
        <f t="shared" si="200"/>
        <v/>
      </c>
      <c r="LZ32" s="109" t="str">
        <f t="shared" si="200"/>
        <v/>
      </c>
      <c r="MA32" s="109" t="str">
        <f t="shared" si="200"/>
        <v/>
      </c>
      <c r="MB32" s="109" t="str">
        <f t="shared" si="200"/>
        <v/>
      </c>
      <c r="MC32" s="109" t="str">
        <f t="shared" si="200"/>
        <v/>
      </c>
      <c r="MD32" s="109" t="str">
        <f t="shared" si="200"/>
        <v/>
      </c>
      <c r="ME32" s="109" t="str">
        <f t="shared" si="200"/>
        <v/>
      </c>
      <c r="MF32" s="109" t="str">
        <f t="shared" si="200"/>
        <v/>
      </c>
      <c r="MG32" s="109" t="str">
        <f t="shared" si="200"/>
        <v/>
      </c>
      <c r="MH32" s="109" t="str">
        <f t="shared" si="200"/>
        <v/>
      </c>
      <c r="MI32" s="109" t="str">
        <f t="shared" si="200"/>
        <v/>
      </c>
      <c r="MJ32" s="109" t="str">
        <f t="shared" si="200"/>
        <v/>
      </c>
      <c r="MK32" s="109" t="str">
        <f t="shared" si="200"/>
        <v/>
      </c>
      <c r="ML32" s="109" t="str">
        <f t="shared" si="200"/>
        <v/>
      </c>
      <c r="MM32" s="109" t="str">
        <f t="shared" si="200"/>
        <v/>
      </c>
      <c r="MN32" s="109" t="str">
        <f t="shared" si="200"/>
        <v/>
      </c>
      <c r="MO32" s="109" t="str">
        <f t="shared" si="200"/>
        <v/>
      </c>
      <c r="MP32" s="109" t="str">
        <f t="shared" si="200"/>
        <v/>
      </c>
      <c r="MQ32" s="109" t="str">
        <f t="shared" si="200"/>
        <v/>
      </c>
      <c r="MR32" s="109" t="str">
        <f t="shared" si="200"/>
        <v/>
      </c>
      <c r="MS32" s="109" t="str">
        <f t="shared" si="200"/>
        <v/>
      </c>
      <c r="MT32" s="109" t="str">
        <f t="shared" si="200"/>
        <v/>
      </c>
      <c r="MU32" s="109" t="str">
        <f t="shared" si="200"/>
        <v/>
      </c>
      <c r="MV32" s="109" t="str">
        <f t="shared" si="200"/>
        <v/>
      </c>
      <c r="MW32" s="109" t="str">
        <f t="shared" si="200"/>
        <v/>
      </c>
      <c r="MX32" s="109" t="str">
        <f t="shared" si="200"/>
        <v/>
      </c>
      <c r="MY32" s="109" t="str">
        <f t="shared" si="200"/>
        <v/>
      </c>
      <c r="MZ32" s="109" t="str">
        <f t="shared" si="200"/>
        <v/>
      </c>
      <c r="NA32" s="109" t="str">
        <f t="shared" si="200"/>
        <v/>
      </c>
      <c r="NB32" s="109" t="str">
        <f t="shared" si="200"/>
        <v/>
      </c>
      <c r="NC32" s="109" t="str">
        <f t="shared" si="200"/>
        <v/>
      </c>
      <c r="ND32" s="109" t="str">
        <f t="shared" si="200"/>
        <v/>
      </c>
      <c r="NE32" s="109" t="str">
        <f t="shared" si="200"/>
        <v/>
      </c>
      <c r="NF32" s="109" t="str">
        <f t="shared" si="200"/>
        <v/>
      </c>
      <c r="NG32" s="109" t="str">
        <f t="shared" si="200"/>
        <v/>
      </c>
      <c r="NH32" s="109" t="str">
        <f t="shared" si="200"/>
        <v/>
      </c>
      <c r="NI32" s="109" t="str">
        <f t="shared" si="200"/>
        <v/>
      </c>
      <c r="NJ32" s="109" t="str">
        <f t="shared" si="200"/>
        <v/>
      </c>
      <c r="NK32" s="109" t="str">
        <f t="shared" si="200"/>
        <v/>
      </c>
      <c r="NL32" s="109" t="str">
        <f t="shared" si="200"/>
        <v/>
      </c>
      <c r="NM32" s="109" t="str">
        <f t="shared" si="200"/>
        <v/>
      </c>
      <c r="NN32" s="109" t="str">
        <f t="shared" si="200"/>
        <v/>
      </c>
      <c r="NO32" s="109" t="str">
        <f t="shared" si="200"/>
        <v/>
      </c>
      <c r="NP32" s="109" t="str">
        <f t="shared" si="200"/>
        <v/>
      </c>
      <c r="NQ32" s="109" t="str">
        <f t="shared" si="200"/>
        <v/>
      </c>
      <c r="NR32" s="109" t="str">
        <f t="shared" si="200"/>
        <v/>
      </c>
      <c r="NS32" s="109" t="str">
        <f t="shared" si="200"/>
        <v/>
      </c>
      <c r="NT32" s="109" t="str">
        <f t="shared" si="200"/>
        <v/>
      </c>
      <c r="NU32" s="109" t="str">
        <f t="shared" si="200"/>
        <v/>
      </c>
      <c r="NV32" s="109" t="str">
        <f t="shared" si="200"/>
        <v/>
      </c>
      <c r="NW32" s="109" t="str">
        <f t="shared" ref="NW32:QH32" si="201">IF(OR(NW$13="",NW$17="",NW$14="",NW$15="",NW$16="",NW$18="",NW$19="",NW$20="",NW$21=""),"",1-(NW18/(NW$1*24)))</f>
        <v/>
      </c>
      <c r="NX32" s="109" t="str">
        <f t="shared" si="201"/>
        <v/>
      </c>
      <c r="NY32" s="109" t="str">
        <f t="shared" si="201"/>
        <v/>
      </c>
      <c r="NZ32" s="109" t="str">
        <f t="shared" si="201"/>
        <v/>
      </c>
      <c r="OA32" s="109" t="str">
        <f t="shared" si="201"/>
        <v/>
      </c>
      <c r="OB32" s="109" t="str">
        <f t="shared" si="201"/>
        <v/>
      </c>
      <c r="OC32" s="109" t="str">
        <f t="shared" si="201"/>
        <v/>
      </c>
      <c r="OD32" s="109" t="str">
        <f t="shared" si="201"/>
        <v/>
      </c>
      <c r="OE32" s="109" t="str">
        <f t="shared" si="201"/>
        <v/>
      </c>
      <c r="OF32" s="109" t="str">
        <f t="shared" si="201"/>
        <v/>
      </c>
      <c r="OG32" s="109" t="str">
        <f t="shared" si="201"/>
        <v/>
      </c>
      <c r="OH32" s="109" t="str">
        <f t="shared" si="201"/>
        <v/>
      </c>
      <c r="OI32" s="109" t="str">
        <f t="shared" si="201"/>
        <v/>
      </c>
      <c r="OJ32" s="109" t="str">
        <f t="shared" si="201"/>
        <v/>
      </c>
      <c r="OK32" s="109" t="str">
        <f t="shared" si="201"/>
        <v/>
      </c>
      <c r="OL32" s="109" t="str">
        <f t="shared" si="201"/>
        <v/>
      </c>
      <c r="OM32" s="109" t="str">
        <f t="shared" si="201"/>
        <v/>
      </c>
      <c r="ON32" s="109" t="str">
        <f t="shared" si="201"/>
        <v/>
      </c>
      <c r="OO32" s="109" t="str">
        <f t="shared" si="201"/>
        <v/>
      </c>
      <c r="OP32" s="109" t="str">
        <f t="shared" si="201"/>
        <v/>
      </c>
      <c r="OQ32" s="109" t="str">
        <f t="shared" si="201"/>
        <v/>
      </c>
      <c r="OR32" s="109" t="str">
        <f t="shared" si="201"/>
        <v/>
      </c>
      <c r="OS32" s="109" t="str">
        <f t="shared" si="201"/>
        <v/>
      </c>
      <c r="OT32" s="109" t="str">
        <f t="shared" si="201"/>
        <v/>
      </c>
      <c r="OU32" s="109" t="str">
        <f t="shared" si="201"/>
        <v/>
      </c>
      <c r="OV32" s="109" t="str">
        <f t="shared" si="201"/>
        <v/>
      </c>
      <c r="OW32" s="109" t="str">
        <f t="shared" si="201"/>
        <v/>
      </c>
      <c r="OX32" s="109" t="str">
        <f t="shared" si="201"/>
        <v/>
      </c>
      <c r="OY32" s="109" t="str">
        <f t="shared" si="201"/>
        <v/>
      </c>
      <c r="OZ32" s="109" t="str">
        <f t="shared" si="201"/>
        <v/>
      </c>
      <c r="PA32" s="109" t="str">
        <f t="shared" si="201"/>
        <v/>
      </c>
      <c r="PB32" s="109" t="str">
        <f t="shared" si="201"/>
        <v/>
      </c>
      <c r="PC32" s="109" t="str">
        <f t="shared" si="201"/>
        <v/>
      </c>
      <c r="PD32" s="109" t="str">
        <f t="shared" si="201"/>
        <v/>
      </c>
      <c r="PE32" s="109" t="str">
        <f t="shared" si="201"/>
        <v/>
      </c>
      <c r="PF32" s="109" t="str">
        <f t="shared" si="201"/>
        <v/>
      </c>
      <c r="PG32" s="109" t="str">
        <f t="shared" si="201"/>
        <v/>
      </c>
      <c r="PH32" s="109" t="str">
        <f t="shared" si="201"/>
        <v/>
      </c>
      <c r="PI32" s="109" t="str">
        <f t="shared" si="201"/>
        <v/>
      </c>
      <c r="PJ32" s="109" t="str">
        <f t="shared" si="201"/>
        <v/>
      </c>
      <c r="PK32" s="109" t="str">
        <f t="shared" si="201"/>
        <v/>
      </c>
      <c r="PL32" s="109" t="str">
        <f t="shared" si="201"/>
        <v/>
      </c>
      <c r="PM32" s="109" t="str">
        <f t="shared" si="201"/>
        <v/>
      </c>
      <c r="PN32" s="109" t="str">
        <f t="shared" si="201"/>
        <v/>
      </c>
      <c r="PO32" s="109" t="str">
        <f t="shared" si="201"/>
        <v/>
      </c>
      <c r="PP32" s="109" t="str">
        <f t="shared" si="201"/>
        <v/>
      </c>
      <c r="PQ32" s="109" t="str">
        <f t="shared" si="201"/>
        <v/>
      </c>
      <c r="PR32" s="109" t="str">
        <f t="shared" si="201"/>
        <v/>
      </c>
      <c r="PS32" s="109" t="str">
        <f t="shared" si="201"/>
        <v/>
      </c>
      <c r="PT32" s="109" t="str">
        <f t="shared" si="201"/>
        <v/>
      </c>
      <c r="PU32" s="109" t="str">
        <f t="shared" si="201"/>
        <v/>
      </c>
      <c r="PV32" s="109" t="str">
        <f t="shared" si="201"/>
        <v/>
      </c>
      <c r="PW32" s="109" t="str">
        <f t="shared" si="201"/>
        <v/>
      </c>
      <c r="PX32" s="109" t="str">
        <f t="shared" si="201"/>
        <v/>
      </c>
      <c r="PY32" s="109" t="str">
        <f t="shared" si="201"/>
        <v/>
      </c>
      <c r="PZ32" s="109" t="str">
        <f t="shared" si="201"/>
        <v/>
      </c>
      <c r="QA32" s="109" t="str">
        <f t="shared" si="201"/>
        <v/>
      </c>
      <c r="QB32" s="109" t="str">
        <f t="shared" si="201"/>
        <v/>
      </c>
      <c r="QC32" s="109" t="str">
        <f t="shared" si="201"/>
        <v/>
      </c>
      <c r="QD32" s="109" t="str">
        <f t="shared" si="201"/>
        <v/>
      </c>
      <c r="QE32" s="109" t="str">
        <f t="shared" si="201"/>
        <v/>
      </c>
      <c r="QF32" s="109" t="str">
        <f t="shared" si="201"/>
        <v/>
      </c>
      <c r="QG32" s="109" t="str">
        <f t="shared" si="201"/>
        <v/>
      </c>
      <c r="QH32" s="109" t="str">
        <f t="shared" si="201"/>
        <v/>
      </c>
      <c r="QI32" s="109" t="str">
        <f t="shared" ref="QI32:SW32" si="202">IF(OR(QI$13="",QI$17="",QI$14="",QI$15="",QI$16="",QI$18="",QI$19="",QI$20="",QI$21=""),"",1-(QI18/(QI$1*24)))</f>
        <v/>
      </c>
      <c r="QJ32" s="109" t="str">
        <f t="shared" si="202"/>
        <v/>
      </c>
      <c r="QK32" s="109" t="str">
        <f t="shared" si="202"/>
        <v/>
      </c>
      <c r="QL32" s="109" t="str">
        <f t="shared" si="202"/>
        <v/>
      </c>
      <c r="QM32" s="109" t="str">
        <f t="shared" si="202"/>
        <v/>
      </c>
      <c r="QN32" s="109" t="str">
        <f t="shared" si="202"/>
        <v/>
      </c>
      <c r="QO32" s="109" t="str">
        <f t="shared" si="202"/>
        <v/>
      </c>
      <c r="QP32" s="109" t="str">
        <f t="shared" si="202"/>
        <v/>
      </c>
      <c r="QQ32" s="109" t="str">
        <f t="shared" si="202"/>
        <v/>
      </c>
      <c r="QR32" s="109" t="str">
        <f t="shared" si="202"/>
        <v/>
      </c>
      <c r="QS32" s="109" t="str">
        <f t="shared" si="202"/>
        <v/>
      </c>
      <c r="QT32" s="109" t="str">
        <f t="shared" si="202"/>
        <v/>
      </c>
      <c r="QU32" s="109" t="str">
        <f t="shared" si="202"/>
        <v/>
      </c>
      <c r="QV32" s="109" t="str">
        <f t="shared" si="202"/>
        <v/>
      </c>
      <c r="QW32" s="109" t="str">
        <f t="shared" si="202"/>
        <v/>
      </c>
      <c r="QX32" s="109" t="str">
        <f t="shared" si="202"/>
        <v/>
      </c>
      <c r="QY32" s="109" t="str">
        <f t="shared" si="202"/>
        <v/>
      </c>
      <c r="QZ32" s="109" t="str">
        <f t="shared" si="202"/>
        <v/>
      </c>
      <c r="RA32" s="109" t="str">
        <f t="shared" si="202"/>
        <v/>
      </c>
      <c r="RB32" s="109" t="str">
        <f t="shared" si="202"/>
        <v/>
      </c>
      <c r="RC32" s="109" t="str">
        <f t="shared" si="202"/>
        <v/>
      </c>
      <c r="RD32" s="109" t="str">
        <f t="shared" si="202"/>
        <v/>
      </c>
      <c r="RE32" s="109" t="str">
        <f t="shared" si="202"/>
        <v/>
      </c>
      <c r="RF32" s="109" t="str">
        <f t="shared" si="202"/>
        <v/>
      </c>
      <c r="RG32" s="109" t="str">
        <f t="shared" si="202"/>
        <v/>
      </c>
      <c r="RH32" s="109" t="str">
        <f t="shared" si="202"/>
        <v/>
      </c>
      <c r="RI32" s="109" t="str">
        <f t="shared" si="202"/>
        <v/>
      </c>
      <c r="RJ32" s="109" t="str">
        <f t="shared" si="202"/>
        <v/>
      </c>
      <c r="RK32" s="109" t="str">
        <f t="shared" si="202"/>
        <v/>
      </c>
      <c r="RL32" s="109" t="str">
        <f t="shared" si="202"/>
        <v/>
      </c>
      <c r="RM32" s="109" t="str">
        <f t="shared" si="202"/>
        <v/>
      </c>
      <c r="RN32" s="109" t="str">
        <f t="shared" si="202"/>
        <v/>
      </c>
      <c r="RO32" s="109" t="str">
        <f t="shared" si="202"/>
        <v/>
      </c>
      <c r="RP32" s="109" t="str">
        <f t="shared" si="202"/>
        <v/>
      </c>
      <c r="RQ32" s="109" t="str">
        <f t="shared" si="202"/>
        <v/>
      </c>
      <c r="RR32" s="109" t="str">
        <f t="shared" si="202"/>
        <v/>
      </c>
      <c r="RS32" s="109" t="str">
        <f t="shared" si="202"/>
        <v/>
      </c>
      <c r="RT32" s="109" t="str">
        <f t="shared" si="202"/>
        <v/>
      </c>
      <c r="RU32" s="109" t="str">
        <f t="shared" si="202"/>
        <v/>
      </c>
      <c r="RV32" s="109" t="str">
        <f t="shared" si="202"/>
        <v/>
      </c>
      <c r="RW32" s="109" t="str">
        <f t="shared" si="202"/>
        <v/>
      </c>
      <c r="RX32" s="109" t="str">
        <f t="shared" si="202"/>
        <v/>
      </c>
      <c r="RY32" s="109" t="str">
        <f t="shared" si="202"/>
        <v/>
      </c>
      <c r="RZ32" s="109" t="str">
        <f t="shared" si="202"/>
        <v/>
      </c>
      <c r="SA32" s="109" t="str">
        <f t="shared" si="202"/>
        <v/>
      </c>
      <c r="SB32" s="109" t="str">
        <f t="shared" si="202"/>
        <v/>
      </c>
      <c r="SC32" s="109" t="str">
        <f t="shared" si="202"/>
        <v/>
      </c>
      <c r="SD32" s="109" t="str">
        <f t="shared" si="202"/>
        <v/>
      </c>
      <c r="SE32" s="109" t="str">
        <f t="shared" si="202"/>
        <v/>
      </c>
      <c r="SF32" s="109" t="str">
        <f t="shared" si="202"/>
        <v/>
      </c>
      <c r="SG32" s="109" t="str">
        <f t="shared" si="202"/>
        <v/>
      </c>
      <c r="SH32" s="109" t="str">
        <f t="shared" si="202"/>
        <v/>
      </c>
      <c r="SI32" s="109" t="str">
        <f t="shared" si="202"/>
        <v/>
      </c>
      <c r="SJ32" s="109" t="str">
        <f t="shared" si="202"/>
        <v/>
      </c>
      <c r="SK32" s="109" t="str">
        <f t="shared" si="202"/>
        <v/>
      </c>
      <c r="SL32" s="109" t="str">
        <f t="shared" si="202"/>
        <v/>
      </c>
      <c r="SM32" s="109" t="str">
        <f t="shared" si="202"/>
        <v/>
      </c>
      <c r="SN32" s="109" t="str">
        <f t="shared" si="202"/>
        <v/>
      </c>
      <c r="SO32" s="109" t="str">
        <f t="shared" si="202"/>
        <v/>
      </c>
      <c r="SP32" s="109" t="str">
        <f t="shared" si="202"/>
        <v/>
      </c>
      <c r="SQ32" s="109" t="str">
        <f t="shared" si="202"/>
        <v/>
      </c>
      <c r="SR32" s="109" t="str">
        <f t="shared" si="202"/>
        <v/>
      </c>
      <c r="SS32" s="109" t="str">
        <f t="shared" si="202"/>
        <v/>
      </c>
      <c r="ST32" s="109" t="str">
        <f t="shared" si="202"/>
        <v/>
      </c>
      <c r="SU32" s="109" t="str">
        <f t="shared" si="202"/>
        <v/>
      </c>
      <c r="SV32" s="109" t="str">
        <f t="shared" si="202"/>
        <v/>
      </c>
      <c r="SW32" s="109" t="str">
        <f t="shared" si="202"/>
        <v/>
      </c>
    </row>
    <row r="33" spans="1:517" ht="24" customHeight="1" x14ac:dyDescent="0.2">
      <c r="A33" s="94">
        <v>777</v>
      </c>
      <c r="B33" s="117" t="s">
        <v>83</v>
      </c>
      <c r="C33" s="109">
        <f t="shared" ref="C33:BN33" si="203">IF(OR(C$13="",C$17="",C$14="",C$15="",C$16="",C$18="",C$19="",C$20="",C$21=""),"",1-(C19/(C$1*24)))</f>
        <v>1</v>
      </c>
      <c r="D33" s="109">
        <f t="shared" si="203"/>
        <v>1</v>
      </c>
      <c r="E33" s="109">
        <f t="shared" si="203"/>
        <v>1</v>
      </c>
      <c r="F33" s="109">
        <f t="shared" si="203"/>
        <v>1</v>
      </c>
      <c r="G33" s="109">
        <f t="shared" si="203"/>
        <v>1</v>
      </c>
      <c r="H33" s="109">
        <f t="shared" si="203"/>
        <v>1</v>
      </c>
      <c r="I33" s="109">
        <f t="shared" si="203"/>
        <v>1</v>
      </c>
      <c r="J33" s="109">
        <f t="shared" si="203"/>
        <v>1</v>
      </c>
      <c r="K33" s="109">
        <f t="shared" si="203"/>
        <v>0.8520833333333333</v>
      </c>
      <c r="L33" s="109">
        <f t="shared" si="203"/>
        <v>0.54666666666666663</v>
      </c>
      <c r="M33" s="109">
        <f t="shared" si="203"/>
        <v>1</v>
      </c>
      <c r="N33" s="109">
        <f t="shared" si="203"/>
        <v>1</v>
      </c>
      <c r="O33" s="109">
        <f t="shared" si="203"/>
        <v>1</v>
      </c>
      <c r="P33" s="109">
        <f t="shared" si="203"/>
        <v>1</v>
      </c>
      <c r="Q33" s="109">
        <f t="shared" si="203"/>
        <v>1</v>
      </c>
      <c r="R33" s="109">
        <f t="shared" si="203"/>
        <v>0.89375000000000004</v>
      </c>
      <c r="S33" s="109">
        <f t="shared" si="203"/>
        <v>1</v>
      </c>
      <c r="T33" s="109">
        <f t="shared" si="203"/>
        <v>1</v>
      </c>
      <c r="U33" s="109">
        <f t="shared" si="203"/>
        <v>0.64583333333333326</v>
      </c>
      <c r="V33" s="109">
        <f t="shared" si="203"/>
        <v>0.63958333333333339</v>
      </c>
      <c r="W33" s="109">
        <f t="shared" si="203"/>
        <v>1</v>
      </c>
      <c r="X33" s="109">
        <f t="shared" si="203"/>
        <v>1</v>
      </c>
      <c r="Y33" s="109">
        <f t="shared" si="203"/>
        <v>1</v>
      </c>
      <c r="Z33" s="109">
        <f t="shared" si="203"/>
        <v>1</v>
      </c>
      <c r="AA33" s="109">
        <f t="shared" si="203"/>
        <v>1</v>
      </c>
      <c r="AB33" s="109">
        <f t="shared" si="203"/>
        <v>1</v>
      </c>
      <c r="AC33" s="109">
        <f t="shared" si="203"/>
        <v>0.97583333333333333</v>
      </c>
      <c r="AD33" s="109">
        <f t="shared" si="203"/>
        <v>1</v>
      </c>
      <c r="AE33" s="109">
        <f t="shared" si="203"/>
        <v>1</v>
      </c>
      <c r="AF33" s="109">
        <f t="shared" si="203"/>
        <v>1</v>
      </c>
      <c r="AG33" s="109">
        <f t="shared" si="203"/>
        <v>1</v>
      </c>
      <c r="AH33" s="109">
        <f t="shared" si="203"/>
        <v>1</v>
      </c>
      <c r="AI33" s="109">
        <f t="shared" si="203"/>
        <v>1</v>
      </c>
      <c r="AJ33" s="109">
        <f t="shared" si="203"/>
        <v>1</v>
      </c>
      <c r="AK33" s="109">
        <f t="shared" si="203"/>
        <v>1</v>
      </c>
      <c r="AL33" s="109">
        <f t="shared" si="203"/>
        <v>0.84250000000000003</v>
      </c>
      <c r="AM33" s="109">
        <f t="shared" si="203"/>
        <v>0.97916666666666663</v>
      </c>
      <c r="AN33" s="109">
        <f t="shared" si="203"/>
        <v>1</v>
      </c>
      <c r="AO33" s="109">
        <f t="shared" si="203"/>
        <v>1</v>
      </c>
      <c r="AP33" s="109">
        <f t="shared" si="203"/>
        <v>1</v>
      </c>
      <c r="AQ33" s="109">
        <f t="shared" si="203"/>
        <v>0.94666666666666666</v>
      </c>
      <c r="AR33" s="109">
        <f t="shared" si="203"/>
        <v>0.90416666666666667</v>
      </c>
      <c r="AS33" s="109">
        <f t="shared" si="203"/>
        <v>0.53</v>
      </c>
      <c r="AT33" s="109">
        <f t="shared" si="203"/>
        <v>0.24250000000000005</v>
      </c>
      <c r="AU33" s="109">
        <f t="shared" si="203"/>
        <v>1</v>
      </c>
      <c r="AV33" s="109">
        <f t="shared" si="203"/>
        <v>1</v>
      </c>
      <c r="AW33" s="109">
        <f t="shared" si="203"/>
        <v>1</v>
      </c>
      <c r="AX33" s="109">
        <f t="shared" si="203"/>
        <v>0.74666666666666659</v>
      </c>
      <c r="AY33" s="109">
        <f t="shared" si="203"/>
        <v>1</v>
      </c>
      <c r="AZ33" s="109">
        <f t="shared" si="203"/>
        <v>1</v>
      </c>
      <c r="BA33" s="109">
        <f t="shared" si="203"/>
        <v>1</v>
      </c>
      <c r="BB33" s="109">
        <f t="shared" si="203"/>
        <v>0.77416666666666667</v>
      </c>
      <c r="BC33" s="109">
        <f t="shared" si="203"/>
        <v>-0.85291666666666655</v>
      </c>
      <c r="BD33" s="109">
        <f t="shared" si="203"/>
        <v>1</v>
      </c>
      <c r="BE33" s="109">
        <f t="shared" si="203"/>
        <v>0.95291666666666663</v>
      </c>
      <c r="BF33" s="109">
        <f t="shared" si="203"/>
        <v>0.75749999999999995</v>
      </c>
      <c r="BG33" s="109">
        <f t="shared" si="203"/>
        <v>1</v>
      </c>
      <c r="BH33" s="109">
        <f t="shared" si="203"/>
        <v>1</v>
      </c>
      <c r="BI33" s="109">
        <f t="shared" si="203"/>
        <v>1</v>
      </c>
      <c r="BJ33" s="109">
        <f t="shared" si="203"/>
        <v>1</v>
      </c>
      <c r="BK33" s="109">
        <f t="shared" si="203"/>
        <v>1</v>
      </c>
      <c r="BL33" s="109">
        <f t="shared" si="203"/>
        <v>0.90125</v>
      </c>
      <c r="BM33" s="109">
        <f t="shared" si="203"/>
        <v>1</v>
      </c>
      <c r="BN33" s="109">
        <f t="shared" si="203"/>
        <v>1</v>
      </c>
      <c r="BO33" s="109">
        <f t="shared" ref="BO33:DZ33" si="204">IF(OR(BO$13="",BO$17="",BO$14="",BO$15="",BO$16="",BO$18="",BO$19="",BO$20="",BO$21=""),"",1-(BO19/(BO$1*24)))</f>
        <v>1</v>
      </c>
      <c r="BP33" s="109">
        <f t="shared" si="204"/>
        <v>1</v>
      </c>
      <c r="BQ33" s="109">
        <f t="shared" si="204"/>
        <v>1</v>
      </c>
      <c r="BR33" s="109">
        <f t="shared" si="204"/>
        <v>0.56333333333333324</v>
      </c>
      <c r="BS33" s="109">
        <f t="shared" si="204"/>
        <v>1</v>
      </c>
      <c r="BT33" s="109">
        <f t="shared" si="204"/>
        <v>1</v>
      </c>
      <c r="BU33" s="109">
        <f t="shared" si="204"/>
        <v>1</v>
      </c>
      <c r="BV33" s="109">
        <f t="shared" si="204"/>
        <v>1</v>
      </c>
      <c r="BW33" s="109">
        <f t="shared" si="204"/>
        <v>1</v>
      </c>
      <c r="BX33" s="109">
        <f t="shared" si="204"/>
        <v>1</v>
      </c>
      <c r="BY33" s="109">
        <f t="shared" si="204"/>
        <v>1</v>
      </c>
      <c r="BZ33" s="109">
        <f t="shared" si="204"/>
        <v>1</v>
      </c>
      <c r="CA33" s="109">
        <f t="shared" si="204"/>
        <v>1</v>
      </c>
      <c r="CB33" s="109">
        <f t="shared" si="204"/>
        <v>1</v>
      </c>
      <c r="CC33" s="109">
        <f t="shared" si="204"/>
        <v>1</v>
      </c>
      <c r="CD33" s="109">
        <f t="shared" si="204"/>
        <v>1</v>
      </c>
      <c r="CE33" s="109">
        <f t="shared" si="204"/>
        <v>1</v>
      </c>
      <c r="CF33" s="109">
        <f t="shared" si="204"/>
        <v>0.48333333333333328</v>
      </c>
      <c r="CG33" s="109">
        <f t="shared" si="204"/>
        <v>1</v>
      </c>
      <c r="CH33" s="109">
        <f t="shared" si="204"/>
        <v>1</v>
      </c>
      <c r="CI33" s="109">
        <f t="shared" si="204"/>
        <v>0.58458333333333345</v>
      </c>
      <c r="CJ33" s="109">
        <f t="shared" si="204"/>
        <v>1</v>
      </c>
      <c r="CK33" s="109">
        <f t="shared" si="204"/>
        <v>1</v>
      </c>
      <c r="CL33" s="109">
        <f t="shared" si="204"/>
        <v>1</v>
      </c>
      <c r="CM33" s="109">
        <f t="shared" si="204"/>
        <v>0.78208333333333335</v>
      </c>
      <c r="CN33" s="109">
        <f t="shared" si="204"/>
        <v>1</v>
      </c>
      <c r="CO33" s="109">
        <f t="shared" si="204"/>
        <v>0.35333333333333339</v>
      </c>
      <c r="CP33" s="109">
        <f t="shared" si="204"/>
        <v>0.98416666666666663</v>
      </c>
      <c r="CQ33" s="109">
        <f t="shared" si="204"/>
        <v>1</v>
      </c>
      <c r="CR33" s="109">
        <f t="shared" si="204"/>
        <v>1</v>
      </c>
      <c r="CS33" s="109">
        <f t="shared" si="204"/>
        <v>0.5541666666666667</v>
      </c>
      <c r="CT33" s="109">
        <f t="shared" si="204"/>
        <v>1</v>
      </c>
      <c r="CU33" s="109">
        <f t="shared" si="204"/>
        <v>1</v>
      </c>
      <c r="CV33" s="109">
        <f t="shared" si="204"/>
        <v>1</v>
      </c>
      <c r="CW33" s="109">
        <f t="shared" si="204"/>
        <v>0.85750000000000004</v>
      </c>
      <c r="CX33" s="109">
        <f t="shared" si="204"/>
        <v>1</v>
      </c>
      <c r="CY33" s="109">
        <f t="shared" si="204"/>
        <v>1</v>
      </c>
      <c r="CZ33" s="109">
        <f t="shared" si="204"/>
        <v>1</v>
      </c>
      <c r="DA33" s="109">
        <f t="shared" si="204"/>
        <v>0.95833333333333337</v>
      </c>
      <c r="DB33" s="109">
        <f t="shared" si="204"/>
        <v>1</v>
      </c>
      <c r="DC33" s="109">
        <f t="shared" si="204"/>
        <v>1</v>
      </c>
      <c r="DD33" s="109">
        <f t="shared" si="204"/>
        <v>0.99458333333333337</v>
      </c>
      <c r="DE33" s="109">
        <f t="shared" si="204"/>
        <v>1</v>
      </c>
      <c r="DF33" s="109">
        <f t="shared" si="204"/>
        <v>0.82625000000000004</v>
      </c>
      <c r="DG33" s="109">
        <f t="shared" si="204"/>
        <v>1</v>
      </c>
      <c r="DH33" s="109">
        <f t="shared" si="204"/>
        <v>0.90208333333333335</v>
      </c>
      <c r="DI33" s="109">
        <f t="shared" si="204"/>
        <v>0.85083333333333333</v>
      </c>
      <c r="DJ33" s="109">
        <f t="shared" si="204"/>
        <v>-6.0945833333333335</v>
      </c>
      <c r="DK33" s="109">
        <f t="shared" si="204"/>
        <v>1</v>
      </c>
      <c r="DL33" s="109">
        <f t="shared" si="204"/>
        <v>1</v>
      </c>
      <c r="DM33" s="109">
        <f t="shared" si="204"/>
        <v>1</v>
      </c>
      <c r="DN33" s="109">
        <f t="shared" si="204"/>
        <v>1</v>
      </c>
      <c r="DO33" s="109">
        <f t="shared" si="204"/>
        <v>1</v>
      </c>
      <c r="DP33" s="109">
        <f t="shared" si="204"/>
        <v>1</v>
      </c>
      <c r="DQ33" s="109">
        <f t="shared" si="204"/>
        <v>1</v>
      </c>
      <c r="DR33" s="109">
        <f t="shared" si="204"/>
        <v>1</v>
      </c>
      <c r="DS33" s="109">
        <f t="shared" si="204"/>
        <v>1</v>
      </c>
      <c r="DT33" s="109">
        <f t="shared" si="204"/>
        <v>0.9654166666666667</v>
      </c>
      <c r="DU33" s="109">
        <f t="shared" si="204"/>
        <v>0.65541666666666676</v>
      </c>
      <c r="DV33" s="109">
        <f t="shared" si="204"/>
        <v>0.88749999999999996</v>
      </c>
      <c r="DW33" s="109">
        <f t="shared" si="204"/>
        <v>-0.67583333333333329</v>
      </c>
      <c r="DX33" s="109">
        <f t="shared" si="204"/>
        <v>1</v>
      </c>
      <c r="DY33" s="109">
        <f t="shared" si="204"/>
        <v>1</v>
      </c>
      <c r="DZ33" s="109">
        <f t="shared" si="204"/>
        <v>1</v>
      </c>
      <c r="EA33" s="109">
        <f t="shared" ref="EA33:GL33" si="205">IF(OR(EA$13="",EA$17="",EA$14="",EA$15="",EA$16="",EA$18="",EA$19="",EA$20="",EA$21=""),"",1-(EA19/(EA$1*24)))</f>
        <v>0.95208333333333339</v>
      </c>
      <c r="EB33" s="109">
        <f t="shared" si="205"/>
        <v>1</v>
      </c>
      <c r="EC33" s="109">
        <f t="shared" si="205"/>
        <v>1</v>
      </c>
      <c r="ED33" s="109">
        <f t="shared" si="205"/>
        <v>1</v>
      </c>
      <c r="EE33" s="109">
        <f t="shared" si="205"/>
        <v>1</v>
      </c>
      <c r="EF33" s="109">
        <f t="shared" si="205"/>
        <v>0.96458333333333335</v>
      </c>
      <c r="EG33" s="109">
        <f t="shared" si="205"/>
        <v>0.59583333333333344</v>
      </c>
      <c r="EH33" s="109">
        <f t="shared" si="205"/>
        <v>1</v>
      </c>
      <c r="EI33" s="109">
        <f t="shared" si="205"/>
        <v>0.98124999999999996</v>
      </c>
      <c r="EJ33" s="109">
        <f t="shared" si="205"/>
        <v>1</v>
      </c>
      <c r="EK33" s="109">
        <f t="shared" si="205"/>
        <v>1</v>
      </c>
      <c r="EL33" s="109">
        <f t="shared" si="205"/>
        <v>1</v>
      </c>
      <c r="EM33" s="109">
        <f t="shared" si="205"/>
        <v>0.995</v>
      </c>
      <c r="EN33" s="109">
        <f t="shared" si="205"/>
        <v>1</v>
      </c>
      <c r="EO33" s="109">
        <f t="shared" si="205"/>
        <v>1</v>
      </c>
      <c r="EP33" s="109">
        <f t="shared" si="205"/>
        <v>1</v>
      </c>
      <c r="EQ33" s="109">
        <f t="shared" si="205"/>
        <v>0.96250000000000002</v>
      </c>
      <c r="ER33" s="109">
        <f t="shared" si="205"/>
        <v>1</v>
      </c>
      <c r="ES33" s="109">
        <f t="shared" si="205"/>
        <v>1</v>
      </c>
      <c r="ET33" s="109">
        <f t="shared" si="205"/>
        <v>1</v>
      </c>
      <c r="EU33" s="109">
        <f t="shared" si="205"/>
        <v>0.875</v>
      </c>
      <c r="EV33" s="109">
        <f t="shared" si="205"/>
        <v>1</v>
      </c>
      <c r="EW33" s="109">
        <f t="shared" si="205"/>
        <v>1</v>
      </c>
      <c r="EX33" s="109">
        <f t="shared" si="205"/>
        <v>1</v>
      </c>
      <c r="EY33" s="109">
        <f t="shared" si="205"/>
        <v>1</v>
      </c>
      <c r="EZ33" s="109">
        <f t="shared" si="205"/>
        <v>1</v>
      </c>
      <c r="FA33" s="109">
        <f t="shared" si="205"/>
        <v>1</v>
      </c>
      <c r="FB33" s="109">
        <f t="shared" si="205"/>
        <v>1</v>
      </c>
      <c r="FC33" s="109">
        <f t="shared" si="205"/>
        <v>1</v>
      </c>
      <c r="FD33" s="109">
        <f t="shared" si="205"/>
        <v>0.69916666666666671</v>
      </c>
      <c r="FE33" s="109">
        <f t="shared" si="205"/>
        <v>0.5083333333333333</v>
      </c>
      <c r="FF33" s="109">
        <f t="shared" si="205"/>
        <v>1</v>
      </c>
      <c r="FG33" s="109">
        <f t="shared" si="205"/>
        <v>0.60166666666666679</v>
      </c>
      <c r="FH33" s="109">
        <f t="shared" si="205"/>
        <v>0.70541666666666658</v>
      </c>
      <c r="FI33" s="109">
        <f t="shared" si="205"/>
        <v>0.9425</v>
      </c>
      <c r="FJ33" s="109">
        <f t="shared" si="205"/>
        <v>1</v>
      </c>
      <c r="FK33" s="109">
        <f t="shared" si="205"/>
        <v>1</v>
      </c>
      <c r="FL33" s="109">
        <f t="shared" si="205"/>
        <v>1</v>
      </c>
      <c r="FM33" s="109">
        <f t="shared" si="205"/>
        <v>1</v>
      </c>
      <c r="FN33" s="109">
        <f t="shared" si="205"/>
        <v>1</v>
      </c>
      <c r="FO33" s="109">
        <f t="shared" si="205"/>
        <v>1</v>
      </c>
      <c r="FP33" s="109">
        <f t="shared" si="205"/>
        <v>1</v>
      </c>
      <c r="FQ33" s="109">
        <f t="shared" si="205"/>
        <v>1</v>
      </c>
      <c r="FR33" s="109">
        <f t="shared" si="205"/>
        <v>1</v>
      </c>
      <c r="FS33" s="109">
        <f t="shared" si="205"/>
        <v>1</v>
      </c>
      <c r="FT33" s="109">
        <f t="shared" si="205"/>
        <v>1</v>
      </c>
      <c r="FU33" s="109">
        <f t="shared" si="205"/>
        <v>1</v>
      </c>
      <c r="FV33" s="109">
        <f t="shared" si="205"/>
        <v>1</v>
      </c>
      <c r="FW33" s="109">
        <f t="shared" si="205"/>
        <v>0.75624999999999998</v>
      </c>
      <c r="FX33" s="109">
        <f t="shared" si="205"/>
        <v>1</v>
      </c>
      <c r="FY33" s="109">
        <f t="shared" si="205"/>
        <v>1</v>
      </c>
      <c r="FZ33" s="109">
        <f t="shared" si="205"/>
        <v>0.99250000000000005</v>
      </c>
      <c r="GA33" s="109">
        <f t="shared" si="157"/>
        <v>1</v>
      </c>
      <c r="GB33" s="109">
        <f t="shared" si="157"/>
        <v>1</v>
      </c>
      <c r="GC33" s="109">
        <f t="shared" si="205"/>
        <v>1</v>
      </c>
      <c r="GD33" s="109">
        <f t="shared" si="205"/>
        <v>1</v>
      </c>
      <c r="GE33" s="109">
        <f t="shared" si="205"/>
        <v>0.92208333333333337</v>
      </c>
      <c r="GF33" s="109">
        <f t="shared" si="205"/>
        <v>1</v>
      </c>
      <c r="GG33" s="109">
        <f t="shared" si="205"/>
        <v>1</v>
      </c>
      <c r="GH33" s="109">
        <f t="shared" si="205"/>
        <v>1</v>
      </c>
      <c r="GI33" s="109">
        <f t="shared" si="205"/>
        <v>1</v>
      </c>
      <c r="GJ33" s="109">
        <f t="shared" si="205"/>
        <v>1</v>
      </c>
      <c r="GK33" s="109">
        <f t="shared" si="205"/>
        <v>1</v>
      </c>
      <c r="GL33" s="109">
        <f t="shared" si="205"/>
        <v>1</v>
      </c>
      <c r="GM33" s="109">
        <f t="shared" ref="GM33:IX33" si="206">IF(OR(GM$13="",GM$17="",GM$14="",GM$15="",GM$16="",GM$18="",GM$19="",GM$20="",GM$21=""),"",1-(GM19/(GM$1*24)))</f>
        <v>1</v>
      </c>
      <c r="GN33" s="109">
        <f t="shared" si="206"/>
        <v>1</v>
      </c>
      <c r="GO33" s="109">
        <f t="shared" si="206"/>
        <v>1</v>
      </c>
      <c r="GP33" s="109">
        <f t="shared" si="206"/>
        <v>1</v>
      </c>
      <c r="GQ33" s="109">
        <f t="shared" si="206"/>
        <v>0.90125</v>
      </c>
      <c r="GR33" s="109">
        <f t="shared" si="206"/>
        <v>0.75</v>
      </c>
      <c r="GS33" s="109">
        <f t="shared" si="206"/>
        <v>1</v>
      </c>
      <c r="GT33" s="109">
        <f t="shared" si="206"/>
        <v>0.68958333333333333</v>
      </c>
      <c r="GU33" s="109">
        <f t="shared" si="206"/>
        <v>1</v>
      </c>
      <c r="GV33" s="109">
        <f t="shared" si="206"/>
        <v>-5.3895833333333334</v>
      </c>
      <c r="GW33" s="109">
        <f t="shared" si="206"/>
        <v>1</v>
      </c>
      <c r="GX33" s="109">
        <f t="shared" si="206"/>
        <v>1</v>
      </c>
      <c r="GY33" s="109">
        <f t="shared" si="206"/>
        <v>1</v>
      </c>
      <c r="GZ33" s="109">
        <f t="shared" si="206"/>
        <v>1</v>
      </c>
      <c r="HA33" s="109">
        <f t="shared" si="206"/>
        <v>1</v>
      </c>
      <c r="HB33" s="109">
        <f t="shared" si="206"/>
        <v>-5.0458333333333334</v>
      </c>
      <c r="HC33" s="109">
        <f t="shared" si="206"/>
        <v>1</v>
      </c>
      <c r="HD33" s="109">
        <f t="shared" si="206"/>
        <v>1</v>
      </c>
      <c r="HE33" s="109">
        <f t="shared" si="206"/>
        <v>1</v>
      </c>
      <c r="HF33" s="109">
        <f t="shared" si="206"/>
        <v>1</v>
      </c>
      <c r="HG33" s="109">
        <f t="shared" si="206"/>
        <v>1</v>
      </c>
      <c r="HH33" s="109">
        <f t="shared" si="206"/>
        <v>1</v>
      </c>
      <c r="HI33" s="109">
        <f t="shared" si="206"/>
        <v>1</v>
      </c>
      <c r="HJ33" s="109">
        <f t="shared" si="206"/>
        <v>1</v>
      </c>
      <c r="HK33" s="109">
        <f t="shared" si="206"/>
        <v>0.95732638888888888</v>
      </c>
      <c r="HL33" s="109">
        <f t="shared" si="206"/>
        <v>1</v>
      </c>
      <c r="HM33" s="109">
        <f t="shared" si="206"/>
        <v>0.8535300925925926</v>
      </c>
      <c r="HN33" s="109">
        <f t="shared" si="206"/>
        <v>0.95582175925925927</v>
      </c>
      <c r="HO33" s="109">
        <f t="shared" si="206"/>
        <v>1</v>
      </c>
      <c r="HP33" s="109">
        <f t="shared" si="206"/>
        <v>1</v>
      </c>
      <c r="HQ33" s="109">
        <f t="shared" si="206"/>
        <v>1</v>
      </c>
      <c r="HR33" s="109">
        <f t="shared" si="206"/>
        <v>1</v>
      </c>
      <c r="HS33" s="109">
        <f t="shared" si="206"/>
        <v>-5.9861111111111143E-2</v>
      </c>
      <c r="HT33" s="109">
        <f t="shared" si="206"/>
        <v>0</v>
      </c>
      <c r="HU33" s="109">
        <f t="shared" si="206"/>
        <v>0</v>
      </c>
      <c r="HV33" s="109">
        <f t="shared" si="206"/>
        <v>0.15554398148148152</v>
      </c>
      <c r="HW33" s="109">
        <f t="shared" si="206"/>
        <v>0.97822916666666671</v>
      </c>
      <c r="HX33" s="109">
        <f t="shared" si="206"/>
        <v>1</v>
      </c>
      <c r="HY33" s="109">
        <f t="shared" si="206"/>
        <v>0.85048611111111105</v>
      </c>
      <c r="HZ33" s="109">
        <f t="shared" si="206"/>
        <v>1</v>
      </c>
      <c r="IA33" s="109">
        <f t="shared" si="206"/>
        <v>1</v>
      </c>
      <c r="IB33" s="109">
        <f t="shared" si="206"/>
        <v>0.87511574074074072</v>
      </c>
      <c r="IC33" s="109">
        <f t="shared" si="206"/>
        <v>1</v>
      </c>
      <c r="ID33" s="109">
        <f t="shared" si="206"/>
        <v>-2.5262500000000006</v>
      </c>
      <c r="IE33" s="109">
        <f t="shared" si="206"/>
        <v>1</v>
      </c>
      <c r="IF33" s="109">
        <f t="shared" si="206"/>
        <v>1</v>
      </c>
      <c r="IG33" s="109">
        <f t="shared" si="206"/>
        <v>1</v>
      </c>
      <c r="IH33" s="109">
        <f t="shared" si="206"/>
        <v>0.89500000000000002</v>
      </c>
      <c r="II33" s="109">
        <f t="shared" si="206"/>
        <v>1</v>
      </c>
      <c r="IJ33" s="109">
        <f t="shared" si="206"/>
        <v>1</v>
      </c>
      <c r="IK33" s="109">
        <f t="shared" si="206"/>
        <v>1</v>
      </c>
      <c r="IL33" s="109">
        <f t="shared" si="206"/>
        <v>1</v>
      </c>
      <c r="IM33" s="109">
        <f t="shared" si="206"/>
        <v>1</v>
      </c>
      <c r="IN33" s="109">
        <f t="shared" si="206"/>
        <v>1</v>
      </c>
      <c r="IO33" s="109">
        <f t="shared" si="206"/>
        <v>0.89069444444444446</v>
      </c>
      <c r="IP33" s="109">
        <f t="shared" si="206"/>
        <v>1</v>
      </c>
      <c r="IQ33" s="109">
        <f t="shared" si="206"/>
        <v>1</v>
      </c>
      <c r="IR33" s="109">
        <f t="shared" si="206"/>
        <v>0</v>
      </c>
      <c r="IS33" s="109">
        <f t="shared" si="206"/>
        <v>0</v>
      </c>
      <c r="IT33" s="109">
        <f t="shared" si="206"/>
        <v>0</v>
      </c>
      <c r="IU33" s="109">
        <f t="shared" si="206"/>
        <v>0.71049768518518519</v>
      </c>
      <c r="IV33" s="109">
        <f t="shared" si="206"/>
        <v>1</v>
      </c>
      <c r="IW33" s="109">
        <f t="shared" si="206"/>
        <v>1</v>
      </c>
      <c r="IX33" s="109">
        <f t="shared" si="206"/>
        <v>1</v>
      </c>
      <c r="IY33" s="109">
        <f t="shared" ref="IY33:LJ33" si="207">IF(OR(IY$13="",IY$17="",IY$14="",IY$15="",IY$16="",IY$18="",IY$19="",IY$20="",IY$21=""),"",1-(IY19/(IY$1*24)))</f>
        <v>0.84849537037037037</v>
      </c>
      <c r="IZ33" s="109">
        <f t="shared" si="207"/>
        <v>1</v>
      </c>
      <c r="JA33" s="109">
        <f t="shared" si="207"/>
        <v>0.99753472222222217</v>
      </c>
      <c r="JB33" s="109">
        <f t="shared" si="207"/>
        <v>1</v>
      </c>
      <c r="JC33" s="109">
        <f t="shared" si="207"/>
        <v>0.99702546296296302</v>
      </c>
      <c r="JD33" s="109">
        <f t="shared" si="207"/>
        <v>1</v>
      </c>
      <c r="JE33" s="109">
        <f t="shared" si="207"/>
        <v>1</v>
      </c>
      <c r="JF33" s="109">
        <f t="shared" si="207"/>
        <v>1</v>
      </c>
      <c r="JG33" s="109">
        <f t="shared" si="207"/>
        <v>1</v>
      </c>
      <c r="JH33" s="109">
        <f t="shared" si="207"/>
        <v>0.82237268518518525</v>
      </c>
      <c r="JI33" s="109">
        <f t="shared" si="207"/>
        <v>0.99962962962962965</v>
      </c>
      <c r="JJ33" s="109">
        <f t="shared" si="207"/>
        <v>1</v>
      </c>
      <c r="JK33" s="109">
        <f t="shared" si="207"/>
        <v>0.857025462962963</v>
      </c>
      <c r="JL33" s="109">
        <f t="shared" si="207"/>
        <v>0.79989583333333336</v>
      </c>
      <c r="JM33" s="109">
        <f t="shared" si="207"/>
        <v>0.85624999999999996</v>
      </c>
      <c r="JN33" s="109">
        <f t="shared" si="207"/>
        <v>0.98250000000000004</v>
      </c>
      <c r="JO33" s="109">
        <f t="shared" si="207"/>
        <v>0.95833333333333337</v>
      </c>
      <c r="JP33" s="109">
        <f t="shared" si="207"/>
        <v>0.95833333333333337</v>
      </c>
      <c r="JQ33" s="109">
        <f t="shared" si="207"/>
        <v>0.95041666666666669</v>
      </c>
      <c r="JR33" s="109">
        <f t="shared" si="207"/>
        <v>0.95833333333333337</v>
      </c>
      <c r="JS33" s="109">
        <f t="shared" si="207"/>
        <v>0.63749999999999996</v>
      </c>
      <c r="JT33" s="109">
        <f t="shared" si="207"/>
        <v>0.87291666666666667</v>
      </c>
      <c r="JU33" s="109">
        <f t="shared" si="207"/>
        <v>1</v>
      </c>
      <c r="JV33" s="109">
        <f t="shared" si="207"/>
        <v>0.95833333333333337</v>
      </c>
      <c r="JW33" s="109">
        <f t="shared" si="207"/>
        <v>1</v>
      </c>
      <c r="JX33" s="109">
        <f t="shared" si="207"/>
        <v>1</v>
      </c>
      <c r="JY33" s="109">
        <f t="shared" si="207"/>
        <v>1</v>
      </c>
      <c r="JZ33" s="109">
        <f t="shared" si="207"/>
        <v>1</v>
      </c>
      <c r="KA33" s="109">
        <f t="shared" si="207"/>
        <v>1</v>
      </c>
      <c r="KB33" s="109">
        <f t="shared" si="207"/>
        <v>1</v>
      </c>
      <c r="KC33" s="109">
        <f t="shared" si="207"/>
        <v>1</v>
      </c>
      <c r="KD33" s="109">
        <f t="shared" si="207"/>
        <v>1</v>
      </c>
      <c r="KE33" s="109">
        <f t="shared" si="207"/>
        <v>1</v>
      </c>
      <c r="KF33" s="109">
        <f t="shared" si="207"/>
        <v>1</v>
      </c>
      <c r="KG33" s="109">
        <f t="shared" si="207"/>
        <v>1</v>
      </c>
      <c r="KH33" s="109">
        <f t="shared" si="207"/>
        <v>1</v>
      </c>
      <c r="KI33" s="109">
        <f t="shared" si="207"/>
        <v>1</v>
      </c>
      <c r="KJ33" s="109">
        <f t="shared" si="207"/>
        <v>1</v>
      </c>
      <c r="KK33" s="109">
        <f t="shared" si="207"/>
        <v>1</v>
      </c>
      <c r="KL33" s="109">
        <f t="shared" si="207"/>
        <v>1</v>
      </c>
      <c r="KM33" s="109">
        <f t="shared" si="207"/>
        <v>1</v>
      </c>
      <c r="KN33" s="109">
        <f t="shared" si="207"/>
        <v>1</v>
      </c>
      <c r="KO33" s="109">
        <f t="shared" si="207"/>
        <v>1</v>
      </c>
      <c r="KP33" s="109">
        <f t="shared" si="207"/>
        <v>1</v>
      </c>
      <c r="KQ33" s="109">
        <f t="shared" si="207"/>
        <v>1</v>
      </c>
      <c r="KR33" s="109">
        <f t="shared" si="207"/>
        <v>1</v>
      </c>
      <c r="KS33" s="109">
        <f t="shared" si="207"/>
        <v>1</v>
      </c>
      <c r="KT33" s="109">
        <f t="shared" si="207"/>
        <v>1</v>
      </c>
      <c r="KU33" s="109" t="str">
        <f t="shared" si="207"/>
        <v/>
      </c>
      <c r="KV33" s="109" t="str">
        <f t="shared" si="207"/>
        <v/>
      </c>
      <c r="KW33" s="109" t="str">
        <f t="shared" si="207"/>
        <v/>
      </c>
      <c r="KX33" s="109" t="str">
        <f t="shared" si="207"/>
        <v/>
      </c>
      <c r="KY33" s="109" t="str">
        <f t="shared" si="207"/>
        <v/>
      </c>
      <c r="KZ33" s="109" t="str">
        <f t="shared" si="207"/>
        <v/>
      </c>
      <c r="LA33" s="109" t="str">
        <f t="shared" si="207"/>
        <v/>
      </c>
      <c r="LB33" s="109" t="str">
        <f t="shared" si="207"/>
        <v/>
      </c>
      <c r="LC33" s="109" t="str">
        <f t="shared" si="207"/>
        <v/>
      </c>
      <c r="LD33" s="109" t="str">
        <f t="shared" si="207"/>
        <v/>
      </c>
      <c r="LE33" s="109" t="str">
        <f t="shared" si="207"/>
        <v/>
      </c>
      <c r="LF33" s="109" t="str">
        <f t="shared" si="207"/>
        <v/>
      </c>
      <c r="LG33" s="109" t="str">
        <f t="shared" si="207"/>
        <v/>
      </c>
      <c r="LH33" s="109" t="str">
        <f t="shared" si="207"/>
        <v/>
      </c>
      <c r="LI33" s="109" t="str">
        <f t="shared" si="207"/>
        <v/>
      </c>
      <c r="LJ33" s="109" t="str">
        <f t="shared" si="207"/>
        <v/>
      </c>
      <c r="LK33" s="109" t="str">
        <f t="shared" ref="LK33:NV33" si="208">IF(OR(LK$13="",LK$17="",LK$14="",LK$15="",LK$16="",LK$18="",LK$19="",LK$20="",LK$21=""),"",1-(LK19/(LK$1*24)))</f>
        <v/>
      </c>
      <c r="LL33" s="109" t="str">
        <f t="shared" si="208"/>
        <v/>
      </c>
      <c r="LM33" s="109" t="str">
        <f t="shared" si="208"/>
        <v/>
      </c>
      <c r="LN33" s="109" t="str">
        <f t="shared" si="208"/>
        <v/>
      </c>
      <c r="LO33" s="109" t="str">
        <f t="shared" si="208"/>
        <v/>
      </c>
      <c r="LP33" s="109" t="str">
        <f t="shared" si="208"/>
        <v/>
      </c>
      <c r="LQ33" s="109" t="str">
        <f t="shared" si="208"/>
        <v/>
      </c>
      <c r="LR33" s="109" t="str">
        <f t="shared" si="208"/>
        <v/>
      </c>
      <c r="LS33" s="109" t="str">
        <f t="shared" si="208"/>
        <v/>
      </c>
      <c r="LT33" s="109" t="str">
        <f t="shared" si="208"/>
        <v/>
      </c>
      <c r="LU33" s="109" t="str">
        <f t="shared" si="208"/>
        <v/>
      </c>
      <c r="LV33" s="109" t="str">
        <f t="shared" si="208"/>
        <v/>
      </c>
      <c r="LW33" s="109" t="str">
        <f t="shared" si="208"/>
        <v/>
      </c>
      <c r="LX33" s="109" t="str">
        <f t="shared" si="208"/>
        <v/>
      </c>
      <c r="LY33" s="109" t="str">
        <f t="shared" si="208"/>
        <v/>
      </c>
      <c r="LZ33" s="109" t="str">
        <f t="shared" si="208"/>
        <v/>
      </c>
      <c r="MA33" s="109" t="str">
        <f t="shared" si="208"/>
        <v/>
      </c>
      <c r="MB33" s="109" t="str">
        <f t="shared" si="208"/>
        <v/>
      </c>
      <c r="MC33" s="109" t="str">
        <f t="shared" si="208"/>
        <v/>
      </c>
      <c r="MD33" s="109" t="str">
        <f t="shared" si="208"/>
        <v/>
      </c>
      <c r="ME33" s="109" t="str">
        <f t="shared" si="208"/>
        <v/>
      </c>
      <c r="MF33" s="109" t="str">
        <f t="shared" si="208"/>
        <v/>
      </c>
      <c r="MG33" s="109" t="str">
        <f t="shared" si="208"/>
        <v/>
      </c>
      <c r="MH33" s="109" t="str">
        <f t="shared" si="208"/>
        <v/>
      </c>
      <c r="MI33" s="109" t="str">
        <f t="shared" si="208"/>
        <v/>
      </c>
      <c r="MJ33" s="109" t="str">
        <f t="shared" si="208"/>
        <v/>
      </c>
      <c r="MK33" s="109" t="str">
        <f t="shared" si="208"/>
        <v/>
      </c>
      <c r="ML33" s="109" t="str">
        <f t="shared" si="208"/>
        <v/>
      </c>
      <c r="MM33" s="109" t="str">
        <f t="shared" si="208"/>
        <v/>
      </c>
      <c r="MN33" s="109" t="str">
        <f t="shared" si="208"/>
        <v/>
      </c>
      <c r="MO33" s="109" t="str">
        <f t="shared" si="208"/>
        <v/>
      </c>
      <c r="MP33" s="109" t="str">
        <f t="shared" si="208"/>
        <v/>
      </c>
      <c r="MQ33" s="109" t="str">
        <f t="shared" si="208"/>
        <v/>
      </c>
      <c r="MR33" s="109" t="str">
        <f t="shared" si="208"/>
        <v/>
      </c>
      <c r="MS33" s="109" t="str">
        <f t="shared" si="208"/>
        <v/>
      </c>
      <c r="MT33" s="109" t="str">
        <f t="shared" si="208"/>
        <v/>
      </c>
      <c r="MU33" s="109" t="str">
        <f t="shared" si="208"/>
        <v/>
      </c>
      <c r="MV33" s="109" t="str">
        <f t="shared" si="208"/>
        <v/>
      </c>
      <c r="MW33" s="109" t="str">
        <f t="shared" si="208"/>
        <v/>
      </c>
      <c r="MX33" s="109" t="str">
        <f t="shared" si="208"/>
        <v/>
      </c>
      <c r="MY33" s="109" t="str">
        <f t="shared" si="208"/>
        <v/>
      </c>
      <c r="MZ33" s="109" t="str">
        <f t="shared" si="208"/>
        <v/>
      </c>
      <c r="NA33" s="109" t="str">
        <f t="shared" si="208"/>
        <v/>
      </c>
      <c r="NB33" s="109" t="str">
        <f t="shared" si="208"/>
        <v/>
      </c>
      <c r="NC33" s="109" t="str">
        <f t="shared" si="208"/>
        <v/>
      </c>
      <c r="ND33" s="109" t="str">
        <f t="shared" si="208"/>
        <v/>
      </c>
      <c r="NE33" s="109" t="str">
        <f t="shared" si="208"/>
        <v/>
      </c>
      <c r="NF33" s="109" t="str">
        <f t="shared" si="208"/>
        <v/>
      </c>
      <c r="NG33" s="109" t="str">
        <f t="shared" si="208"/>
        <v/>
      </c>
      <c r="NH33" s="109" t="str">
        <f t="shared" si="208"/>
        <v/>
      </c>
      <c r="NI33" s="109" t="str">
        <f t="shared" si="208"/>
        <v/>
      </c>
      <c r="NJ33" s="109" t="str">
        <f t="shared" si="208"/>
        <v/>
      </c>
      <c r="NK33" s="109" t="str">
        <f t="shared" si="208"/>
        <v/>
      </c>
      <c r="NL33" s="109" t="str">
        <f t="shared" si="208"/>
        <v/>
      </c>
      <c r="NM33" s="109" t="str">
        <f t="shared" si="208"/>
        <v/>
      </c>
      <c r="NN33" s="109" t="str">
        <f t="shared" si="208"/>
        <v/>
      </c>
      <c r="NO33" s="109" t="str">
        <f t="shared" si="208"/>
        <v/>
      </c>
      <c r="NP33" s="109" t="str">
        <f t="shared" si="208"/>
        <v/>
      </c>
      <c r="NQ33" s="109" t="str">
        <f t="shared" si="208"/>
        <v/>
      </c>
      <c r="NR33" s="109" t="str">
        <f t="shared" si="208"/>
        <v/>
      </c>
      <c r="NS33" s="109" t="str">
        <f t="shared" si="208"/>
        <v/>
      </c>
      <c r="NT33" s="109" t="str">
        <f t="shared" si="208"/>
        <v/>
      </c>
      <c r="NU33" s="109" t="str">
        <f t="shared" si="208"/>
        <v/>
      </c>
      <c r="NV33" s="109" t="str">
        <f t="shared" si="208"/>
        <v/>
      </c>
      <c r="NW33" s="109" t="str">
        <f t="shared" ref="NW33:QH33" si="209">IF(OR(NW$13="",NW$17="",NW$14="",NW$15="",NW$16="",NW$18="",NW$19="",NW$20="",NW$21=""),"",1-(NW19/(NW$1*24)))</f>
        <v/>
      </c>
      <c r="NX33" s="109" t="str">
        <f t="shared" si="209"/>
        <v/>
      </c>
      <c r="NY33" s="109" t="str">
        <f t="shared" si="209"/>
        <v/>
      </c>
      <c r="NZ33" s="109" t="str">
        <f t="shared" si="209"/>
        <v/>
      </c>
      <c r="OA33" s="109" t="str">
        <f t="shared" si="209"/>
        <v/>
      </c>
      <c r="OB33" s="109" t="str">
        <f t="shared" si="209"/>
        <v/>
      </c>
      <c r="OC33" s="109" t="str">
        <f t="shared" si="209"/>
        <v/>
      </c>
      <c r="OD33" s="109" t="str">
        <f t="shared" si="209"/>
        <v/>
      </c>
      <c r="OE33" s="109" t="str">
        <f t="shared" si="209"/>
        <v/>
      </c>
      <c r="OF33" s="109" t="str">
        <f t="shared" si="209"/>
        <v/>
      </c>
      <c r="OG33" s="109" t="str">
        <f t="shared" si="209"/>
        <v/>
      </c>
      <c r="OH33" s="109" t="str">
        <f t="shared" si="209"/>
        <v/>
      </c>
      <c r="OI33" s="109" t="str">
        <f t="shared" si="209"/>
        <v/>
      </c>
      <c r="OJ33" s="109" t="str">
        <f t="shared" si="209"/>
        <v/>
      </c>
      <c r="OK33" s="109" t="str">
        <f t="shared" si="209"/>
        <v/>
      </c>
      <c r="OL33" s="109" t="str">
        <f t="shared" si="209"/>
        <v/>
      </c>
      <c r="OM33" s="109" t="str">
        <f t="shared" si="209"/>
        <v/>
      </c>
      <c r="ON33" s="109" t="str">
        <f t="shared" si="209"/>
        <v/>
      </c>
      <c r="OO33" s="109" t="str">
        <f t="shared" si="209"/>
        <v/>
      </c>
      <c r="OP33" s="109" t="str">
        <f t="shared" si="209"/>
        <v/>
      </c>
      <c r="OQ33" s="109" t="str">
        <f t="shared" si="209"/>
        <v/>
      </c>
      <c r="OR33" s="109" t="str">
        <f t="shared" si="209"/>
        <v/>
      </c>
      <c r="OS33" s="109" t="str">
        <f t="shared" si="209"/>
        <v/>
      </c>
      <c r="OT33" s="109" t="str">
        <f t="shared" si="209"/>
        <v/>
      </c>
      <c r="OU33" s="109" t="str">
        <f t="shared" si="209"/>
        <v/>
      </c>
      <c r="OV33" s="109" t="str">
        <f t="shared" si="209"/>
        <v/>
      </c>
      <c r="OW33" s="109" t="str">
        <f t="shared" si="209"/>
        <v/>
      </c>
      <c r="OX33" s="109" t="str">
        <f t="shared" si="209"/>
        <v/>
      </c>
      <c r="OY33" s="109" t="str">
        <f t="shared" si="209"/>
        <v/>
      </c>
      <c r="OZ33" s="109" t="str">
        <f t="shared" si="209"/>
        <v/>
      </c>
      <c r="PA33" s="109" t="str">
        <f t="shared" si="209"/>
        <v/>
      </c>
      <c r="PB33" s="109" t="str">
        <f t="shared" si="209"/>
        <v/>
      </c>
      <c r="PC33" s="109" t="str">
        <f t="shared" si="209"/>
        <v/>
      </c>
      <c r="PD33" s="109" t="str">
        <f t="shared" si="209"/>
        <v/>
      </c>
      <c r="PE33" s="109" t="str">
        <f t="shared" si="209"/>
        <v/>
      </c>
      <c r="PF33" s="109" t="str">
        <f t="shared" si="209"/>
        <v/>
      </c>
      <c r="PG33" s="109" t="str">
        <f t="shared" si="209"/>
        <v/>
      </c>
      <c r="PH33" s="109" t="str">
        <f t="shared" si="209"/>
        <v/>
      </c>
      <c r="PI33" s="109" t="str">
        <f t="shared" si="209"/>
        <v/>
      </c>
      <c r="PJ33" s="109" t="str">
        <f t="shared" si="209"/>
        <v/>
      </c>
      <c r="PK33" s="109" t="str">
        <f t="shared" si="209"/>
        <v/>
      </c>
      <c r="PL33" s="109" t="str">
        <f t="shared" si="209"/>
        <v/>
      </c>
      <c r="PM33" s="109" t="str">
        <f t="shared" si="209"/>
        <v/>
      </c>
      <c r="PN33" s="109" t="str">
        <f t="shared" si="209"/>
        <v/>
      </c>
      <c r="PO33" s="109" t="str">
        <f t="shared" si="209"/>
        <v/>
      </c>
      <c r="PP33" s="109" t="str">
        <f t="shared" si="209"/>
        <v/>
      </c>
      <c r="PQ33" s="109" t="str">
        <f t="shared" si="209"/>
        <v/>
      </c>
      <c r="PR33" s="109" t="str">
        <f t="shared" si="209"/>
        <v/>
      </c>
      <c r="PS33" s="109" t="str">
        <f t="shared" si="209"/>
        <v/>
      </c>
      <c r="PT33" s="109" t="str">
        <f t="shared" si="209"/>
        <v/>
      </c>
      <c r="PU33" s="109" t="str">
        <f t="shared" si="209"/>
        <v/>
      </c>
      <c r="PV33" s="109" t="str">
        <f t="shared" si="209"/>
        <v/>
      </c>
      <c r="PW33" s="109" t="str">
        <f t="shared" si="209"/>
        <v/>
      </c>
      <c r="PX33" s="109" t="str">
        <f t="shared" si="209"/>
        <v/>
      </c>
      <c r="PY33" s="109" t="str">
        <f t="shared" si="209"/>
        <v/>
      </c>
      <c r="PZ33" s="109" t="str">
        <f t="shared" si="209"/>
        <v/>
      </c>
      <c r="QA33" s="109" t="str">
        <f t="shared" si="209"/>
        <v/>
      </c>
      <c r="QB33" s="109" t="str">
        <f t="shared" si="209"/>
        <v/>
      </c>
      <c r="QC33" s="109" t="str">
        <f t="shared" si="209"/>
        <v/>
      </c>
      <c r="QD33" s="109" t="str">
        <f t="shared" si="209"/>
        <v/>
      </c>
      <c r="QE33" s="109" t="str">
        <f t="shared" si="209"/>
        <v/>
      </c>
      <c r="QF33" s="109" t="str">
        <f t="shared" si="209"/>
        <v/>
      </c>
      <c r="QG33" s="109" t="str">
        <f t="shared" si="209"/>
        <v/>
      </c>
      <c r="QH33" s="109" t="str">
        <f t="shared" si="209"/>
        <v/>
      </c>
      <c r="QI33" s="109" t="str">
        <f t="shared" ref="QI33:SW33" si="210">IF(OR(QI$13="",QI$17="",QI$14="",QI$15="",QI$16="",QI$18="",QI$19="",QI$20="",QI$21=""),"",1-(QI19/(QI$1*24)))</f>
        <v/>
      </c>
      <c r="QJ33" s="109" t="str">
        <f t="shared" si="210"/>
        <v/>
      </c>
      <c r="QK33" s="109" t="str">
        <f t="shared" si="210"/>
        <v/>
      </c>
      <c r="QL33" s="109" t="str">
        <f t="shared" si="210"/>
        <v/>
      </c>
      <c r="QM33" s="109" t="str">
        <f t="shared" si="210"/>
        <v/>
      </c>
      <c r="QN33" s="109" t="str">
        <f t="shared" si="210"/>
        <v/>
      </c>
      <c r="QO33" s="109" t="str">
        <f t="shared" si="210"/>
        <v/>
      </c>
      <c r="QP33" s="109" t="str">
        <f t="shared" si="210"/>
        <v/>
      </c>
      <c r="QQ33" s="109" t="str">
        <f t="shared" si="210"/>
        <v/>
      </c>
      <c r="QR33" s="109" t="str">
        <f t="shared" si="210"/>
        <v/>
      </c>
      <c r="QS33" s="109" t="str">
        <f t="shared" si="210"/>
        <v/>
      </c>
      <c r="QT33" s="109" t="str">
        <f t="shared" si="210"/>
        <v/>
      </c>
      <c r="QU33" s="109" t="str">
        <f t="shared" si="210"/>
        <v/>
      </c>
      <c r="QV33" s="109" t="str">
        <f t="shared" si="210"/>
        <v/>
      </c>
      <c r="QW33" s="109" t="str">
        <f t="shared" si="210"/>
        <v/>
      </c>
      <c r="QX33" s="109" t="str">
        <f t="shared" si="210"/>
        <v/>
      </c>
      <c r="QY33" s="109" t="str">
        <f t="shared" si="210"/>
        <v/>
      </c>
      <c r="QZ33" s="109" t="str">
        <f t="shared" si="210"/>
        <v/>
      </c>
      <c r="RA33" s="109" t="str">
        <f t="shared" si="210"/>
        <v/>
      </c>
      <c r="RB33" s="109" t="str">
        <f t="shared" si="210"/>
        <v/>
      </c>
      <c r="RC33" s="109" t="str">
        <f t="shared" si="210"/>
        <v/>
      </c>
      <c r="RD33" s="109" t="str">
        <f t="shared" si="210"/>
        <v/>
      </c>
      <c r="RE33" s="109" t="str">
        <f t="shared" si="210"/>
        <v/>
      </c>
      <c r="RF33" s="109" t="str">
        <f t="shared" si="210"/>
        <v/>
      </c>
      <c r="RG33" s="109" t="str">
        <f t="shared" si="210"/>
        <v/>
      </c>
      <c r="RH33" s="109" t="str">
        <f t="shared" si="210"/>
        <v/>
      </c>
      <c r="RI33" s="109" t="str">
        <f t="shared" si="210"/>
        <v/>
      </c>
      <c r="RJ33" s="109" t="str">
        <f t="shared" si="210"/>
        <v/>
      </c>
      <c r="RK33" s="109" t="str">
        <f t="shared" si="210"/>
        <v/>
      </c>
      <c r="RL33" s="109" t="str">
        <f t="shared" si="210"/>
        <v/>
      </c>
      <c r="RM33" s="109" t="str">
        <f t="shared" si="210"/>
        <v/>
      </c>
      <c r="RN33" s="109" t="str">
        <f t="shared" si="210"/>
        <v/>
      </c>
      <c r="RO33" s="109" t="str">
        <f t="shared" si="210"/>
        <v/>
      </c>
      <c r="RP33" s="109" t="str">
        <f t="shared" si="210"/>
        <v/>
      </c>
      <c r="RQ33" s="109" t="str">
        <f t="shared" si="210"/>
        <v/>
      </c>
      <c r="RR33" s="109" t="str">
        <f t="shared" si="210"/>
        <v/>
      </c>
      <c r="RS33" s="109" t="str">
        <f t="shared" si="210"/>
        <v/>
      </c>
      <c r="RT33" s="109" t="str">
        <f t="shared" si="210"/>
        <v/>
      </c>
      <c r="RU33" s="109" t="str">
        <f t="shared" si="210"/>
        <v/>
      </c>
      <c r="RV33" s="109" t="str">
        <f t="shared" si="210"/>
        <v/>
      </c>
      <c r="RW33" s="109" t="str">
        <f t="shared" si="210"/>
        <v/>
      </c>
      <c r="RX33" s="109" t="str">
        <f t="shared" si="210"/>
        <v/>
      </c>
      <c r="RY33" s="109" t="str">
        <f t="shared" si="210"/>
        <v/>
      </c>
      <c r="RZ33" s="109" t="str">
        <f t="shared" si="210"/>
        <v/>
      </c>
      <c r="SA33" s="109" t="str">
        <f t="shared" si="210"/>
        <v/>
      </c>
      <c r="SB33" s="109" t="str">
        <f t="shared" si="210"/>
        <v/>
      </c>
      <c r="SC33" s="109" t="str">
        <f t="shared" si="210"/>
        <v/>
      </c>
      <c r="SD33" s="109" t="str">
        <f t="shared" si="210"/>
        <v/>
      </c>
      <c r="SE33" s="109" t="str">
        <f t="shared" si="210"/>
        <v/>
      </c>
      <c r="SF33" s="109" t="str">
        <f t="shared" si="210"/>
        <v/>
      </c>
      <c r="SG33" s="109" t="str">
        <f t="shared" si="210"/>
        <v/>
      </c>
      <c r="SH33" s="109" t="str">
        <f t="shared" si="210"/>
        <v/>
      </c>
      <c r="SI33" s="109" t="str">
        <f t="shared" si="210"/>
        <v/>
      </c>
      <c r="SJ33" s="109" t="str">
        <f t="shared" si="210"/>
        <v/>
      </c>
      <c r="SK33" s="109" t="str">
        <f t="shared" si="210"/>
        <v/>
      </c>
      <c r="SL33" s="109" t="str">
        <f t="shared" si="210"/>
        <v/>
      </c>
      <c r="SM33" s="109" t="str">
        <f t="shared" si="210"/>
        <v/>
      </c>
      <c r="SN33" s="109" t="str">
        <f t="shared" si="210"/>
        <v/>
      </c>
      <c r="SO33" s="109" t="str">
        <f t="shared" si="210"/>
        <v/>
      </c>
      <c r="SP33" s="109" t="str">
        <f t="shared" si="210"/>
        <v/>
      </c>
      <c r="SQ33" s="109" t="str">
        <f t="shared" si="210"/>
        <v/>
      </c>
      <c r="SR33" s="109" t="str">
        <f t="shared" si="210"/>
        <v/>
      </c>
      <c r="SS33" s="109" t="str">
        <f t="shared" si="210"/>
        <v/>
      </c>
      <c r="ST33" s="109" t="str">
        <f t="shared" si="210"/>
        <v/>
      </c>
      <c r="SU33" s="109" t="str">
        <f t="shared" si="210"/>
        <v/>
      </c>
      <c r="SV33" s="109" t="str">
        <f t="shared" si="210"/>
        <v/>
      </c>
      <c r="SW33" s="109" t="str">
        <f t="shared" si="210"/>
        <v/>
      </c>
    </row>
    <row r="34" spans="1:517" ht="24" customHeight="1" x14ac:dyDescent="0.2">
      <c r="A34" s="94">
        <v>777</v>
      </c>
      <c r="B34" s="117" t="s">
        <v>84</v>
      </c>
      <c r="C34" s="109">
        <f t="shared" ref="C34:BN34" si="211">IF(OR(C$13="",C$17="",C$14="",C$15="",C$16="",C$18="",C$19="",C$20="",C$21=""),"",1-(C20/(C$1*24)))</f>
        <v>1</v>
      </c>
      <c r="D34" s="109">
        <f t="shared" si="211"/>
        <v>1</v>
      </c>
      <c r="E34" s="109">
        <f t="shared" si="211"/>
        <v>0.83124999999999993</v>
      </c>
      <c r="F34" s="109">
        <f t="shared" si="211"/>
        <v>1</v>
      </c>
      <c r="G34" s="109">
        <f t="shared" si="211"/>
        <v>1</v>
      </c>
      <c r="H34" s="109">
        <f t="shared" si="211"/>
        <v>0.8241666666666666</v>
      </c>
      <c r="I34" s="109">
        <f t="shared" si="211"/>
        <v>0.59083333333333332</v>
      </c>
      <c r="J34" s="109">
        <f t="shared" si="211"/>
        <v>0.24375000000000002</v>
      </c>
      <c r="K34" s="109">
        <f t="shared" si="211"/>
        <v>1</v>
      </c>
      <c r="L34" s="109">
        <f t="shared" si="211"/>
        <v>1</v>
      </c>
      <c r="M34" s="109">
        <f t="shared" si="211"/>
        <v>-1.4137499999999998</v>
      </c>
      <c r="N34" s="109">
        <f t="shared" si="211"/>
        <v>1</v>
      </c>
      <c r="O34" s="109">
        <f t="shared" si="211"/>
        <v>1</v>
      </c>
      <c r="P34" s="109">
        <f t="shared" si="211"/>
        <v>0.53</v>
      </c>
      <c r="Q34" s="109">
        <f t="shared" si="211"/>
        <v>0.36166666666666669</v>
      </c>
      <c r="R34" s="109">
        <f t="shared" si="211"/>
        <v>1</v>
      </c>
      <c r="S34" s="109">
        <f t="shared" si="211"/>
        <v>1</v>
      </c>
      <c r="T34" s="109">
        <f t="shared" si="211"/>
        <v>0.66541666666666655</v>
      </c>
      <c r="U34" s="109">
        <f t="shared" si="211"/>
        <v>0.67500000000000004</v>
      </c>
      <c r="V34" s="109">
        <f t="shared" si="211"/>
        <v>0.87916666666666665</v>
      </c>
      <c r="W34" s="109">
        <f t="shared" si="211"/>
        <v>0.90833333333333333</v>
      </c>
      <c r="X34" s="109">
        <f t="shared" si="211"/>
        <v>0.95750000000000002</v>
      </c>
      <c r="Y34" s="109">
        <f t="shared" si="211"/>
        <v>0.92708333333333337</v>
      </c>
      <c r="Z34" s="109">
        <f t="shared" si="211"/>
        <v>1</v>
      </c>
      <c r="AA34" s="109">
        <f t="shared" si="211"/>
        <v>1</v>
      </c>
      <c r="AB34" s="109">
        <f t="shared" si="211"/>
        <v>1</v>
      </c>
      <c r="AC34" s="109">
        <f t="shared" si="211"/>
        <v>1</v>
      </c>
      <c r="AD34" s="109">
        <f t="shared" si="211"/>
        <v>1</v>
      </c>
      <c r="AE34" s="109">
        <f t="shared" si="211"/>
        <v>1</v>
      </c>
      <c r="AF34" s="109">
        <f t="shared" si="211"/>
        <v>1</v>
      </c>
      <c r="AG34" s="109">
        <f t="shared" si="211"/>
        <v>0.94625000000000004</v>
      </c>
      <c r="AH34" s="109">
        <f t="shared" si="211"/>
        <v>0.73416666666666663</v>
      </c>
      <c r="AI34" s="109">
        <f t="shared" si="211"/>
        <v>1</v>
      </c>
      <c r="AJ34" s="109">
        <f t="shared" si="211"/>
        <v>1</v>
      </c>
      <c r="AK34" s="109">
        <f t="shared" si="211"/>
        <v>1</v>
      </c>
      <c r="AL34" s="109">
        <f t="shared" si="211"/>
        <v>1</v>
      </c>
      <c r="AM34" s="109">
        <f t="shared" si="211"/>
        <v>1</v>
      </c>
      <c r="AN34" s="109">
        <f t="shared" si="211"/>
        <v>0.92333333333333334</v>
      </c>
      <c r="AO34" s="109">
        <f t="shared" si="211"/>
        <v>1</v>
      </c>
      <c r="AP34" s="109">
        <f t="shared" si="211"/>
        <v>1</v>
      </c>
      <c r="AQ34" s="109">
        <f t="shared" si="211"/>
        <v>0.92833333333333334</v>
      </c>
      <c r="AR34" s="109">
        <f t="shared" si="211"/>
        <v>1</v>
      </c>
      <c r="AS34" s="109">
        <f t="shared" si="211"/>
        <v>1</v>
      </c>
      <c r="AT34" s="109">
        <f t="shared" si="211"/>
        <v>1</v>
      </c>
      <c r="AU34" s="109">
        <f t="shared" si="211"/>
        <v>1</v>
      </c>
      <c r="AV34" s="109">
        <f t="shared" si="211"/>
        <v>1</v>
      </c>
      <c r="AW34" s="109">
        <f t="shared" si="211"/>
        <v>1</v>
      </c>
      <c r="AX34" s="109">
        <f t="shared" si="211"/>
        <v>1</v>
      </c>
      <c r="AY34" s="109">
        <f t="shared" si="211"/>
        <v>1</v>
      </c>
      <c r="AZ34" s="109">
        <f t="shared" si="211"/>
        <v>1</v>
      </c>
      <c r="BA34" s="109">
        <f t="shared" si="211"/>
        <v>0.54583333333333339</v>
      </c>
      <c r="BB34" s="109">
        <f t="shared" si="211"/>
        <v>1</v>
      </c>
      <c r="BC34" s="109">
        <f t="shared" si="211"/>
        <v>1</v>
      </c>
      <c r="BD34" s="109">
        <f t="shared" si="211"/>
        <v>0.82208333333333339</v>
      </c>
      <c r="BE34" s="109">
        <f t="shared" si="211"/>
        <v>1</v>
      </c>
      <c r="BF34" s="109">
        <f t="shared" si="211"/>
        <v>1</v>
      </c>
      <c r="BG34" s="109">
        <f t="shared" si="211"/>
        <v>1</v>
      </c>
      <c r="BH34" s="109">
        <f t="shared" si="211"/>
        <v>1</v>
      </c>
      <c r="BI34" s="109">
        <f t="shared" si="211"/>
        <v>1</v>
      </c>
      <c r="BJ34" s="109">
        <f t="shared" si="211"/>
        <v>0.72499999999999998</v>
      </c>
      <c r="BK34" s="109">
        <f t="shared" si="211"/>
        <v>1</v>
      </c>
      <c r="BL34" s="109">
        <f t="shared" si="211"/>
        <v>0.95499999999999996</v>
      </c>
      <c r="BM34" s="109">
        <f t="shared" si="211"/>
        <v>0.79708333333333337</v>
      </c>
      <c r="BN34" s="109">
        <f t="shared" si="211"/>
        <v>1</v>
      </c>
      <c r="BO34" s="109">
        <f t="shared" ref="BO34:DZ34" si="212">IF(OR(BO$13="",BO$17="",BO$14="",BO$15="",BO$16="",BO$18="",BO$19="",BO$20="",BO$21=""),"",1-(BO20/(BO$1*24)))</f>
        <v>0.79708333333333337</v>
      </c>
      <c r="BP34" s="109">
        <f t="shared" si="212"/>
        <v>0.75541666666666674</v>
      </c>
      <c r="BQ34" s="109">
        <f t="shared" si="212"/>
        <v>1</v>
      </c>
      <c r="BR34" s="109">
        <f t="shared" si="212"/>
        <v>1</v>
      </c>
      <c r="BS34" s="109">
        <f t="shared" si="212"/>
        <v>0.93541666666666667</v>
      </c>
      <c r="BT34" s="109">
        <f t="shared" si="212"/>
        <v>0.18208333333333326</v>
      </c>
      <c r="BU34" s="109">
        <f t="shared" si="212"/>
        <v>1</v>
      </c>
      <c r="BV34" s="109">
        <f t="shared" si="212"/>
        <v>1</v>
      </c>
      <c r="BW34" s="109">
        <f t="shared" si="212"/>
        <v>1</v>
      </c>
      <c r="BX34" s="109">
        <f t="shared" si="212"/>
        <v>1</v>
      </c>
      <c r="BY34" s="109">
        <f t="shared" si="212"/>
        <v>1</v>
      </c>
      <c r="BZ34" s="109">
        <f t="shared" si="212"/>
        <v>1</v>
      </c>
      <c r="CA34" s="109">
        <f t="shared" si="212"/>
        <v>1</v>
      </c>
      <c r="CB34" s="109">
        <f t="shared" si="212"/>
        <v>1</v>
      </c>
      <c r="CC34" s="109">
        <f t="shared" si="212"/>
        <v>1</v>
      </c>
      <c r="CD34" s="109">
        <f t="shared" si="212"/>
        <v>1</v>
      </c>
      <c r="CE34" s="109">
        <f t="shared" si="212"/>
        <v>1</v>
      </c>
      <c r="CF34" s="109">
        <f t="shared" si="212"/>
        <v>0.82499999999999996</v>
      </c>
      <c r="CG34" s="109">
        <f t="shared" si="212"/>
        <v>1</v>
      </c>
      <c r="CH34" s="109">
        <f t="shared" si="212"/>
        <v>1</v>
      </c>
      <c r="CI34" s="109">
        <f t="shared" si="212"/>
        <v>1</v>
      </c>
      <c r="CJ34" s="109">
        <f t="shared" si="212"/>
        <v>1</v>
      </c>
      <c r="CK34" s="109">
        <f t="shared" si="212"/>
        <v>0.95833333333333337</v>
      </c>
      <c r="CL34" s="109">
        <f t="shared" si="212"/>
        <v>1</v>
      </c>
      <c r="CM34" s="109">
        <f t="shared" si="212"/>
        <v>1</v>
      </c>
      <c r="CN34" s="109">
        <f t="shared" si="212"/>
        <v>1</v>
      </c>
      <c r="CO34" s="109">
        <f t="shared" si="212"/>
        <v>1</v>
      </c>
      <c r="CP34" s="109">
        <f t="shared" si="212"/>
        <v>0.96666666666666667</v>
      </c>
      <c r="CQ34" s="109">
        <f t="shared" si="212"/>
        <v>0.92083333333333339</v>
      </c>
      <c r="CR34" s="109">
        <f t="shared" si="212"/>
        <v>1</v>
      </c>
      <c r="CS34" s="109">
        <f t="shared" si="212"/>
        <v>1</v>
      </c>
      <c r="CT34" s="109">
        <f t="shared" si="212"/>
        <v>0.84083333333333332</v>
      </c>
      <c r="CU34" s="109">
        <f t="shared" si="212"/>
        <v>1</v>
      </c>
      <c r="CV34" s="109">
        <f t="shared" si="212"/>
        <v>0.82291666666666663</v>
      </c>
      <c r="CW34" s="109">
        <f t="shared" si="212"/>
        <v>0.9375</v>
      </c>
      <c r="CX34" s="109">
        <f t="shared" si="212"/>
        <v>1</v>
      </c>
      <c r="CY34" s="109">
        <f t="shared" si="212"/>
        <v>1</v>
      </c>
      <c r="CZ34" s="109">
        <f t="shared" si="212"/>
        <v>1</v>
      </c>
      <c r="DA34" s="109">
        <f t="shared" si="212"/>
        <v>1</v>
      </c>
      <c r="DB34" s="109">
        <f t="shared" si="212"/>
        <v>1</v>
      </c>
      <c r="DC34" s="109">
        <f t="shared" si="212"/>
        <v>1</v>
      </c>
      <c r="DD34" s="109">
        <f t="shared" si="212"/>
        <v>0.88</v>
      </c>
      <c r="DE34" s="109">
        <f t="shared" si="212"/>
        <v>0.11583333333333334</v>
      </c>
      <c r="DF34" s="109">
        <f t="shared" si="212"/>
        <v>-0.23541666666666661</v>
      </c>
      <c r="DG34" s="109">
        <f t="shared" si="212"/>
        <v>1</v>
      </c>
      <c r="DH34" s="109">
        <f t="shared" si="212"/>
        <v>1</v>
      </c>
      <c r="DI34" s="109">
        <f t="shared" si="212"/>
        <v>0.98333333333333328</v>
      </c>
      <c r="DJ34" s="109">
        <f t="shared" si="212"/>
        <v>0.61250000000000004</v>
      </c>
      <c r="DK34" s="109">
        <f t="shared" si="212"/>
        <v>1</v>
      </c>
      <c r="DL34" s="109">
        <f t="shared" si="212"/>
        <v>1</v>
      </c>
      <c r="DM34" s="109">
        <f t="shared" si="212"/>
        <v>1</v>
      </c>
      <c r="DN34" s="109">
        <f t="shared" si="212"/>
        <v>0.82166666666666666</v>
      </c>
      <c r="DO34" s="109">
        <f t="shared" si="212"/>
        <v>1</v>
      </c>
      <c r="DP34" s="109">
        <f t="shared" si="212"/>
        <v>0.95499999999999996</v>
      </c>
      <c r="DQ34" s="109">
        <f t="shared" si="212"/>
        <v>0.90708333333333335</v>
      </c>
      <c r="DR34" s="109">
        <f t="shared" si="212"/>
        <v>0.98458333333333337</v>
      </c>
      <c r="DS34" s="109">
        <f t="shared" si="212"/>
        <v>0.94708333333333328</v>
      </c>
      <c r="DT34" s="109">
        <f t="shared" si="212"/>
        <v>1</v>
      </c>
      <c r="DU34" s="109">
        <f t="shared" si="212"/>
        <v>0.75416666666666665</v>
      </c>
      <c r="DV34" s="109">
        <f t="shared" si="212"/>
        <v>0.94625000000000004</v>
      </c>
      <c r="DW34" s="109">
        <f t="shared" si="212"/>
        <v>1</v>
      </c>
      <c r="DX34" s="109">
        <f t="shared" si="212"/>
        <v>1</v>
      </c>
      <c r="DY34" s="109">
        <f t="shared" si="212"/>
        <v>1</v>
      </c>
      <c r="DZ34" s="109">
        <f t="shared" si="212"/>
        <v>1</v>
      </c>
      <c r="EA34" s="109">
        <f t="shared" ref="EA34:GL34" si="213">IF(OR(EA$13="",EA$17="",EA$14="",EA$15="",EA$16="",EA$18="",EA$19="",EA$20="",EA$21=""),"",1-(EA20/(EA$1*24)))</f>
        <v>1</v>
      </c>
      <c r="EB34" s="109">
        <f t="shared" si="213"/>
        <v>0.76583333333333337</v>
      </c>
      <c r="EC34" s="109">
        <f t="shared" si="213"/>
        <v>1</v>
      </c>
      <c r="ED34" s="109">
        <f t="shared" si="213"/>
        <v>1</v>
      </c>
      <c r="EE34" s="109">
        <f t="shared" si="213"/>
        <v>1</v>
      </c>
      <c r="EF34" s="109">
        <f t="shared" si="213"/>
        <v>0.70833333333333326</v>
      </c>
      <c r="EG34" s="109">
        <f t="shared" si="213"/>
        <v>6.916666666666671E-2</v>
      </c>
      <c r="EH34" s="109">
        <f t="shared" si="213"/>
        <v>0.57666666666666666</v>
      </c>
      <c r="EI34" s="109">
        <f t="shared" si="213"/>
        <v>0.24708333333333332</v>
      </c>
      <c r="EJ34" s="109">
        <f t="shared" si="213"/>
        <v>1</v>
      </c>
      <c r="EK34" s="109">
        <f t="shared" si="213"/>
        <v>1</v>
      </c>
      <c r="EL34" s="109">
        <f t="shared" si="213"/>
        <v>0</v>
      </c>
      <c r="EM34" s="109">
        <f t="shared" si="213"/>
        <v>0</v>
      </c>
      <c r="EN34" s="109">
        <f t="shared" si="213"/>
        <v>0</v>
      </c>
      <c r="EO34" s="109">
        <f t="shared" si="213"/>
        <v>0.5</v>
      </c>
      <c r="EP34" s="109">
        <f t="shared" si="213"/>
        <v>1</v>
      </c>
      <c r="EQ34" s="109">
        <f t="shared" si="213"/>
        <v>1</v>
      </c>
      <c r="ER34" s="109">
        <f t="shared" si="213"/>
        <v>1</v>
      </c>
      <c r="ES34" s="109">
        <f t="shared" si="213"/>
        <v>0.75916666666666666</v>
      </c>
      <c r="ET34" s="109">
        <f t="shared" si="213"/>
        <v>0.63749999999999996</v>
      </c>
      <c r="EU34" s="109">
        <f t="shared" si="213"/>
        <v>1</v>
      </c>
      <c r="EV34" s="109">
        <f t="shared" si="213"/>
        <v>1</v>
      </c>
      <c r="EW34" s="109">
        <f t="shared" si="213"/>
        <v>1</v>
      </c>
      <c r="EX34" s="109">
        <f t="shared" si="213"/>
        <v>1</v>
      </c>
      <c r="EY34" s="109">
        <f t="shared" si="213"/>
        <v>1</v>
      </c>
      <c r="EZ34" s="109">
        <f t="shared" si="213"/>
        <v>1</v>
      </c>
      <c r="FA34" s="109">
        <f t="shared" si="213"/>
        <v>1</v>
      </c>
      <c r="FB34" s="109">
        <f t="shared" si="213"/>
        <v>1</v>
      </c>
      <c r="FC34" s="109">
        <f t="shared" si="213"/>
        <v>1</v>
      </c>
      <c r="FD34" s="109">
        <f t="shared" si="213"/>
        <v>0.62166666666666659</v>
      </c>
      <c r="FE34" s="109">
        <f t="shared" si="213"/>
        <v>0.38958333333333339</v>
      </c>
      <c r="FF34" s="109">
        <f t="shared" si="213"/>
        <v>1</v>
      </c>
      <c r="FG34" s="109">
        <f t="shared" si="213"/>
        <v>1</v>
      </c>
      <c r="FH34" s="109">
        <f t="shared" si="213"/>
        <v>1</v>
      </c>
      <c r="FI34" s="109">
        <f t="shared" si="213"/>
        <v>1</v>
      </c>
      <c r="FJ34" s="109">
        <f t="shared" si="213"/>
        <v>0.88958333333333339</v>
      </c>
      <c r="FK34" s="109">
        <f t="shared" si="213"/>
        <v>1</v>
      </c>
      <c r="FL34" s="109">
        <f t="shared" si="213"/>
        <v>1</v>
      </c>
      <c r="FM34" s="109">
        <f t="shared" si="213"/>
        <v>1</v>
      </c>
      <c r="FN34" s="109">
        <f t="shared" si="213"/>
        <v>1</v>
      </c>
      <c r="FO34" s="109">
        <f t="shared" si="213"/>
        <v>0.83250000000000002</v>
      </c>
      <c r="FP34" s="109">
        <f t="shared" si="213"/>
        <v>1</v>
      </c>
      <c r="FQ34" s="109">
        <f t="shared" si="213"/>
        <v>1</v>
      </c>
      <c r="FR34" s="109">
        <f t="shared" si="213"/>
        <v>1</v>
      </c>
      <c r="FS34" s="109">
        <f t="shared" si="213"/>
        <v>0.24583333333333324</v>
      </c>
      <c r="FT34" s="109">
        <f t="shared" si="213"/>
        <v>0.49250000000000005</v>
      </c>
      <c r="FU34" s="109">
        <f t="shared" si="213"/>
        <v>1</v>
      </c>
      <c r="FV34" s="109">
        <f t="shared" si="213"/>
        <v>0.78625</v>
      </c>
      <c r="FW34" s="109">
        <f t="shared" si="213"/>
        <v>0.69291666666666663</v>
      </c>
      <c r="FX34" s="109">
        <f t="shared" si="213"/>
        <v>1</v>
      </c>
      <c r="FY34" s="109">
        <f t="shared" si="213"/>
        <v>1</v>
      </c>
      <c r="FZ34" s="109">
        <f t="shared" si="213"/>
        <v>1</v>
      </c>
      <c r="GA34" s="109">
        <f t="shared" si="157"/>
        <v>1</v>
      </c>
      <c r="GB34" s="109">
        <f t="shared" si="157"/>
        <v>1</v>
      </c>
      <c r="GC34" s="109">
        <f t="shared" si="213"/>
        <v>1</v>
      </c>
      <c r="GD34" s="109">
        <f t="shared" si="213"/>
        <v>1</v>
      </c>
      <c r="GE34" s="109">
        <f t="shared" si="213"/>
        <v>1</v>
      </c>
      <c r="GF34" s="109">
        <f t="shared" si="213"/>
        <v>1</v>
      </c>
      <c r="GG34" s="109">
        <f t="shared" si="213"/>
        <v>1</v>
      </c>
      <c r="GH34" s="109">
        <f t="shared" si="213"/>
        <v>1</v>
      </c>
      <c r="GI34" s="109">
        <f t="shared" si="213"/>
        <v>1</v>
      </c>
      <c r="GJ34" s="109">
        <f t="shared" si="213"/>
        <v>1</v>
      </c>
      <c r="GK34" s="109">
        <f t="shared" si="213"/>
        <v>0.73666666666666658</v>
      </c>
      <c r="GL34" s="109">
        <f t="shared" si="213"/>
        <v>1</v>
      </c>
      <c r="GM34" s="109">
        <f t="shared" ref="GM34:IX34" si="214">IF(OR(GM$13="",GM$17="",GM$14="",GM$15="",GM$16="",GM$18="",GM$19="",GM$20="",GM$21=""),"",1-(GM20/(GM$1*24)))</f>
        <v>1</v>
      </c>
      <c r="GN34" s="109">
        <f t="shared" si="214"/>
        <v>1</v>
      </c>
      <c r="GO34" s="109">
        <f t="shared" si="214"/>
        <v>1</v>
      </c>
      <c r="GP34" s="109">
        <f t="shared" si="214"/>
        <v>1</v>
      </c>
      <c r="GQ34" s="109">
        <f t="shared" si="214"/>
        <v>1</v>
      </c>
      <c r="GR34" s="109">
        <f t="shared" si="214"/>
        <v>1</v>
      </c>
      <c r="GS34" s="109">
        <f t="shared" si="214"/>
        <v>1</v>
      </c>
      <c r="GT34" s="109">
        <f t="shared" si="214"/>
        <v>1</v>
      </c>
      <c r="GU34" s="109">
        <f t="shared" si="214"/>
        <v>1</v>
      </c>
      <c r="GV34" s="109">
        <f t="shared" si="214"/>
        <v>1</v>
      </c>
      <c r="GW34" s="109">
        <f t="shared" si="214"/>
        <v>1</v>
      </c>
      <c r="GX34" s="109">
        <f t="shared" si="214"/>
        <v>1</v>
      </c>
      <c r="GY34" s="109">
        <f t="shared" si="214"/>
        <v>1</v>
      </c>
      <c r="GZ34" s="109">
        <f t="shared" si="214"/>
        <v>1</v>
      </c>
      <c r="HA34" s="109">
        <f t="shared" si="214"/>
        <v>1</v>
      </c>
      <c r="HB34" s="109">
        <f t="shared" si="214"/>
        <v>1</v>
      </c>
      <c r="HC34" s="109">
        <f t="shared" si="214"/>
        <v>1</v>
      </c>
      <c r="HD34" s="109">
        <f t="shared" si="214"/>
        <v>1</v>
      </c>
      <c r="HE34" s="109">
        <f t="shared" si="214"/>
        <v>1</v>
      </c>
      <c r="HF34" s="109">
        <f t="shared" si="214"/>
        <v>1</v>
      </c>
      <c r="HG34" s="109">
        <f t="shared" si="214"/>
        <v>1</v>
      </c>
      <c r="HH34" s="109">
        <f t="shared" si="214"/>
        <v>1</v>
      </c>
      <c r="HI34" s="109">
        <f t="shared" si="214"/>
        <v>1</v>
      </c>
      <c r="HJ34" s="109">
        <f t="shared" si="214"/>
        <v>1</v>
      </c>
      <c r="HK34" s="109">
        <f t="shared" si="214"/>
        <v>1</v>
      </c>
      <c r="HL34" s="109">
        <f t="shared" si="214"/>
        <v>1</v>
      </c>
      <c r="HM34" s="109">
        <f t="shared" si="214"/>
        <v>0.82271990740740741</v>
      </c>
      <c r="HN34" s="109">
        <f t="shared" si="214"/>
        <v>1</v>
      </c>
      <c r="HO34" s="109">
        <f t="shared" si="214"/>
        <v>1</v>
      </c>
      <c r="HP34" s="109">
        <f t="shared" si="214"/>
        <v>1</v>
      </c>
      <c r="HQ34" s="109">
        <f t="shared" si="214"/>
        <v>1</v>
      </c>
      <c r="HR34" s="109">
        <f t="shared" si="214"/>
        <v>1</v>
      </c>
      <c r="HS34" s="109">
        <f t="shared" si="214"/>
        <v>1</v>
      </c>
      <c r="HT34" s="109">
        <f t="shared" si="214"/>
        <v>1</v>
      </c>
      <c r="HU34" s="109">
        <f t="shared" si="214"/>
        <v>1</v>
      </c>
      <c r="HV34" s="109">
        <f t="shared" si="214"/>
        <v>0.90659722222222228</v>
      </c>
      <c r="HW34" s="109">
        <f t="shared" si="214"/>
        <v>0.98228009259259264</v>
      </c>
      <c r="HX34" s="109">
        <f t="shared" si="214"/>
        <v>0.24995370370370373</v>
      </c>
      <c r="HY34" s="109">
        <f t="shared" si="214"/>
        <v>0</v>
      </c>
      <c r="HZ34" s="109">
        <f t="shared" si="214"/>
        <v>0.88332175925925926</v>
      </c>
      <c r="IA34" s="109">
        <f t="shared" si="214"/>
        <v>1</v>
      </c>
      <c r="IB34" s="109">
        <f t="shared" si="214"/>
        <v>1</v>
      </c>
      <c r="IC34" s="109">
        <f t="shared" si="214"/>
        <v>1</v>
      </c>
      <c r="ID34" s="109">
        <f t="shared" si="214"/>
        <v>0.95958333333333334</v>
      </c>
      <c r="IE34" s="109">
        <f t="shared" si="214"/>
        <v>0.23958333333333337</v>
      </c>
      <c r="IF34" s="109">
        <f t="shared" si="214"/>
        <v>1</v>
      </c>
      <c r="IG34" s="109">
        <f t="shared" si="214"/>
        <v>1</v>
      </c>
      <c r="IH34" s="109">
        <f t="shared" si="214"/>
        <v>1</v>
      </c>
      <c r="II34" s="109">
        <f t="shared" si="214"/>
        <v>1</v>
      </c>
      <c r="IJ34" s="109">
        <f t="shared" si="214"/>
        <v>0.17791666666666661</v>
      </c>
      <c r="IK34" s="109">
        <f t="shared" si="214"/>
        <v>0.92138888888888892</v>
      </c>
      <c r="IL34" s="109">
        <f t="shared" si="214"/>
        <v>0.60938657407407404</v>
      </c>
      <c r="IM34" s="109">
        <f t="shared" si="214"/>
        <v>0.92648148148148146</v>
      </c>
      <c r="IN34" s="109">
        <f t="shared" si="214"/>
        <v>1</v>
      </c>
      <c r="IO34" s="109">
        <f t="shared" si="214"/>
        <v>0.57833333333333337</v>
      </c>
      <c r="IP34" s="109">
        <f t="shared" si="214"/>
        <v>0.71575231481481483</v>
      </c>
      <c r="IQ34" s="109">
        <f t="shared" si="214"/>
        <v>0.21327546296296296</v>
      </c>
      <c r="IR34" s="109">
        <f t="shared" si="214"/>
        <v>1</v>
      </c>
      <c r="IS34" s="109">
        <f t="shared" si="214"/>
        <v>0.46011574074074069</v>
      </c>
      <c r="IT34" s="109">
        <f t="shared" si="214"/>
        <v>0.24585648148148165</v>
      </c>
      <c r="IU34" s="109">
        <f t="shared" si="214"/>
        <v>0.10246527777777781</v>
      </c>
      <c r="IV34" s="109">
        <f t="shared" si="214"/>
        <v>0.85847222222222219</v>
      </c>
      <c r="IW34" s="109">
        <f t="shared" si="214"/>
        <v>1</v>
      </c>
      <c r="IX34" s="109">
        <f t="shared" si="214"/>
        <v>0.85136574074074067</v>
      </c>
      <c r="IY34" s="109">
        <f t="shared" ref="IY34:LJ34" si="215">IF(OR(IY$13="",IY$17="",IY$14="",IY$15="",IY$16="",IY$18="",IY$19="",IY$20="",IY$21=""),"",1-(IY20/(IY$1*24)))</f>
        <v>1</v>
      </c>
      <c r="IZ34" s="109">
        <f t="shared" si="215"/>
        <v>1</v>
      </c>
      <c r="JA34" s="109">
        <f t="shared" si="215"/>
        <v>1</v>
      </c>
      <c r="JB34" s="109">
        <f t="shared" si="215"/>
        <v>1</v>
      </c>
      <c r="JC34" s="109">
        <f t="shared" si="215"/>
        <v>0.95543981481481477</v>
      </c>
      <c r="JD34" s="109">
        <f t="shared" si="215"/>
        <v>0.99189814814814814</v>
      </c>
      <c r="JE34" s="109">
        <f t="shared" si="215"/>
        <v>1</v>
      </c>
      <c r="JF34" s="109">
        <f t="shared" si="215"/>
        <v>1</v>
      </c>
      <c r="JG34" s="109">
        <f t="shared" si="215"/>
        <v>0.89400462962962968</v>
      </c>
      <c r="JH34" s="109">
        <f t="shared" si="215"/>
        <v>0.74793981481481486</v>
      </c>
      <c r="JI34" s="109">
        <f t="shared" si="215"/>
        <v>0.98564814814814816</v>
      </c>
      <c r="JJ34" s="109">
        <f t="shared" si="215"/>
        <v>0.87776620370370373</v>
      </c>
      <c r="JK34" s="109">
        <f t="shared" si="215"/>
        <v>1</v>
      </c>
      <c r="JL34" s="109">
        <f t="shared" si="215"/>
        <v>0.99769675925925927</v>
      </c>
      <c r="JM34" s="109">
        <f t="shared" si="215"/>
        <v>0.77150462962962962</v>
      </c>
      <c r="JN34" s="109">
        <f t="shared" si="215"/>
        <v>0.36499999999999999</v>
      </c>
      <c r="JO34" s="109">
        <f t="shared" si="215"/>
        <v>0.95833333333333337</v>
      </c>
      <c r="JP34" s="109">
        <f t="shared" si="215"/>
        <v>0.95833333333333337</v>
      </c>
      <c r="JQ34" s="109">
        <f t="shared" si="215"/>
        <v>0.95833333333333337</v>
      </c>
      <c r="JR34" s="109">
        <f t="shared" si="215"/>
        <v>0.95833333333333337</v>
      </c>
      <c r="JS34" s="109">
        <f t="shared" si="215"/>
        <v>0.95833333333333337</v>
      </c>
      <c r="JT34" s="109">
        <f t="shared" si="215"/>
        <v>0.8354166666666667</v>
      </c>
      <c r="JU34" s="109">
        <f t="shared" si="215"/>
        <v>0.99458333333333337</v>
      </c>
      <c r="JV34" s="109">
        <f t="shared" si="215"/>
        <v>0.95833333333333337</v>
      </c>
      <c r="JW34" s="109">
        <f t="shared" si="215"/>
        <v>1</v>
      </c>
      <c r="JX34" s="109">
        <f t="shared" si="215"/>
        <v>1</v>
      </c>
      <c r="JY34" s="109">
        <f t="shared" si="215"/>
        <v>1</v>
      </c>
      <c r="JZ34" s="109">
        <f t="shared" si="215"/>
        <v>1</v>
      </c>
      <c r="KA34" s="109">
        <f t="shared" si="215"/>
        <v>1</v>
      </c>
      <c r="KB34" s="109">
        <f t="shared" si="215"/>
        <v>1</v>
      </c>
      <c r="KC34" s="109">
        <f t="shared" si="215"/>
        <v>1</v>
      </c>
      <c r="KD34" s="109">
        <f t="shared" si="215"/>
        <v>1</v>
      </c>
      <c r="KE34" s="109">
        <f t="shared" si="215"/>
        <v>1</v>
      </c>
      <c r="KF34" s="109">
        <f t="shared" si="215"/>
        <v>1</v>
      </c>
      <c r="KG34" s="109">
        <f t="shared" si="215"/>
        <v>1</v>
      </c>
      <c r="KH34" s="109">
        <f t="shared" si="215"/>
        <v>1</v>
      </c>
      <c r="KI34" s="109">
        <f t="shared" si="215"/>
        <v>1</v>
      </c>
      <c r="KJ34" s="109">
        <f t="shared" si="215"/>
        <v>1</v>
      </c>
      <c r="KK34" s="109">
        <f t="shared" si="215"/>
        <v>1</v>
      </c>
      <c r="KL34" s="109">
        <f t="shared" si="215"/>
        <v>1</v>
      </c>
      <c r="KM34" s="109">
        <f t="shared" si="215"/>
        <v>1</v>
      </c>
      <c r="KN34" s="109">
        <f t="shared" si="215"/>
        <v>1</v>
      </c>
      <c r="KO34" s="109">
        <f t="shared" si="215"/>
        <v>1</v>
      </c>
      <c r="KP34" s="109">
        <f t="shared" si="215"/>
        <v>1</v>
      </c>
      <c r="KQ34" s="109">
        <f t="shared" si="215"/>
        <v>1</v>
      </c>
      <c r="KR34" s="109">
        <f t="shared" si="215"/>
        <v>1</v>
      </c>
      <c r="KS34" s="109">
        <f t="shared" si="215"/>
        <v>1</v>
      </c>
      <c r="KT34" s="109">
        <f t="shared" si="215"/>
        <v>1</v>
      </c>
      <c r="KU34" s="109" t="str">
        <f t="shared" si="215"/>
        <v/>
      </c>
      <c r="KV34" s="109" t="str">
        <f t="shared" si="215"/>
        <v/>
      </c>
      <c r="KW34" s="109" t="str">
        <f t="shared" si="215"/>
        <v/>
      </c>
      <c r="KX34" s="109" t="str">
        <f t="shared" si="215"/>
        <v/>
      </c>
      <c r="KY34" s="109" t="str">
        <f t="shared" si="215"/>
        <v/>
      </c>
      <c r="KZ34" s="109" t="str">
        <f t="shared" si="215"/>
        <v/>
      </c>
      <c r="LA34" s="109" t="str">
        <f t="shared" si="215"/>
        <v/>
      </c>
      <c r="LB34" s="109" t="str">
        <f t="shared" si="215"/>
        <v/>
      </c>
      <c r="LC34" s="109" t="str">
        <f t="shared" si="215"/>
        <v/>
      </c>
      <c r="LD34" s="109" t="str">
        <f t="shared" si="215"/>
        <v/>
      </c>
      <c r="LE34" s="109" t="str">
        <f t="shared" si="215"/>
        <v/>
      </c>
      <c r="LF34" s="109" t="str">
        <f t="shared" si="215"/>
        <v/>
      </c>
      <c r="LG34" s="109" t="str">
        <f t="shared" si="215"/>
        <v/>
      </c>
      <c r="LH34" s="109" t="str">
        <f t="shared" si="215"/>
        <v/>
      </c>
      <c r="LI34" s="109" t="str">
        <f t="shared" si="215"/>
        <v/>
      </c>
      <c r="LJ34" s="109" t="str">
        <f t="shared" si="215"/>
        <v/>
      </c>
      <c r="LK34" s="109" t="str">
        <f t="shared" ref="LK34:NV34" si="216">IF(OR(LK$13="",LK$17="",LK$14="",LK$15="",LK$16="",LK$18="",LK$19="",LK$20="",LK$21=""),"",1-(LK20/(LK$1*24)))</f>
        <v/>
      </c>
      <c r="LL34" s="109" t="str">
        <f t="shared" si="216"/>
        <v/>
      </c>
      <c r="LM34" s="109" t="str">
        <f t="shared" si="216"/>
        <v/>
      </c>
      <c r="LN34" s="109" t="str">
        <f t="shared" si="216"/>
        <v/>
      </c>
      <c r="LO34" s="109" t="str">
        <f t="shared" si="216"/>
        <v/>
      </c>
      <c r="LP34" s="109" t="str">
        <f t="shared" si="216"/>
        <v/>
      </c>
      <c r="LQ34" s="109" t="str">
        <f t="shared" si="216"/>
        <v/>
      </c>
      <c r="LR34" s="109" t="str">
        <f t="shared" si="216"/>
        <v/>
      </c>
      <c r="LS34" s="109" t="str">
        <f t="shared" si="216"/>
        <v/>
      </c>
      <c r="LT34" s="109" t="str">
        <f t="shared" si="216"/>
        <v/>
      </c>
      <c r="LU34" s="109" t="str">
        <f t="shared" si="216"/>
        <v/>
      </c>
      <c r="LV34" s="109" t="str">
        <f t="shared" si="216"/>
        <v/>
      </c>
      <c r="LW34" s="109" t="str">
        <f t="shared" si="216"/>
        <v/>
      </c>
      <c r="LX34" s="109" t="str">
        <f t="shared" si="216"/>
        <v/>
      </c>
      <c r="LY34" s="109" t="str">
        <f t="shared" si="216"/>
        <v/>
      </c>
      <c r="LZ34" s="109" t="str">
        <f t="shared" si="216"/>
        <v/>
      </c>
      <c r="MA34" s="109" t="str">
        <f t="shared" si="216"/>
        <v/>
      </c>
      <c r="MB34" s="109" t="str">
        <f t="shared" si="216"/>
        <v/>
      </c>
      <c r="MC34" s="109" t="str">
        <f t="shared" si="216"/>
        <v/>
      </c>
      <c r="MD34" s="109" t="str">
        <f t="shared" si="216"/>
        <v/>
      </c>
      <c r="ME34" s="109" t="str">
        <f t="shared" si="216"/>
        <v/>
      </c>
      <c r="MF34" s="109" t="str">
        <f t="shared" si="216"/>
        <v/>
      </c>
      <c r="MG34" s="109" t="str">
        <f t="shared" si="216"/>
        <v/>
      </c>
      <c r="MH34" s="109" t="str">
        <f t="shared" si="216"/>
        <v/>
      </c>
      <c r="MI34" s="109" t="str">
        <f t="shared" si="216"/>
        <v/>
      </c>
      <c r="MJ34" s="109" t="str">
        <f t="shared" si="216"/>
        <v/>
      </c>
      <c r="MK34" s="109" t="str">
        <f t="shared" si="216"/>
        <v/>
      </c>
      <c r="ML34" s="109" t="str">
        <f t="shared" si="216"/>
        <v/>
      </c>
      <c r="MM34" s="109" t="str">
        <f t="shared" si="216"/>
        <v/>
      </c>
      <c r="MN34" s="109" t="str">
        <f t="shared" si="216"/>
        <v/>
      </c>
      <c r="MO34" s="109" t="str">
        <f t="shared" si="216"/>
        <v/>
      </c>
      <c r="MP34" s="109" t="str">
        <f t="shared" si="216"/>
        <v/>
      </c>
      <c r="MQ34" s="109" t="str">
        <f t="shared" si="216"/>
        <v/>
      </c>
      <c r="MR34" s="109" t="str">
        <f t="shared" si="216"/>
        <v/>
      </c>
      <c r="MS34" s="109" t="str">
        <f t="shared" si="216"/>
        <v/>
      </c>
      <c r="MT34" s="109" t="str">
        <f t="shared" si="216"/>
        <v/>
      </c>
      <c r="MU34" s="109" t="str">
        <f t="shared" si="216"/>
        <v/>
      </c>
      <c r="MV34" s="109" t="str">
        <f t="shared" si="216"/>
        <v/>
      </c>
      <c r="MW34" s="109" t="str">
        <f t="shared" si="216"/>
        <v/>
      </c>
      <c r="MX34" s="109" t="str">
        <f t="shared" si="216"/>
        <v/>
      </c>
      <c r="MY34" s="109" t="str">
        <f t="shared" si="216"/>
        <v/>
      </c>
      <c r="MZ34" s="109" t="str">
        <f t="shared" si="216"/>
        <v/>
      </c>
      <c r="NA34" s="109" t="str">
        <f t="shared" si="216"/>
        <v/>
      </c>
      <c r="NB34" s="109" t="str">
        <f t="shared" si="216"/>
        <v/>
      </c>
      <c r="NC34" s="109" t="str">
        <f t="shared" si="216"/>
        <v/>
      </c>
      <c r="ND34" s="109" t="str">
        <f t="shared" si="216"/>
        <v/>
      </c>
      <c r="NE34" s="109" t="str">
        <f t="shared" si="216"/>
        <v/>
      </c>
      <c r="NF34" s="109" t="str">
        <f t="shared" si="216"/>
        <v/>
      </c>
      <c r="NG34" s="109" t="str">
        <f t="shared" si="216"/>
        <v/>
      </c>
      <c r="NH34" s="109" t="str">
        <f t="shared" si="216"/>
        <v/>
      </c>
      <c r="NI34" s="109" t="str">
        <f t="shared" si="216"/>
        <v/>
      </c>
      <c r="NJ34" s="109" t="str">
        <f t="shared" si="216"/>
        <v/>
      </c>
      <c r="NK34" s="109" t="str">
        <f t="shared" si="216"/>
        <v/>
      </c>
      <c r="NL34" s="109" t="str">
        <f t="shared" si="216"/>
        <v/>
      </c>
      <c r="NM34" s="109" t="str">
        <f t="shared" si="216"/>
        <v/>
      </c>
      <c r="NN34" s="109" t="str">
        <f t="shared" si="216"/>
        <v/>
      </c>
      <c r="NO34" s="109" t="str">
        <f t="shared" si="216"/>
        <v/>
      </c>
      <c r="NP34" s="109" t="str">
        <f t="shared" si="216"/>
        <v/>
      </c>
      <c r="NQ34" s="109" t="str">
        <f t="shared" si="216"/>
        <v/>
      </c>
      <c r="NR34" s="109" t="str">
        <f t="shared" si="216"/>
        <v/>
      </c>
      <c r="NS34" s="109" t="str">
        <f t="shared" si="216"/>
        <v/>
      </c>
      <c r="NT34" s="109" t="str">
        <f t="shared" si="216"/>
        <v/>
      </c>
      <c r="NU34" s="109" t="str">
        <f t="shared" si="216"/>
        <v/>
      </c>
      <c r="NV34" s="109" t="str">
        <f t="shared" si="216"/>
        <v/>
      </c>
      <c r="NW34" s="109" t="str">
        <f t="shared" ref="NW34:QH34" si="217">IF(OR(NW$13="",NW$17="",NW$14="",NW$15="",NW$16="",NW$18="",NW$19="",NW$20="",NW$21=""),"",1-(NW20/(NW$1*24)))</f>
        <v/>
      </c>
      <c r="NX34" s="109" t="str">
        <f t="shared" si="217"/>
        <v/>
      </c>
      <c r="NY34" s="109" t="str">
        <f t="shared" si="217"/>
        <v/>
      </c>
      <c r="NZ34" s="109" t="str">
        <f t="shared" si="217"/>
        <v/>
      </c>
      <c r="OA34" s="109" t="str">
        <f t="shared" si="217"/>
        <v/>
      </c>
      <c r="OB34" s="109" t="str">
        <f t="shared" si="217"/>
        <v/>
      </c>
      <c r="OC34" s="109" t="str">
        <f t="shared" si="217"/>
        <v/>
      </c>
      <c r="OD34" s="109" t="str">
        <f t="shared" si="217"/>
        <v/>
      </c>
      <c r="OE34" s="109" t="str">
        <f t="shared" si="217"/>
        <v/>
      </c>
      <c r="OF34" s="109" t="str">
        <f t="shared" si="217"/>
        <v/>
      </c>
      <c r="OG34" s="109" t="str">
        <f t="shared" si="217"/>
        <v/>
      </c>
      <c r="OH34" s="109" t="str">
        <f t="shared" si="217"/>
        <v/>
      </c>
      <c r="OI34" s="109" t="str">
        <f t="shared" si="217"/>
        <v/>
      </c>
      <c r="OJ34" s="109" t="str">
        <f t="shared" si="217"/>
        <v/>
      </c>
      <c r="OK34" s="109" t="str">
        <f t="shared" si="217"/>
        <v/>
      </c>
      <c r="OL34" s="109" t="str">
        <f t="shared" si="217"/>
        <v/>
      </c>
      <c r="OM34" s="109" t="str">
        <f t="shared" si="217"/>
        <v/>
      </c>
      <c r="ON34" s="109" t="str">
        <f t="shared" si="217"/>
        <v/>
      </c>
      <c r="OO34" s="109" t="str">
        <f t="shared" si="217"/>
        <v/>
      </c>
      <c r="OP34" s="109" t="str">
        <f t="shared" si="217"/>
        <v/>
      </c>
      <c r="OQ34" s="109" t="str">
        <f t="shared" si="217"/>
        <v/>
      </c>
      <c r="OR34" s="109" t="str">
        <f t="shared" si="217"/>
        <v/>
      </c>
      <c r="OS34" s="109" t="str">
        <f t="shared" si="217"/>
        <v/>
      </c>
      <c r="OT34" s="109" t="str">
        <f t="shared" si="217"/>
        <v/>
      </c>
      <c r="OU34" s="109" t="str">
        <f t="shared" si="217"/>
        <v/>
      </c>
      <c r="OV34" s="109" t="str">
        <f t="shared" si="217"/>
        <v/>
      </c>
      <c r="OW34" s="109" t="str">
        <f t="shared" si="217"/>
        <v/>
      </c>
      <c r="OX34" s="109" t="str">
        <f t="shared" si="217"/>
        <v/>
      </c>
      <c r="OY34" s="109" t="str">
        <f t="shared" si="217"/>
        <v/>
      </c>
      <c r="OZ34" s="109" t="str">
        <f t="shared" si="217"/>
        <v/>
      </c>
      <c r="PA34" s="109" t="str">
        <f t="shared" si="217"/>
        <v/>
      </c>
      <c r="PB34" s="109" t="str">
        <f t="shared" si="217"/>
        <v/>
      </c>
      <c r="PC34" s="109" t="str">
        <f t="shared" si="217"/>
        <v/>
      </c>
      <c r="PD34" s="109" t="str">
        <f t="shared" si="217"/>
        <v/>
      </c>
      <c r="PE34" s="109" t="str">
        <f t="shared" si="217"/>
        <v/>
      </c>
      <c r="PF34" s="109" t="str">
        <f t="shared" si="217"/>
        <v/>
      </c>
      <c r="PG34" s="109" t="str">
        <f t="shared" si="217"/>
        <v/>
      </c>
      <c r="PH34" s="109" t="str">
        <f t="shared" si="217"/>
        <v/>
      </c>
      <c r="PI34" s="109" t="str">
        <f t="shared" si="217"/>
        <v/>
      </c>
      <c r="PJ34" s="109" t="str">
        <f t="shared" si="217"/>
        <v/>
      </c>
      <c r="PK34" s="109" t="str">
        <f t="shared" si="217"/>
        <v/>
      </c>
      <c r="PL34" s="109" t="str">
        <f t="shared" si="217"/>
        <v/>
      </c>
      <c r="PM34" s="109" t="str">
        <f t="shared" si="217"/>
        <v/>
      </c>
      <c r="PN34" s="109" t="str">
        <f t="shared" si="217"/>
        <v/>
      </c>
      <c r="PO34" s="109" t="str">
        <f t="shared" si="217"/>
        <v/>
      </c>
      <c r="PP34" s="109" t="str">
        <f t="shared" si="217"/>
        <v/>
      </c>
      <c r="PQ34" s="109" t="str">
        <f t="shared" si="217"/>
        <v/>
      </c>
      <c r="PR34" s="109" t="str">
        <f t="shared" si="217"/>
        <v/>
      </c>
      <c r="PS34" s="109" t="str">
        <f t="shared" si="217"/>
        <v/>
      </c>
      <c r="PT34" s="109" t="str">
        <f t="shared" si="217"/>
        <v/>
      </c>
      <c r="PU34" s="109" t="str">
        <f t="shared" si="217"/>
        <v/>
      </c>
      <c r="PV34" s="109" t="str">
        <f t="shared" si="217"/>
        <v/>
      </c>
      <c r="PW34" s="109" t="str">
        <f t="shared" si="217"/>
        <v/>
      </c>
      <c r="PX34" s="109" t="str">
        <f t="shared" si="217"/>
        <v/>
      </c>
      <c r="PY34" s="109" t="str">
        <f t="shared" si="217"/>
        <v/>
      </c>
      <c r="PZ34" s="109" t="str">
        <f t="shared" si="217"/>
        <v/>
      </c>
      <c r="QA34" s="109" t="str">
        <f t="shared" si="217"/>
        <v/>
      </c>
      <c r="QB34" s="109" t="str">
        <f t="shared" si="217"/>
        <v/>
      </c>
      <c r="QC34" s="109" t="str">
        <f t="shared" si="217"/>
        <v/>
      </c>
      <c r="QD34" s="109" t="str">
        <f t="shared" si="217"/>
        <v/>
      </c>
      <c r="QE34" s="109" t="str">
        <f t="shared" si="217"/>
        <v/>
      </c>
      <c r="QF34" s="109" t="str">
        <f t="shared" si="217"/>
        <v/>
      </c>
      <c r="QG34" s="109" t="str">
        <f t="shared" si="217"/>
        <v/>
      </c>
      <c r="QH34" s="109" t="str">
        <f t="shared" si="217"/>
        <v/>
      </c>
      <c r="QI34" s="109" t="str">
        <f t="shared" ref="QI34:SW34" si="218">IF(OR(QI$13="",QI$17="",QI$14="",QI$15="",QI$16="",QI$18="",QI$19="",QI$20="",QI$21=""),"",1-(QI20/(QI$1*24)))</f>
        <v/>
      </c>
      <c r="QJ34" s="109" t="str">
        <f t="shared" si="218"/>
        <v/>
      </c>
      <c r="QK34" s="109" t="str">
        <f t="shared" si="218"/>
        <v/>
      </c>
      <c r="QL34" s="109" t="str">
        <f t="shared" si="218"/>
        <v/>
      </c>
      <c r="QM34" s="109" t="str">
        <f t="shared" si="218"/>
        <v/>
      </c>
      <c r="QN34" s="109" t="str">
        <f t="shared" si="218"/>
        <v/>
      </c>
      <c r="QO34" s="109" t="str">
        <f t="shared" si="218"/>
        <v/>
      </c>
      <c r="QP34" s="109" t="str">
        <f t="shared" si="218"/>
        <v/>
      </c>
      <c r="QQ34" s="109" t="str">
        <f t="shared" si="218"/>
        <v/>
      </c>
      <c r="QR34" s="109" t="str">
        <f t="shared" si="218"/>
        <v/>
      </c>
      <c r="QS34" s="109" t="str">
        <f t="shared" si="218"/>
        <v/>
      </c>
      <c r="QT34" s="109" t="str">
        <f t="shared" si="218"/>
        <v/>
      </c>
      <c r="QU34" s="109" t="str">
        <f t="shared" si="218"/>
        <v/>
      </c>
      <c r="QV34" s="109" t="str">
        <f t="shared" si="218"/>
        <v/>
      </c>
      <c r="QW34" s="109" t="str">
        <f t="shared" si="218"/>
        <v/>
      </c>
      <c r="QX34" s="109" t="str">
        <f t="shared" si="218"/>
        <v/>
      </c>
      <c r="QY34" s="109" t="str">
        <f t="shared" si="218"/>
        <v/>
      </c>
      <c r="QZ34" s="109" t="str">
        <f t="shared" si="218"/>
        <v/>
      </c>
      <c r="RA34" s="109" t="str">
        <f t="shared" si="218"/>
        <v/>
      </c>
      <c r="RB34" s="109" t="str">
        <f t="shared" si="218"/>
        <v/>
      </c>
      <c r="RC34" s="109" t="str">
        <f t="shared" si="218"/>
        <v/>
      </c>
      <c r="RD34" s="109" t="str">
        <f t="shared" si="218"/>
        <v/>
      </c>
      <c r="RE34" s="109" t="str">
        <f t="shared" si="218"/>
        <v/>
      </c>
      <c r="RF34" s="109" t="str">
        <f t="shared" si="218"/>
        <v/>
      </c>
      <c r="RG34" s="109" t="str">
        <f t="shared" si="218"/>
        <v/>
      </c>
      <c r="RH34" s="109" t="str">
        <f t="shared" si="218"/>
        <v/>
      </c>
      <c r="RI34" s="109" t="str">
        <f t="shared" si="218"/>
        <v/>
      </c>
      <c r="RJ34" s="109" t="str">
        <f t="shared" si="218"/>
        <v/>
      </c>
      <c r="RK34" s="109" t="str">
        <f t="shared" si="218"/>
        <v/>
      </c>
      <c r="RL34" s="109" t="str">
        <f t="shared" si="218"/>
        <v/>
      </c>
      <c r="RM34" s="109" t="str">
        <f t="shared" si="218"/>
        <v/>
      </c>
      <c r="RN34" s="109" t="str">
        <f t="shared" si="218"/>
        <v/>
      </c>
      <c r="RO34" s="109" t="str">
        <f t="shared" si="218"/>
        <v/>
      </c>
      <c r="RP34" s="109" t="str">
        <f t="shared" si="218"/>
        <v/>
      </c>
      <c r="RQ34" s="109" t="str">
        <f t="shared" si="218"/>
        <v/>
      </c>
      <c r="RR34" s="109" t="str">
        <f t="shared" si="218"/>
        <v/>
      </c>
      <c r="RS34" s="109" t="str">
        <f t="shared" si="218"/>
        <v/>
      </c>
      <c r="RT34" s="109" t="str">
        <f t="shared" si="218"/>
        <v/>
      </c>
      <c r="RU34" s="109" t="str">
        <f t="shared" si="218"/>
        <v/>
      </c>
      <c r="RV34" s="109" t="str">
        <f t="shared" si="218"/>
        <v/>
      </c>
      <c r="RW34" s="109" t="str">
        <f t="shared" si="218"/>
        <v/>
      </c>
      <c r="RX34" s="109" t="str">
        <f t="shared" si="218"/>
        <v/>
      </c>
      <c r="RY34" s="109" t="str">
        <f t="shared" si="218"/>
        <v/>
      </c>
      <c r="RZ34" s="109" t="str">
        <f t="shared" si="218"/>
        <v/>
      </c>
      <c r="SA34" s="109" t="str">
        <f t="shared" si="218"/>
        <v/>
      </c>
      <c r="SB34" s="109" t="str">
        <f t="shared" si="218"/>
        <v/>
      </c>
      <c r="SC34" s="109" t="str">
        <f t="shared" si="218"/>
        <v/>
      </c>
      <c r="SD34" s="109" t="str">
        <f t="shared" si="218"/>
        <v/>
      </c>
      <c r="SE34" s="109" t="str">
        <f t="shared" si="218"/>
        <v/>
      </c>
      <c r="SF34" s="109" t="str">
        <f t="shared" si="218"/>
        <v/>
      </c>
      <c r="SG34" s="109" t="str">
        <f t="shared" si="218"/>
        <v/>
      </c>
      <c r="SH34" s="109" t="str">
        <f t="shared" si="218"/>
        <v/>
      </c>
      <c r="SI34" s="109" t="str">
        <f t="shared" si="218"/>
        <v/>
      </c>
      <c r="SJ34" s="109" t="str">
        <f t="shared" si="218"/>
        <v/>
      </c>
      <c r="SK34" s="109" t="str">
        <f t="shared" si="218"/>
        <v/>
      </c>
      <c r="SL34" s="109" t="str">
        <f t="shared" si="218"/>
        <v/>
      </c>
      <c r="SM34" s="109" t="str">
        <f t="shared" si="218"/>
        <v/>
      </c>
      <c r="SN34" s="109" t="str">
        <f t="shared" si="218"/>
        <v/>
      </c>
      <c r="SO34" s="109" t="str">
        <f t="shared" si="218"/>
        <v/>
      </c>
      <c r="SP34" s="109" t="str">
        <f t="shared" si="218"/>
        <v/>
      </c>
      <c r="SQ34" s="109" t="str">
        <f t="shared" si="218"/>
        <v/>
      </c>
      <c r="SR34" s="109" t="str">
        <f t="shared" si="218"/>
        <v/>
      </c>
      <c r="SS34" s="109" t="str">
        <f t="shared" si="218"/>
        <v/>
      </c>
      <c r="ST34" s="109" t="str">
        <f t="shared" si="218"/>
        <v/>
      </c>
      <c r="SU34" s="109" t="str">
        <f t="shared" si="218"/>
        <v/>
      </c>
      <c r="SV34" s="109" t="str">
        <f t="shared" si="218"/>
        <v/>
      </c>
      <c r="SW34" s="109" t="str">
        <f t="shared" si="218"/>
        <v/>
      </c>
    </row>
    <row r="35" spans="1:517" ht="24" customHeight="1" x14ac:dyDescent="0.2">
      <c r="A35" s="94">
        <v>777</v>
      </c>
      <c r="B35" s="117" t="s">
        <v>85</v>
      </c>
      <c r="C35" s="109">
        <f t="shared" ref="C35:BN35" si="219">IF(OR(C$13="",C$17="",C$14="",C$15="",C$16="",C$18="",C$19="",C$20="",C$21=""),"",1-(C21/(C$1*24)))</f>
        <v>1</v>
      </c>
      <c r="D35" s="109">
        <f t="shared" si="219"/>
        <v>1</v>
      </c>
      <c r="E35" s="109">
        <f t="shared" si="219"/>
        <v>1</v>
      </c>
      <c r="F35" s="109">
        <f t="shared" si="219"/>
        <v>1</v>
      </c>
      <c r="G35" s="109">
        <f t="shared" si="219"/>
        <v>1</v>
      </c>
      <c r="H35" s="109">
        <f t="shared" si="219"/>
        <v>1</v>
      </c>
      <c r="I35" s="109">
        <f t="shared" si="219"/>
        <v>1</v>
      </c>
      <c r="J35" s="109">
        <f t="shared" si="219"/>
        <v>1</v>
      </c>
      <c r="K35" s="109">
        <f t="shared" si="219"/>
        <v>1</v>
      </c>
      <c r="L35" s="109">
        <f t="shared" si="219"/>
        <v>1</v>
      </c>
      <c r="M35" s="109">
        <f t="shared" si="219"/>
        <v>1</v>
      </c>
      <c r="N35" s="109">
        <f t="shared" si="219"/>
        <v>0.95833333333333337</v>
      </c>
      <c r="O35" s="109">
        <f t="shared" si="219"/>
        <v>1</v>
      </c>
      <c r="P35" s="109">
        <f t="shared" si="219"/>
        <v>0.55499999999999994</v>
      </c>
      <c r="Q35" s="109">
        <f t="shared" si="219"/>
        <v>1</v>
      </c>
      <c r="R35" s="109">
        <f t="shared" si="219"/>
        <v>1</v>
      </c>
      <c r="S35" s="109">
        <f t="shared" si="219"/>
        <v>1</v>
      </c>
      <c r="T35" s="109">
        <f t="shared" si="219"/>
        <v>1</v>
      </c>
      <c r="U35" s="109">
        <f t="shared" si="219"/>
        <v>1</v>
      </c>
      <c r="V35" s="109">
        <f t="shared" si="219"/>
        <v>1</v>
      </c>
      <c r="W35" s="109">
        <f t="shared" si="219"/>
        <v>1</v>
      </c>
      <c r="X35" s="109">
        <f t="shared" si="219"/>
        <v>1</v>
      </c>
      <c r="Y35" s="109">
        <f t="shared" si="219"/>
        <v>1</v>
      </c>
      <c r="Z35" s="109">
        <f t="shared" si="219"/>
        <v>1</v>
      </c>
      <c r="AA35" s="109">
        <f t="shared" si="219"/>
        <v>5.6250000000000022E-2</v>
      </c>
      <c r="AB35" s="109">
        <f t="shared" si="219"/>
        <v>1</v>
      </c>
      <c r="AC35" s="109">
        <f t="shared" si="219"/>
        <v>1</v>
      </c>
      <c r="AD35" s="109">
        <f t="shared" si="219"/>
        <v>1</v>
      </c>
      <c r="AE35" s="109">
        <f t="shared" si="219"/>
        <v>0.89583333333333337</v>
      </c>
      <c r="AF35" s="109">
        <f t="shared" si="219"/>
        <v>1</v>
      </c>
      <c r="AG35" s="109">
        <f t="shared" si="219"/>
        <v>1</v>
      </c>
      <c r="AH35" s="109">
        <f t="shared" si="219"/>
        <v>1</v>
      </c>
      <c r="AI35" s="109">
        <f t="shared" si="219"/>
        <v>0.93291666666666662</v>
      </c>
      <c r="AJ35" s="109">
        <f t="shared" si="219"/>
        <v>1</v>
      </c>
      <c r="AK35" s="109">
        <f t="shared" si="219"/>
        <v>1</v>
      </c>
      <c r="AL35" s="109">
        <f t="shared" si="219"/>
        <v>1</v>
      </c>
      <c r="AM35" s="109">
        <f t="shared" si="219"/>
        <v>0.95833333333333337</v>
      </c>
      <c r="AN35" s="109">
        <f t="shared" si="219"/>
        <v>1</v>
      </c>
      <c r="AO35" s="109">
        <f t="shared" si="219"/>
        <v>1</v>
      </c>
      <c r="AP35" s="109">
        <f t="shared" si="219"/>
        <v>1</v>
      </c>
      <c r="AQ35" s="109">
        <f t="shared" si="219"/>
        <v>0.89875000000000005</v>
      </c>
      <c r="AR35" s="109">
        <f t="shared" si="219"/>
        <v>1</v>
      </c>
      <c r="AS35" s="109">
        <f t="shared" si="219"/>
        <v>1</v>
      </c>
      <c r="AT35" s="109">
        <f t="shared" si="219"/>
        <v>0.60333333333333328</v>
      </c>
      <c r="AU35" s="109">
        <f t="shared" si="219"/>
        <v>1</v>
      </c>
      <c r="AV35" s="109">
        <f t="shared" si="219"/>
        <v>1</v>
      </c>
      <c r="AW35" s="109">
        <f t="shared" si="219"/>
        <v>1</v>
      </c>
      <c r="AX35" s="109">
        <f t="shared" si="219"/>
        <v>1</v>
      </c>
      <c r="AY35" s="109">
        <f t="shared" si="219"/>
        <v>1</v>
      </c>
      <c r="AZ35" s="109">
        <f t="shared" si="219"/>
        <v>0.95</v>
      </c>
      <c r="BA35" s="109">
        <f t="shared" si="219"/>
        <v>1</v>
      </c>
      <c r="BB35" s="109">
        <f t="shared" si="219"/>
        <v>1</v>
      </c>
      <c r="BC35" s="109">
        <f t="shared" si="219"/>
        <v>1</v>
      </c>
      <c r="BD35" s="109">
        <f t="shared" si="219"/>
        <v>1</v>
      </c>
      <c r="BE35" s="109">
        <f t="shared" si="219"/>
        <v>1</v>
      </c>
      <c r="BF35" s="109">
        <f t="shared" si="219"/>
        <v>0.29458333333333331</v>
      </c>
      <c r="BG35" s="109">
        <f t="shared" si="219"/>
        <v>1</v>
      </c>
      <c r="BH35" s="109">
        <f t="shared" si="219"/>
        <v>1</v>
      </c>
      <c r="BI35" s="109">
        <f t="shared" si="219"/>
        <v>1</v>
      </c>
      <c r="BJ35" s="109">
        <f t="shared" si="219"/>
        <v>1</v>
      </c>
      <c r="BK35" s="109">
        <f t="shared" si="219"/>
        <v>1</v>
      </c>
      <c r="BL35" s="109">
        <f t="shared" si="219"/>
        <v>1</v>
      </c>
      <c r="BM35" s="109">
        <f t="shared" si="219"/>
        <v>1</v>
      </c>
      <c r="BN35" s="109">
        <f t="shared" si="219"/>
        <v>0.99250000000000005</v>
      </c>
      <c r="BO35" s="109">
        <f t="shared" ref="BO35:DZ35" si="220">IF(OR(BO$13="",BO$17="",BO$14="",BO$15="",BO$16="",BO$18="",BO$19="",BO$20="",BO$21=""),"",1-(BO21/(BO$1*24)))</f>
        <v>1</v>
      </c>
      <c r="BP35" s="109">
        <f t="shared" si="220"/>
        <v>0.43875000000000008</v>
      </c>
      <c r="BQ35" s="109">
        <f t="shared" si="220"/>
        <v>1</v>
      </c>
      <c r="BR35" s="109">
        <f t="shared" si="220"/>
        <v>0.59166666666666656</v>
      </c>
      <c r="BS35" s="109">
        <f t="shared" si="220"/>
        <v>0.95583333333333331</v>
      </c>
      <c r="BT35" s="109">
        <f t="shared" si="220"/>
        <v>1</v>
      </c>
      <c r="BU35" s="109">
        <f t="shared" si="220"/>
        <v>1</v>
      </c>
      <c r="BV35" s="109">
        <f t="shared" si="220"/>
        <v>1</v>
      </c>
      <c r="BW35" s="109">
        <f t="shared" si="220"/>
        <v>1</v>
      </c>
      <c r="BX35" s="109">
        <f t="shared" si="220"/>
        <v>1</v>
      </c>
      <c r="BY35" s="109">
        <f t="shared" si="220"/>
        <v>1</v>
      </c>
      <c r="BZ35" s="109">
        <f t="shared" si="220"/>
        <v>1</v>
      </c>
      <c r="CA35" s="109">
        <f t="shared" si="220"/>
        <v>0.98875000000000002</v>
      </c>
      <c r="CB35" s="109">
        <f t="shared" si="220"/>
        <v>1</v>
      </c>
      <c r="CC35" s="109">
        <f t="shared" si="220"/>
        <v>0.51583333333333337</v>
      </c>
      <c r="CD35" s="109">
        <f t="shared" si="220"/>
        <v>1</v>
      </c>
      <c r="CE35" s="109">
        <f t="shared" si="220"/>
        <v>1</v>
      </c>
      <c r="CF35" s="109">
        <f t="shared" si="220"/>
        <v>1</v>
      </c>
      <c r="CG35" s="109">
        <f t="shared" si="220"/>
        <v>1</v>
      </c>
      <c r="CH35" s="109">
        <f t="shared" si="220"/>
        <v>1</v>
      </c>
      <c r="CI35" s="109">
        <f t="shared" si="220"/>
        <v>1</v>
      </c>
      <c r="CJ35" s="109">
        <f t="shared" si="220"/>
        <v>0.36041666666666661</v>
      </c>
      <c r="CK35" s="109">
        <f t="shared" si="220"/>
        <v>1</v>
      </c>
      <c r="CL35" s="109">
        <f t="shared" si="220"/>
        <v>1</v>
      </c>
      <c r="CM35" s="109">
        <f t="shared" si="220"/>
        <v>1</v>
      </c>
      <c r="CN35" s="109">
        <f t="shared" si="220"/>
        <v>1</v>
      </c>
      <c r="CO35" s="109">
        <f t="shared" si="220"/>
        <v>1</v>
      </c>
      <c r="CP35" s="109">
        <f t="shared" si="220"/>
        <v>1</v>
      </c>
      <c r="CQ35" s="109">
        <f t="shared" si="220"/>
        <v>1</v>
      </c>
      <c r="CR35" s="109">
        <f t="shared" si="220"/>
        <v>1</v>
      </c>
      <c r="CS35" s="109">
        <f t="shared" si="220"/>
        <v>1</v>
      </c>
      <c r="CT35" s="109">
        <f t="shared" si="220"/>
        <v>1</v>
      </c>
      <c r="CU35" s="109">
        <f t="shared" si="220"/>
        <v>1</v>
      </c>
      <c r="CV35" s="109">
        <f t="shared" si="220"/>
        <v>1</v>
      </c>
      <c r="CW35" s="109">
        <f t="shared" si="220"/>
        <v>1</v>
      </c>
      <c r="CX35" s="109">
        <f t="shared" si="220"/>
        <v>1</v>
      </c>
      <c r="CY35" s="109">
        <f t="shared" si="220"/>
        <v>1</v>
      </c>
      <c r="CZ35" s="109">
        <f t="shared" si="220"/>
        <v>1</v>
      </c>
      <c r="DA35" s="109">
        <f t="shared" si="220"/>
        <v>0.97791666666666666</v>
      </c>
      <c r="DB35" s="109">
        <f t="shared" si="220"/>
        <v>1</v>
      </c>
      <c r="DC35" s="109">
        <f t="shared" si="220"/>
        <v>0.62833333333333341</v>
      </c>
      <c r="DD35" s="109">
        <f t="shared" si="220"/>
        <v>1</v>
      </c>
      <c r="DE35" s="109">
        <f t="shared" si="220"/>
        <v>1</v>
      </c>
      <c r="DF35" s="109">
        <f t="shared" si="220"/>
        <v>1</v>
      </c>
      <c r="DG35" s="109">
        <f t="shared" si="220"/>
        <v>1</v>
      </c>
      <c r="DH35" s="109">
        <f t="shared" si="220"/>
        <v>1</v>
      </c>
      <c r="DI35" s="109">
        <f t="shared" si="220"/>
        <v>1</v>
      </c>
      <c r="DJ35" s="109">
        <f t="shared" si="220"/>
        <v>1</v>
      </c>
      <c r="DK35" s="109">
        <f t="shared" si="220"/>
        <v>1</v>
      </c>
      <c r="DL35" s="109">
        <f t="shared" si="220"/>
        <v>0.94374999999999998</v>
      </c>
      <c r="DM35" s="109">
        <f t="shared" si="220"/>
        <v>0.66541666666666677</v>
      </c>
      <c r="DN35" s="109">
        <f t="shared" si="220"/>
        <v>1</v>
      </c>
      <c r="DO35" s="109">
        <f t="shared" si="220"/>
        <v>1</v>
      </c>
      <c r="DP35" s="109">
        <f t="shared" si="220"/>
        <v>1</v>
      </c>
      <c r="DQ35" s="109">
        <f t="shared" si="220"/>
        <v>1</v>
      </c>
      <c r="DR35" s="109">
        <f t="shared" si="220"/>
        <v>1</v>
      </c>
      <c r="DS35" s="109">
        <f t="shared" si="220"/>
        <v>1</v>
      </c>
      <c r="DT35" s="109">
        <f t="shared" si="220"/>
        <v>1</v>
      </c>
      <c r="DU35" s="109">
        <f t="shared" si="220"/>
        <v>1</v>
      </c>
      <c r="DV35" s="109">
        <f t="shared" si="220"/>
        <v>0.7104166666666667</v>
      </c>
      <c r="DW35" s="109">
        <f t="shared" si="220"/>
        <v>0.93291666666666662</v>
      </c>
      <c r="DX35" s="109">
        <f t="shared" si="220"/>
        <v>1</v>
      </c>
      <c r="DY35" s="109">
        <f t="shared" si="220"/>
        <v>1</v>
      </c>
      <c r="DZ35" s="109">
        <f t="shared" si="220"/>
        <v>0.55666666666666664</v>
      </c>
      <c r="EA35" s="109">
        <f t="shared" ref="EA35:GL35" si="221">IF(OR(EA$13="",EA$17="",EA$14="",EA$15="",EA$16="",EA$18="",EA$19="",EA$20="",EA$21=""),"",1-(EA21/(EA$1*24)))</f>
        <v>0.83833333333333337</v>
      </c>
      <c r="EB35" s="109">
        <f t="shared" si="221"/>
        <v>1</v>
      </c>
      <c r="EC35" s="109">
        <f t="shared" si="221"/>
        <v>0.4916666666666667</v>
      </c>
      <c r="ED35" s="109">
        <f t="shared" si="221"/>
        <v>1</v>
      </c>
      <c r="EE35" s="109">
        <f t="shared" si="221"/>
        <v>1</v>
      </c>
      <c r="EF35" s="109">
        <f t="shared" si="221"/>
        <v>1</v>
      </c>
      <c r="EG35" s="109">
        <f t="shared" si="221"/>
        <v>1</v>
      </c>
      <c r="EH35" s="109">
        <f t="shared" si="221"/>
        <v>1</v>
      </c>
      <c r="EI35" s="109">
        <f t="shared" si="221"/>
        <v>1</v>
      </c>
      <c r="EJ35" s="109">
        <f t="shared" si="221"/>
        <v>1</v>
      </c>
      <c r="EK35" s="109">
        <f t="shared" si="221"/>
        <v>1</v>
      </c>
      <c r="EL35" s="109">
        <f t="shared" si="221"/>
        <v>1</v>
      </c>
      <c r="EM35" s="109">
        <f t="shared" si="221"/>
        <v>1</v>
      </c>
      <c r="EN35" s="109">
        <f t="shared" si="221"/>
        <v>0.64583333333333326</v>
      </c>
      <c r="EO35" s="109">
        <f t="shared" si="221"/>
        <v>0.93333333333333335</v>
      </c>
      <c r="EP35" s="109">
        <f t="shared" si="221"/>
        <v>1</v>
      </c>
      <c r="EQ35" s="109">
        <f t="shared" si="221"/>
        <v>0.78874999999999995</v>
      </c>
      <c r="ER35" s="109">
        <f t="shared" si="221"/>
        <v>1</v>
      </c>
      <c r="ES35" s="109">
        <f t="shared" si="221"/>
        <v>0.50708333333333333</v>
      </c>
      <c r="ET35" s="109">
        <f t="shared" si="221"/>
        <v>0.62708333333333344</v>
      </c>
      <c r="EU35" s="109">
        <f t="shared" si="221"/>
        <v>1</v>
      </c>
      <c r="EV35" s="109">
        <f t="shared" si="221"/>
        <v>1</v>
      </c>
      <c r="EW35" s="109">
        <f t="shared" si="221"/>
        <v>1</v>
      </c>
      <c r="EX35" s="109">
        <f t="shared" si="221"/>
        <v>1</v>
      </c>
      <c r="EY35" s="109">
        <f t="shared" si="221"/>
        <v>1</v>
      </c>
      <c r="EZ35" s="109">
        <f t="shared" si="221"/>
        <v>1</v>
      </c>
      <c r="FA35" s="109">
        <f t="shared" si="221"/>
        <v>1</v>
      </c>
      <c r="FB35" s="109">
        <f t="shared" si="221"/>
        <v>1</v>
      </c>
      <c r="FC35" s="109">
        <f t="shared" si="221"/>
        <v>1</v>
      </c>
      <c r="FD35" s="109">
        <f t="shared" si="221"/>
        <v>0.67416666666666658</v>
      </c>
      <c r="FE35" s="109">
        <f t="shared" si="221"/>
        <v>0.7583333333333333</v>
      </c>
      <c r="FF35" s="109">
        <f t="shared" si="221"/>
        <v>1</v>
      </c>
      <c r="FG35" s="109">
        <f t="shared" si="221"/>
        <v>0.91708333333333336</v>
      </c>
      <c r="FH35" s="109">
        <f t="shared" si="221"/>
        <v>1</v>
      </c>
      <c r="FI35" s="109">
        <f t="shared" si="221"/>
        <v>1</v>
      </c>
      <c r="FJ35" s="109">
        <f t="shared" si="221"/>
        <v>1</v>
      </c>
      <c r="FK35" s="109">
        <f t="shared" si="221"/>
        <v>1</v>
      </c>
      <c r="FL35" s="109">
        <f t="shared" si="221"/>
        <v>1</v>
      </c>
      <c r="FM35" s="109">
        <f t="shared" si="221"/>
        <v>0.38624999999999998</v>
      </c>
      <c r="FN35" s="109">
        <f t="shared" si="221"/>
        <v>1</v>
      </c>
      <c r="FO35" s="109">
        <f t="shared" si="221"/>
        <v>1</v>
      </c>
      <c r="FP35" s="109">
        <f t="shared" si="221"/>
        <v>1</v>
      </c>
      <c r="FQ35" s="109">
        <f t="shared" si="221"/>
        <v>0.96916666666666662</v>
      </c>
      <c r="FR35" s="109">
        <f t="shared" si="221"/>
        <v>1</v>
      </c>
      <c r="FS35" s="109">
        <f t="shared" si="221"/>
        <v>1</v>
      </c>
      <c r="FT35" s="109">
        <f t="shared" si="221"/>
        <v>0.86250000000000004</v>
      </c>
      <c r="FU35" s="109">
        <f t="shared" si="221"/>
        <v>1</v>
      </c>
      <c r="FV35" s="109">
        <f t="shared" si="221"/>
        <v>1</v>
      </c>
      <c r="FW35" s="109">
        <f t="shared" si="221"/>
        <v>1</v>
      </c>
      <c r="FX35" s="109">
        <f t="shared" si="221"/>
        <v>1</v>
      </c>
      <c r="FY35" s="109">
        <f t="shared" si="221"/>
        <v>1</v>
      </c>
      <c r="FZ35" s="109">
        <f t="shared" si="221"/>
        <v>1</v>
      </c>
      <c r="GA35" s="109">
        <f t="shared" si="157"/>
        <v>-0.7</v>
      </c>
      <c r="GB35" s="109">
        <f t="shared" si="157"/>
        <v>0.23749999999999993</v>
      </c>
      <c r="GC35" s="109">
        <f t="shared" si="221"/>
        <v>1</v>
      </c>
      <c r="GD35" s="109">
        <f t="shared" si="221"/>
        <v>1</v>
      </c>
      <c r="GE35" s="109">
        <f t="shared" si="221"/>
        <v>0.97583333333333333</v>
      </c>
      <c r="GF35" s="109">
        <f t="shared" si="221"/>
        <v>1</v>
      </c>
      <c r="GG35" s="109">
        <f t="shared" si="221"/>
        <v>1</v>
      </c>
      <c r="GH35" s="109">
        <f t="shared" si="221"/>
        <v>1</v>
      </c>
      <c r="GI35" s="109">
        <f t="shared" si="221"/>
        <v>0.78208333333333335</v>
      </c>
      <c r="GJ35" s="109">
        <f t="shared" si="221"/>
        <v>1</v>
      </c>
      <c r="GK35" s="109">
        <f t="shared" si="221"/>
        <v>1</v>
      </c>
      <c r="GL35" s="109">
        <f t="shared" si="221"/>
        <v>1</v>
      </c>
      <c r="GM35" s="109">
        <f t="shared" ref="GM35:IX35" si="222">IF(OR(GM$13="",GM$17="",GM$14="",GM$15="",GM$16="",GM$18="",GM$19="",GM$20="",GM$21=""),"",1-(GM21/(GM$1*24)))</f>
        <v>1</v>
      </c>
      <c r="GN35" s="109">
        <f t="shared" si="222"/>
        <v>1</v>
      </c>
      <c r="GO35" s="109">
        <f t="shared" si="222"/>
        <v>1</v>
      </c>
      <c r="GP35" s="109">
        <f t="shared" si="222"/>
        <v>1</v>
      </c>
      <c r="GQ35" s="109">
        <f t="shared" si="222"/>
        <v>0.9654166666666667</v>
      </c>
      <c r="GR35" s="109">
        <f t="shared" si="222"/>
        <v>1</v>
      </c>
      <c r="GS35" s="109">
        <f t="shared" si="222"/>
        <v>1</v>
      </c>
      <c r="GT35" s="109">
        <f t="shared" si="222"/>
        <v>1</v>
      </c>
      <c r="GU35" s="109">
        <f t="shared" si="222"/>
        <v>1</v>
      </c>
      <c r="GV35" s="109">
        <f t="shared" si="222"/>
        <v>1</v>
      </c>
      <c r="GW35" s="109">
        <f t="shared" si="222"/>
        <v>1</v>
      </c>
      <c r="GX35" s="109">
        <f t="shared" si="222"/>
        <v>1</v>
      </c>
      <c r="GY35" s="109">
        <f t="shared" si="222"/>
        <v>1</v>
      </c>
      <c r="GZ35" s="109">
        <f t="shared" si="222"/>
        <v>1</v>
      </c>
      <c r="HA35" s="109">
        <f t="shared" si="222"/>
        <v>1</v>
      </c>
      <c r="HB35" s="109">
        <f t="shared" si="222"/>
        <v>1</v>
      </c>
      <c r="HC35" s="109">
        <f t="shared" si="222"/>
        <v>1</v>
      </c>
      <c r="HD35" s="109">
        <f t="shared" si="222"/>
        <v>1</v>
      </c>
      <c r="HE35" s="109">
        <f t="shared" si="222"/>
        <v>1</v>
      </c>
      <c r="HF35" s="109">
        <f t="shared" si="222"/>
        <v>1</v>
      </c>
      <c r="HG35" s="109">
        <f t="shared" si="222"/>
        <v>1</v>
      </c>
      <c r="HH35" s="109">
        <f t="shared" si="222"/>
        <v>1</v>
      </c>
      <c r="HI35" s="109">
        <f t="shared" si="222"/>
        <v>1</v>
      </c>
      <c r="HJ35" s="109">
        <f t="shared" si="222"/>
        <v>0.9972685185185185</v>
      </c>
      <c r="HK35" s="109">
        <f t="shared" si="222"/>
        <v>1</v>
      </c>
      <c r="HL35" s="109">
        <f t="shared" si="222"/>
        <v>1</v>
      </c>
      <c r="HM35" s="109">
        <f t="shared" si="222"/>
        <v>1</v>
      </c>
      <c r="HN35" s="109">
        <f t="shared" si="222"/>
        <v>0.9679282407407408</v>
      </c>
      <c r="HO35" s="109">
        <f t="shared" si="222"/>
        <v>1</v>
      </c>
      <c r="HP35" s="109">
        <f t="shared" si="222"/>
        <v>1</v>
      </c>
      <c r="HQ35" s="109">
        <f t="shared" si="222"/>
        <v>0.83194444444444449</v>
      </c>
      <c r="HR35" s="109">
        <f t="shared" si="222"/>
        <v>1</v>
      </c>
      <c r="HS35" s="109">
        <f t="shared" si="222"/>
        <v>0.67842592592592599</v>
      </c>
      <c r="HT35" s="109">
        <f t="shared" si="222"/>
        <v>1</v>
      </c>
      <c r="HU35" s="109">
        <f t="shared" si="222"/>
        <v>1</v>
      </c>
      <c r="HV35" s="109">
        <f t="shared" si="222"/>
        <v>1</v>
      </c>
      <c r="HW35" s="109">
        <f t="shared" si="222"/>
        <v>1</v>
      </c>
      <c r="HX35" s="109">
        <f t="shared" si="222"/>
        <v>1</v>
      </c>
      <c r="HY35" s="109">
        <f t="shared" si="222"/>
        <v>1</v>
      </c>
      <c r="HZ35" s="109">
        <f t="shared" si="222"/>
        <v>1</v>
      </c>
      <c r="IA35" s="109">
        <f t="shared" si="222"/>
        <v>1</v>
      </c>
      <c r="IB35" s="109">
        <f t="shared" si="222"/>
        <v>1</v>
      </c>
      <c r="IC35" s="109">
        <f t="shared" si="222"/>
        <v>1</v>
      </c>
      <c r="ID35" s="109">
        <f t="shared" si="222"/>
        <v>1</v>
      </c>
      <c r="IE35" s="109">
        <f t="shared" si="222"/>
        <v>0.85916666666666663</v>
      </c>
      <c r="IF35" s="109">
        <f t="shared" si="222"/>
        <v>1</v>
      </c>
      <c r="IG35" s="109">
        <f t="shared" si="222"/>
        <v>0.98250000000000004</v>
      </c>
      <c r="IH35" s="109">
        <f t="shared" si="222"/>
        <v>1</v>
      </c>
      <c r="II35" s="109">
        <f t="shared" si="222"/>
        <v>1</v>
      </c>
      <c r="IJ35" s="109">
        <f t="shared" si="222"/>
        <v>1</v>
      </c>
      <c r="IK35" s="109">
        <f t="shared" si="222"/>
        <v>1</v>
      </c>
      <c r="IL35" s="109">
        <f t="shared" si="222"/>
        <v>0.46184027777777781</v>
      </c>
      <c r="IM35" s="109">
        <f t="shared" si="222"/>
        <v>0</v>
      </c>
      <c r="IN35" s="109">
        <f t="shared" si="222"/>
        <v>0</v>
      </c>
      <c r="IO35" s="109">
        <f t="shared" si="222"/>
        <v>0</v>
      </c>
      <c r="IP35" s="109">
        <f t="shared" si="222"/>
        <v>0</v>
      </c>
      <c r="IQ35" s="109">
        <f t="shared" si="222"/>
        <v>0.81350694444444449</v>
      </c>
      <c r="IR35" s="109">
        <f t="shared" si="222"/>
        <v>0.12569444444444444</v>
      </c>
      <c r="IS35" s="109">
        <f t="shared" si="222"/>
        <v>-1.0046296296296164E-2</v>
      </c>
      <c r="IT35" s="109">
        <f t="shared" si="222"/>
        <v>9.1886574074074079E-2</v>
      </c>
      <c r="IU35" s="109">
        <f t="shared" si="222"/>
        <v>0.736724537037037</v>
      </c>
      <c r="IV35" s="109">
        <f t="shared" si="222"/>
        <v>1</v>
      </c>
      <c r="IW35" s="109">
        <f t="shared" si="222"/>
        <v>0.99833333333333329</v>
      </c>
      <c r="IX35" s="109">
        <f t="shared" si="222"/>
        <v>1</v>
      </c>
      <c r="IY35" s="109">
        <f t="shared" ref="IY35:LJ35" si="223">IF(OR(IY$13="",IY$17="",IY$14="",IY$15="",IY$16="",IY$18="",IY$19="",IY$20="",IY$21=""),"",1-(IY21/(IY$1*24)))</f>
        <v>0.78041666666666665</v>
      </c>
      <c r="IZ35" s="109">
        <f t="shared" si="223"/>
        <v>0.98850694444444442</v>
      </c>
      <c r="JA35" s="109">
        <f t="shared" si="223"/>
        <v>1</v>
      </c>
      <c r="JB35" s="109">
        <f t="shared" si="223"/>
        <v>1</v>
      </c>
      <c r="JC35" s="109">
        <f t="shared" si="223"/>
        <v>0.85322916666666671</v>
      </c>
      <c r="JD35" s="109">
        <f t="shared" si="223"/>
        <v>0.37857638888888889</v>
      </c>
      <c r="JE35" s="109">
        <f t="shared" si="223"/>
        <v>0.73284722222222221</v>
      </c>
      <c r="JF35" s="109">
        <f t="shared" si="223"/>
        <v>0.90638888888888891</v>
      </c>
      <c r="JG35" s="109">
        <f t="shared" si="223"/>
        <v>0.9732291666666667</v>
      </c>
      <c r="JH35" s="109">
        <f t="shared" si="223"/>
        <v>1</v>
      </c>
      <c r="JI35" s="109">
        <f t="shared" si="223"/>
        <v>1</v>
      </c>
      <c r="JJ35" s="109">
        <f t="shared" si="223"/>
        <v>1</v>
      </c>
      <c r="JK35" s="109">
        <f t="shared" si="223"/>
        <v>0.82111111111111112</v>
      </c>
      <c r="JL35" s="109">
        <f t="shared" si="223"/>
        <v>0.72942129629629626</v>
      </c>
      <c r="JM35" s="109">
        <f t="shared" si="223"/>
        <v>0.98454861111111114</v>
      </c>
      <c r="JN35" s="109">
        <f t="shared" si="223"/>
        <v>0.95833333333333337</v>
      </c>
      <c r="JO35" s="109">
        <f t="shared" si="223"/>
        <v>0.95833333333333337</v>
      </c>
      <c r="JP35" s="109">
        <f t="shared" si="223"/>
        <v>0.78874999999999995</v>
      </c>
      <c r="JQ35" s="109">
        <f t="shared" si="223"/>
        <v>0.95833333333333337</v>
      </c>
      <c r="JR35" s="109">
        <f t="shared" si="223"/>
        <v>0.98208333333333331</v>
      </c>
      <c r="JS35" s="109">
        <f t="shared" si="223"/>
        <v>0.95833333333333337</v>
      </c>
      <c r="JT35" s="109">
        <f t="shared" si="223"/>
        <v>0.98250000000000004</v>
      </c>
      <c r="JU35" s="109">
        <f t="shared" si="223"/>
        <v>0.45833333333333337</v>
      </c>
      <c r="JV35" s="109">
        <f t="shared" si="223"/>
        <v>0.95833333333333337</v>
      </c>
      <c r="JW35" s="109">
        <f t="shared" si="223"/>
        <v>1</v>
      </c>
      <c r="JX35" s="109">
        <f t="shared" si="223"/>
        <v>1</v>
      </c>
      <c r="JY35" s="109">
        <f t="shared" si="223"/>
        <v>1</v>
      </c>
      <c r="JZ35" s="109">
        <f t="shared" si="223"/>
        <v>1</v>
      </c>
      <c r="KA35" s="109">
        <f t="shared" si="223"/>
        <v>1</v>
      </c>
      <c r="KB35" s="109">
        <f t="shared" si="223"/>
        <v>1</v>
      </c>
      <c r="KC35" s="109">
        <f t="shared" si="223"/>
        <v>1</v>
      </c>
      <c r="KD35" s="109">
        <f t="shared" si="223"/>
        <v>1</v>
      </c>
      <c r="KE35" s="109">
        <f t="shared" si="223"/>
        <v>1</v>
      </c>
      <c r="KF35" s="109">
        <f t="shared" si="223"/>
        <v>1</v>
      </c>
      <c r="KG35" s="109">
        <f t="shared" si="223"/>
        <v>1</v>
      </c>
      <c r="KH35" s="109">
        <f t="shared" si="223"/>
        <v>1</v>
      </c>
      <c r="KI35" s="109">
        <f t="shared" si="223"/>
        <v>1</v>
      </c>
      <c r="KJ35" s="109">
        <f t="shared" si="223"/>
        <v>1</v>
      </c>
      <c r="KK35" s="109">
        <f t="shared" si="223"/>
        <v>1</v>
      </c>
      <c r="KL35" s="109">
        <f t="shared" si="223"/>
        <v>1</v>
      </c>
      <c r="KM35" s="109">
        <f t="shared" si="223"/>
        <v>1</v>
      </c>
      <c r="KN35" s="109">
        <f t="shared" si="223"/>
        <v>1</v>
      </c>
      <c r="KO35" s="109">
        <f t="shared" si="223"/>
        <v>1</v>
      </c>
      <c r="KP35" s="109">
        <f t="shared" si="223"/>
        <v>1</v>
      </c>
      <c r="KQ35" s="109">
        <f t="shared" si="223"/>
        <v>1</v>
      </c>
      <c r="KR35" s="109">
        <f t="shared" si="223"/>
        <v>1</v>
      </c>
      <c r="KS35" s="109">
        <f t="shared" si="223"/>
        <v>1</v>
      </c>
      <c r="KT35" s="109">
        <f t="shared" si="223"/>
        <v>1</v>
      </c>
      <c r="KU35" s="109" t="str">
        <f t="shared" si="223"/>
        <v/>
      </c>
      <c r="KV35" s="109" t="str">
        <f t="shared" si="223"/>
        <v/>
      </c>
      <c r="KW35" s="109" t="str">
        <f t="shared" si="223"/>
        <v/>
      </c>
      <c r="KX35" s="109" t="str">
        <f t="shared" si="223"/>
        <v/>
      </c>
      <c r="KY35" s="109" t="str">
        <f t="shared" si="223"/>
        <v/>
      </c>
      <c r="KZ35" s="109" t="str">
        <f t="shared" si="223"/>
        <v/>
      </c>
      <c r="LA35" s="109" t="str">
        <f t="shared" si="223"/>
        <v/>
      </c>
      <c r="LB35" s="109" t="str">
        <f t="shared" si="223"/>
        <v/>
      </c>
      <c r="LC35" s="109" t="str">
        <f t="shared" si="223"/>
        <v/>
      </c>
      <c r="LD35" s="109" t="str">
        <f t="shared" si="223"/>
        <v/>
      </c>
      <c r="LE35" s="109" t="str">
        <f t="shared" si="223"/>
        <v/>
      </c>
      <c r="LF35" s="109" t="str">
        <f t="shared" si="223"/>
        <v/>
      </c>
      <c r="LG35" s="109" t="str">
        <f t="shared" si="223"/>
        <v/>
      </c>
      <c r="LH35" s="109" t="str">
        <f t="shared" si="223"/>
        <v/>
      </c>
      <c r="LI35" s="109" t="str">
        <f t="shared" si="223"/>
        <v/>
      </c>
      <c r="LJ35" s="109" t="str">
        <f t="shared" si="223"/>
        <v/>
      </c>
      <c r="LK35" s="109" t="str">
        <f t="shared" ref="LK35:NV35" si="224">IF(OR(LK$13="",LK$17="",LK$14="",LK$15="",LK$16="",LK$18="",LK$19="",LK$20="",LK$21=""),"",1-(LK21/(LK$1*24)))</f>
        <v/>
      </c>
      <c r="LL35" s="109" t="str">
        <f t="shared" si="224"/>
        <v/>
      </c>
      <c r="LM35" s="109" t="str">
        <f t="shared" si="224"/>
        <v/>
      </c>
      <c r="LN35" s="109" t="str">
        <f t="shared" si="224"/>
        <v/>
      </c>
      <c r="LO35" s="109" t="str">
        <f t="shared" si="224"/>
        <v/>
      </c>
      <c r="LP35" s="109" t="str">
        <f t="shared" si="224"/>
        <v/>
      </c>
      <c r="LQ35" s="109" t="str">
        <f t="shared" si="224"/>
        <v/>
      </c>
      <c r="LR35" s="109" t="str">
        <f t="shared" si="224"/>
        <v/>
      </c>
      <c r="LS35" s="109" t="str">
        <f t="shared" si="224"/>
        <v/>
      </c>
      <c r="LT35" s="109" t="str">
        <f t="shared" si="224"/>
        <v/>
      </c>
      <c r="LU35" s="109" t="str">
        <f t="shared" si="224"/>
        <v/>
      </c>
      <c r="LV35" s="109" t="str">
        <f t="shared" si="224"/>
        <v/>
      </c>
      <c r="LW35" s="109" t="str">
        <f t="shared" si="224"/>
        <v/>
      </c>
      <c r="LX35" s="109" t="str">
        <f t="shared" si="224"/>
        <v/>
      </c>
      <c r="LY35" s="109" t="str">
        <f t="shared" si="224"/>
        <v/>
      </c>
      <c r="LZ35" s="109" t="str">
        <f t="shared" si="224"/>
        <v/>
      </c>
      <c r="MA35" s="109" t="str">
        <f t="shared" si="224"/>
        <v/>
      </c>
      <c r="MB35" s="109" t="str">
        <f t="shared" si="224"/>
        <v/>
      </c>
      <c r="MC35" s="109" t="str">
        <f t="shared" si="224"/>
        <v/>
      </c>
      <c r="MD35" s="109" t="str">
        <f t="shared" si="224"/>
        <v/>
      </c>
      <c r="ME35" s="109" t="str">
        <f t="shared" si="224"/>
        <v/>
      </c>
      <c r="MF35" s="109" t="str">
        <f t="shared" si="224"/>
        <v/>
      </c>
      <c r="MG35" s="109" t="str">
        <f t="shared" si="224"/>
        <v/>
      </c>
      <c r="MH35" s="109" t="str">
        <f t="shared" si="224"/>
        <v/>
      </c>
      <c r="MI35" s="109" t="str">
        <f t="shared" si="224"/>
        <v/>
      </c>
      <c r="MJ35" s="109" t="str">
        <f t="shared" si="224"/>
        <v/>
      </c>
      <c r="MK35" s="109" t="str">
        <f t="shared" si="224"/>
        <v/>
      </c>
      <c r="ML35" s="109" t="str">
        <f t="shared" si="224"/>
        <v/>
      </c>
      <c r="MM35" s="109" t="str">
        <f t="shared" si="224"/>
        <v/>
      </c>
      <c r="MN35" s="109" t="str">
        <f t="shared" si="224"/>
        <v/>
      </c>
      <c r="MO35" s="109" t="str">
        <f t="shared" si="224"/>
        <v/>
      </c>
      <c r="MP35" s="109" t="str">
        <f t="shared" si="224"/>
        <v/>
      </c>
      <c r="MQ35" s="109" t="str">
        <f t="shared" si="224"/>
        <v/>
      </c>
      <c r="MR35" s="109" t="str">
        <f t="shared" si="224"/>
        <v/>
      </c>
      <c r="MS35" s="109" t="str">
        <f t="shared" si="224"/>
        <v/>
      </c>
      <c r="MT35" s="109" t="str">
        <f t="shared" si="224"/>
        <v/>
      </c>
      <c r="MU35" s="109" t="str">
        <f t="shared" si="224"/>
        <v/>
      </c>
      <c r="MV35" s="109" t="str">
        <f t="shared" si="224"/>
        <v/>
      </c>
      <c r="MW35" s="109" t="str">
        <f t="shared" si="224"/>
        <v/>
      </c>
      <c r="MX35" s="109" t="str">
        <f t="shared" si="224"/>
        <v/>
      </c>
      <c r="MY35" s="109" t="str">
        <f t="shared" si="224"/>
        <v/>
      </c>
      <c r="MZ35" s="109" t="str">
        <f t="shared" si="224"/>
        <v/>
      </c>
      <c r="NA35" s="109" t="str">
        <f t="shared" si="224"/>
        <v/>
      </c>
      <c r="NB35" s="109" t="str">
        <f t="shared" si="224"/>
        <v/>
      </c>
      <c r="NC35" s="109" t="str">
        <f t="shared" si="224"/>
        <v/>
      </c>
      <c r="ND35" s="109" t="str">
        <f t="shared" si="224"/>
        <v/>
      </c>
      <c r="NE35" s="109" t="str">
        <f t="shared" si="224"/>
        <v/>
      </c>
      <c r="NF35" s="109" t="str">
        <f t="shared" si="224"/>
        <v/>
      </c>
      <c r="NG35" s="109" t="str">
        <f t="shared" si="224"/>
        <v/>
      </c>
      <c r="NH35" s="109" t="str">
        <f t="shared" si="224"/>
        <v/>
      </c>
      <c r="NI35" s="109" t="str">
        <f t="shared" si="224"/>
        <v/>
      </c>
      <c r="NJ35" s="109" t="str">
        <f t="shared" si="224"/>
        <v/>
      </c>
      <c r="NK35" s="109" t="str">
        <f t="shared" si="224"/>
        <v/>
      </c>
      <c r="NL35" s="109" t="str">
        <f t="shared" si="224"/>
        <v/>
      </c>
      <c r="NM35" s="109" t="str">
        <f t="shared" si="224"/>
        <v/>
      </c>
      <c r="NN35" s="109" t="str">
        <f t="shared" si="224"/>
        <v/>
      </c>
      <c r="NO35" s="109" t="str">
        <f t="shared" si="224"/>
        <v/>
      </c>
      <c r="NP35" s="109" t="str">
        <f t="shared" si="224"/>
        <v/>
      </c>
      <c r="NQ35" s="109" t="str">
        <f t="shared" si="224"/>
        <v/>
      </c>
      <c r="NR35" s="109" t="str">
        <f t="shared" si="224"/>
        <v/>
      </c>
      <c r="NS35" s="109" t="str">
        <f t="shared" si="224"/>
        <v/>
      </c>
      <c r="NT35" s="109" t="str">
        <f t="shared" si="224"/>
        <v/>
      </c>
      <c r="NU35" s="109" t="str">
        <f t="shared" si="224"/>
        <v/>
      </c>
      <c r="NV35" s="109" t="str">
        <f t="shared" si="224"/>
        <v/>
      </c>
      <c r="NW35" s="109" t="str">
        <f t="shared" ref="NW35:QH35" si="225">IF(OR(NW$13="",NW$17="",NW$14="",NW$15="",NW$16="",NW$18="",NW$19="",NW$20="",NW$21=""),"",1-(NW21/(NW$1*24)))</f>
        <v/>
      </c>
      <c r="NX35" s="109" t="str">
        <f t="shared" si="225"/>
        <v/>
      </c>
      <c r="NY35" s="109" t="str">
        <f t="shared" si="225"/>
        <v/>
      </c>
      <c r="NZ35" s="109" t="str">
        <f t="shared" si="225"/>
        <v/>
      </c>
      <c r="OA35" s="109" t="str">
        <f t="shared" si="225"/>
        <v/>
      </c>
      <c r="OB35" s="109" t="str">
        <f t="shared" si="225"/>
        <v/>
      </c>
      <c r="OC35" s="109" t="str">
        <f t="shared" si="225"/>
        <v/>
      </c>
      <c r="OD35" s="109" t="str">
        <f t="shared" si="225"/>
        <v/>
      </c>
      <c r="OE35" s="109" t="str">
        <f t="shared" si="225"/>
        <v/>
      </c>
      <c r="OF35" s="109" t="str">
        <f t="shared" si="225"/>
        <v/>
      </c>
      <c r="OG35" s="109" t="str">
        <f t="shared" si="225"/>
        <v/>
      </c>
      <c r="OH35" s="109" t="str">
        <f t="shared" si="225"/>
        <v/>
      </c>
      <c r="OI35" s="109" t="str">
        <f t="shared" si="225"/>
        <v/>
      </c>
      <c r="OJ35" s="109" t="str">
        <f t="shared" si="225"/>
        <v/>
      </c>
      <c r="OK35" s="109" t="str">
        <f t="shared" si="225"/>
        <v/>
      </c>
      <c r="OL35" s="109" t="str">
        <f t="shared" si="225"/>
        <v/>
      </c>
      <c r="OM35" s="109" t="str">
        <f t="shared" si="225"/>
        <v/>
      </c>
      <c r="ON35" s="109" t="str">
        <f t="shared" si="225"/>
        <v/>
      </c>
      <c r="OO35" s="109" t="str">
        <f t="shared" si="225"/>
        <v/>
      </c>
      <c r="OP35" s="109" t="str">
        <f t="shared" si="225"/>
        <v/>
      </c>
      <c r="OQ35" s="109" t="str">
        <f t="shared" si="225"/>
        <v/>
      </c>
      <c r="OR35" s="109" t="str">
        <f t="shared" si="225"/>
        <v/>
      </c>
      <c r="OS35" s="109" t="str">
        <f t="shared" si="225"/>
        <v/>
      </c>
      <c r="OT35" s="109" t="str">
        <f t="shared" si="225"/>
        <v/>
      </c>
      <c r="OU35" s="109" t="str">
        <f t="shared" si="225"/>
        <v/>
      </c>
      <c r="OV35" s="109" t="str">
        <f t="shared" si="225"/>
        <v/>
      </c>
      <c r="OW35" s="109" t="str">
        <f t="shared" si="225"/>
        <v/>
      </c>
      <c r="OX35" s="109" t="str">
        <f t="shared" si="225"/>
        <v/>
      </c>
      <c r="OY35" s="109" t="str">
        <f t="shared" si="225"/>
        <v/>
      </c>
      <c r="OZ35" s="109" t="str">
        <f t="shared" si="225"/>
        <v/>
      </c>
      <c r="PA35" s="109" t="str">
        <f t="shared" si="225"/>
        <v/>
      </c>
      <c r="PB35" s="109" t="str">
        <f t="shared" si="225"/>
        <v/>
      </c>
      <c r="PC35" s="109" t="str">
        <f t="shared" si="225"/>
        <v/>
      </c>
      <c r="PD35" s="109" t="str">
        <f t="shared" si="225"/>
        <v/>
      </c>
      <c r="PE35" s="109" t="str">
        <f t="shared" si="225"/>
        <v/>
      </c>
      <c r="PF35" s="109" t="str">
        <f t="shared" si="225"/>
        <v/>
      </c>
      <c r="PG35" s="109" t="str">
        <f t="shared" si="225"/>
        <v/>
      </c>
      <c r="PH35" s="109" t="str">
        <f t="shared" si="225"/>
        <v/>
      </c>
      <c r="PI35" s="109" t="str">
        <f t="shared" si="225"/>
        <v/>
      </c>
      <c r="PJ35" s="109" t="str">
        <f t="shared" si="225"/>
        <v/>
      </c>
      <c r="PK35" s="109" t="str">
        <f t="shared" si="225"/>
        <v/>
      </c>
      <c r="PL35" s="109" t="str">
        <f t="shared" si="225"/>
        <v/>
      </c>
      <c r="PM35" s="109" t="str">
        <f t="shared" si="225"/>
        <v/>
      </c>
      <c r="PN35" s="109" t="str">
        <f t="shared" si="225"/>
        <v/>
      </c>
      <c r="PO35" s="109" t="str">
        <f t="shared" si="225"/>
        <v/>
      </c>
      <c r="PP35" s="109" t="str">
        <f t="shared" si="225"/>
        <v/>
      </c>
      <c r="PQ35" s="109" t="str">
        <f t="shared" si="225"/>
        <v/>
      </c>
      <c r="PR35" s="109" t="str">
        <f t="shared" si="225"/>
        <v/>
      </c>
      <c r="PS35" s="109" t="str">
        <f t="shared" si="225"/>
        <v/>
      </c>
      <c r="PT35" s="109" t="str">
        <f t="shared" si="225"/>
        <v/>
      </c>
      <c r="PU35" s="109" t="str">
        <f t="shared" si="225"/>
        <v/>
      </c>
      <c r="PV35" s="109" t="str">
        <f t="shared" si="225"/>
        <v/>
      </c>
      <c r="PW35" s="109" t="str">
        <f t="shared" si="225"/>
        <v/>
      </c>
      <c r="PX35" s="109" t="str">
        <f t="shared" si="225"/>
        <v/>
      </c>
      <c r="PY35" s="109" t="str">
        <f t="shared" si="225"/>
        <v/>
      </c>
      <c r="PZ35" s="109" t="str">
        <f t="shared" si="225"/>
        <v/>
      </c>
      <c r="QA35" s="109" t="str">
        <f t="shared" si="225"/>
        <v/>
      </c>
      <c r="QB35" s="109" t="str">
        <f t="shared" si="225"/>
        <v/>
      </c>
      <c r="QC35" s="109" t="str">
        <f t="shared" si="225"/>
        <v/>
      </c>
      <c r="QD35" s="109" t="str">
        <f t="shared" si="225"/>
        <v/>
      </c>
      <c r="QE35" s="109" t="str">
        <f t="shared" si="225"/>
        <v/>
      </c>
      <c r="QF35" s="109" t="str">
        <f t="shared" si="225"/>
        <v/>
      </c>
      <c r="QG35" s="109" t="str">
        <f t="shared" si="225"/>
        <v/>
      </c>
      <c r="QH35" s="109" t="str">
        <f t="shared" si="225"/>
        <v/>
      </c>
      <c r="QI35" s="109" t="str">
        <f t="shared" ref="QI35:SW35" si="226">IF(OR(QI$13="",QI$17="",QI$14="",QI$15="",QI$16="",QI$18="",QI$19="",QI$20="",QI$21=""),"",1-(QI21/(QI$1*24)))</f>
        <v/>
      </c>
      <c r="QJ35" s="109" t="str">
        <f t="shared" si="226"/>
        <v/>
      </c>
      <c r="QK35" s="109" t="str">
        <f t="shared" si="226"/>
        <v/>
      </c>
      <c r="QL35" s="109" t="str">
        <f t="shared" si="226"/>
        <v/>
      </c>
      <c r="QM35" s="109" t="str">
        <f t="shared" si="226"/>
        <v/>
      </c>
      <c r="QN35" s="109" t="str">
        <f t="shared" si="226"/>
        <v/>
      </c>
      <c r="QO35" s="109" t="str">
        <f t="shared" si="226"/>
        <v/>
      </c>
      <c r="QP35" s="109" t="str">
        <f t="shared" si="226"/>
        <v/>
      </c>
      <c r="QQ35" s="109" t="str">
        <f t="shared" si="226"/>
        <v/>
      </c>
      <c r="QR35" s="109" t="str">
        <f t="shared" si="226"/>
        <v/>
      </c>
      <c r="QS35" s="109" t="str">
        <f t="shared" si="226"/>
        <v/>
      </c>
      <c r="QT35" s="109" t="str">
        <f t="shared" si="226"/>
        <v/>
      </c>
      <c r="QU35" s="109" t="str">
        <f t="shared" si="226"/>
        <v/>
      </c>
      <c r="QV35" s="109" t="str">
        <f t="shared" si="226"/>
        <v/>
      </c>
      <c r="QW35" s="109" t="str">
        <f t="shared" si="226"/>
        <v/>
      </c>
      <c r="QX35" s="109" t="str">
        <f t="shared" si="226"/>
        <v/>
      </c>
      <c r="QY35" s="109" t="str">
        <f t="shared" si="226"/>
        <v/>
      </c>
      <c r="QZ35" s="109" t="str">
        <f t="shared" si="226"/>
        <v/>
      </c>
      <c r="RA35" s="109" t="str">
        <f t="shared" si="226"/>
        <v/>
      </c>
      <c r="RB35" s="109" t="str">
        <f t="shared" si="226"/>
        <v/>
      </c>
      <c r="RC35" s="109" t="str">
        <f t="shared" si="226"/>
        <v/>
      </c>
      <c r="RD35" s="109" t="str">
        <f t="shared" si="226"/>
        <v/>
      </c>
      <c r="RE35" s="109" t="str">
        <f t="shared" si="226"/>
        <v/>
      </c>
      <c r="RF35" s="109" t="str">
        <f t="shared" si="226"/>
        <v/>
      </c>
      <c r="RG35" s="109" t="str">
        <f t="shared" si="226"/>
        <v/>
      </c>
      <c r="RH35" s="109" t="str">
        <f t="shared" si="226"/>
        <v/>
      </c>
      <c r="RI35" s="109" t="str">
        <f t="shared" si="226"/>
        <v/>
      </c>
      <c r="RJ35" s="109" t="str">
        <f t="shared" si="226"/>
        <v/>
      </c>
      <c r="RK35" s="109" t="str">
        <f t="shared" si="226"/>
        <v/>
      </c>
      <c r="RL35" s="109" t="str">
        <f t="shared" si="226"/>
        <v/>
      </c>
      <c r="RM35" s="109" t="str">
        <f t="shared" si="226"/>
        <v/>
      </c>
      <c r="RN35" s="109" t="str">
        <f t="shared" si="226"/>
        <v/>
      </c>
      <c r="RO35" s="109" t="str">
        <f t="shared" si="226"/>
        <v/>
      </c>
      <c r="RP35" s="109" t="str">
        <f t="shared" si="226"/>
        <v/>
      </c>
      <c r="RQ35" s="109" t="str">
        <f t="shared" si="226"/>
        <v/>
      </c>
      <c r="RR35" s="109" t="str">
        <f t="shared" si="226"/>
        <v/>
      </c>
      <c r="RS35" s="109" t="str">
        <f t="shared" si="226"/>
        <v/>
      </c>
      <c r="RT35" s="109" t="str">
        <f t="shared" si="226"/>
        <v/>
      </c>
      <c r="RU35" s="109" t="str">
        <f t="shared" si="226"/>
        <v/>
      </c>
      <c r="RV35" s="109" t="str">
        <f t="shared" si="226"/>
        <v/>
      </c>
      <c r="RW35" s="109" t="str">
        <f t="shared" si="226"/>
        <v/>
      </c>
      <c r="RX35" s="109" t="str">
        <f t="shared" si="226"/>
        <v/>
      </c>
      <c r="RY35" s="109" t="str">
        <f t="shared" si="226"/>
        <v/>
      </c>
      <c r="RZ35" s="109" t="str">
        <f t="shared" si="226"/>
        <v/>
      </c>
      <c r="SA35" s="109" t="str">
        <f t="shared" si="226"/>
        <v/>
      </c>
      <c r="SB35" s="109" t="str">
        <f t="shared" si="226"/>
        <v/>
      </c>
      <c r="SC35" s="109" t="str">
        <f t="shared" si="226"/>
        <v/>
      </c>
      <c r="SD35" s="109" t="str">
        <f t="shared" si="226"/>
        <v/>
      </c>
      <c r="SE35" s="109" t="str">
        <f t="shared" si="226"/>
        <v/>
      </c>
      <c r="SF35" s="109" t="str">
        <f t="shared" si="226"/>
        <v/>
      </c>
      <c r="SG35" s="109" t="str">
        <f t="shared" si="226"/>
        <v/>
      </c>
      <c r="SH35" s="109" t="str">
        <f t="shared" si="226"/>
        <v/>
      </c>
      <c r="SI35" s="109" t="str">
        <f t="shared" si="226"/>
        <v/>
      </c>
      <c r="SJ35" s="109" t="str">
        <f t="shared" si="226"/>
        <v/>
      </c>
      <c r="SK35" s="109" t="str">
        <f t="shared" si="226"/>
        <v/>
      </c>
      <c r="SL35" s="109" t="str">
        <f t="shared" si="226"/>
        <v/>
      </c>
      <c r="SM35" s="109" t="str">
        <f t="shared" si="226"/>
        <v/>
      </c>
      <c r="SN35" s="109" t="str">
        <f t="shared" si="226"/>
        <v/>
      </c>
      <c r="SO35" s="109" t="str">
        <f t="shared" si="226"/>
        <v/>
      </c>
      <c r="SP35" s="109" t="str">
        <f t="shared" si="226"/>
        <v/>
      </c>
      <c r="SQ35" s="109" t="str">
        <f t="shared" si="226"/>
        <v/>
      </c>
      <c r="SR35" s="109" t="str">
        <f t="shared" si="226"/>
        <v/>
      </c>
      <c r="SS35" s="109" t="str">
        <f t="shared" si="226"/>
        <v/>
      </c>
      <c r="ST35" s="109" t="str">
        <f t="shared" si="226"/>
        <v/>
      </c>
      <c r="SU35" s="109" t="str">
        <f t="shared" si="226"/>
        <v/>
      </c>
      <c r="SV35" s="109" t="str">
        <f t="shared" si="226"/>
        <v/>
      </c>
      <c r="SW35" s="109" t="str">
        <f t="shared" si="226"/>
        <v/>
      </c>
    </row>
    <row r="36" spans="1:517" ht="24.6" customHeight="1" x14ac:dyDescent="0.2">
      <c r="A36" s="94">
        <f>COUNTIF(A27:A35,B36)</f>
        <v>5</v>
      </c>
      <c r="B36" s="115" t="s">
        <v>86</v>
      </c>
      <c r="C36" s="118">
        <f>IF(OR(C$13="",C$17="",C$14="",C$15="",C$16="",C$18="",C$19="",C$20="",C$21=""),"",1-(SUMIFS(C$13:C$21,$A$13:$A$21,$B36)/((COUNTIFS($A$27:$A$35,$B36)-1)*C$6)))</f>
        <v>1</v>
      </c>
      <c r="D36" s="118">
        <f t="shared" ref="D36:AG36" si="227">IF(OR(D$13="",D$17="",D$14="",D$15="",D$16="",D$18="",D$19="",D$20="",D$21=""),"",1-(SUMIFS(D$13:D$21,$A$13:$A$21,$B36)/((COUNTIFS($A$27:$A$35,$B36)-1)*D$6)))</f>
        <v>1</v>
      </c>
      <c r="E36" s="118">
        <f t="shared" si="227"/>
        <v>0.97499999999999998</v>
      </c>
      <c r="F36" s="118">
        <f t="shared" si="227"/>
        <v>1</v>
      </c>
      <c r="G36" s="118">
        <f t="shared" si="227"/>
        <v>1</v>
      </c>
      <c r="H36" s="118">
        <f t="shared" si="227"/>
        <v>0.92479166666666668</v>
      </c>
      <c r="I36" s="118">
        <f t="shared" si="227"/>
        <v>0.98468750000000005</v>
      </c>
      <c r="J36" s="118">
        <f t="shared" si="227"/>
        <v>0.72395833333333326</v>
      </c>
      <c r="K36" s="118">
        <f t="shared" si="227"/>
        <v>0.98697916666666663</v>
      </c>
      <c r="L36" s="118">
        <f t="shared" si="227"/>
        <v>0.91427083333333337</v>
      </c>
      <c r="M36" s="118">
        <f t="shared" si="227"/>
        <v>0.62114583333333329</v>
      </c>
      <c r="N36" s="118">
        <f t="shared" si="227"/>
        <v>0.91041666666666665</v>
      </c>
      <c r="O36" s="118">
        <f t="shared" si="227"/>
        <v>0.55395833333333333</v>
      </c>
      <c r="P36" s="118">
        <f t="shared" si="227"/>
        <v>1</v>
      </c>
      <c r="Q36" s="118">
        <f t="shared" si="227"/>
        <v>0.93281250000000004</v>
      </c>
      <c r="R36" s="118">
        <f t="shared" si="227"/>
        <v>0.6863541666666666</v>
      </c>
      <c r="S36" s="118">
        <f t="shared" si="227"/>
        <v>0.989375</v>
      </c>
      <c r="T36" s="118">
        <f t="shared" si="227"/>
        <v>0.94343750000000004</v>
      </c>
      <c r="U36" s="118">
        <f t="shared" si="227"/>
        <v>0.9659375</v>
      </c>
      <c r="V36" s="118">
        <f t="shared" si="227"/>
        <v>0.8565625</v>
      </c>
      <c r="W36" s="118">
        <f t="shared" si="227"/>
        <v>0.99770833333333331</v>
      </c>
      <c r="X36" s="118">
        <f t="shared" si="227"/>
        <v>0.72958333333333336</v>
      </c>
      <c r="Y36" s="118">
        <f t="shared" si="227"/>
        <v>0.42135416666666659</v>
      </c>
      <c r="Z36" s="118">
        <f t="shared" si="227"/>
        <v>0.90208333333333335</v>
      </c>
      <c r="AA36" s="118">
        <f t="shared" si="227"/>
        <v>0.96302083333333333</v>
      </c>
      <c r="AB36" s="118">
        <f t="shared" si="227"/>
        <v>1</v>
      </c>
      <c r="AC36" s="118">
        <f t="shared" si="227"/>
        <v>0.98791666666666667</v>
      </c>
      <c r="AD36" s="118">
        <f t="shared" si="227"/>
        <v>0.55729166666666674</v>
      </c>
      <c r="AE36" s="118">
        <f t="shared" si="227"/>
        <v>1</v>
      </c>
      <c r="AF36" s="118">
        <f t="shared" si="227"/>
        <v>0.84135416666666663</v>
      </c>
      <c r="AG36" s="118">
        <f t="shared" si="227"/>
        <v>0.93770833333333337</v>
      </c>
      <c r="AH36" s="118">
        <f t="shared" ref="AH36:AQ37" si="228">IF(OR(AH$13="",AH$17="",AH$14="",AH$15="",AH$16="",AH$18="",AH$19="",AH$20="",AH$21=""),"",1-(SUMIFS(AH$13:AH$21,$A$13:$A$21,$B36)/(COUNTIFS($A$27:$A$35,$B36)*AH$6)))</f>
        <v>0.98358333333333337</v>
      </c>
      <c r="AI36" s="118">
        <f t="shared" si="228"/>
        <v>0.81008333333333338</v>
      </c>
      <c r="AJ36" s="118">
        <f t="shared" si="228"/>
        <v>0.94983333333333331</v>
      </c>
      <c r="AK36" s="118">
        <f t="shared" si="228"/>
        <v>0.93441666666666667</v>
      </c>
      <c r="AL36" s="118">
        <f t="shared" si="228"/>
        <v>0.94541666666666668</v>
      </c>
      <c r="AM36" s="118">
        <f t="shared" si="228"/>
        <v>0.81700000000000006</v>
      </c>
      <c r="AN36" s="118">
        <f t="shared" si="228"/>
        <v>0.95866666666666667</v>
      </c>
      <c r="AO36" s="118">
        <f t="shared" si="228"/>
        <v>0.8816666666666666</v>
      </c>
      <c r="AP36" s="118">
        <f t="shared" si="228"/>
        <v>0.85258333333333336</v>
      </c>
      <c r="AQ36" s="118">
        <f t="shared" si="228"/>
        <v>0.84658333333333335</v>
      </c>
      <c r="AR36" s="118">
        <f t="shared" ref="AR36:BA37" si="229">IF(OR(AR$13="",AR$17="",AR$14="",AR$15="",AR$16="",AR$18="",AR$19="",AR$20="",AR$21=""),"",1-(SUMIFS(AR$13:AR$21,$A$13:$A$21,$B36)/(COUNTIFS($A$27:$A$35,$B36)*AR$6)))</f>
        <v>0.86158333333333337</v>
      </c>
      <c r="AS36" s="118">
        <f t="shared" si="229"/>
        <v>0.84041666666666659</v>
      </c>
      <c r="AT36" s="118">
        <f t="shared" si="229"/>
        <v>0.97658333333333336</v>
      </c>
      <c r="AU36" s="118">
        <f t="shared" si="229"/>
        <v>0.82983333333333331</v>
      </c>
      <c r="AV36" s="118">
        <f t="shared" si="229"/>
        <v>0.76233333333333331</v>
      </c>
      <c r="AW36" s="118">
        <f t="shared" si="229"/>
        <v>0.88624999999999998</v>
      </c>
      <c r="AX36" s="118">
        <f t="shared" si="229"/>
        <v>0.97341666666666671</v>
      </c>
      <c r="AY36" s="118">
        <f t="shared" si="229"/>
        <v>0.71124999999999994</v>
      </c>
      <c r="AZ36" s="118">
        <f t="shared" si="229"/>
        <v>0.80091666666666672</v>
      </c>
      <c r="BA36" s="118">
        <f t="shared" si="229"/>
        <v>0.77783333333333338</v>
      </c>
      <c r="BB36" s="118">
        <f t="shared" ref="BB36:BK37" si="230">IF(OR(BB$13="",BB$17="",BB$14="",BB$15="",BB$16="",BB$18="",BB$19="",BB$20="",BB$21=""),"",1-(SUMIFS(BB$13:BB$21,$A$13:$A$21,$B36)/(COUNTIFS($A$27:$A$35,$B36)*BB$6)))</f>
        <v>0.97683333333333333</v>
      </c>
      <c r="BC36" s="118">
        <f t="shared" si="230"/>
        <v>0.90283333333333338</v>
      </c>
      <c r="BD36" s="118">
        <f t="shared" si="230"/>
        <v>0.97275</v>
      </c>
      <c r="BE36" s="118">
        <f t="shared" si="230"/>
        <v>0.96074999999999999</v>
      </c>
      <c r="BF36" s="118">
        <f t="shared" si="230"/>
        <v>0.96733333333333338</v>
      </c>
      <c r="BG36" s="118">
        <f t="shared" si="230"/>
        <v>0.95974999999999999</v>
      </c>
      <c r="BH36" s="118">
        <f t="shared" si="230"/>
        <v>0.96833333333333338</v>
      </c>
      <c r="BI36" s="118">
        <f t="shared" si="230"/>
        <v>0.92725000000000002</v>
      </c>
      <c r="BJ36" s="118">
        <f t="shared" si="230"/>
        <v>0.74058333333333337</v>
      </c>
      <c r="BK36" s="118">
        <f t="shared" si="230"/>
        <v>0.76158333333333328</v>
      </c>
      <c r="BL36" s="118">
        <f t="shared" ref="BL36:BU37" si="231">IF(OR(BL$13="",BL$17="",BL$14="",BL$15="",BL$16="",BL$18="",BL$19="",BL$20="",BL$21=""),"",1-(SUMIFS(BL$13:BL$21,$A$13:$A$21,$B36)/(COUNTIFS($A$27:$A$35,$B36)*BL$6)))</f>
        <v>0.6412500000000001</v>
      </c>
      <c r="BM36" s="118">
        <f t="shared" si="231"/>
        <v>1</v>
      </c>
      <c r="BN36" s="118">
        <f t="shared" si="231"/>
        <v>0.79416666666666669</v>
      </c>
      <c r="BO36" s="118">
        <f t="shared" si="231"/>
        <v>0.79574999999999996</v>
      </c>
      <c r="BP36" s="118">
        <f t="shared" si="231"/>
        <v>0.96633333333333338</v>
      </c>
      <c r="BQ36" s="118">
        <f t="shared" si="231"/>
        <v>0.95008333333333328</v>
      </c>
      <c r="BR36" s="118">
        <f t="shared" si="231"/>
        <v>0.8430833333333333</v>
      </c>
      <c r="BS36" s="118">
        <f t="shared" si="231"/>
        <v>0.80933333333333335</v>
      </c>
      <c r="BT36" s="118">
        <f t="shared" si="231"/>
        <v>0.94858333333333333</v>
      </c>
      <c r="BU36" s="118">
        <f t="shared" si="231"/>
        <v>0.95183333333333331</v>
      </c>
      <c r="BV36" s="118">
        <f t="shared" ref="BV36:CE37" si="232">IF(OR(BV$13="",BV$17="",BV$14="",BV$15="",BV$16="",BV$18="",BV$19="",BV$20="",BV$21=""),"",1-(SUMIFS(BV$13:BV$21,$A$13:$A$21,$B36)/(COUNTIFS($A$27:$A$35,$B36)*BV$6)))</f>
        <v>0.84991666666666665</v>
      </c>
      <c r="BW36" s="118">
        <f t="shared" si="232"/>
        <v>0.89833333333333332</v>
      </c>
      <c r="BX36" s="118">
        <f t="shared" si="232"/>
        <v>0.97899999999999998</v>
      </c>
      <c r="BY36" s="118">
        <f t="shared" si="232"/>
        <v>0.95666666666666667</v>
      </c>
      <c r="BZ36" s="118">
        <f t="shared" si="232"/>
        <v>0.97058333333333335</v>
      </c>
      <c r="CA36" s="118">
        <f t="shared" si="232"/>
        <v>0.89266666666666672</v>
      </c>
      <c r="CB36" s="118">
        <f t="shared" si="232"/>
        <v>0.47941666666666671</v>
      </c>
      <c r="CC36" s="118">
        <f t="shared" si="232"/>
        <v>0.58674999999999999</v>
      </c>
      <c r="CD36" s="118">
        <f t="shared" si="232"/>
        <v>0.93508333333333327</v>
      </c>
      <c r="CE36" s="118">
        <f t="shared" si="232"/>
        <v>1</v>
      </c>
      <c r="CF36" s="118">
        <f t="shared" ref="CF36:CO37" si="233">IF(OR(CF$13="",CF$17="",CF$14="",CF$15="",CF$16="",CF$18="",CF$19="",CF$20="",CF$21=""),"",1-(SUMIFS(CF$13:CF$21,$A$13:$A$21,$B36)/(COUNTIFS($A$27:$A$35,$B36)*CF$6)))</f>
        <v>0.85283333333333333</v>
      </c>
      <c r="CG36" s="118">
        <f t="shared" si="233"/>
        <v>0.99733333333333329</v>
      </c>
      <c r="CH36" s="118">
        <f t="shared" si="233"/>
        <v>0.95916666666666661</v>
      </c>
      <c r="CI36" s="118">
        <f t="shared" si="233"/>
        <v>0.9029166666666667</v>
      </c>
      <c r="CJ36" s="118">
        <f t="shared" si="233"/>
        <v>0.91449999999999998</v>
      </c>
      <c r="CK36" s="118">
        <f t="shared" si="233"/>
        <v>1</v>
      </c>
      <c r="CL36" s="118">
        <f t="shared" si="233"/>
        <v>0.98266666666666669</v>
      </c>
      <c r="CM36" s="118">
        <f t="shared" si="233"/>
        <v>0.76324999999999998</v>
      </c>
      <c r="CN36" s="118">
        <f t="shared" si="233"/>
        <v>0.91041666666666665</v>
      </c>
      <c r="CO36" s="118">
        <f t="shared" si="233"/>
        <v>0.70866666666666667</v>
      </c>
      <c r="CP36" s="118">
        <f t="shared" ref="CP36:CY37" si="234">IF(OR(CP$13="",CP$17="",CP$14="",CP$15="",CP$16="",CP$18="",CP$19="",CP$20="",CP$21=""),"",1-(SUMIFS(CP$13:CP$21,$A$13:$A$21,$B36)/(COUNTIFS($A$27:$A$35,$B36)*CP$6)))</f>
        <v>0.90949999999999998</v>
      </c>
      <c r="CQ36" s="118">
        <f t="shared" si="234"/>
        <v>0.85233333333333339</v>
      </c>
      <c r="CR36" s="118">
        <f t="shared" si="234"/>
        <v>0.72516666666666663</v>
      </c>
      <c r="CS36" s="118">
        <f t="shared" si="234"/>
        <v>0.74016666666666664</v>
      </c>
      <c r="CT36" s="118">
        <f t="shared" si="234"/>
        <v>0.85</v>
      </c>
      <c r="CU36" s="118">
        <f t="shared" si="234"/>
        <v>0.91274999999999995</v>
      </c>
      <c r="CV36" s="118">
        <f t="shared" si="234"/>
        <v>0.98808333333333331</v>
      </c>
      <c r="CW36" s="118">
        <f t="shared" si="234"/>
        <v>1</v>
      </c>
      <c r="CX36" s="118">
        <f t="shared" si="234"/>
        <v>1</v>
      </c>
      <c r="CY36" s="118">
        <f t="shared" si="234"/>
        <v>0.85891666666666666</v>
      </c>
      <c r="CZ36" s="118">
        <f t="shared" ref="CZ36:DI37" si="235">IF(OR(CZ$13="",CZ$17="",CZ$14="",CZ$15="",CZ$16="",CZ$18="",CZ$19="",CZ$20="",CZ$21=""),"",1-(SUMIFS(CZ$13:CZ$21,$A$13:$A$21,$B36)/(COUNTIFS($A$27:$A$35,$B36)*CZ$6)))</f>
        <v>1</v>
      </c>
      <c r="DA36" s="118">
        <f t="shared" si="235"/>
        <v>0.85508333333333331</v>
      </c>
      <c r="DB36" s="118">
        <f t="shared" si="235"/>
        <v>0.96350000000000002</v>
      </c>
      <c r="DC36" s="118">
        <f t="shared" si="235"/>
        <v>1</v>
      </c>
      <c r="DD36" s="118">
        <f t="shared" si="235"/>
        <v>0.88491666666666668</v>
      </c>
      <c r="DE36" s="118">
        <f t="shared" si="235"/>
        <v>0.90249999999999997</v>
      </c>
      <c r="DF36" s="118">
        <f t="shared" si="235"/>
        <v>0.98333333333333328</v>
      </c>
      <c r="DG36" s="118">
        <f t="shared" si="235"/>
        <v>0.87291666666666667</v>
      </c>
      <c r="DH36" s="118">
        <f t="shared" si="235"/>
        <v>0.62716666666666665</v>
      </c>
      <c r="DI36" s="118">
        <f t="shared" si="235"/>
        <v>0.98466666666666669</v>
      </c>
      <c r="DJ36" s="118">
        <f t="shared" ref="DJ36:DS37" si="236">IF(OR(DJ$13="",DJ$17="",DJ$14="",DJ$15="",DJ$16="",DJ$18="",DJ$19="",DJ$20="",DJ$21=""),"",1-(SUMIFS(DJ$13:DJ$21,$A$13:$A$21,$B36)/(COUNTIFS($A$27:$A$35,$B36)*DJ$6)))</f>
        <v>0.94783333333333331</v>
      </c>
      <c r="DK36" s="118">
        <f t="shared" si="236"/>
        <v>0.96924999999999994</v>
      </c>
      <c r="DL36" s="118">
        <f t="shared" si="236"/>
        <v>0.96983333333333333</v>
      </c>
      <c r="DM36" s="118">
        <f t="shared" si="236"/>
        <v>1</v>
      </c>
      <c r="DN36" s="118">
        <f t="shared" si="236"/>
        <v>1</v>
      </c>
      <c r="DO36" s="118">
        <f t="shared" si="236"/>
        <v>0.92708333333333337</v>
      </c>
      <c r="DP36" s="118">
        <f t="shared" si="236"/>
        <v>0.9325</v>
      </c>
      <c r="DQ36" s="118">
        <f t="shared" si="236"/>
        <v>0.99058333333333337</v>
      </c>
      <c r="DR36" s="118">
        <f t="shared" si="236"/>
        <v>0.69983333333333331</v>
      </c>
      <c r="DS36" s="118">
        <f t="shared" si="236"/>
        <v>0.86349999999999993</v>
      </c>
      <c r="DT36" s="118">
        <f t="shared" ref="DT36:EC37" si="237">IF(OR(DT$13="",DT$17="",DT$14="",DT$15="",DT$16="",DT$18="",DT$19="",DT$20="",DT$21=""),"",1-(SUMIFS(DT$13:DT$21,$A$13:$A$21,$B36)/(COUNTIFS($A$27:$A$35,$B36)*DT$6)))</f>
        <v>0.95866666666666667</v>
      </c>
      <c r="DU36" s="118">
        <f t="shared" si="237"/>
        <v>0.70041666666666669</v>
      </c>
      <c r="DV36" s="118">
        <f t="shared" si="237"/>
        <v>0.95125000000000004</v>
      </c>
      <c r="DW36" s="118">
        <f t="shared" si="237"/>
        <v>0.98941666666666661</v>
      </c>
      <c r="DX36" s="118">
        <f t="shared" si="237"/>
        <v>0.88291666666666668</v>
      </c>
      <c r="DY36" s="118">
        <f t="shared" si="237"/>
        <v>0.96174999999999999</v>
      </c>
      <c r="DZ36" s="118">
        <f t="shared" si="237"/>
        <v>0.83474999999999999</v>
      </c>
      <c r="EA36" s="118">
        <f t="shared" si="237"/>
        <v>1</v>
      </c>
      <c r="EB36" s="118">
        <f t="shared" si="237"/>
        <v>0.93341666666666667</v>
      </c>
      <c r="EC36" s="118">
        <f t="shared" si="237"/>
        <v>0.64466666666666672</v>
      </c>
      <c r="ED36" s="118">
        <f t="shared" ref="ED36:EM37" si="238">IF(OR(ED$13="",ED$17="",ED$14="",ED$15="",ED$16="",ED$18="",ED$19="",ED$20="",ED$21=""),"",1-(SUMIFS(ED$13:ED$21,$A$13:$A$21,$B36)/(COUNTIFS($A$27:$A$35,$B36)*ED$6)))</f>
        <v>0.88250000000000006</v>
      </c>
      <c r="EE36" s="118">
        <f t="shared" si="238"/>
        <v>0.60641666666666683</v>
      </c>
      <c r="EF36" s="118">
        <f t="shared" si="238"/>
        <v>1</v>
      </c>
      <c r="EG36" s="118">
        <f t="shared" si="238"/>
        <v>0.66733333333333333</v>
      </c>
      <c r="EH36" s="118">
        <f t="shared" si="238"/>
        <v>0.99691666666666667</v>
      </c>
      <c r="EI36" s="118">
        <f t="shared" si="238"/>
        <v>0.7593333333333333</v>
      </c>
      <c r="EJ36" s="118">
        <f t="shared" si="238"/>
        <v>0.88783333333333336</v>
      </c>
      <c r="EK36" s="118">
        <f t="shared" si="238"/>
        <v>0.9341666666666667</v>
      </c>
      <c r="EL36" s="118">
        <f t="shared" si="238"/>
        <v>0.79041666666666666</v>
      </c>
      <c r="EM36" s="118">
        <f t="shared" si="238"/>
        <v>0.91191666666666671</v>
      </c>
      <c r="EN36" s="118">
        <f t="shared" ref="EN36:EW37" si="239">IF(OR(EN$13="",EN$17="",EN$14="",EN$15="",EN$16="",EN$18="",EN$19="",EN$20="",EN$21=""),"",1-(SUMIFS(EN$13:EN$21,$A$13:$A$21,$B36)/(COUNTIFS($A$27:$A$35,$B36)*EN$6)))</f>
        <v>0.98250000000000004</v>
      </c>
      <c r="EO36" s="118">
        <f t="shared" si="239"/>
        <v>0.76724999999999999</v>
      </c>
      <c r="EP36" s="118">
        <f t="shared" si="239"/>
        <v>0.7094166666666667</v>
      </c>
      <c r="EQ36" s="118">
        <f t="shared" si="239"/>
        <v>0.97183333333333333</v>
      </c>
      <c r="ER36" s="118">
        <f t="shared" si="239"/>
        <v>0.92166666666666663</v>
      </c>
      <c r="ES36" s="118">
        <f t="shared" si="239"/>
        <v>0.93541666666666667</v>
      </c>
      <c r="ET36" s="118">
        <f t="shared" si="239"/>
        <v>0.94558333333333333</v>
      </c>
      <c r="EU36" s="118">
        <f t="shared" si="239"/>
        <v>1</v>
      </c>
      <c r="EV36" s="118">
        <f t="shared" si="239"/>
        <v>1</v>
      </c>
      <c r="EW36" s="118">
        <f t="shared" si="239"/>
        <v>1</v>
      </c>
      <c r="EX36" s="118">
        <f t="shared" ref="EX36:FG37" si="240">IF(OR(EX$13="",EX$17="",EX$14="",EX$15="",EX$16="",EX$18="",EX$19="",EX$20="",EX$21=""),"",1-(SUMIFS(EX$13:EX$21,$A$13:$A$21,$B36)/(COUNTIFS($A$27:$A$35,$B36)*EX$6)))</f>
        <v>1</v>
      </c>
      <c r="EY36" s="118">
        <f t="shared" si="240"/>
        <v>1</v>
      </c>
      <c r="EZ36" s="118">
        <f t="shared" si="240"/>
        <v>1</v>
      </c>
      <c r="FA36" s="118">
        <f t="shared" si="240"/>
        <v>1</v>
      </c>
      <c r="FB36" s="118">
        <f t="shared" si="240"/>
        <v>1</v>
      </c>
      <c r="FC36" s="118">
        <f t="shared" si="240"/>
        <v>1</v>
      </c>
      <c r="FD36" s="118">
        <f t="shared" si="240"/>
        <v>0.96208333333333329</v>
      </c>
      <c r="FE36" s="118">
        <f t="shared" si="240"/>
        <v>0.77391666666666659</v>
      </c>
      <c r="FF36" s="118">
        <f t="shared" si="240"/>
        <v>0.90425</v>
      </c>
      <c r="FG36" s="118">
        <f t="shared" si="240"/>
        <v>0.79474999999999996</v>
      </c>
      <c r="FH36" s="118">
        <f t="shared" ref="FH36:FQ37" si="241">IF(OR(FH$13="",FH$17="",FH$14="",FH$15="",FH$16="",FH$18="",FH$19="",FH$20="",FH$21=""),"",1-(SUMIFS(FH$13:FH$21,$A$13:$A$21,$B36)/(COUNTIFS($A$27:$A$35,$B36)*FH$6)))</f>
        <v>0.90375000000000005</v>
      </c>
      <c r="FI36" s="118">
        <f t="shared" si="241"/>
        <v>0.81066666666666665</v>
      </c>
      <c r="FJ36" s="118">
        <f t="shared" si="241"/>
        <v>0.9418333333333333</v>
      </c>
      <c r="FK36" s="118">
        <f t="shared" si="241"/>
        <v>0.80974999999999997</v>
      </c>
      <c r="FL36" s="118">
        <f t="shared" si="241"/>
        <v>0.97333333333333338</v>
      </c>
      <c r="FM36" s="118">
        <f t="shared" si="241"/>
        <v>0.95733333333333337</v>
      </c>
      <c r="FN36" s="118">
        <f t="shared" si="241"/>
        <v>1</v>
      </c>
      <c r="FO36" s="118">
        <f t="shared" si="241"/>
        <v>0.73616666666666664</v>
      </c>
      <c r="FP36" s="118">
        <f t="shared" si="241"/>
        <v>0.46299999999999997</v>
      </c>
      <c r="FQ36" s="118">
        <f t="shared" si="241"/>
        <v>0.92308333333333337</v>
      </c>
      <c r="FR36" s="118">
        <f t="shared" ref="FR36:FZ37" si="242">IF(OR(FR$13="",FR$17="",FR$14="",FR$15="",FR$16="",FR$18="",FR$19="",FR$20="",FR$21=""),"",1-(SUMIFS(FR$13:FR$21,$A$13:$A$21,$B36)/(COUNTIFS($A$27:$A$35,$B36)*FR$6)))</f>
        <v>-0.28350000000000009</v>
      </c>
      <c r="FS36" s="118">
        <f t="shared" si="242"/>
        <v>0.87941666666666662</v>
      </c>
      <c r="FT36" s="118">
        <f t="shared" si="242"/>
        <v>0.77683333333333326</v>
      </c>
      <c r="FU36" s="118">
        <f t="shared" si="242"/>
        <v>0.81816666666666671</v>
      </c>
      <c r="FV36" s="118">
        <f t="shared" si="242"/>
        <v>0.82408333333333328</v>
      </c>
      <c r="FW36" s="118">
        <f t="shared" si="242"/>
        <v>0.83158333333333334</v>
      </c>
      <c r="FX36" s="118">
        <f t="shared" si="242"/>
        <v>0.84575</v>
      </c>
      <c r="FY36" s="118">
        <f t="shared" si="242"/>
        <v>-1.3113333333333328</v>
      </c>
      <c r="FZ36" s="118">
        <f t="shared" si="242"/>
        <v>0.90400000000000003</v>
      </c>
      <c r="GA36" s="118">
        <f>IF(OR(GA$13="",GA$17="",GA$14="",GA$15="",GA$16="",GA$18="",GA$19="",GA$20="",GA$21=""),"",1-(SUMIFS(GA$13:GA$21,$A$13:$A$21,$B36)/(COUNTIFS($A$27:$A$35,$B36)*GA$6)))</f>
        <v>0.98916666666666664</v>
      </c>
      <c r="GB36" s="118">
        <f>IF(OR(GB$13="",GB$17="",GB$14="",GB$15="",GB$16="",GB$18="",GB$19="",GB$20="",GB$21=""),"",1-(SUMIFS(GB$13:GB$21,$A$13:$A$21,$B36)/(COUNTIFS($A$27:$A$35,$B36)*GB$6)))</f>
        <v>0.4654166666666667</v>
      </c>
      <c r="GC36" s="118">
        <f t="shared" ref="GC36:GK37" si="243">IF(OR(GC$13="",GC$17="",GC$14="",GC$15="",GC$16="",GC$18="",GC$19="",GC$20="",GC$21=""),"",1-(SUMIFS(GC$13:GC$21,$A$13:$A$21,$B36)/(COUNTIFS($A$27:$A$35,$B36)*GC$6)))</f>
        <v>0.87608333333333333</v>
      </c>
      <c r="GD36" s="118">
        <f t="shared" si="243"/>
        <v>0.79791666666666661</v>
      </c>
      <c r="GE36" s="118">
        <f t="shared" si="243"/>
        <v>0.70333333333333337</v>
      </c>
      <c r="GF36" s="118">
        <f t="shared" si="243"/>
        <v>0.91958333333333331</v>
      </c>
      <c r="GG36" s="118">
        <f t="shared" si="243"/>
        <v>0.24</v>
      </c>
      <c r="GH36" s="118">
        <f t="shared" si="243"/>
        <v>0.8041666666666667</v>
      </c>
      <c r="GI36" s="118">
        <f t="shared" si="243"/>
        <v>0.94650000000000001</v>
      </c>
      <c r="GJ36" s="118">
        <f t="shared" si="243"/>
        <v>0.94674999999999998</v>
      </c>
      <c r="GK36" s="118">
        <f t="shared" si="243"/>
        <v>1</v>
      </c>
      <c r="GL36" s="118">
        <f t="shared" ref="GL36:GU37" si="244">IF(OR(GL$13="",GL$17="",GL$14="",GL$15="",GL$16="",GL$18="",GL$19="",GL$20="",GL$21=""),"",1-(SUMIFS(GL$13:GL$21,$A$13:$A$21,$B36)/(COUNTIFS($A$27:$A$35,$B36)*GL$6)))</f>
        <v>-0.59066666666666667</v>
      </c>
      <c r="GM36" s="118">
        <f t="shared" si="244"/>
        <v>0.89241666666666664</v>
      </c>
      <c r="GN36" s="118">
        <f t="shared" si="244"/>
        <v>1</v>
      </c>
      <c r="GO36" s="118">
        <f t="shared" si="244"/>
        <v>1</v>
      </c>
      <c r="GP36" s="118">
        <f t="shared" si="244"/>
        <v>1</v>
      </c>
      <c r="GQ36" s="118">
        <f t="shared" si="244"/>
        <v>1</v>
      </c>
      <c r="GR36" s="118">
        <f t="shared" si="244"/>
        <v>0.60066666666666668</v>
      </c>
      <c r="GS36" s="118">
        <f t="shared" si="244"/>
        <v>1</v>
      </c>
      <c r="GT36" s="118">
        <f t="shared" si="244"/>
        <v>0.90349999999999997</v>
      </c>
      <c r="GU36" s="118">
        <f t="shared" si="244"/>
        <v>0.60149999999999992</v>
      </c>
      <c r="GV36" s="118">
        <f t="shared" ref="GV36:HE37" si="245">IF(OR(GV$13="",GV$17="",GV$14="",GV$15="",GV$16="",GV$18="",GV$19="",GV$20="",GV$21=""),"",1-(SUMIFS(GV$13:GV$21,$A$13:$A$21,$B36)/(COUNTIFS($A$27:$A$35,$B36)*GV$6)))</f>
        <v>1</v>
      </c>
      <c r="GW36" s="118">
        <f t="shared" si="245"/>
        <v>0.63683333333333336</v>
      </c>
      <c r="GX36" s="118">
        <f t="shared" si="245"/>
        <v>1</v>
      </c>
      <c r="GY36" s="118">
        <f t="shared" si="245"/>
        <v>1</v>
      </c>
      <c r="GZ36" s="118">
        <f t="shared" si="245"/>
        <v>1</v>
      </c>
      <c r="HA36" s="118">
        <f t="shared" si="245"/>
        <v>1</v>
      </c>
      <c r="HB36" s="118">
        <f t="shared" si="245"/>
        <v>0.97775000000000001</v>
      </c>
      <c r="HC36" s="118">
        <f t="shared" si="245"/>
        <v>0.83374999999999999</v>
      </c>
      <c r="HD36" s="118">
        <f t="shared" si="245"/>
        <v>0.85266666666666668</v>
      </c>
      <c r="HE36" s="118">
        <f t="shared" si="245"/>
        <v>1</v>
      </c>
      <c r="HF36" s="118">
        <f t="shared" ref="HF36:HO37" si="246">IF(OR(HF$13="",HF$17="",HF$14="",HF$15="",HF$16="",HF$18="",HF$19="",HF$20="",HF$21=""),"",1-(SUMIFS(HF$13:HF$21,$A$13:$A$21,$B36)/(COUNTIFS($A$27:$A$35,$B36)*HF$6)))</f>
        <v>0.87250000000000005</v>
      </c>
      <c r="HG36" s="118">
        <f t="shared" si="246"/>
        <v>0.85703240740740738</v>
      </c>
      <c r="HH36" s="118">
        <f t="shared" si="246"/>
        <v>0.95417592592592593</v>
      </c>
      <c r="HI36" s="118">
        <f t="shared" si="246"/>
        <v>0.77080092592592597</v>
      </c>
      <c r="HJ36" s="118">
        <f t="shared" si="246"/>
        <v>0.93206944444444439</v>
      </c>
      <c r="HK36" s="118">
        <f t="shared" si="246"/>
        <v>0.82857407407407413</v>
      </c>
      <c r="HL36" s="118">
        <f t="shared" si="246"/>
        <v>0.82623379629629634</v>
      </c>
      <c r="HM36" s="118">
        <f t="shared" si="246"/>
        <v>0.77357175925925925</v>
      </c>
      <c r="HN36" s="118">
        <f t="shared" si="246"/>
        <v>0.87390509259259264</v>
      </c>
      <c r="HO36" s="118">
        <f t="shared" si="246"/>
        <v>0.99696296296296294</v>
      </c>
      <c r="HP36" s="118">
        <f t="shared" ref="HP36:HY37" si="247">IF(OR(HP$13="",HP$17="",HP$14="",HP$15="",HP$16="",HP$18="",HP$19="",HP$20="",HP$21=""),"",1-(SUMIFS(HP$13:HP$21,$A$13:$A$21,$B36)/(COUNTIFS($A$27:$A$35,$B36)*HP$6)))</f>
        <v>0.70414814814814819</v>
      </c>
      <c r="HQ36" s="118">
        <f t="shared" si="247"/>
        <v>0.98474074074074069</v>
      </c>
      <c r="HR36" s="118">
        <f t="shared" si="247"/>
        <v>0.81115509259259255</v>
      </c>
      <c r="HS36" s="118">
        <f t="shared" si="247"/>
        <v>0.86373611111111115</v>
      </c>
      <c r="HT36" s="118">
        <f t="shared" si="247"/>
        <v>0.93271064814814819</v>
      </c>
      <c r="HU36" s="118">
        <f t="shared" si="247"/>
        <v>0.90156481481481476</v>
      </c>
      <c r="HV36" s="118">
        <f t="shared" si="247"/>
        <v>0.9801643518518518</v>
      </c>
      <c r="HW36" s="118">
        <f t="shared" si="247"/>
        <v>0.90221064814814811</v>
      </c>
      <c r="HX36" s="118">
        <f t="shared" si="247"/>
        <v>0.8336041666666667</v>
      </c>
      <c r="HY36" s="118">
        <f t="shared" si="247"/>
        <v>0.87615277777777778</v>
      </c>
      <c r="HZ36" s="118">
        <f t="shared" ref="HZ36:II37" si="248">IF(OR(HZ$13="",HZ$17="",HZ$14="",HZ$15="",HZ$16="",HZ$18="",HZ$19="",HZ$20="",HZ$21=""),"",1-(SUMIFS(HZ$13:HZ$21,$A$13:$A$21,$B36)/(COUNTIFS($A$27:$A$35,$B36)*HZ$6)))</f>
        <v>0.53161111111111103</v>
      </c>
      <c r="IA36" s="118">
        <f t="shared" si="248"/>
        <v>0.92549999999999999</v>
      </c>
      <c r="IB36" s="118">
        <f t="shared" si="248"/>
        <v>0.94780324074074074</v>
      </c>
      <c r="IC36" s="118">
        <f t="shared" si="248"/>
        <v>0.81133333333333335</v>
      </c>
      <c r="ID36" s="118">
        <f t="shared" si="248"/>
        <v>0.95733333333333337</v>
      </c>
      <c r="IE36" s="118">
        <f t="shared" si="248"/>
        <v>0.89566666666666661</v>
      </c>
      <c r="IF36" s="118">
        <f t="shared" si="248"/>
        <v>0.91775000000000007</v>
      </c>
      <c r="IG36" s="118">
        <f t="shared" si="248"/>
        <v>0.94308333333333338</v>
      </c>
      <c r="IH36" s="118">
        <f t="shared" si="248"/>
        <v>0.24750000000000005</v>
      </c>
      <c r="II36" s="118">
        <f t="shared" si="248"/>
        <v>1</v>
      </c>
      <c r="IJ36" s="118">
        <f t="shared" ref="IJ36:IS37" si="249">IF(OR(IJ$13="",IJ$17="",IJ$14="",IJ$15="",IJ$16="",IJ$18="",IJ$19="",IJ$20="",IJ$21=""),"",1-(SUMIFS(IJ$13:IJ$21,$A$13:$A$21,$B36)/(COUNTIFS($A$27:$A$35,$B36)*IJ$6)))</f>
        <v>0.4059166666666667</v>
      </c>
      <c r="IK36" s="118">
        <f t="shared" si="249"/>
        <v>0.88127083333333334</v>
      </c>
      <c r="IL36" s="118">
        <f t="shared" si="249"/>
        <v>0.92401851851851857</v>
      </c>
      <c r="IM36" s="118">
        <f t="shared" si="249"/>
        <v>0.90732407407407412</v>
      </c>
      <c r="IN36" s="118">
        <f t="shared" si="249"/>
        <v>0.74835416666666665</v>
      </c>
      <c r="IO36" s="118">
        <f t="shared" si="249"/>
        <v>0.86322222222222222</v>
      </c>
      <c r="IP36" s="118">
        <f t="shared" si="249"/>
        <v>0.9108680555555555</v>
      </c>
      <c r="IQ36" s="118">
        <f t="shared" si="249"/>
        <v>0.91007638888888887</v>
      </c>
      <c r="IR36" s="118">
        <f t="shared" si="249"/>
        <v>0.8958842592592593</v>
      </c>
      <c r="IS36" s="118">
        <f t="shared" si="249"/>
        <v>0.95286574074074071</v>
      </c>
      <c r="IT36" s="118">
        <f t="shared" ref="IT36:JC37" si="250">IF(OR(IT$13="",IT$17="",IT$14="",IT$15="",IT$16="",IT$18="",IT$19="",IT$20="",IT$21=""),"",1-(SUMIFS(IT$13:IT$21,$A$13:$A$21,$B36)/(COUNTIFS($A$27:$A$35,$B36)*IT$6)))</f>
        <v>0.83422916666666669</v>
      </c>
      <c r="IU36" s="118">
        <f t="shared" si="250"/>
        <v>0.64979629629629621</v>
      </c>
      <c r="IV36" s="118">
        <f t="shared" si="250"/>
        <v>0.72147453703703701</v>
      </c>
      <c r="IW36" s="118">
        <f t="shared" si="250"/>
        <v>0.71507638888888891</v>
      </c>
      <c r="IX36" s="118">
        <f t="shared" si="250"/>
        <v>0.54668055555555561</v>
      </c>
      <c r="IY36" s="118">
        <f t="shared" si="250"/>
        <v>0.64289583333333333</v>
      </c>
      <c r="IZ36" s="118">
        <f t="shared" si="250"/>
        <v>0.85239583333333335</v>
      </c>
      <c r="JA36" s="118">
        <f t="shared" si="250"/>
        <v>0.84122685185185186</v>
      </c>
      <c r="JB36" s="118">
        <f t="shared" si="250"/>
        <v>0.98992129629629633</v>
      </c>
      <c r="JC36" s="118">
        <f t="shared" si="250"/>
        <v>0.99188425925925927</v>
      </c>
      <c r="JD36" s="118">
        <f t="shared" ref="JD36:JM37" si="251">IF(OR(JD$13="",JD$17="",JD$14="",JD$15="",JD$16="",JD$18="",JD$19="",JD$20="",JD$21=""),"",1-(SUMIFS(JD$13:JD$21,$A$13:$A$21,$B36)/(COUNTIFS($A$27:$A$35,$B36)*JD$6)))</f>
        <v>0.91857638888888893</v>
      </c>
      <c r="JE36" s="118">
        <f t="shared" si="251"/>
        <v>0.97933564814814811</v>
      </c>
      <c r="JF36" s="118">
        <f t="shared" si="251"/>
        <v>1</v>
      </c>
      <c r="JG36" s="118">
        <f t="shared" si="251"/>
        <v>1</v>
      </c>
      <c r="JH36" s="118">
        <f t="shared" si="251"/>
        <v>0.91735185185185186</v>
      </c>
      <c r="JI36" s="118">
        <f t="shared" si="251"/>
        <v>0.77556250000000004</v>
      </c>
      <c r="JJ36" s="118">
        <f t="shared" si="251"/>
        <v>0.75639351851851855</v>
      </c>
      <c r="JK36" s="118">
        <f t="shared" si="251"/>
        <v>0.92215740740740737</v>
      </c>
      <c r="JL36" s="118">
        <f t="shared" si="251"/>
        <v>0.94725231481481476</v>
      </c>
      <c r="JM36" s="118">
        <f t="shared" si="251"/>
        <v>0.9381666666666667</v>
      </c>
      <c r="JN36" s="118">
        <f t="shared" ref="JN36:JW37" si="252">IF(OR(JN$13="",JN$17="",JN$14="",JN$15="",JN$16="",JN$18="",JN$19="",JN$20="",JN$21=""),"",1-(SUMIFS(JN$13:JN$21,$A$13:$A$21,$B36)/(COUNTIFS($A$27:$A$35,$B36)*JN$6)))</f>
        <v>0.84404166666666669</v>
      </c>
      <c r="JO36" s="118">
        <f t="shared" si="252"/>
        <v>0.95833333333333337</v>
      </c>
      <c r="JP36" s="118">
        <f t="shared" si="252"/>
        <v>0.87956250000000002</v>
      </c>
      <c r="JQ36" s="118">
        <f t="shared" si="252"/>
        <v>0.89016666666666666</v>
      </c>
      <c r="JR36" s="118">
        <f t="shared" si="252"/>
        <v>0.46882638888888883</v>
      </c>
      <c r="JS36" s="118">
        <f t="shared" si="252"/>
        <v>0.93037268518518523</v>
      </c>
      <c r="JT36" s="118">
        <f t="shared" si="252"/>
        <v>0.98099999999999998</v>
      </c>
      <c r="JU36" s="118">
        <f t="shared" si="252"/>
        <v>0.96283333333333332</v>
      </c>
      <c r="JV36" s="118">
        <f t="shared" si="252"/>
        <v>0.98083333333333333</v>
      </c>
      <c r="JW36" s="118">
        <f t="shared" si="252"/>
        <v>1</v>
      </c>
      <c r="JX36" s="118">
        <f t="shared" ref="JX36:KG37" si="253">IF(OR(JX$13="",JX$17="",JX$14="",JX$15="",JX$16="",JX$18="",JX$19="",JX$20="",JX$21=""),"",1-(SUMIFS(JX$13:JX$21,$A$13:$A$21,$B36)/(COUNTIFS($A$27:$A$35,$B36)*JX$6)))</f>
        <v>0.96666666666666667</v>
      </c>
      <c r="JY36" s="118">
        <f t="shared" si="253"/>
        <v>0.8</v>
      </c>
      <c r="JZ36" s="118">
        <f t="shared" si="253"/>
        <v>0.8</v>
      </c>
      <c r="KA36" s="118">
        <f t="shared" si="253"/>
        <v>1</v>
      </c>
      <c r="KB36" s="118">
        <f t="shared" si="253"/>
        <v>1</v>
      </c>
      <c r="KC36" s="118">
        <f t="shared" si="253"/>
        <v>0.8</v>
      </c>
      <c r="KD36" s="118">
        <f t="shared" si="253"/>
        <v>0.95</v>
      </c>
      <c r="KE36" s="118">
        <f t="shared" si="253"/>
        <v>1</v>
      </c>
      <c r="KF36" s="118">
        <f t="shared" si="253"/>
        <v>1</v>
      </c>
      <c r="KG36" s="118">
        <f t="shared" si="253"/>
        <v>1</v>
      </c>
      <c r="KH36" s="118">
        <f t="shared" ref="KH36:KQ37" si="254">IF(OR(KH$13="",KH$17="",KH$14="",KH$15="",KH$16="",KH$18="",KH$19="",KH$20="",KH$21=""),"",1-(SUMIFS(KH$13:KH$21,$A$13:$A$21,$B36)/(COUNTIFS($A$27:$A$35,$B36)*KH$6)))</f>
        <v>0.7</v>
      </c>
      <c r="KI36" s="118">
        <f t="shared" si="254"/>
        <v>1</v>
      </c>
      <c r="KJ36" s="118">
        <f t="shared" si="254"/>
        <v>0.95</v>
      </c>
      <c r="KK36" s="118">
        <f t="shared" si="254"/>
        <v>1</v>
      </c>
      <c r="KL36" s="118">
        <f t="shared" si="254"/>
        <v>1</v>
      </c>
      <c r="KM36" s="118">
        <f t="shared" si="254"/>
        <v>1</v>
      </c>
      <c r="KN36" s="118">
        <f t="shared" si="254"/>
        <v>1</v>
      </c>
      <c r="KO36" s="118">
        <f t="shared" si="254"/>
        <v>1</v>
      </c>
      <c r="KP36" s="118">
        <f t="shared" si="254"/>
        <v>1</v>
      </c>
      <c r="KQ36" s="118">
        <f t="shared" si="254"/>
        <v>1</v>
      </c>
      <c r="KR36" s="118">
        <f t="shared" ref="KR36:LA37" si="255">IF(OR(KR$13="",KR$17="",KR$14="",KR$15="",KR$16="",KR$18="",KR$19="",KR$20="",KR$21=""),"",1-(SUMIFS(KR$13:KR$21,$A$13:$A$21,$B36)/(COUNTIFS($A$27:$A$35,$B36)*KR$6)))</f>
        <v>1</v>
      </c>
      <c r="KS36" s="118">
        <f t="shared" si="255"/>
        <v>1</v>
      </c>
      <c r="KT36" s="118">
        <f t="shared" si="255"/>
        <v>1</v>
      </c>
      <c r="KU36" s="118" t="str">
        <f t="shared" si="255"/>
        <v/>
      </c>
      <c r="KV36" s="118" t="str">
        <f t="shared" si="255"/>
        <v/>
      </c>
      <c r="KW36" s="118" t="str">
        <f t="shared" si="255"/>
        <v/>
      </c>
      <c r="KX36" s="118" t="str">
        <f t="shared" si="255"/>
        <v/>
      </c>
      <c r="KY36" s="118" t="str">
        <f t="shared" si="255"/>
        <v/>
      </c>
      <c r="KZ36" s="118" t="str">
        <f t="shared" si="255"/>
        <v/>
      </c>
      <c r="LA36" s="118" t="str">
        <f t="shared" si="255"/>
        <v/>
      </c>
      <c r="LB36" s="118" t="str">
        <f t="shared" ref="LB36:LK37" si="256">IF(OR(LB$13="",LB$17="",LB$14="",LB$15="",LB$16="",LB$18="",LB$19="",LB$20="",LB$21=""),"",1-(SUMIFS(LB$13:LB$21,$A$13:$A$21,$B36)/(COUNTIFS($A$27:$A$35,$B36)*LB$6)))</f>
        <v/>
      </c>
      <c r="LC36" s="118" t="str">
        <f t="shared" si="256"/>
        <v/>
      </c>
      <c r="LD36" s="118" t="str">
        <f t="shared" si="256"/>
        <v/>
      </c>
      <c r="LE36" s="118" t="str">
        <f t="shared" si="256"/>
        <v/>
      </c>
      <c r="LF36" s="118" t="str">
        <f t="shared" si="256"/>
        <v/>
      </c>
      <c r="LG36" s="118" t="str">
        <f t="shared" si="256"/>
        <v/>
      </c>
      <c r="LH36" s="118" t="str">
        <f t="shared" si="256"/>
        <v/>
      </c>
      <c r="LI36" s="118" t="str">
        <f t="shared" si="256"/>
        <v/>
      </c>
      <c r="LJ36" s="118" t="str">
        <f t="shared" si="256"/>
        <v/>
      </c>
      <c r="LK36" s="118" t="str">
        <f t="shared" si="256"/>
        <v/>
      </c>
      <c r="LL36" s="118" t="str">
        <f t="shared" ref="LL36:LU37" si="257">IF(OR(LL$13="",LL$17="",LL$14="",LL$15="",LL$16="",LL$18="",LL$19="",LL$20="",LL$21=""),"",1-(SUMIFS(LL$13:LL$21,$A$13:$A$21,$B36)/(COUNTIFS($A$27:$A$35,$B36)*LL$6)))</f>
        <v/>
      </c>
      <c r="LM36" s="118" t="str">
        <f t="shared" si="257"/>
        <v/>
      </c>
      <c r="LN36" s="118" t="str">
        <f t="shared" si="257"/>
        <v/>
      </c>
      <c r="LO36" s="118" t="str">
        <f t="shared" si="257"/>
        <v/>
      </c>
      <c r="LP36" s="118" t="str">
        <f t="shared" si="257"/>
        <v/>
      </c>
      <c r="LQ36" s="118" t="str">
        <f t="shared" si="257"/>
        <v/>
      </c>
      <c r="LR36" s="118" t="str">
        <f t="shared" si="257"/>
        <v/>
      </c>
      <c r="LS36" s="118" t="str">
        <f t="shared" si="257"/>
        <v/>
      </c>
      <c r="LT36" s="118" t="str">
        <f t="shared" si="257"/>
        <v/>
      </c>
      <c r="LU36" s="118" t="str">
        <f t="shared" si="257"/>
        <v/>
      </c>
      <c r="LV36" s="118" t="str">
        <f t="shared" ref="LV36:ME37" si="258">IF(OR(LV$13="",LV$17="",LV$14="",LV$15="",LV$16="",LV$18="",LV$19="",LV$20="",LV$21=""),"",1-(SUMIFS(LV$13:LV$21,$A$13:$A$21,$B36)/(COUNTIFS($A$27:$A$35,$B36)*LV$6)))</f>
        <v/>
      </c>
      <c r="LW36" s="118" t="str">
        <f t="shared" si="258"/>
        <v/>
      </c>
      <c r="LX36" s="118" t="str">
        <f t="shared" si="258"/>
        <v/>
      </c>
      <c r="LY36" s="118" t="str">
        <f t="shared" si="258"/>
        <v/>
      </c>
      <c r="LZ36" s="118" t="str">
        <f t="shared" si="258"/>
        <v/>
      </c>
      <c r="MA36" s="118" t="str">
        <f t="shared" si="258"/>
        <v/>
      </c>
      <c r="MB36" s="118" t="str">
        <f t="shared" si="258"/>
        <v/>
      </c>
      <c r="MC36" s="118" t="str">
        <f t="shared" si="258"/>
        <v/>
      </c>
      <c r="MD36" s="118" t="str">
        <f t="shared" si="258"/>
        <v/>
      </c>
      <c r="ME36" s="118" t="str">
        <f t="shared" si="258"/>
        <v/>
      </c>
      <c r="MF36" s="118" t="str">
        <f t="shared" ref="MF36:MO37" si="259">IF(OR(MF$13="",MF$17="",MF$14="",MF$15="",MF$16="",MF$18="",MF$19="",MF$20="",MF$21=""),"",1-(SUMIFS(MF$13:MF$21,$A$13:$A$21,$B36)/(COUNTIFS($A$27:$A$35,$B36)*MF$6)))</f>
        <v/>
      </c>
      <c r="MG36" s="118" t="str">
        <f t="shared" si="259"/>
        <v/>
      </c>
      <c r="MH36" s="118" t="str">
        <f t="shared" si="259"/>
        <v/>
      </c>
      <c r="MI36" s="118" t="str">
        <f t="shared" si="259"/>
        <v/>
      </c>
      <c r="MJ36" s="118" t="str">
        <f t="shared" si="259"/>
        <v/>
      </c>
      <c r="MK36" s="118" t="str">
        <f t="shared" si="259"/>
        <v/>
      </c>
      <c r="ML36" s="118" t="str">
        <f t="shared" si="259"/>
        <v/>
      </c>
      <c r="MM36" s="118" t="str">
        <f t="shared" si="259"/>
        <v/>
      </c>
      <c r="MN36" s="118" t="str">
        <f t="shared" si="259"/>
        <v/>
      </c>
      <c r="MO36" s="118" t="str">
        <f t="shared" si="259"/>
        <v/>
      </c>
      <c r="MP36" s="118" t="str">
        <f t="shared" ref="MP36:MY37" si="260">IF(OR(MP$13="",MP$17="",MP$14="",MP$15="",MP$16="",MP$18="",MP$19="",MP$20="",MP$21=""),"",1-(SUMIFS(MP$13:MP$21,$A$13:$A$21,$B36)/(COUNTIFS($A$27:$A$35,$B36)*MP$6)))</f>
        <v/>
      </c>
      <c r="MQ36" s="118" t="str">
        <f t="shared" si="260"/>
        <v/>
      </c>
      <c r="MR36" s="118" t="str">
        <f t="shared" si="260"/>
        <v/>
      </c>
      <c r="MS36" s="118" t="str">
        <f t="shared" si="260"/>
        <v/>
      </c>
      <c r="MT36" s="118" t="str">
        <f t="shared" si="260"/>
        <v/>
      </c>
      <c r="MU36" s="118" t="str">
        <f t="shared" si="260"/>
        <v/>
      </c>
      <c r="MV36" s="118" t="str">
        <f t="shared" si="260"/>
        <v/>
      </c>
      <c r="MW36" s="118" t="str">
        <f t="shared" si="260"/>
        <v/>
      </c>
      <c r="MX36" s="118" t="str">
        <f t="shared" si="260"/>
        <v/>
      </c>
      <c r="MY36" s="118" t="str">
        <f t="shared" si="260"/>
        <v/>
      </c>
      <c r="MZ36" s="118" t="str">
        <f t="shared" ref="MZ36:NI37" si="261">IF(OR(MZ$13="",MZ$17="",MZ$14="",MZ$15="",MZ$16="",MZ$18="",MZ$19="",MZ$20="",MZ$21=""),"",1-(SUMIFS(MZ$13:MZ$21,$A$13:$A$21,$B36)/(COUNTIFS($A$27:$A$35,$B36)*MZ$6)))</f>
        <v/>
      </c>
      <c r="NA36" s="118" t="str">
        <f t="shared" si="261"/>
        <v/>
      </c>
      <c r="NB36" s="118" t="str">
        <f t="shared" si="261"/>
        <v/>
      </c>
      <c r="NC36" s="118" t="str">
        <f t="shared" si="261"/>
        <v/>
      </c>
      <c r="ND36" s="118" t="str">
        <f t="shared" si="261"/>
        <v/>
      </c>
      <c r="NE36" s="118" t="str">
        <f t="shared" si="261"/>
        <v/>
      </c>
      <c r="NF36" s="118" t="str">
        <f t="shared" si="261"/>
        <v/>
      </c>
      <c r="NG36" s="118" t="str">
        <f t="shared" si="261"/>
        <v/>
      </c>
      <c r="NH36" s="118" t="str">
        <f t="shared" si="261"/>
        <v/>
      </c>
      <c r="NI36" s="118" t="str">
        <f t="shared" si="261"/>
        <v/>
      </c>
      <c r="NJ36" s="118" t="str">
        <f t="shared" ref="NJ36:NS37" si="262">IF(OR(NJ$13="",NJ$17="",NJ$14="",NJ$15="",NJ$16="",NJ$18="",NJ$19="",NJ$20="",NJ$21=""),"",1-(SUMIFS(NJ$13:NJ$21,$A$13:$A$21,$B36)/(COUNTIFS($A$27:$A$35,$B36)*NJ$6)))</f>
        <v/>
      </c>
      <c r="NK36" s="118" t="str">
        <f t="shared" si="262"/>
        <v/>
      </c>
      <c r="NL36" s="118" t="str">
        <f t="shared" si="262"/>
        <v/>
      </c>
      <c r="NM36" s="118" t="str">
        <f t="shared" si="262"/>
        <v/>
      </c>
      <c r="NN36" s="118" t="str">
        <f t="shared" si="262"/>
        <v/>
      </c>
      <c r="NO36" s="118" t="str">
        <f t="shared" si="262"/>
        <v/>
      </c>
      <c r="NP36" s="118" t="str">
        <f t="shared" si="262"/>
        <v/>
      </c>
      <c r="NQ36" s="118" t="str">
        <f t="shared" si="262"/>
        <v/>
      </c>
      <c r="NR36" s="118" t="str">
        <f t="shared" si="262"/>
        <v/>
      </c>
      <c r="NS36" s="118" t="str">
        <f t="shared" si="262"/>
        <v/>
      </c>
      <c r="NT36" s="118" t="str">
        <f t="shared" ref="NT36:OC37" si="263">IF(OR(NT$13="",NT$17="",NT$14="",NT$15="",NT$16="",NT$18="",NT$19="",NT$20="",NT$21=""),"",1-(SUMIFS(NT$13:NT$21,$A$13:$A$21,$B36)/(COUNTIFS($A$27:$A$35,$B36)*NT$6)))</f>
        <v/>
      </c>
      <c r="NU36" s="118" t="str">
        <f t="shared" si="263"/>
        <v/>
      </c>
      <c r="NV36" s="118" t="str">
        <f t="shared" si="263"/>
        <v/>
      </c>
      <c r="NW36" s="118" t="str">
        <f t="shared" si="263"/>
        <v/>
      </c>
      <c r="NX36" s="118" t="str">
        <f t="shared" si="263"/>
        <v/>
      </c>
      <c r="NY36" s="118" t="str">
        <f t="shared" si="263"/>
        <v/>
      </c>
      <c r="NZ36" s="118" t="str">
        <f t="shared" si="263"/>
        <v/>
      </c>
      <c r="OA36" s="118" t="str">
        <f t="shared" si="263"/>
        <v/>
      </c>
      <c r="OB36" s="118" t="str">
        <f t="shared" si="263"/>
        <v/>
      </c>
      <c r="OC36" s="118" t="str">
        <f t="shared" si="263"/>
        <v/>
      </c>
      <c r="OD36" s="118" t="str">
        <f t="shared" ref="OD36:OM37" si="264">IF(OR(OD$13="",OD$17="",OD$14="",OD$15="",OD$16="",OD$18="",OD$19="",OD$20="",OD$21=""),"",1-(SUMIFS(OD$13:OD$21,$A$13:$A$21,$B36)/(COUNTIFS($A$27:$A$35,$B36)*OD$6)))</f>
        <v/>
      </c>
      <c r="OE36" s="118" t="str">
        <f t="shared" si="264"/>
        <v/>
      </c>
      <c r="OF36" s="118" t="str">
        <f t="shared" si="264"/>
        <v/>
      </c>
      <c r="OG36" s="118" t="str">
        <f t="shared" si="264"/>
        <v/>
      </c>
      <c r="OH36" s="118" t="str">
        <f t="shared" si="264"/>
        <v/>
      </c>
      <c r="OI36" s="118" t="str">
        <f t="shared" si="264"/>
        <v/>
      </c>
      <c r="OJ36" s="118" t="str">
        <f t="shared" si="264"/>
        <v/>
      </c>
      <c r="OK36" s="118" t="str">
        <f t="shared" si="264"/>
        <v/>
      </c>
      <c r="OL36" s="118" t="str">
        <f t="shared" si="264"/>
        <v/>
      </c>
      <c r="OM36" s="118" t="str">
        <f t="shared" si="264"/>
        <v/>
      </c>
      <c r="ON36" s="118" t="str">
        <f t="shared" ref="ON36:OW37" si="265">IF(OR(ON$13="",ON$17="",ON$14="",ON$15="",ON$16="",ON$18="",ON$19="",ON$20="",ON$21=""),"",1-(SUMIFS(ON$13:ON$21,$A$13:$A$21,$B36)/(COUNTIFS($A$27:$A$35,$B36)*ON$6)))</f>
        <v/>
      </c>
      <c r="OO36" s="118" t="str">
        <f t="shared" si="265"/>
        <v/>
      </c>
      <c r="OP36" s="118" t="str">
        <f t="shared" si="265"/>
        <v/>
      </c>
      <c r="OQ36" s="118" t="str">
        <f t="shared" si="265"/>
        <v/>
      </c>
      <c r="OR36" s="118" t="str">
        <f t="shared" si="265"/>
        <v/>
      </c>
      <c r="OS36" s="118" t="str">
        <f t="shared" si="265"/>
        <v/>
      </c>
      <c r="OT36" s="118" t="str">
        <f t="shared" si="265"/>
        <v/>
      </c>
      <c r="OU36" s="118" t="str">
        <f t="shared" si="265"/>
        <v/>
      </c>
      <c r="OV36" s="118" t="str">
        <f t="shared" si="265"/>
        <v/>
      </c>
      <c r="OW36" s="118" t="str">
        <f t="shared" si="265"/>
        <v/>
      </c>
      <c r="OX36" s="118" t="str">
        <f t="shared" ref="OX36:PG37" si="266">IF(OR(OX$13="",OX$17="",OX$14="",OX$15="",OX$16="",OX$18="",OX$19="",OX$20="",OX$21=""),"",1-(SUMIFS(OX$13:OX$21,$A$13:$A$21,$B36)/(COUNTIFS($A$27:$A$35,$B36)*OX$6)))</f>
        <v/>
      </c>
      <c r="OY36" s="118" t="str">
        <f t="shared" si="266"/>
        <v/>
      </c>
      <c r="OZ36" s="118" t="str">
        <f t="shared" si="266"/>
        <v/>
      </c>
      <c r="PA36" s="118" t="str">
        <f t="shared" si="266"/>
        <v/>
      </c>
      <c r="PB36" s="118" t="str">
        <f t="shared" si="266"/>
        <v/>
      </c>
      <c r="PC36" s="118" t="str">
        <f t="shared" si="266"/>
        <v/>
      </c>
      <c r="PD36" s="118" t="str">
        <f t="shared" si="266"/>
        <v/>
      </c>
      <c r="PE36" s="118" t="str">
        <f t="shared" si="266"/>
        <v/>
      </c>
      <c r="PF36" s="118" t="str">
        <f t="shared" si="266"/>
        <v/>
      </c>
      <c r="PG36" s="118" t="str">
        <f t="shared" si="266"/>
        <v/>
      </c>
      <c r="PH36" s="118" t="str">
        <f t="shared" ref="PH36:PQ37" si="267">IF(OR(PH$13="",PH$17="",PH$14="",PH$15="",PH$16="",PH$18="",PH$19="",PH$20="",PH$21=""),"",1-(SUMIFS(PH$13:PH$21,$A$13:$A$21,$B36)/(COUNTIFS($A$27:$A$35,$B36)*PH$6)))</f>
        <v/>
      </c>
      <c r="PI36" s="118" t="str">
        <f t="shared" si="267"/>
        <v/>
      </c>
      <c r="PJ36" s="118" t="str">
        <f t="shared" si="267"/>
        <v/>
      </c>
      <c r="PK36" s="118" t="str">
        <f t="shared" si="267"/>
        <v/>
      </c>
      <c r="PL36" s="118" t="str">
        <f t="shared" si="267"/>
        <v/>
      </c>
      <c r="PM36" s="118" t="str">
        <f t="shared" si="267"/>
        <v/>
      </c>
      <c r="PN36" s="118" t="str">
        <f t="shared" si="267"/>
        <v/>
      </c>
      <c r="PO36" s="118" t="str">
        <f t="shared" si="267"/>
        <v/>
      </c>
      <c r="PP36" s="118" t="str">
        <f t="shared" si="267"/>
        <v/>
      </c>
      <c r="PQ36" s="118" t="str">
        <f t="shared" si="267"/>
        <v/>
      </c>
      <c r="PR36" s="118" t="str">
        <f t="shared" ref="PR36:QA37" si="268">IF(OR(PR$13="",PR$17="",PR$14="",PR$15="",PR$16="",PR$18="",PR$19="",PR$20="",PR$21=""),"",1-(SUMIFS(PR$13:PR$21,$A$13:$A$21,$B36)/(COUNTIFS($A$27:$A$35,$B36)*PR$6)))</f>
        <v/>
      </c>
      <c r="PS36" s="118" t="str">
        <f t="shared" si="268"/>
        <v/>
      </c>
      <c r="PT36" s="118" t="str">
        <f t="shared" si="268"/>
        <v/>
      </c>
      <c r="PU36" s="118" t="str">
        <f t="shared" si="268"/>
        <v/>
      </c>
      <c r="PV36" s="118" t="str">
        <f t="shared" si="268"/>
        <v/>
      </c>
      <c r="PW36" s="118" t="str">
        <f t="shared" si="268"/>
        <v/>
      </c>
      <c r="PX36" s="118" t="str">
        <f t="shared" si="268"/>
        <v/>
      </c>
      <c r="PY36" s="118" t="str">
        <f t="shared" si="268"/>
        <v/>
      </c>
      <c r="PZ36" s="118" t="str">
        <f t="shared" si="268"/>
        <v/>
      </c>
      <c r="QA36" s="118" t="str">
        <f t="shared" si="268"/>
        <v/>
      </c>
      <c r="QB36" s="118" t="str">
        <f t="shared" ref="QB36:QK37" si="269">IF(OR(QB$13="",QB$17="",QB$14="",QB$15="",QB$16="",QB$18="",QB$19="",QB$20="",QB$21=""),"",1-(SUMIFS(QB$13:QB$21,$A$13:$A$21,$B36)/(COUNTIFS($A$27:$A$35,$B36)*QB$6)))</f>
        <v/>
      </c>
      <c r="QC36" s="118" t="str">
        <f t="shared" si="269"/>
        <v/>
      </c>
      <c r="QD36" s="118" t="str">
        <f t="shared" si="269"/>
        <v/>
      </c>
      <c r="QE36" s="118" t="str">
        <f t="shared" si="269"/>
        <v/>
      </c>
      <c r="QF36" s="118" t="str">
        <f t="shared" si="269"/>
        <v/>
      </c>
      <c r="QG36" s="118" t="str">
        <f t="shared" si="269"/>
        <v/>
      </c>
      <c r="QH36" s="118" t="str">
        <f t="shared" si="269"/>
        <v/>
      </c>
      <c r="QI36" s="118" t="str">
        <f t="shared" si="269"/>
        <v/>
      </c>
      <c r="QJ36" s="118" t="str">
        <f t="shared" si="269"/>
        <v/>
      </c>
      <c r="QK36" s="118" t="str">
        <f t="shared" si="269"/>
        <v/>
      </c>
      <c r="QL36" s="118" t="str">
        <f t="shared" ref="QL36:QU37" si="270">IF(OR(QL$13="",QL$17="",QL$14="",QL$15="",QL$16="",QL$18="",QL$19="",QL$20="",QL$21=""),"",1-(SUMIFS(QL$13:QL$21,$A$13:$A$21,$B36)/(COUNTIFS($A$27:$A$35,$B36)*QL$6)))</f>
        <v/>
      </c>
      <c r="QM36" s="118" t="str">
        <f t="shared" si="270"/>
        <v/>
      </c>
      <c r="QN36" s="118" t="str">
        <f t="shared" si="270"/>
        <v/>
      </c>
      <c r="QO36" s="118" t="str">
        <f t="shared" si="270"/>
        <v/>
      </c>
      <c r="QP36" s="118" t="str">
        <f t="shared" si="270"/>
        <v/>
      </c>
      <c r="QQ36" s="118" t="str">
        <f t="shared" si="270"/>
        <v/>
      </c>
      <c r="QR36" s="118" t="str">
        <f t="shared" si="270"/>
        <v/>
      </c>
      <c r="QS36" s="118" t="str">
        <f t="shared" si="270"/>
        <v/>
      </c>
      <c r="QT36" s="118" t="str">
        <f t="shared" si="270"/>
        <v/>
      </c>
      <c r="QU36" s="118" t="str">
        <f t="shared" si="270"/>
        <v/>
      </c>
      <c r="QV36" s="118" t="str">
        <f t="shared" ref="QV36:RE37" si="271">IF(OR(QV$13="",QV$17="",QV$14="",QV$15="",QV$16="",QV$18="",QV$19="",QV$20="",QV$21=""),"",1-(SUMIFS(QV$13:QV$21,$A$13:$A$21,$B36)/(COUNTIFS($A$27:$A$35,$B36)*QV$6)))</f>
        <v/>
      </c>
      <c r="QW36" s="118" t="str">
        <f t="shared" si="271"/>
        <v/>
      </c>
      <c r="QX36" s="118" t="str">
        <f t="shared" si="271"/>
        <v/>
      </c>
      <c r="QY36" s="118" t="str">
        <f t="shared" si="271"/>
        <v/>
      </c>
      <c r="QZ36" s="118" t="str">
        <f t="shared" si="271"/>
        <v/>
      </c>
      <c r="RA36" s="118" t="str">
        <f t="shared" si="271"/>
        <v/>
      </c>
      <c r="RB36" s="118" t="str">
        <f t="shared" si="271"/>
        <v/>
      </c>
      <c r="RC36" s="118" t="str">
        <f t="shared" si="271"/>
        <v/>
      </c>
      <c r="RD36" s="118" t="str">
        <f t="shared" si="271"/>
        <v/>
      </c>
      <c r="RE36" s="118" t="str">
        <f t="shared" si="271"/>
        <v/>
      </c>
      <c r="RF36" s="118" t="str">
        <f t="shared" ref="RF36:RO37" si="272">IF(OR(RF$13="",RF$17="",RF$14="",RF$15="",RF$16="",RF$18="",RF$19="",RF$20="",RF$21=""),"",1-(SUMIFS(RF$13:RF$21,$A$13:$A$21,$B36)/(COUNTIFS($A$27:$A$35,$B36)*RF$6)))</f>
        <v/>
      </c>
      <c r="RG36" s="118" t="str">
        <f t="shared" si="272"/>
        <v/>
      </c>
      <c r="RH36" s="118" t="str">
        <f t="shared" si="272"/>
        <v/>
      </c>
      <c r="RI36" s="118" t="str">
        <f t="shared" si="272"/>
        <v/>
      </c>
      <c r="RJ36" s="118" t="str">
        <f t="shared" si="272"/>
        <v/>
      </c>
      <c r="RK36" s="118" t="str">
        <f t="shared" si="272"/>
        <v/>
      </c>
      <c r="RL36" s="118" t="str">
        <f t="shared" si="272"/>
        <v/>
      </c>
      <c r="RM36" s="118" t="str">
        <f t="shared" si="272"/>
        <v/>
      </c>
      <c r="RN36" s="118" t="str">
        <f t="shared" si="272"/>
        <v/>
      </c>
      <c r="RO36" s="118" t="str">
        <f t="shared" si="272"/>
        <v/>
      </c>
      <c r="RP36" s="118" t="str">
        <f t="shared" ref="RP36:RY37" si="273">IF(OR(RP$13="",RP$17="",RP$14="",RP$15="",RP$16="",RP$18="",RP$19="",RP$20="",RP$21=""),"",1-(SUMIFS(RP$13:RP$21,$A$13:$A$21,$B36)/(COUNTIFS($A$27:$A$35,$B36)*RP$6)))</f>
        <v/>
      </c>
      <c r="RQ36" s="118" t="str">
        <f t="shared" si="273"/>
        <v/>
      </c>
      <c r="RR36" s="118" t="str">
        <f t="shared" si="273"/>
        <v/>
      </c>
      <c r="RS36" s="118" t="str">
        <f t="shared" si="273"/>
        <v/>
      </c>
      <c r="RT36" s="118" t="str">
        <f t="shared" si="273"/>
        <v/>
      </c>
      <c r="RU36" s="118" t="str">
        <f t="shared" si="273"/>
        <v/>
      </c>
      <c r="RV36" s="118" t="str">
        <f t="shared" si="273"/>
        <v/>
      </c>
      <c r="RW36" s="118" t="str">
        <f t="shared" si="273"/>
        <v/>
      </c>
      <c r="RX36" s="118" t="str">
        <f t="shared" si="273"/>
        <v/>
      </c>
      <c r="RY36" s="118" t="str">
        <f t="shared" si="273"/>
        <v/>
      </c>
      <c r="RZ36" s="118" t="str">
        <f t="shared" ref="RZ36:SI37" si="274">IF(OR(RZ$13="",RZ$17="",RZ$14="",RZ$15="",RZ$16="",RZ$18="",RZ$19="",RZ$20="",RZ$21=""),"",1-(SUMIFS(RZ$13:RZ$21,$A$13:$A$21,$B36)/(COUNTIFS($A$27:$A$35,$B36)*RZ$6)))</f>
        <v/>
      </c>
      <c r="SA36" s="118" t="str">
        <f t="shared" si="274"/>
        <v/>
      </c>
      <c r="SB36" s="118" t="str">
        <f t="shared" si="274"/>
        <v/>
      </c>
      <c r="SC36" s="118" t="str">
        <f t="shared" si="274"/>
        <v/>
      </c>
      <c r="SD36" s="118" t="str">
        <f t="shared" si="274"/>
        <v/>
      </c>
      <c r="SE36" s="118" t="str">
        <f t="shared" si="274"/>
        <v/>
      </c>
      <c r="SF36" s="118" t="str">
        <f t="shared" si="274"/>
        <v/>
      </c>
      <c r="SG36" s="118" t="str">
        <f t="shared" si="274"/>
        <v/>
      </c>
      <c r="SH36" s="118" t="str">
        <f t="shared" si="274"/>
        <v/>
      </c>
      <c r="SI36" s="118" t="str">
        <f t="shared" si="274"/>
        <v/>
      </c>
      <c r="SJ36" s="118" t="str">
        <f t="shared" ref="SJ36:SW37" si="275">IF(OR(SJ$13="",SJ$17="",SJ$14="",SJ$15="",SJ$16="",SJ$18="",SJ$19="",SJ$20="",SJ$21=""),"",1-(SUMIFS(SJ$13:SJ$21,$A$13:$A$21,$B36)/(COUNTIFS($A$27:$A$35,$B36)*SJ$6)))</f>
        <v/>
      </c>
      <c r="SK36" s="118" t="str">
        <f t="shared" si="275"/>
        <v/>
      </c>
      <c r="SL36" s="118" t="str">
        <f t="shared" si="275"/>
        <v/>
      </c>
      <c r="SM36" s="118" t="str">
        <f t="shared" si="275"/>
        <v/>
      </c>
      <c r="SN36" s="118" t="str">
        <f t="shared" si="275"/>
        <v/>
      </c>
      <c r="SO36" s="118" t="str">
        <f t="shared" si="275"/>
        <v/>
      </c>
      <c r="SP36" s="118" t="str">
        <f t="shared" si="275"/>
        <v/>
      </c>
      <c r="SQ36" s="118" t="str">
        <f t="shared" si="275"/>
        <v/>
      </c>
      <c r="SR36" s="118" t="str">
        <f t="shared" si="275"/>
        <v/>
      </c>
      <c r="SS36" s="118" t="str">
        <f t="shared" si="275"/>
        <v/>
      </c>
      <c r="ST36" s="118" t="str">
        <f t="shared" si="275"/>
        <v/>
      </c>
      <c r="SU36" s="118" t="str">
        <f t="shared" si="275"/>
        <v/>
      </c>
      <c r="SV36" s="118" t="str">
        <f t="shared" si="275"/>
        <v/>
      </c>
      <c r="SW36" s="118" t="str">
        <f t="shared" si="275"/>
        <v/>
      </c>
    </row>
    <row r="37" spans="1:517" ht="24.6" customHeight="1" x14ac:dyDescent="0.2">
      <c r="A37" s="94">
        <f>COUNTIF(A27:A35,B37)</f>
        <v>4</v>
      </c>
      <c r="B37" s="115">
        <v>777</v>
      </c>
      <c r="C37" s="118">
        <f t="shared" ref="C37:AG37" si="276">IF(OR(C$13="",C$17="",C$14="",C$15="",C$16="",C$18="",C$19="",C$20="",C$21=""),"",1-(SUMIFS(C$13:C$21,$A$13:$A$21,$B37)/(COUNTIFS($A$27:$A$35,$B37)*C$6)))</f>
        <v>1</v>
      </c>
      <c r="D37" s="118">
        <f t="shared" si="276"/>
        <v>0.43624999999999992</v>
      </c>
      <c r="E37" s="118">
        <f t="shared" si="276"/>
        <v>0.95781249999999996</v>
      </c>
      <c r="F37" s="118">
        <f t="shared" si="276"/>
        <v>1</v>
      </c>
      <c r="G37" s="118">
        <f t="shared" si="276"/>
        <v>0.67999999999999994</v>
      </c>
      <c r="H37" s="118">
        <f t="shared" si="276"/>
        <v>0.88156250000000003</v>
      </c>
      <c r="I37" s="118">
        <f t="shared" si="276"/>
        <v>0.89770833333333333</v>
      </c>
      <c r="J37" s="118">
        <f t="shared" si="276"/>
        <v>0.68895833333333334</v>
      </c>
      <c r="K37" s="118">
        <f t="shared" si="276"/>
        <v>0.96302083333333333</v>
      </c>
      <c r="L37" s="118">
        <f t="shared" si="276"/>
        <v>0.85312500000000002</v>
      </c>
      <c r="M37" s="118">
        <f t="shared" si="276"/>
        <v>0.39656250000000004</v>
      </c>
      <c r="N37" s="118">
        <f t="shared" si="276"/>
        <v>0.97687500000000005</v>
      </c>
      <c r="O37" s="118">
        <f t="shared" si="276"/>
        <v>1</v>
      </c>
      <c r="P37" s="118">
        <f t="shared" si="276"/>
        <v>0.73812499999999992</v>
      </c>
      <c r="Q37" s="118">
        <f t="shared" si="276"/>
        <v>0.8404166666666667</v>
      </c>
      <c r="R37" s="118">
        <f t="shared" si="276"/>
        <v>0.97343749999999996</v>
      </c>
      <c r="S37" s="118">
        <f t="shared" si="276"/>
        <v>1</v>
      </c>
      <c r="T37" s="118">
        <f t="shared" si="276"/>
        <v>0.91635416666666669</v>
      </c>
      <c r="U37" s="118">
        <f t="shared" si="276"/>
        <v>0.83020833333333333</v>
      </c>
      <c r="V37" s="118">
        <f t="shared" si="276"/>
        <v>0.87968749999999996</v>
      </c>
      <c r="W37" s="118">
        <f t="shared" si="276"/>
        <v>0.9770833333333333</v>
      </c>
      <c r="X37" s="118">
        <f t="shared" si="276"/>
        <v>0.989375</v>
      </c>
      <c r="Y37" s="118">
        <f t="shared" si="276"/>
        <v>0.98177083333333337</v>
      </c>
      <c r="Z37" s="118">
        <f t="shared" si="276"/>
        <v>0.96479166666666671</v>
      </c>
      <c r="AA37" s="118">
        <f t="shared" si="276"/>
        <v>0.76406249999999998</v>
      </c>
      <c r="AB37" s="118">
        <f t="shared" si="276"/>
        <v>1</v>
      </c>
      <c r="AC37" s="118">
        <f t="shared" si="276"/>
        <v>0.671875</v>
      </c>
      <c r="AD37" s="118">
        <f t="shared" si="276"/>
        <v>1</v>
      </c>
      <c r="AE37" s="118">
        <f t="shared" si="276"/>
        <v>0.97395833333333337</v>
      </c>
      <c r="AF37" s="118">
        <f t="shared" si="276"/>
        <v>1</v>
      </c>
      <c r="AG37" s="118">
        <f t="shared" si="276"/>
        <v>0.98656250000000001</v>
      </c>
      <c r="AH37" s="118">
        <f t="shared" si="228"/>
        <v>0.93354166666666671</v>
      </c>
      <c r="AI37" s="118">
        <f t="shared" si="228"/>
        <v>0.98322916666666671</v>
      </c>
      <c r="AJ37" s="118">
        <f t="shared" si="228"/>
        <v>1</v>
      </c>
      <c r="AK37" s="118">
        <f t="shared" si="228"/>
        <v>1</v>
      </c>
      <c r="AL37" s="118">
        <f t="shared" si="228"/>
        <v>0.94145833333333329</v>
      </c>
      <c r="AM37" s="118">
        <f t="shared" si="228"/>
        <v>0.984375</v>
      </c>
      <c r="AN37" s="118">
        <f t="shared" si="228"/>
        <v>0.98083333333333333</v>
      </c>
      <c r="AO37" s="118">
        <f t="shared" si="228"/>
        <v>1</v>
      </c>
      <c r="AP37" s="118">
        <f t="shared" si="228"/>
        <v>1</v>
      </c>
      <c r="AQ37" s="118">
        <f t="shared" si="228"/>
        <v>0.94343750000000004</v>
      </c>
      <c r="AR37" s="118">
        <f t="shared" si="229"/>
        <v>0.9760416666666667</v>
      </c>
      <c r="AS37" s="118">
        <f t="shared" si="229"/>
        <v>0.88249999999999995</v>
      </c>
      <c r="AT37" s="118">
        <f t="shared" si="229"/>
        <v>0.7114583333333333</v>
      </c>
      <c r="AU37" s="118">
        <f t="shared" si="229"/>
        <v>1</v>
      </c>
      <c r="AV37" s="118">
        <f t="shared" si="229"/>
        <v>1</v>
      </c>
      <c r="AW37" s="118">
        <f t="shared" si="229"/>
        <v>1</v>
      </c>
      <c r="AX37" s="118">
        <f t="shared" si="229"/>
        <v>0.93666666666666665</v>
      </c>
      <c r="AY37" s="118">
        <f t="shared" si="229"/>
        <v>1</v>
      </c>
      <c r="AZ37" s="118">
        <f t="shared" si="229"/>
        <v>0.98750000000000004</v>
      </c>
      <c r="BA37" s="118">
        <f t="shared" si="229"/>
        <v>0.8822916666666667</v>
      </c>
      <c r="BB37" s="118">
        <f t="shared" si="230"/>
        <v>0.94354166666666672</v>
      </c>
      <c r="BC37" s="118">
        <f t="shared" si="230"/>
        <v>0.53677083333333342</v>
      </c>
      <c r="BD37" s="118">
        <f t="shared" si="230"/>
        <v>0.72010416666666666</v>
      </c>
      <c r="BE37" s="118">
        <f t="shared" si="230"/>
        <v>0.98822916666666671</v>
      </c>
      <c r="BF37" s="118">
        <f t="shared" si="230"/>
        <v>0.76302083333333337</v>
      </c>
      <c r="BG37" s="118">
        <f t="shared" si="230"/>
        <v>1</v>
      </c>
      <c r="BH37" s="118">
        <f t="shared" si="230"/>
        <v>1</v>
      </c>
      <c r="BI37" s="118">
        <f t="shared" si="230"/>
        <v>0.94614583333333335</v>
      </c>
      <c r="BJ37" s="118">
        <f t="shared" si="230"/>
        <v>0.8314583333333333</v>
      </c>
      <c r="BK37" s="118">
        <f t="shared" si="230"/>
        <v>0.92010416666666672</v>
      </c>
      <c r="BL37" s="118">
        <f t="shared" si="231"/>
        <v>0.81437499999999996</v>
      </c>
      <c r="BM37" s="118">
        <f t="shared" si="231"/>
        <v>0.86854166666666666</v>
      </c>
      <c r="BN37" s="118">
        <f t="shared" si="231"/>
        <v>0.921875</v>
      </c>
      <c r="BO37" s="118">
        <f t="shared" si="231"/>
        <v>0.63624999999999998</v>
      </c>
      <c r="BP37" s="118">
        <f t="shared" si="231"/>
        <v>0.79854166666666671</v>
      </c>
      <c r="BQ37" s="118">
        <f t="shared" si="231"/>
        <v>0.99093750000000003</v>
      </c>
      <c r="BR37" s="118">
        <f t="shared" si="231"/>
        <v>0.75249999999999995</v>
      </c>
      <c r="BS37" s="118">
        <f t="shared" si="231"/>
        <v>0.91833333333333333</v>
      </c>
      <c r="BT37" s="118">
        <f t="shared" si="231"/>
        <v>0.79552083333333334</v>
      </c>
      <c r="BU37" s="118">
        <f t="shared" si="231"/>
        <v>1</v>
      </c>
      <c r="BV37" s="118">
        <f t="shared" si="232"/>
        <v>1</v>
      </c>
      <c r="BW37" s="118">
        <f t="shared" si="232"/>
        <v>1</v>
      </c>
      <c r="BX37" s="118">
        <f t="shared" si="232"/>
        <v>0.74114583333333339</v>
      </c>
      <c r="BY37" s="118">
        <f t="shared" si="232"/>
        <v>0.83156249999999998</v>
      </c>
      <c r="BZ37" s="118">
        <f t="shared" si="232"/>
        <v>1</v>
      </c>
      <c r="CA37" s="118">
        <f t="shared" si="232"/>
        <v>0.9971875</v>
      </c>
      <c r="CB37" s="118">
        <f t="shared" si="232"/>
        <v>0.98760416666666662</v>
      </c>
      <c r="CC37" s="118">
        <f t="shared" si="232"/>
        <v>0.8404166666666667</v>
      </c>
      <c r="CD37" s="118">
        <f t="shared" si="232"/>
        <v>1</v>
      </c>
      <c r="CE37" s="118">
        <f t="shared" si="232"/>
        <v>1</v>
      </c>
      <c r="CF37" s="118">
        <f t="shared" si="233"/>
        <v>0.82708333333333328</v>
      </c>
      <c r="CG37" s="118">
        <f t="shared" si="233"/>
        <v>1</v>
      </c>
      <c r="CH37" s="118">
        <f t="shared" si="233"/>
        <v>0.97166666666666668</v>
      </c>
      <c r="CI37" s="118">
        <f t="shared" si="233"/>
        <v>0.770625</v>
      </c>
      <c r="CJ37" s="118">
        <f t="shared" si="233"/>
        <v>0.84010416666666665</v>
      </c>
      <c r="CK37" s="118">
        <f t="shared" si="233"/>
        <v>0.98958333333333337</v>
      </c>
      <c r="CL37" s="118">
        <f t="shared" si="233"/>
        <v>0.98499999999999999</v>
      </c>
      <c r="CM37" s="118">
        <f t="shared" si="233"/>
        <v>0.94552083333333337</v>
      </c>
      <c r="CN37" s="118">
        <f t="shared" si="233"/>
        <v>1</v>
      </c>
      <c r="CO37" s="118">
        <f t="shared" si="233"/>
        <v>0.83833333333333337</v>
      </c>
      <c r="CP37" s="118">
        <f t="shared" si="234"/>
        <v>0.9877083333333333</v>
      </c>
      <c r="CQ37" s="118">
        <f t="shared" si="234"/>
        <v>0.96177083333333335</v>
      </c>
      <c r="CR37" s="118">
        <f t="shared" si="234"/>
        <v>1</v>
      </c>
      <c r="CS37" s="118">
        <f t="shared" si="234"/>
        <v>0.87583333333333335</v>
      </c>
      <c r="CT37" s="118">
        <f t="shared" si="234"/>
        <v>0.96020833333333333</v>
      </c>
      <c r="CU37" s="118">
        <f t="shared" si="234"/>
        <v>1</v>
      </c>
      <c r="CV37" s="118">
        <f t="shared" si="234"/>
        <v>0.95572916666666663</v>
      </c>
      <c r="CW37" s="118">
        <f t="shared" si="234"/>
        <v>0.94874999999999998</v>
      </c>
      <c r="CX37" s="118">
        <f t="shared" si="234"/>
        <v>0.61895833333333328</v>
      </c>
      <c r="CY37" s="118">
        <f t="shared" si="234"/>
        <v>1</v>
      </c>
      <c r="CZ37" s="118">
        <f t="shared" si="235"/>
        <v>0.984375</v>
      </c>
      <c r="DA37" s="118">
        <f t="shared" si="235"/>
        <v>0.98406249999999995</v>
      </c>
      <c r="DB37" s="118">
        <f t="shared" si="235"/>
        <v>0.8984375</v>
      </c>
      <c r="DC37" s="118">
        <f t="shared" si="235"/>
        <v>0.88937500000000003</v>
      </c>
      <c r="DD37" s="118">
        <f t="shared" si="235"/>
        <v>0.96864583333333332</v>
      </c>
      <c r="DE37" s="118">
        <f t="shared" si="235"/>
        <v>0.77895833333333331</v>
      </c>
      <c r="DF37" s="118">
        <f t="shared" si="235"/>
        <v>0.63135416666666666</v>
      </c>
      <c r="DG37" s="118">
        <f t="shared" si="235"/>
        <v>1</v>
      </c>
      <c r="DH37" s="118">
        <f t="shared" si="235"/>
        <v>0.97552083333333339</v>
      </c>
      <c r="DI37" s="118">
        <f t="shared" si="235"/>
        <v>0.95854166666666663</v>
      </c>
      <c r="DJ37" s="118">
        <f t="shared" si="236"/>
        <v>-0.87052083333333363</v>
      </c>
      <c r="DK37" s="118">
        <f t="shared" si="236"/>
        <v>1</v>
      </c>
      <c r="DL37" s="118">
        <f t="shared" si="236"/>
        <v>0.98593750000000002</v>
      </c>
      <c r="DM37" s="118">
        <f t="shared" si="236"/>
        <v>0.91635416666666669</v>
      </c>
      <c r="DN37" s="118">
        <f t="shared" si="236"/>
        <v>0.95541666666666669</v>
      </c>
      <c r="DO37" s="118">
        <f t="shared" si="236"/>
        <v>1</v>
      </c>
      <c r="DP37" s="118">
        <f t="shared" si="236"/>
        <v>0.97802083333333334</v>
      </c>
      <c r="DQ37" s="118">
        <f t="shared" si="236"/>
        <v>0.96510416666666665</v>
      </c>
      <c r="DR37" s="118">
        <f t="shared" si="236"/>
        <v>0.99614583333333329</v>
      </c>
      <c r="DS37" s="118">
        <f t="shared" si="236"/>
        <v>0.97687500000000005</v>
      </c>
      <c r="DT37" s="118">
        <f t="shared" si="237"/>
        <v>0.91062500000000002</v>
      </c>
      <c r="DU37" s="118">
        <f t="shared" si="237"/>
        <v>0.85239583333333335</v>
      </c>
      <c r="DV37" s="118">
        <f t="shared" si="237"/>
        <v>0.88604166666666662</v>
      </c>
      <c r="DW37" s="118">
        <f t="shared" si="237"/>
        <v>0.56427083333333328</v>
      </c>
      <c r="DX37" s="118">
        <f t="shared" si="237"/>
        <v>1</v>
      </c>
      <c r="DY37" s="118">
        <f t="shared" si="237"/>
        <v>1</v>
      </c>
      <c r="DZ37" s="118">
        <f t="shared" si="237"/>
        <v>0.88916666666666666</v>
      </c>
      <c r="EA37" s="118">
        <f t="shared" si="237"/>
        <v>0.94760416666666669</v>
      </c>
      <c r="EB37" s="118">
        <f t="shared" si="237"/>
        <v>0.91749999999999998</v>
      </c>
      <c r="EC37" s="118">
        <f t="shared" si="237"/>
        <v>0.87291666666666667</v>
      </c>
      <c r="ED37" s="118">
        <f t="shared" si="238"/>
        <v>1</v>
      </c>
      <c r="EE37" s="118">
        <f t="shared" si="238"/>
        <v>0.87187499999999996</v>
      </c>
      <c r="EF37" s="118">
        <f t="shared" si="238"/>
        <v>0.91822916666666665</v>
      </c>
      <c r="EG37" s="118">
        <f t="shared" si="238"/>
        <v>0.53291666666666671</v>
      </c>
      <c r="EH37" s="118">
        <f t="shared" si="238"/>
        <v>0.89416666666666667</v>
      </c>
      <c r="EI37" s="118">
        <f t="shared" si="238"/>
        <v>0.80708333333333337</v>
      </c>
      <c r="EJ37" s="118">
        <f t="shared" si="238"/>
        <v>1</v>
      </c>
      <c r="EK37" s="118">
        <f t="shared" si="238"/>
        <v>1</v>
      </c>
      <c r="EL37" s="118">
        <f t="shared" si="238"/>
        <v>0.75</v>
      </c>
      <c r="EM37" s="118">
        <f t="shared" si="238"/>
        <v>0.7182291666666667</v>
      </c>
      <c r="EN37" s="118">
        <f t="shared" si="239"/>
        <v>0.66145833333333326</v>
      </c>
      <c r="EO37" s="118">
        <f t="shared" si="239"/>
        <v>0.85833333333333339</v>
      </c>
      <c r="EP37" s="118">
        <f t="shared" si="239"/>
        <v>0.92677083333333332</v>
      </c>
      <c r="EQ37" s="118">
        <f t="shared" si="239"/>
        <v>0.93781249999999994</v>
      </c>
      <c r="ER37" s="118">
        <f t="shared" si="239"/>
        <v>1</v>
      </c>
      <c r="ES37" s="118">
        <f t="shared" si="239"/>
        <v>0.81656249999999997</v>
      </c>
      <c r="ET37" s="118">
        <f t="shared" si="239"/>
        <v>0.81614583333333335</v>
      </c>
      <c r="EU37" s="118">
        <f t="shared" si="239"/>
        <v>0.96875</v>
      </c>
      <c r="EV37" s="118">
        <f t="shared" si="239"/>
        <v>1</v>
      </c>
      <c r="EW37" s="118">
        <f t="shared" si="239"/>
        <v>1</v>
      </c>
      <c r="EX37" s="118">
        <f t="shared" si="240"/>
        <v>1</v>
      </c>
      <c r="EY37" s="118">
        <f t="shared" si="240"/>
        <v>1</v>
      </c>
      <c r="EZ37" s="118">
        <f t="shared" si="240"/>
        <v>1</v>
      </c>
      <c r="FA37" s="118">
        <f t="shared" si="240"/>
        <v>1</v>
      </c>
      <c r="FB37" s="118">
        <f t="shared" si="240"/>
        <v>1</v>
      </c>
      <c r="FC37" s="118">
        <f t="shared" si="240"/>
        <v>1</v>
      </c>
      <c r="FD37" s="118">
        <f t="shared" si="240"/>
        <v>0.70583333333333331</v>
      </c>
      <c r="FE37" s="118">
        <f t="shared" si="240"/>
        <v>0.6640625</v>
      </c>
      <c r="FF37" s="118">
        <f t="shared" si="240"/>
        <v>0.99479166666666663</v>
      </c>
      <c r="FG37" s="118">
        <f t="shared" si="240"/>
        <v>0.87968749999999996</v>
      </c>
      <c r="FH37" s="118">
        <f t="shared" si="241"/>
        <v>0.9263541666666667</v>
      </c>
      <c r="FI37" s="118">
        <f t="shared" si="241"/>
        <v>0.98562499999999997</v>
      </c>
      <c r="FJ37" s="118">
        <f t="shared" si="241"/>
        <v>0.97239583333333335</v>
      </c>
      <c r="FK37" s="118">
        <f t="shared" si="241"/>
        <v>1</v>
      </c>
      <c r="FL37" s="118">
        <f t="shared" si="241"/>
        <v>0.95239583333333333</v>
      </c>
      <c r="FM37" s="118">
        <f t="shared" si="241"/>
        <v>0.8465625</v>
      </c>
      <c r="FN37" s="118">
        <f t="shared" si="241"/>
        <v>1</v>
      </c>
      <c r="FO37" s="118">
        <f t="shared" si="241"/>
        <v>0.9419791666666667</v>
      </c>
      <c r="FP37" s="118">
        <f t="shared" si="241"/>
        <v>1</v>
      </c>
      <c r="FQ37" s="118">
        <f t="shared" si="241"/>
        <v>0.99208333333333332</v>
      </c>
      <c r="FR37" s="118">
        <f t="shared" si="242"/>
        <v>1</v>
      </c>
      <c r="FS37" s="118">
        <f t="shared" si="242"/>
        <v>0.81145833333333328</v>
      </c>
      <c r="FT37" s="118">
        <f t="shared" si="242"/>
        <v>0.59708333333333341</v>
      </c>
      <c r="FU37" s="118">
        <f t="shared" si="242"/>
        <v>1</v>
      </c>
      <c r="FV37" s="118">
        <f t="shared" si="242"/>
        <v>0.94656249999999997</v>
      </c>
      <c r="FW37" s="118">
        <f t="shared" si="242"/>
        <v>0.86229166666666668</v>
      </c>
      <c r="FX37" s="118">
        <f t="shared" si="242"/>
        <v>0.96968750000000004</v>
      </c>
      <c r="FY37" s="118">
        <f t="shared" si="242"/>
        <v>1</v>
      </c>
      <c r="FZ37" s="118">
        <f t="shared" si="242"/>
        <v>0.99812500000000004</v>
      </c>
      <c r="GA37" s="118">
        <f>IF(OR(GA$13="",GA$17="",GA$14="",GA$15="",GA$16="",GA$18="",GA$19="",GA$20="",GA$21=""),"",1-(SUMIFS(GA$13:GA$21,$A$13:$A$21,$B37)/(COUNTIFS($A$27:$A$35,$B37)*GA$6)))</f>
        <v>0.57499999999999996</v>
      </c>
      <c r="GB37" s="118">
        <f>IF(OR(GB$13="",GB$17="",GB$14="",GB$15="",GB$16="",GB$18="",GB$19="",GB$20="",GB$21=""),"",1-(SUMIFS(GB$13:GB$21,$A$13:$A$21,$B37)/(COUNTIFS($A$27:$A$35,$B37)*GB$6)))</f>
        <v>0.76739583333333339</v>
      </c>
      <c r="GC37" s="118">
        <f t="shared" si="243"/>
        <v>1</v>
      </c>
      <c r="GD37" s="118">
        <f t="shared" si="243"/>
        <v>1</v>
      </c>
      <c r="GE37" s="118">
        <f t="shared" si="243"/>
        <v>0.97447916666666667</v>
      </c>
      <c r="GF37" s="118">
        <f t="shared" si="243"/>
        <v>0.87468750000000006</v>
      </c>
      <c r="GG37" s="118">
        <f t="shared" si="243"/>
        <v>0.98270833333333329</v>
      </c>
      <c r="GH37" s="118">
        <f t="shared" si="243"/>
        <v>1</v>
      </c>
      <c r="GI37" s="118">
        <f t="shared" si="243"/>
        <v>0.94552083333333337</v>
      </c>
      <c r="GJ37" s="118">
        <f t="shared" si="243"/>
        <v>0.95437499999999997</v>
      </c>
      <c r="GK37" s="118">
        <f t="shared" si="243"/>
        <v>0.9341666666666667</v>
      </c>
      <c r="GL37" s="118">
        <f t="shared" si="244"/>
        <v>1</v>
      </c>
      <c r="GM37" s="118">
        <f t="shared" si="244"/>
        <v>1</v>
      </c>
      <c r="GN37" s="118">
        <f t="shared" si="244"/>
        <v>1</v>
      </c>
      <c r="GO37" s="118">
        <f t="shared" si="244"/>
        <v>1</v>
      </c>
      <c r="GP37" s="118">
        <f t="shared" si="244"/>
        <v>1</v>
      </c>
      <c r="GQ37" s="118">
        <f t="shared" si="244"/>
        <v>0.96666666666666667</v>
      </c>
      <c r="GR37" s="118">
        <f t="shared" si="244"/>
        <v>0.91531249999999997</v>
      </c>
      <c r="GS37" s="118">
        <f t="shared" si="244"/>
        <v>1</v>
      </c>
      <c r="GT37" s="118">
        <f t="shared" si="244"/>
        <v>0.9223958333333333</v>
      </c>
      <c r="GU37" s="118">
        <f t="shared" si="244"/>
        <v>1</v>
      </c>
      <c r="GV37" s="118">
        <f t="shared" si="245"/>
        <v>-0.59739583333333335</v>
      </c>
      <c r="GW37" s="118">
        <f t="shared" si="245"/>
        <v>0.92062500000000003</v>
      </c>
      <c r="GX37" s="118">
        <f t="shared" si="245"/>
        <v>1</v>
      </c>
      <c r="GY37" s="118">
        <f t="shared" si="245"/>
        <v>1</v>
      </c>
      <c r="GZ37" s="118">
        <f t="shared" si="245"/>
        <v>1</v>
      </c>
      <c r="HA37" s="118">
        <f t="shared" si="245"/>
        <v>1</v>
      </c>
      <c r="HB37" s="118">
        <f t="shared" si="245"/>
        <v>-0.51145833333333335</v>
      </c>
      <c r="HC37" s="118">
        <f t="shared" si="245"/>
        <v>1</v>
      </c>
      <c r="HD37" s="118">
        <f t="shared" si="245"/>
        <v>1</v>
      </c>
      <c r="HE37" s="118">
        <f t="shared" si="245"/>
        <v>1</v>
      </c>
      <c r="HF37" s="118">
        <f t="shared" si="246"/>
        <v>1</v>
      </c>
      <c r="HG37" s="118">
        <f t="shared" si="246"/>
        <v>1</v>
      </c>
      <c r="HH37" s="118">
        <f t="shared" si="246"/>
        <v>1</v>
      </c>
      <c r="HI37" s="118">
        <f t="shared" si="246"/>
        <v>1</v>
      </c>
      <c r="HJ37" s="118">
        <f t="shared" si="246"/>
        <v>0.9993171296296296</v>
      </c>
      <c r="HK37" s="118">
        <f t="shared" si="246"/>
        <v>0.77739872685185185</v>
      </c>
      <c r="HL37" s="118">
        <f t="shared" si="246"/>
        <v>0.75</v>
      </c>
      <c r="HM37" s="118">
        <f t="shared" si="246"/>
        <v>0.70366608796296304</v>
      </c>
      <c r="HN37" s="118">
        <f t="shared" si="246"/>
        <v>0.97550347222222222</v>
      </c>
      <c r="HO37" s="118">
        <f t="shared" si="246"/>
        <v>1</v>
      </c>
      <c r="HP37" s="118">
        <f t="shared" si="247"/>
        <v>1</v>
      </c>
      <c r="HQ37" s="118">
        <f t="shared" si="247"/>
        <v>0.95798611111111109</v>
      </c>
      <c r="HR37" s="118">
        <f t="shared" si="247"/>
        <v>1</v>
      </c>
      <c r="HS37" s="118">
        <f t="shared" si="247"/>
        <v>0.5572424768518518</v>
      </c>
      <c r="HT37" s="118">
        <f t="shared" si="247"/>
        <v>0.75</v>
      </c>
      <c r="HU37" s="118">
        <f t="shared" si="247"/>
        <v>0.75</v>
      </c>
      <c r="HV37" s="118">
        <f t="shared" si="247"/>
        <v>0.76553530092592592</v>
      </c>
      <c r="HW37" s="118">
        <f t="shared" si="247"/>
        <v>0.96135416666666662</v>
      </c>
      <c r="HX37" s="118">
        <f t="shared" si="247"/>
        <v>0.81248842592592596</v>
      </c>
      <c r="HY37" s="118">
        <f t="shared" si="247"/>
        <v>0.71262152777777776</v>
      </c>
      <c r="HZ37" s="118">
        <f t="shared" si="248"/>
        <v>0.88692708333333337</v>
      </c>
      <c r="IA37" s="118">
        <f t="shared" si="248"/>
        <v>1</v>
      </c>
      <c r="IB37" s="118">
        <f t="shared" si="248"/>
        <v>0.96877893518518521</v>
      </c>
      <c r="IC37" s="118">
        <f t="shared" si="248"/>
        <v>1</v>
      </c>
      <c r="ID37" s="118">
        <f t="shared" si="248"/>
        <v>8.5416666666666585E-2</v>
      </c>
      <c r="IE37" s="118">
        <f t="shared" si="248"/>
        <v>0.77468749999999997</v>
      </c>
      <c r="IF37" s="118">
        <f t="shared" si="248"/>
        <v>0.94760416666666669</v>
      </c>
      <c r="IG37" s="118">
        <f t="shared" si="248"/>
        <v>0.99562499999999998</v>
      </c>
      <c r="IH37" s="118">
        <f t="shared" si="248"/>
        <v>0.97375</v>
      </c>
      <c r="II37" s="118">
        <f t="shared" si="248"/>
        <v>1</v>
      </c>
      <c r="IJ37" s="118">
        <f t="shared" si="249"/>
        <v>0.79447916666666663</v>
      </c>
      <c r="IK37" s="118">
        <f t="shared" si="249"/>
        <v>0.93928819444444445</v>
      </c>
      <c r="IL37" s="118">
        <f t="shared" si="249"/>
        <v>0.76780671296296299</v>
      </c>
      <c r="IM37" s="118">
        <f t="shared" si="249"/>
        <v>0.73162037037037031</v>
      </c>
      <c r="IN37" s="118">
        <f t="shared" si="249"/>
        <v>0.70929687499999994</v>
      </c>
      <c r="IO37" s="118">
        <f t="shared" si="249"/>
        <v>0.61725694444444446</v>
      </c>
      <c r="IP37" s="118">
        <f t="shared" si="249"/>
        <v>0.67893807870370371</v>
      </c>
      <c r="IQ37" s="118">
        <f t="shared" si="249"/>
        <v>0.74081597222222229</v>
      </c>
      <c r="IR37" s="118">
        <f t="shared" si="249"/>
        <v>0.53142361111111103</v>
      </c>
      <c r="IS37" s="118">
        <f t="shared" si="249"/>
        <v>0.36183449074074081</v>
      </c>
      <c r="IT37" s="118">
        <f t="shared" si="250"/>
        <v>0.33443576388888896</v>
      </c>
      <c r="IU37" s="118">
        <f t="shared" si="250"/>
        <v>0.63742187500000003</v>
      </c>
      <c r="IV37" s="118">
        <f t="shared" si="250"/>
        <v>0.96353298611111116</v>
      </c>
      <c r="IW37" s="118">
        <f t="shared" si="250"/>
        <v>0.99859953703703708</v>
      </c>
      <c r="IX37" s="118">
        <f t="shared" si="250"/>
        <v>0.96284143518518517</v>
      </c>
      <c r="IY37" s="118">
        <f t="shared" si="250"/>
        <v>0.90643518518518518</v>
      </c>
      <c r="IZ37" s="118">
        <f t="shared" si="250"/>
        <v>0.99657986111111108</v>
      </c>
      <c r="JA37" s="118">
        <f t="shared" si="250"/>
        <v>0.98090277777777779</v>
      </c>
      <c r="JB37" s="118">
        <f t="shared" si="250"/>
        <v>0.93836516203703701</v>
      </c>
      <c r="JC37" s="118">
        <f t="shared" si="250"/>
        <v>0.95142361111111107</v>
      </c>
      <c r="JD37" s="118">
        <f t="shared" si="251"/>
        <v>0.8426186342592592</v>
      </c>
      <c r="JE37" s="118">
        <f t="shared" si="251"/>
        <v>0.93321180555555561</v>
      </c>
      <c r="JF37" s="118">
        <f t="shared" si="251"/>
        <v>0.97659722222222223</v>
      </c>
      <c r="JG37" s="118">
        <f t="shared" si="251"/>
        <v>0.96680844907407404</v>
      </c>
      <c r="JH37" s="118">
        <f t="shared" si="251"/>
        <v>0.84203125000000001</v>
      </c>
      <c r="JI37" s="118">
        <f t="shared" si="251"/>
        <v>0.96085937499999996</v>
      </c>
      <c r="JJ37" s="118">
        <f t="shared" si="251"/>
        <v>0.93600694444444443</v>
      </c>
      <c r="JK37" s="118">
        <f t="shared" si="251"/>
        <v>0.83754050925925927</v>
      </c>
      <c r="JL37" s="118">
        <f t="shared" si="251"/>
        <v>0.78654224537037032</v>
      </c>
      <c r="JM37" s="118">
        <f t="shared" si="251"/>
        <v>0.84375868055555558</v>
      </c>
      <c r="JN37" s="118">
        <f t="shared" si="252"/>
        <v>0.81604166666666667</v>
      </c>
      <c r="JO37" s="118">
        <f t="shared" si="252"/>
        <v>0.95833333333333337</v>
      </c>
      <c r="JP37" s="118">
        <f t="shared" si="252"/>
        <v>0.91593749999999996</v>
      </c>
      <c r="JQ37" s="118">
        <f t="shared" si="252"/>
        <v>0.95635416666666662</v>
      </c>
      <c r="JR37" s="118">
        <f t="shared" si="252"/>
        <v>0.9642708333333333</v>
      </c>
      <c r="JS37" s="118">
        <f t="shared" si="252"/>
        <v>0.78749999999999998</v>
      </c>
      <c r="JT37" s="118">
        <f t="shared" si="252"/>
        <v>0.88104166666666672</v>
      </c>
      <c r="JU37" s="118">
        <f t="shared" si="252"/>
        <v>0.85979166666666662</v>
      </c>
      <c r="JV37" s="118">
        <f t="shared" si="252"/>
        <v>0.95833333333333337</v>
      </c>
      <c r="JW37" s="118">
        <f t="shared" si="252"/>
        <v>1</v>
      </c>
      <c r="JX37" s="118">
        <f t="shared" si="253"/>
        <v>1</v>
      </c>
      <c r="JY37" s="118">
        <f t="shared" si="253"/>
        <v>1</v>
      </c>
      <c r="JZ37" s="118">
        <f t="shared" si="253"/>
        <v>1</v>
      </c>
      <c r="KA37" s="118">
        <f t="shared" si="253"/>
        <v>1</v>
      </c>
      <c r="KB37" s="118">
        <f t="shared" si="253"/>
        <v>1</v>
      </c>
      <c r="KC37" s="118">
        <f t="shared" si="253"/>
        <v>1</v>
      </c>
      <c r="KD37" s="118">
        <f t="shared" si="253"/>
        <v>1</v>
      </c>
      <c r="KE37" s="118">
        <f t="shared" si="253"/>
        <v>1</v>
      </c>
      <c r="KF37" s="118">
        <f t="shared" si="253"/>
        <v>1</v>
      </c>
      <c r="KG37" s="118">
        <f t="shared" si="253"/>
        <v>1</v>
      </c>
      <c r="KH37" s="118">
        <f t="shared" si="254"/>
        <v>1</v>
      </c>
      <c r="KI37" s="118">
        <f t="shared" si="254"/>
        <v>1</v>
      </c>
      <c r="KJ37" s="118">
        <f t="shared" si="254"/>
        <v>1</v>
      </c>
      <c r="KK37" s="118">
        <f t="shared" si="254"/>
        <v>1</v>
      </c>
      <c r="KL37" s="118">
        <f t="shared" si="254"/>
        <v>1</v>
      </c>
      <c r="KM37" s="118">
        <f t="shared" si="254"/>
        <v>1</v>
      </c>
      <c r="KN37" s="118">
        <f t="shared" si="254"/>
        <v>1</v>
      </c>
      <c r="KO37" s="118">
        <f t="shared" si="254"/>
        <v>1</v>
      </c>
      <c r="KP37" s="118">
        <f t="shared" si="254"/>
        <v>1</v>
      </c>
      <c r="KQ37" s="118">
        <f t="shared" si="254"/>
        <v>1</v>
      </c>
      <c r="KR37" s="118">
        <f t="shared" si="255"/>
        <v>1</v>
      </c>
      <c r="KS37" s="118">
        <f t="shared" si="255"/>
        <v>1</v>
      </c>
      <c r="KT37" s="118">
        <f t="shared" si="255"/>
        <v>1</v>
      </c>
      <c r="KU37" s="118" t="str">
        <f t="shared" si="255"/>
        <v/>
      </c>
      <c r="KV37" s="118" t="str">
        <f t="shared" si="255"/>
        <v/>
      </c>
      <c r="KW37" s="118" t="str">
        <f t="shared" si="255"/>
        <v/>
      </c>
      <c r="KX37" s="118" t="str">
        <f t="shared" si="255"/>
        <v/>
      </c>
      <c r="KY37" s="118" t="str">
        <f t="shared" si="255"/>
        <v/>
      </c>
      <c r="KZ37" s="118" t="str">
        <f t="shared" si="255"/>
        <v/>
      </c>
      <c r="LA37" s="118" t="str">
        <f t="shared" si="255"/>
        <v/>
      </c>
      <c r="LB37" s="118" t="str">
        <f t="shared" si="256"/>
        <v/>
      </c>
      <c r="LC37" s="118" t="str">
        <f t="shared" si="256"/>
        <v/>
      </c>
      <c r="LD37" s="118" t="str">
        <f t="shared" si="256"/>
        <v/>
      </c>
      <c r="LE37" s="118" t="str">
        <f t="shared" si="256"/>
        <v/>
      </c>
      <c r="LF37" s="118" t="str">
        <f t="shared" si="256"/>
        <v/>
      </c>
      <c r="LG37" s="118" t="str">
        <f t="shared" si="256"/>
        <v/>
      </c>
      <c r="LH37" s="118" t="str">
        <f t="shared" si="256"/>
        <v/>
      </c>
      <c r="LI37" s="118" t="str">
        <f t="shared" si="256"/>
        <v/>
      </c>
      <c r="LJ37" s="118" t="str">
        <f t="shared" si="256"/>
        <v/>
      </c>
      <c r="LK37" s="118" t="str">
        <f t="shared" si="256"/>
        <v/>
      </c>
      <c r="LL37" s="118" t="str">
        <f t="shared" si="257"/>
        <v/>
      </c>
      <c r="LM37" s="118" t="str">
        <f t="shared" si="257"/>
        <v/>
      </c>
      <c r="LN37" s="118" t="str">
        <f t="shared" si="257"/>
        <v/>
      </c>
      <c r="LO37" s="118" t="str">
        <f t="shared" si="257"/>
        <v/>
      </c>
      <c r="LP37" s="118" t="str">
        <f t="shared" si="257"/>
        <v/>
      </c>
      <c r="LQ37" s="118" t="str">
        <f t="shared" si="257"/>
        <v/>
      </c>
      <c r="LR37" s="118" t="str">
        <f t="shared" si="257"/>
        <v/>
      </c>
      <c r="LS37" s="118" t="str">
        <f t="shared" si="257"/>
        <v/>
      </c>
      <c r="LT37" s="118" t="str">
        <f t="shared" si="257"/>
        <v/>
      </c>
      <c r="LU37" s="118" t="str">
        <f t="shared" si="257"/>
        <v/>
      </c>
      <c r="LV37" s="118" t="str">
        <f t="shared" si="258"/>
        <v/>
      </c>
      <c r="LW37" s="118" t="str">
        <f t="shared" si="258"/>
        <v/>
      </c>
      <c r="LX37" s="118" t="str">
        <f t="shared" si="258"/>
        <v/>
      </c>
      <c r="LY37" s="118" t="str">
        <f t="shared" si="258"/>
        <v/>
      </c>
      <c r="LZ37" s="118" t="str">
        <f t="shared" si="258"/>
        <v/>
      </c>
      <c r="MA37" s="118" t="str">
        <f t="shared" si="258"/>
        <v/>
      </c>
      <c r="MB37" s="118" t="str">
        <f t="shared" si="258"/>
        <v/>
      </c>
      <c r="MC37" s="118" t="str">
        <f t="shared" si="258"/>
        <v/>
      </c>
      <c r="MD37" s="118" t="str">
        <f t="shared" si="258"/>
        <v/>
      </c>
      <c r="ME37" s="118" t="str">
        <f t="shared" si="258"/>
        <v/>
      </c>
      <c r="MF37" s="118" t="str">
        <f t="shared" si="259"/>
        <v/>
      </c>
      <c r="MG37" s="118" t="str">
        <f t="shared" si="259"/>
        <v/>
      </c>
      <c r="MH37" s="118" t="str">
        <f t="shared" si="259"/>
        <v/>
      </c>
      <c r="MI37" s="118" t="str">
        <f t="shared" si="259"/>
        <v/>
      </c>
      <c r="MJ37" s="118" t="str">
        <f t="shared" si="259"/>
        <v/>
      </c>
      <c r="MK37" s="118" t="str">
        <f t="shared" si="259"/>
        <v/>
      </c>
      <c r="ML37" s="118" t="str">
        <f t="shared" si="259"/>
        <v/>
      </c>
      <c r="MM37" s="118" t="str">
        <f t="shared" si="259"/>
        <v/>
      </c>
      <c r="MN37" s="118" t="str">
        <f t="shared" si="259"/>
        <v/>
      </c>
      <c r="MO37" s="118" t="str">
        <f t="shared" si="259"/>
        <v/>
      </c>
      <c r="MP37" s="118" t="str">
        <f t="shared" si="260"/>
        <v/>
      </c>
      <c r="MQ37" s="118" t="str">
        <f t="shared" si="260"/>
        <v/>
      </c>
      <c r="MR37" s="118" t="str">
        <f t="shared" si="260"/>
        <v/>
      </c>
      <c r="MS37" s="118" t="str">
        <f t="shared" si="260"/>
        <v/>
      </c>
      <c r="MT37" s="118" t="str">
        <f t="shared" si="260"/>
        <v/>
      </c>
      <c r="MU37" s="118" t="str">
        <f t="shared" si="260"/>
        <v/>
      </c>
      <c r="MV37" s="118" t="str">
        <f t="shared" si="260"/>
        <v/>
      </c>
      <c r="MW37" s="118" t="str">
        <f t="shared" si="260"/>
        <v/>
      </c>
      <c r="MX37" s="118" t="str">
        <f t="shared" si="260"/>
        <v/>
      </c>
      <c r="MY37" s="118" t="str">
        <f t="shared" si="260"/>
        <v/>
      </c>
      <c r="MZ37" s="118" t="str">
        <f t="shared" si="261"/>
        <v/>
      </c>
      <c r="NA37" s="118" t="str">
        <f t="shared" si="261"/>
        <v/>
      </c>
      <c r="NB37" s="118" t="str">
        <f t="shared" si="261"/>
        <v/>
      </c>
      <c r="NC37" s="118" t="str">
        <f t="shared" si="261"/>
        <v/>
      </c>
      <c r="ND37" s="118" t="str">
        <f t="shared" si="261"/>
        <v/>
      </c>
      <c r="NE37" s="118" t="str">
        <f t="shared" si="261"/>
        <v/>
      </c>
      <c r="NF37" s="118" t="str">
        <f t="shared" si="261"/>
        <v/>
      </c>
      <c r="NG37" s="118" t="str">
        <f t="shared" si="261"/>
        <v/>
      </c>
      <c r="NH37" s="118" t="str">
        <f t="shared" si="261"/>
        <v/>
      </c>
      <c r="NI37" s="118" t="str">
        <f t="shared" si="261"/>
        <v/>
      </c>
      <c r="NJ37" s="118" t="str">
        <f t="shared" si="262"/>
        <v/>
      </c>
      <c r="NK37" s="118" t="str">
        <f t="shared" si="262"/>
        <v/>
      </c>
      <c r="NL37" s="118" t="str">
        <f t="shared" si="262"/>
        <v/>
      </c>
      <c r="NM37" s="118" t="str">
        <f t="shared" si="262"/>
        <v/>
      </c>
      <c r="NN37" s="118" t="str">
        <f t="shared" si="262"/>
        <v/>
      </c>
      <c r="NO37" s="118" t="str">
        <f t="shared" si="262"/>
        <v/>
      </c>
      <c r="NP37" s="118" t="str">
        <f t="shared" si="262"/>
        <v/>
      </c>
      <c r="NQ37" s="118" t="str">
        <f t="shared" si="262"/>
        <v/>
      </c>
      <c r="NR37" s="118" t="str">
        <f t="shared" si="262"/>
        <v/>
      </c>
      <c r="NS37" s="118" t="str">
        <f t="shared" si="262"/>
        <v/>
      </c>
      <c r="NT37" s="118" t="str">
        <f t="shared" si="263"/>
        <v/>
      </c>
      <c r="NU37" s="118" t="str">
        <f t="shared" si="263"/>
        <v/>
      </c>
      <c r="NV37" s="118" t="str">
        <f t="shared" si="263"/>
        <v/>
      </c>
      <c r="NW37" s="118" t="str">
        <f t="shared" si="263"/>
        <v/>
      </c>
      <c r="NX37" s="118" t="str">
        <f t="shared" si="263"/>
        <v/>
      </c>
      <c r="NY37" s="118" t="str">
        <f t="shared" si="263"/>
        <v/>
      </c>
      <c r="NZ37" s="118" t="str">
        <f t="shared" si="263"/>
        <v/>
      </c>
      <c r="OA37" s="118" t="str">
        <f t="shared" si="263"/>
        <v/>
      </c>
      <c r="OB37" s="118" t="str">
        <f t="shared" si="263"/>
        <v/>
      </c>
      <c r="OC37" s="118" t="str">
        <f t="shared" si="263"/>
        <v/>
      </c>
      <c r="OD37" s="118" t="str">
        <f t="shared" si="264"/>
        <v/>
      </c>
      <c r="OE37" s="118" t="str">
        <f t="shared" si="264"/>
        <v/>
      </c>
      <c r="OF37" s="118" t="str">
        <f t="shared" si="264"/>
        <v/>
      </c>
      <c r="OG37" s="118" t="str">
        <f t="shared" si="264"/>
        <v/>
      </c>
      <c r="OH37" s="118" t="str">
        <f t="shared" si="264"/>
        <v/>
      </c>
      <c r="OI37" s="118" t="str">
        <f t="shared" si="264"/>
        <v/>
      </c>
      <c r="OJ37" s="118" t="str">
        <f t="shared" si="264"/>
        <v/>
      </c>
      <c r="OK37" s="118" t="str">
        <f t="shared" si="264"/>
        <v/>
      </c>
      <c r="OL37" s="118" t="str">
        <f t="shared" si="264"/>
        <v/>
      </c>
      <c r="OM37" s="118" t="str">
        <f t="shared" si="264"/>
        <v/>
      </c>
      <c r="ON37" s="118" t="str">
        <f t="shared" si="265"/>
        <v/>
      </c>
      <c r="OO37" s="118" t="str">
        <f t="shared" si="265"/>
        <v/>
      </c>
      <c r="OP37" s="118" t="str">
        <f t="shared" si="265"/>
        <v/>
      </c>
      <c r="OQ37" s="118" t="str">
        <f t="shared" si="265"/>
        <v/>
      </c>
      <c r="OR37" s="118" t="str">
        <f t="shared" si="265"/>
        <v/>
      </c>
      <c r="OS37" s="118" t="str">
        <f t="shared" si="265"/>
        <v/>
      </c>
      <c r="OT37" s="118" t="str">
        <f t="shared" si="265"/>
        <v/>
      </c>
      <c r="OU37" s="118" t="str">
        <f t="shared" si="265"/>
        <v/>
      </c>
      <c r="OV37" s="118" t="str">
        <f t="shared" si="265"/>
        <v/>
      </c>
      <c r="OW37" s="118" t="str">
        <f t="shared" si="265"/>
        <v/>
      </c>
      <c r="OX37" s="118" t="str">
        <f t="shared" si="266"/>
        <v/>
      </c>
      <c r="OY37" s="118" t="str">
        <f t="shared" si="266"/>
        <v/>
      </c>
      <c r="OZ37" s="118" t="str">
        <f t="shared" si="266"/>
        <v/>
      </c>
      <c r="PA37" s="118" t="str">
        <f t="shared" si="266"/>
        <v/>
      </c>
      <c r="PB37" s="118" t="str">
        <f t="shared" si="266"/>
        <v/>
      </c>
      <c r="PC37" s="118" t="str">
        <f t="shared" si="266"/>
        <v/>
      </c>
      <c r="PD37" s="118" t="str">
        <f t="shared" si="266"/>
        <v/>
      </c>
      <c r="PE37" s="118" t="str">
        <f t="shared" si="266"/>
        <v/>
      </c>
      <c r="PF37" s="118" t="str">
        <f t="shared" si="266"/>
        <v/>
      </c>
      <c r="PG37" s="118" t="str">
        <f t="shared" si="266"/>
        <v/>
      </c>
      <c r="PH37" s="118" t="str">
        <f t="shared" si="267"/>
        <v/>
      </c>
      <c r="PI37" s="118" t="str">
        <f t="shared" si="267"/>
        <v/>
      </c>
      <c r="PJ37" s="118" t="str">
        <f t="shared" si="267"/>
        <v/>
      </c>
      <c r="PK37" s="118" t="str">
        <f t="shared" si="267"/>
        <v/>
      </c>
      <c r="PL37" s="118" t="str">
        <f t="shared" si="267"/>
        <v/>
      </c>
      <c r="PM37" s="118" t="str">
        <f t="shared" si="267"/>
        <v/>
      </c>
      <c r="PN37" s="118" t="str">
        <f t="shared" si="267"/>
        <v/>
      </c>
      <c r="PO37" s="118" t="str">
        <f t="shared" si="267"/>
        <v/>
      </c>
      <c r="PP37" s="118" t="str">
        <f t="shared" si="267"/>
        <v/>
      </c>
      <c r="PQ37" s="118" t="str">
        <f t="shared" si="267"/>
        <v/>
      </c>
      <c r="PR37" s="118" t="str">
        <f t="shared" si="268"/>
        <v/>
      </c>
      <c r="PS37" s="118" t="str">
        <f t="shared" si="268"/>
        <v/>
      </c>
      <c r="PT37" s="118" t="str">
        <f t="shared" si="268"/>
        <v/>
      </c>
      <c r="PU37" s="118" t="str">
        <f t="shared" si="268"/>
        <v/>
      </c>
      <c r="PV37" s="118" t="str">
        <f t="shared" si="268"/>
        <v/>
      </c>
      <c r="PW37" s="118" t="str">
        <f t="shared" si="268"/>
        <v/>
      </c>
      <c r="PX37" s="118" t="str">
        <f t="shared" si="268"/>
        <v/>
      </c>
      <c r="PY37" s="118" t="str">
        <f t="shared" si="268"/>
        <v/>
      </c>
      <c r="PZ37" s="118" t="str">
        <f t="shared" si="268"/>
        <v/>
      </c>
      <c r="QA37" s="118" t="str">
        <f t="shared" si="268"/>
        <v/>
      </c>
      <c r="QB37" s="118" t="str">
        <f t="shared" si="269"/>
        <v/>
      </c>
      <c r="QC37" s="118" t="str">
        <f t="shared" si="269"/>
        <v/>
      </c>
      <c r="QD37" s="118" t="str">
        <f t="shared" si="269"/>
        <v/>
      </c>
      <c r="QE37" s="118" t="str">
        <f t="shared" si="269"/>
        <v/>
      </c>
      <c r="QF37" s="118" t="str">
        <f t="shared" si="269"/>
        <v/>
      </c>
      <c r="QG37" s="118" t="str">
        <f t="shared" si="269"/>
        <v/>
      </c>
      <c r="QH37" s="118" t="str">
        <f t="shared" si="269"/>
        <v/>
      </c>
      <c r="QI37" s="118" t="str">
        <f t="shared" si="269"/>
        <v/>
      </c>
      <c r="QJ37" s="118" t="str">
        <f t="shared" si="269"/>
        <v/>
      </c>
      <c r="QK37" s="118" t="str">
        <f t="shared" si="269"/>
        <v/>
      </c>
      <c r="QL37" s="118" t="str">
        <f t="shared" si="270"/>
        <v/>
      </c>
      <c r="QM37" s="118" t="str">
        <f t="shared" si="270"/>
        <v/>
      </c>
      <c r="QN37" s="118" t="str">
        <f t="shared" si="270"/>
        <v/>
      </c>
      <c r="QO37" s="118" t="str">
        <f t="shared" si="270"/>
        <v/>
      </c>
      <c r="QP37" s="118" t="str">
        <f t="shared" si="270"/>
        <v/>
      </c>
      <c r="QQ37" s="118" t="str">
        <f t="shared" si="270"/>
        <v/>
      </c>
      <c r="QR37" s="118" t="str">
        <f t="shared" si="270"/>
        <v/>
      </c>
      <c r="QS37" s="118" t="str">
        <f t="shared" si="270"/>
        <v/>
      </c>
      <c r="QT37" s="118" t="str">
        <f t="shared" si="270"/>
        <v/>
      </c>
      <c r="QU37" s="118" t="str">
        <f t="shared" si="270"/>
        <v/>
      </c>
      <c r="QV37" s="118" t="str">
        <f t="shared" si="271"/>
        <v/>
      </c>
      <c r="QW37" s="118" t="str">
        <f t="shared" si="271"/>
        <v/>
      </c>
      <c r="QX37" s="118" t="str">
        <f t="shared" si="271"/>
        <v/>
      </c>
      <c r="QY37" s="118" t="str">
        <f t="shared" si="271"/>
        <v/>
      </c>
      <c r="QZ37" s="118" t="str">
        <f t="shared" si="271"/>
        <v/>
      </c>
      <c r="RA37" s="118" t="str">
        <f t="shared" si="271"/>
        <v/>
      </c>
      <c r="RB37" s="118" t="str">
        <f t="shared" si="271"/>
        <v/>
      </c>
      <c r="RC37" s="118" t="str">
        <f t="shared" si="271"/>
        <v/>
      </c>
      <c r="RD37" s="118" t="str">
        <f t="shared" si="271"/>
        <v/>
      </c>
      <c r="RE37" s="118" t="str">
        <f t="shared" si="271"/>
        <v/>
      </c>
      <c r="RF37" s="118" t="str">
        <f t="shared" si="272"/>
        <v/>
      </c>
      <c r="RG37" s="118" t="str">
        <f t="shared" si="272"/>
        <v/>
      </c>
      <c r="RH37" s="118" t="str">
        <f t="shared" si="272"/>
        <v/>
      </c>
      <c r="RI37" s="118" t="str">
        <f t="shared" si="272"/>
        <v/>
      </c>
      <c r="RJ37" s="118" t="str">
        <f t="shared" si="272"/>
        <v/>
      </c>
      <c r="RK37" s="118" t="str">
        <f t="shared" si="272"/>
        <v/>
      </c>
      <c r="RL37" s="118" t="str">
        <f t="shared" si="272"/>
        <v/>
      </c>
      <c r="RM37" s="118" t="str">
        <f t="shared" si="272"/>
        <v/>
      </c>
      <c r="RN37" s="118" t="str">
        <f t="shared" si="272"/>
        <v/>
      </c>
      <c r="RO37" s="118" t="str">
        <f t="shared" si="272"/>
        <v/>
      </c>
      <c r="RP37" s="118" t="str">
        <f t="shared" si="273"/>
        <v/>
      </c>
      <c r="RQ37" s="118" t="str">
        <f t="shared" si="273"/>
        <v/>
      </c>
      <c r="RR37" s="118" t="str">
        <f t="shared" si="273"/>
        <v/>
      </c>
      <c r="RS37" s="118" t="str">
        <f t="shared" si="273"/>
        <v/>
      </c>
      <c r="RT37" s="118" t="str">
        <f t="shared" si="273"/>
        <v/>
      </c>
      <c r="RU37" s="118" t="str">
        <f t="shared" si="273"/>
        <v/>
      </c>
      <c r="RV37" s="118" t="str">
        <f t="shared" si="273"/>
        <v/>
      </c>
      <c r="RW37" s="118" t="str">
        <f t="shared" si="273"/>
        <v/>
      </c>
      <c r="RX37" s="118" t="str">
        <f t="shared" si="273"/>
        <v/>
      </c>
      <c r="RY37" s="118" t="str">
        <f t="shared" si="273"/>
        <v/>
      </c>
      <c r="RZ37" s="118" t="str">
        <f t="shared" si="274"/>
        <v/>
      </c>
      <c r="SA37" s="118" t="str">
        <f t="shared" si="274"/>
        <v/>
      </c>
      <c r="SB37" s="118" t="str">
        <f t="shared" si="274"/>
        <v/>
      </c>
      <c r="SC37" s="118" t="str">
        <f t="shared" si="274"/>
        <v/>
      </c>
      <c r="SD37" s="118" t="str">
        <f t="shared" si="274"/>
        <v/>
      </c>
      <c r="SE37" s="118" t="str">
        <f t="shared" si="274"/>
        <v/>
      </c>
      <c r="SF37" s="118" t="str">
        <f t="shared" si="274"/>
        <v/>
      </c>
      <c r="SG37" s="118" t="str">
        <f t="shared" si="274"/>
        <v/>
      </c>
      <c r="SH37" s="118" t="str">
        <f t="shared" si="274"/>
        <v/>
      </c>
      <c r="SI37" s="118" t="str">
        <f t="shared" si="274"/>
        <v/>
      </c>
      <c r="SJ37" s="118" t="str">
        <f t="shared" si="275"/>
        <v/>
      </c>
      <c r="SK37" s="118" t="str">
        <f t="shared" si="275"/>
        <v/>
      </c>
      <c r="SL37" s="118" t="str">
        <f t="shared" si="275"/>
        <v/>
      </c>
      <c r="SM37" s="118" t="str">
        <f t="shared" si="275"/>
        <v/>
      </c>
      <c r="SN37" s="118" t="str">
        <f t="shared" si="275"/>
        <v/>
      </c>
      <c r="SO37" s="118" t="str">
        <f t="shared" si="275"/>
        <v/>
      </c>
      <c r="SP37" s="118" t="str">
        <f t="shared" si="275"/>
        <v/>
      </c>
      <c r="SQ37" s="118" t="str">
        <f t="shared" si="275"/>
        <v/>
      </c>
      <c r="SR37" s="118" t="str">
        <f t="shared" si="275"/>
        <v/>
      </c>
      <c r="SS37" s="118" t="str">
        <f t="shared" si="275"/>
        <v/>
      </c>
      <c r="ST37" s="118" t="str">
        <f t="shared" si="275"/>
        <v/>
      </c>
      <c r="SU37" s="118" t="str">
        <f t="shared" si="275"/>
        <v/>
      </c>
      <c r="SV37" s="118" t="str">
        <f t="shared" si="275"/>
        <v/>
      </c>
      <c r="SW37" s="118" t="str">
        <f t="shared" si="275"/>
        <v/>
      </c>
    </row>
    <row r="38" spans="1:517" ht="24" customHeight="1" x14ac:dyDescent="0.2">
      <c r="A38" s="94">
        <f>SUM(A36:A37)</f>
        <v>9</v>
      </c>
    </row>
    <row r="39" spans="1:517" ht="24" customHeight="1" x14ac:dyDescent="0.2">
      <c r="A39" s="94"/>
      <c r="B39" s="112" t="s">
        <v>22</v>
      </c>
    </row>
    <row r="40" spans="1:517" ht="24" customHeight="1" x14ac:dyDescent="0.2">
      <c r="A40" s="113" t="s">
        <v>86</v>
      </c>
      <c r="B40" s="117" t="s">
        <v>77</v>
      </c>
      <c r="C40" s="109">
        <f t="shared" ref="C40:AH40" si="277">IF(OR(C$13="",C$17="",C$14="",C$15="",C$16="",C$18="",C$19="",C$20="",C$21=""),"",1-(C66/(C$5)))</f>
        <v>1</v>
      </c>
      <c r="D40" s="109">
        <f t="shared" si="277"/>
        <v>1</v>
      </c>
      <c r="E40" s="109">
        <f t="shared" si="277"/>
        <v>0.96666666666666667</v>
      </c>
      <c r="F40" s="109">
        <f t="shared" si="277"/>
        <v>0.97499999999999998</v>
      </c>
      <c r="G40" s="109">
        <f t="shared" si="277"/>
        <v>0.98</v>
      </c>
      <c r="H40" s="109">
        <f t="shared" si="277"/>
        <v>0.93319444444444444</v>
      </c>
      <c r="I40" s="109">
        <f t="shared" si="277"/>
        <v>0.93398809523809523</v>
      </c>
      <c r="J40" s="109">
        <f t="shared" si="277"/>
        <v>0.80421874999999998</v>
      </c>
      <c r="K40" s="109">
        <f t="shared" si="277"/>
        <v>0.82597222222222222</v>
      </c>
      <c r="L40" s="109">
        <f t="shared" si="277"/>
        <v>0.84337499999999999</v>
      </c>
      <c r="M40" s="109">
        <f t="shared" si="277"/>
        <v>0.85761363636363641</v>
      </c>
      <c r="N40" s="109">
        <f t="shared" si="277"/>
        <v>0.83961805555555558</v>
      </c>
      <c r="O40" s="109">
        <f t="shared" si="277"/>
        <v>0.8519551282051282</v>
      </c>
      <c r="P40" s="109">
        <f t="shared" si="277"/>
        <v>0.86252976190476183</v>
      </c>
      <c r="Q40" s="109">
        <f t="shared" si="277"/>
        <v>0.87169444444444444</v>
      </c>
      <c r="R40" s="109">
        <f t="shared" si="277"/>
        <v>0.82682291666666663</v>
      </c>
      <c r="S40" s="109">
        <f t="shared" si="277"/>
        <v>0.83700980392156865</v>
      </c>
      <c r="T40" s="109">
        <f t="shared" si="277"/>
        <v>0.84606481481481488</v>
      </c>
      <c r="U40" s="109">
        <f t="shared" si="277"/>
        <v>0.85416666666666663</v>
      </c>
      <c r="V40" s="109">
        <f t="shared" si="277"/>
        <v>0.85083333333333333</v>
      </c>
      <c r="W40" s="109">
        <f t="shared" si="277"/>
        <v>0.85750000000000004</v>
      </c>
      <c r="X40" s="109">
        <f t="shared" si="277"/>
        <v>0.86214015151515155</v>
      </c>
      <c r="Y40" s="109">
        <f t="shared" si="277"/>
        <v>0.85684782608695653</v>
      </c>
      <c r="Z40" s="109">
        <f t="shared" si="277"/>
        <v>0.86281249999999998</v>
      </c>
      <c r="AA40" s="109">
        <f t="shared" si="277"/>
        <v>0.86351666666666671</v>
      </c>
      <c r="AB40" s="109">
        <f t="shared" si="277"/>
        <v>0.86876602564102567</v>
      </c>
      <c r="AC40" s="109">
        <f t="shared" si="277"/>
        <v>0.87183641975308646</v>
      </c>
      <c r="AD40" s="109">
        <f t="shared" si="277"/>
        <v>0.87138392857142855</v>
      </c>
      <c r="AE40" s="109">
        <f t="shared" si="277"/>
        <v>0.87581896551724137</v>
      </c>
      <c r="AF40" s="109">
        <f t="shared" si="277"/>
        <v>0.8799583333333334</v>
      </c>
      <c r="AG40" s="109">
        <f t="shared" si="277"/>
        <v>0.88383064516129028</v>
      </c>
      <c r="AH40" s="109">
        <f t="shared" si="277"/>
        <v>1</v>
      </c>
      <c r="AI40" s="109">
        <f t="shared" ref="AI40:BN40" si="278">IF(OR(AI$13="",AI$17="",AI$14="",AI$15="",AI$16="",AI$18="",AI$19="",AI$20="",AI$21=""),"",1-(AI66/(AI$5)))</f>
        <v>0.77749999999999997</v>
      </c>
      <c r="AJ40" s="109">
        <f t="shared" si="278"/>
        <v>0.85166666666666668</v>
      </c>
      <c r="AK40" s="109">
        <f t="shared" si="278"/>
        <v>0.88875000000000004</v>
      </c>
      <c r="AL40" s="109">
        <f t="shared" si="278"/>
        <v>0.91100000000000003</v>
      </c>
      <c r="AM40" s="109">
        <f t="shared" si="278"/>
        <v>0.91090277777777784</v>
      </c>
      <c r="AN40" s="109">
        <f t="shared" si="278"/>
        <v>0.92363095238095239</v>
      </c>
      <c r="AO40" s="109">
        <f t="shared" si="278"/>
        <v>0.93317708333333338</v>
      </c>
      <c r="AP40" s="109">
        <f t="shared" si="278"/>
        <v>0.94060185185185186</v>
      </c>
      <c r="AQ40" s="109">
        <f t="shared" si="278"/>
        <v>0.91800000000000004</v>
      </c>
      <c r="AR40" s="109">
        <f t="shared" si="278"/>
        <v>0.92545454545454542</v>
      </c>
      <c r="AS40" s="109">
        <f t="shared" si="278"/>
        <v>0.86517361111111113</v>
      </c>
      <c r="AT40" s="109">
        <f t="shared" si="278"/>
        <v>0.87554487179487184</v>
      </c>
      <c r="AU40" s="109">
        <f t="shared" si="278"/>
        <v>0.83488095238095239</v>
      </c>
      <c r="AV40" s="109">
        <f t="shared" si="278"/>
        <v>0.84180555555555558</v>
      </c>
      <c r="AW40" s="109">
        <f t="shared" si="278"/>
        <v>0.82546874999999997</v>
      </c>
      <c r="AX40" s="109">
        <f t="shared" si="278"/>
        <v>0.83573529411764702</v>
      </c>
      <c r="AY40" s="109">
        <f t="shared" si="278"/>
        <v>0.84486111111111106</v>
      </c>
      <c r="AZ40" s="109">
        <f t="shared" si="278"/>
        <v>0.85302631578947374</v>
      </c>
      <c r="BA40" s="109">
        <f t="shared" si="278"/>
        <v>0.84529166666666666</v>
      </c>
      <c r="BB40" s="109">
        <f t="shared" si="278"/>
        <v>0.85011904761904766</v>
      </c>
      <c r="BC40" s="109">
        <f t="shared" si="278"/>
        <v>0.8466477272727273</v>
      </c>
      <c r="BD40" s="109">
        <f t="shared" si="278"/>
        <v>0.85331521739130434</v>
      </c>
      <c r="BE40" s="109">
        <f t="shared" si="278"/>
        <v>0.85468750000000004</v>
      </c>
      <c r="BF40" s="109">
        <f t="shared" si="278"/>
        <v>0.86050000000000004</v>
      </c>
      <c r="BG40" s="109">
        <f t="shared" si="278"/>
        <v>0.86586538461538465</v>
      </c>
      <c r="BH40" s="109">
        <f t="shared" si="278"/>
        <v>0.86496913580246915</v>
      </c>
      <c r="BI40" s="109">
        <f t="shared" si="278"/>
        <v>0.86949404761904758</v>
      </c>
      <c r="BJ40" s="109">
        <f t="shared" si="278"/>
        <v>1</v>
      </c>
      <c r="BK40" s="109">
        <f t="shared" si="278"/>
        <v>0.97354166666666664</v>
      </c>
      <c r="BL40" s="109">
        <f t="shared" si="278"/>
        <v>0.98236111111111113</v>
      </c>
      <c r="BM40" s="109">
        <f t="shared" si="278"/>
        <v>0.98677083333333337</v>
      </c>
      <c r="BN40" s="109">
        <f t="shared" si="278"/>
        <v>0.98941666666666661</v>
      </c>
      <c r="BO40" s="109">
        <f t="shared" ref="BO40:CT40" si="279">IF(OR(BO$13="",BO$17="",BO$14="",BO$15="",BO$16="",BO$18="",BO$19="",BO$20="",BO$21=""),"",1-(BO66/(BO$5)))</f>
        <v>0.99118055555555551</v>
      </c>
      <c r="BP40" s="109">
        <f t="shared" si="279"/>
        <v>0.99244047619047615</v>
      </c>
      <c r="BQ40" s="109">
        <f t="shared" si="279"/>
        <v>0.99338541666666669</v>
      </c>
      <c r="BR40" s="109">
        <f t="shared" si="279"/>
        <v>0.98356481481481484</v>
      </c>
      <c r="BS40" s="109">
        <f t="shared" si="279"/>
        <v>0.98520833333333335</v>
      </c>
      <c r="BT40" s="109">
        <f t="shared" si="279"/>
        <v>0.98655303030303032</v>
      </c>
      <c r="BU40" s="109">
        <f t="shared" si="279"/>
        <v>0.98767361111111107</v>
      </c>
      <c r="BV40" s="109">
        <f t="shared" si="279"/>
        <v>0.98862179487179491</v>
      </c>
      <c r="BW40" s="109">
        <f t="shared" si="279"/>
        <v>0.98943452380952379</v>
      </c>
      <c r="BX40" s="109">
        <f t="shared" si="279"/>
        <v>0.9901388888888889</v>
      </c>
      <c r="BY40" s="109">
        <f t="shared" si="279"/>
        <v>0.97721354166666663</v>
      </c>
      <c r="BZ40" s="109">
        <f t="shared" si="279"/>
        <v>0.97855392156862742</v>
      </c>
      <c r="CA40" s="109">
        <f t="shared" si="279"/>
        <v>0.97974537037037035</v>
      </c>
      <c r="CB40" s="109">
        <f t="shared" si="279"/>
        <v>0.92868421052631578</v>
      </c>
      <c r="CC40" s="109">
        <f t="shared" si="279"/>
        <v>0.91066666666666674</v>
      </c>
      <c r="CD40" s="109">
        <f t="shared" si="279"/>
        <v>0.90341269841269844</v>
      </c>
      <c r="CE40" s="109">
        <f t="shared" si="279"/>
        <v>0.90780303030303033</v>
      </c>
      <c r="CF40" s="109">
        <f t="shared" si="279"/>
        <v>0.8853623188405797</v>
      </c>
      <c r="CG40" s="109">
        <f t="shared" si="279"/>
        <v>0.88958333333333339</v>
      </c>
      <c r="CH40" s="109">
        <f t="shared" si="279"/>
        <v>0.88700000000000001</v>
      </c>
      <c r="CI40" s="109">
        <f t="shared" si="279"/>
        <v>0.87804487179487178</v>
      </c>
      <c r="CJ40" s="109">
        <f t="shared" si="279"/>
        <v>0.88256172839506175</v>
      </c>
      <c r="CK40" s="109">
        <f t="shared" si="279"/>
        <v>0.88675595238095239</v>
      </c>
      <c r="CL40" s="109">
        <f t="shared" si="279"/>
        <v>0.89066091954022986</v>
      </c>
      <c r="CM40" s="109">
        <f t="shared" si="279"/>
        <v>0.88987499999999997</v>
      </c>
      <c r="CN40" s="109">
        <f t="shared" si="279"/>
        <v>0.89342741935483871</v>
      </c>
      <c r="CO40" s="109">
        <f t="shared" si="279"/>
        <v>1</v>
      </c>
      <c r="CP40" s="109">
        <f t="shared" si="279"/>
        <v>0.87250000000000005</v>
      </c>
      <c r="CQ40" s="109">
        <f t="shared" si="279"/>
        <v>0.91500000000000004</v>
      </c>
      <c r="CR40" s="109">
        <f t="shared" si="279"/>
        <v>0.93625000000000003</v>
      </c>
      <c r="CS40" s="109">
        <f t="shared" si="279"/>
        <v>0.94899999999999995</v>
      </c>
      <c r="CT40" s="109">
        <f t="shared" si="279"/>
        <v>0.95472222222222225</v>
      </c>
      <c r="CU40" s="109">
        <f t="shared" ref="CU40:DS40" si="280">IF(OR(CU$13="",CU$17="",CU$14="",CU$15="",CU$16="",CU$18="",CU$19="",CU$20="",CU$21=""),"",1-(CU66/(CU$5)))</f>
        <v>0.96119047619047615</v>
      </c>
      <c r="CV40" s="109">
        <f t="shared" si="280"/>
        <v>0.96291666666666664</v>
      </c>
      <c r="CW40" s="109">
        <f t="shared" si="280"/>
        <v>0.96703703703703703</v>
      </c>
      <c r="CX40" s="109">
        <f t="shared" si="280"/>
        <v>0.97033333333333338</v>
      </c>
      <c r="CY40" s="109">
        <f t="shared" si="280"/>
        <v>0.97303030303030302</v>
      </c>
      <c r="CZ40" s="109">
        <f t="shared" si="280"/>
        <v>0.9752777777777778</v>
      </c>
      <c r="DA40" s="109">
        <f t="shared" si="280"/>
        <v>0.96237179487179492</v>
      </c>
      <c r="DB40" s="109">
        <f t="shared" si="280"/>
        <v>0.96505952380952387</v>
      </c>
      <c r="DC40" s="109">
        <f t="shared" si="280"/>
        <v>0.96738888888888885</v>
      </c>
      <c r="DD40" s="109">
        <f t="shared" si="280"/>
        <v>0.96661458333333328</v>
      </c>
      <c r="DE40" s="109">
        <f t="shared" si="280"/>
        <v>0.96857843137254906</v>
      </c>
      <c r="DF40" s="109">
        <f t="shared" si="280"/>
        <v>0.97032407407407406</v>
      </c>
      <c r="DG40" s="109">
        <f t="shared" si="280"/>
        <v>0.97188596491228074</v>
      </c>
      <c r="DH40" s="109">
        <f t="shared" si="280"/>
        <v>0.97329166666666667</v>
      </c>
      <c r="DI40" s="109">
        <f t="shared" si="280"/>
        <v>0.97456349206349202</v>
      </c>
      <c r="DJ40" s="109">
        <f t="shared" si="280"/>
        <v>0.97571969696969696</v>
      </c>
      <c r="DK40" s="109">
        <f t="shared" si="280"/>
        <v>0.97266304347826082</v>
      </c>
      <c r="DL40" s="109">
        <f t="shared" si="280"/>
        <v>0.96751736111111108</v>
      </c>
      <c r="DM40" s="109">
        <f t="shared" si="280"/>
        <v>0.96881666666666666</v>
      </c>
      <c r="DN40" s="109">
        <f t="shared" si="280"/>
        <v>0.97001602564102563</v>
      </c>
      <c r="DO40" s="109">
        <f t="shared" si="280"/>
        <v>0.97112654320987657</v>
      </c>
      <c r="DP40" s="109">
        <f t="shared" si="280"/>
        <v>0.97215773809523809</v>
      </c>
      <c r="DQ40" s="109">
        <f t="shared" si="280"/>
        <v>0.97311781609195402</v>
      </c>
      <c r="DR40" s="109">
        <f t="shared" si="280"/>
        <v>0.97401388888888885</v>
      </c>
      <c r="DS40" s="109">
        <f t="shared" si="280"/>
        <v>1</v>
      </c>
      <c r="DT40" s="109">
        <f t="shared" ref="DT40:GE40" si="281">IF(OR(DT$13="",DT$17="",DT$14="",DT$15="",DT$16="",DT$18="",DT$19="",DT$20="",DT$21=""),"",1-(DT66/(DT$5)))</f>
        <v>0.93645833333333339</v>
      </c>
      <c r="DU40" s="109">
        <f t="shared" si="281"/>
        <v>0.95763888888888893</v>
      </c>
      <c r="DV40" s="109">
        <f t="shared" si="281"/>
        <v>0.9682291666666667</v>
      </c>
      <c r="DW40" s="109">
        <f t="shared" si="281"/>
        <v>0.97458333333333336</v>
      </c>
      <c r="DX40" s="109">
        <f t="shared" si="281"/>
        <v>0.97881944444444446</v>
      </c>
      <c r="DY40" s="109">
        <f t="shared" si="281"/>
        <v>0.98184523809523805</v>
      </c>
      <c r="DZ40" s="109">
        <f t="shared" si="281"/>
        <v>0.97005208333333337</v>
      </c>
      <c r="EA40" s="109">
        <f t="shared" si="281"/>
        <v>0.97337962962962965</v>
      </c>
      <c r="EB40" s="109">
        <f t="shared" si="281"/>
        <v>0.96616666666666662</v>
      </c>
      <c r="EC40" s="109">
        <f t="shared" si="281"/>
        <v>0.9048484848484849</v>
      </c>
      <c r="ED40" s="109">
        <f t="shared" si="281"/>
        <v>0.87666666666666671</v>
      </c>
      <c r="EE40" s="109">
        <f t="shared" si="281"/>
        <v>0.85314102564102567</v>
      </c>
      <c r="EF40" s="109">
        <f t="shared" si="281"/>
        <v>0.86363095238095244</v>
      </c>
      <c r="EG40" s="109">
        <f t="shared" si="281"/>
        <v>0.85022222222222221</v>
      </c>
      <c r="EH40" s="109">
        <f t="shared" si="281"/>
        <v>0.85861979166666669</v>
      </c>
      <c r="EI40" s="109">
        <f t="shared" si="281"/>
        <v>0.85399509803921569</v>
      </c>
      <c r="EJ40" s="109">
        <f t="shared" si="281"/>
        <v>0.8621064814814815</v>
      </c>
      <c r="EK40" s="109">
        <f t="shared" si="281"/>
        <v>0.86936403508771931</v>
      </c>
      <c r="EL40" s="109">
        <f t="shared" si="281"/>
        <v>0.87589583333333332</v>
      </c>
      <c r="EM40" s="109">
        <f t="shared" si="281"/>
        <v>0.88180555555555551</v>
      </c>
      <c r="EN40" s="109">
        <f t="shared" si="281"/>
        <v>0.88717803030303033</v>
      </c>
      <c r="EO40" s="109">
        <f t="shared" si="281"/>
        <v>0.89208333333333334</v>
      </c>
      <c r="EP40" s="109">
        <f t="shared" si="281"/>
        <v>0.8965798611111111</v>
      </c>
      <c r="EQ40" s="109">
        <f t="shared" si="281"/>
        <v>0.90071666666666672</v>
      </c>
      <c r="ER40" s="109">
        <f t="shared" si="281"/>
        <v>0.88947115384615383</v>
      </c>
      <c r="ES40" s="109">
        <f t="shared" si="281"/>
        <v>0.89356481481481476</v>
      </c>
      <c r="ET40" s="109">
        <f t="shared" si="281"/>
        <v>0.89736607142857139</v>
      </c>
      <c r="EU40" s="109">
        <f t="shared" si="281"/>
        <v>0.90090517241379309</v>
      </c>
      <c r="EV40" s="109">
        <f t="shared" si="281"/>
        <v>0.90420833333333328</v>
      </c>
      <c r="EW40" s="109">
        <f t="shared" si="281"/>
        <v>0.90729838709677424</v>
      </c>
      <c r="EX40" s="109">
        <f t="shared" si="281"/>
        <v>1</v>
      </c>
      <c r="EY40" s="109">
        <f t="shared" si="281"/>
        <v>1</v>
      </c>
      <c r="EZ40" s="109">
        <f t="shared" si="281"/>
        <v>1</v>
      </c>
      <c r="FA40" s="109">
        <f t="shared" si="281"/>
        <v>1</v>
      </c>
      <c r="FB40" s="109">
        <f t="shared" si="281"/>
        <v>1</v>
      </c>
      <c r="FC40" s="109">
        <f t="shared" si="281"/>
        <v>1</v>
      </c>
      <c r="FD40" s="109">
        <f t="shared" si="281"/>
        <v>1</v>
      </c>
      <c r="FE40" s="109">
        <f t="shared" si="281"/>
        <v>0.86682291666666667</v>
      </c>
      <c r="FF40" s="109">
        <f t="shared" si="281"/>
        <v>0.86208333333333331</v>
      </c>
      <c r="FG40" s="109">
        <f t="shared" si="281"/>
        <v>0.87483333333333335</v>
      </c>
      <c r="FH40" s="109">
        <f t="shared" si="281"/>
        <v>0.84738636363636366</v>
      </c>
      <c r="FI40" s="109">
        <f t="shared" si="281"/>
        <v>0.82819444444444446</v>
      </c>
      <c r="FJ40" s="109">
        <f t="shared" si="281"/>
        <v>0.84141025641025635</v>
      </c>
      <c r="FK40" s="109">
        <f t="shared" si="281"/>
        <v>0.85273809523809518</v>
      </c>
      <c r="FL40" s="109">
        <f t="shared" si="281"/>
        <v>0.86255555555555552</v>
      </c>
      <c r="FM40" s="109">
        <f t="shared" si="281"/>
        <v>0.87114583333333329</v>
      </c>
      <c r="FN40" s="109">
        <f t="shared" si="281"/>
        <v>0.87872549019607848</v>
      </c>
      <c r="FO40" s="109">
        <f t="shared" si="281"/>
        <v>0.88546296296296301</v>
      </c>
      <c r="FP40" s="109">
        <f t="shared" si="281"/>
        <v>0.89149122807017545</v>
      </c>
      <c r="FQ40" s="109">
        <f t="shared" si="281"/>
        <v>0.8969166666666667</v>
      </c>
      <c r="FR40" s="109">
        <f t="shared" si="281"/>
        <v>0.90182539682539686</v>
      </c>
      <c r="FS40" s="109">
        <f t="shared" si="281"/>
        <v>0.90628787878787875</v>
      </c>
      <c r="FT40" s="109">
        <f t="shared" si="281"/>
        <v>0.91036231884057972</v>
      </c>
      <c r="FU40" s="109">
        <f t="shared" si="281"/>
        <v>0.91409722222222223</v>
      </c>
      <c r="FV40" s="109">
        <f t="shared" si="281"/>
        <v>0.90236666666666665</v>
      </c>
      <c r="FW40" s="109">
        <f t="shared" si="281"/>
        <v>0.9013461538461538</v>
      </c>
      <c r="FX40" s="109">
        <f t="shared" si="281"/>
        <v>0.90500000000000003</v>
      </c>
      <c r="FY40" s="109">
        <f t="shared" si="281"/>
        <v>0.90839285714285711</v>
      </c>
      <c r="FZ40" s="109">
        <f t="shared" si="281"/>
        <v>0.89500000000000002</v>
      </c>
      <c r="GA40" s="109">
        <f t="shared" ref="GA40:GB48" si="282">IF(OR(GA$13="",GA$17="",GA$14="",GA$15="",GA$16="",GA$18="",GA$19="",GA$20="",GA$21=""),"",1-(GA66/(GA$5)))</f>
        <v>0.89849999999999997</v>
      </c>
      <c r="GB40" s="109">
        <f t="shared" si="282"/>
        <v>1</v>
      </c>
      <c r="GC40" s="109">
        <f t="shared" si="281"/>
        <v>0.98729166666666668</v>
      </c>
      <c r="GD40" s="109">
        <f t="shared" si="281"/>
        <v>0.99152777777777779</v>
      </c>
      <c r="GE40" s="109">
        <f t="shared" si="281"/>
        <v>0.99281249999999999</v>
      </c>
      <c r="GF40" s="109">
        <f t="shared" ref="GF40:IQ40" si="283">IF(OR(GF$13="",GF$17="",GF$14="",GF$15="",GF$16="",GF$18="",GF$19="",GF$20="",GF$21=""),"",1-(GF66/(GF$5)))</f>
        <v>0.99424999999999997</v>
      </c>
      <c r="GG40" s="109">
        <f t="shared" si="283"/>
        <v>0.99520833333333336</v>
      </c>
      <c r="GH40" s="109">
        <f t="shared" si="283"/>
        <v>0.98982142857142852</v>
      </c>
      <c r="GI40" s="109">
        <f t="shared" si="283"/>
        <v>0.99109375</v>
      </c>
      <c r="GJ40" s="109">
        <f t="shared" si="283"/>
        <v>0.99208333333333332</v>
      </c>
      <c r="GK40" s="109">
        <f t="shared" si="283"/>
        <v>0.99287499999999995</v>
      </c>
      <c r="GL40" s="109">
        <f t="shared" si="283"/>
        <v>0.99352272727272728</v>
      </c>
      <c r="GM40" s="109">
        <f t="shared" si="283"/>
        <v>0.99406249999999996</v>
      </c>
      <c r="GN40" s="109">
        <f t="shared" si="283"/>
        <v>0.99451923076923077</v>
      </c>
      <c r="GO40" s="109">
        <f t="shared" si="283"/>
        <v>0.99491071428571431</v>
      </c>
      <c r="GP40" s="109">
        <f t="shared" si="283"/>
        <v>0.99524999999999997</v>
      </c>
      <c r="GQ40" s="109">
        <f t="shared" si="283"/>
        <v>0.99554687500000005</v>
      </c>
      <c r="GR40" s="109">
        <f t="shared" si="283"/>
        <v>0.9958088235294118</v>
      </c>
      <c r="GS40" s="109">
        <f t="shared" si="283"/>
        <v>0.99604166666666671</v>
      </c>
      <c r="GT40" s="109">
        <f t="shared" si="283"/>
        <v>0.99624999999999997</v>
      </c>
      <c r="GU40" s="109">
        <f t="shared" si="283"/>
        <v>0.89681250000000001</v>
      </c>
      <c r="GV40" s="109">
        <f t="shared" si="283"/>
        <v>0.90172619047619051</v>
      </c>
      <c r="GW40" s="109">
        <f t="shared" si="283"/>
        <v>0.90017045454545452</v>
      </c>
      <c r="GX40" s="109">
        <f t="shared" si="283"/>
        <v>0.90451086956521742</v>
      </c>
      <c r="GY40" s="109">
        <f t="shared" si="283"/>
        <v>0.90848958333333329</v>
      </c>
      <c r="GZ40" s="109">
        <f t="shared" si="283"/>
        <v>0.91215000000000002</v>
      </c>
      <c r="HA40" s="109">
        <f t="shared" si="283"/>
        <v>0.91552884615384611</v>
      </c>
      <c r="HB40" s="109">
        <f t="shared" si="283"/>
        <v>0.91865740740740742</v>
      </c>
      <c r="HC40" s="109">
        <f t="shared" si="283"/>
        <v>0.92156249999999995</v>
      </c>
      <c r="HD40" s="109">
        <f t="shared" si="283"/>
        <v>0.89886494252873561</v>
      </c>
      <c r="HE40" s="109">
        <f t="shared" si="283"/>
        <v>0.90223611111111113</v>
      </c>
      <c r="HF40" s="109">
        <f t="shared" si="283"/>
        <v>0.90538978494623656</v>
      </c>
      <c r="HG40" s="109">
        <f t="shared" si="283"/>
        <v>1</v>
      </c>
      <c r="HH40" s="109">
        <f t="shared" si="283"/>
        <v>1</v>
      </c>
      <c r="HI40" s="109">
        <f t="shared" si="283"/>
        <v>1</v>
      </c>
      <c r="HJ40" s="109">
        <f t="shared" si="283"/>
        <v>0.99282986111111116</v>
      </c>
      <c r="HK40" s="109">
        <f t="shared" si="283"/>
        <v>0.82964351851851847</v>
      </c>
      <c r="HL40" s="109">
        <f t="shared" si="283"/>
        <v>0.85358603395061727</v>
      </c>
      <c r="HM40" s="109">
        <f t="shared" si="283"/>
        <v>0.87450231481481477</v>
      </c>
      <c r="HN40" s="109">
        <f t="shared" si="283"/>
        <v>0.89018952546296293</v>
      </c>
      <c r="HO40" s="109">
        <f t="shared" si="283"/>
        <v>0.90239068930041155</v>
      </c>
      <c r="HP40" s="109">
        <f t="shared" si="283"/>
        <v>0.91215162037037034</v>
      </c>
      <c r="HQ40" s="109">
        <f t="shared" si="283"/>
        <v>0.92013783670033666</v>
      </c>
      <c r="HR40" s="109">
        <f t="shared" si="283"/>
        <v>0.92679301697530869</v>
      </c>
      <c r="HS40" s="109">
        <f t="shared" si="283"/>
        <v>0.88001513532763531</v>
      </c>
      <c r="HT40" s="109">
        <f t="shared" si="283"/>
        <v>0.88858548280423277</v>
      </c>
      <c r="HU40" s="109">
        <f t="shared" si="283"/>
        <v>0.88110648148148152</v>
      </c>
      <c r="HV40" s="109">
        <f t="shared" si="283"/>
        <v>0.88853732638888894</v>
      </c>
      <c r="HW40" s="109">
        <f t="shared" si="283"/>
        <v>0.89509395424836602</v>
      </c>
      <c r="HX40" s="109">
        <f t="shared" si="283"/>
        <v>0.8701292438271605</v>
      </c>
      <c r="HY40" s="109">
        <f t="shared" si="283"/>
        <v>0.86890411793372313</v>
      </c>
      <c r="HZ40" s="109">
        <f t="shared" si="283"/>
        <v>0.86203125000000003</v>
      </c>
      <c r="IA40" s="109">
        <f t="shared" si="283"/>
        <v>0.86716655643738971</v>
      </c>
      <c r="IB40" s="109">
        <f t="shared" si="283"/>
        <v>0.86134154040404043</v>
      </c>
      <c r="IC40" s="109">
        <f t="shared" si="283"/>
        <v>0.82635567632850238</v>
      </c>
      <c r="ID40" s="109">
        <f t="shared" si="283"/>
        <v>0.83103877314814811</v>
      </c>
      <c r="IE40" s="109">
        <f t="shared" si="283"/>
        <v>0.83779722222222219</v>
      </c>
      <c r="IF40" s="109">
        <f t="shared" si="283"/>
        <v>0.83727297008547008</v>
      </c>
      <c r="IG40" s="109">
        <f t="shared" si="283"/>
        <v>0.83275977366255138</v>
      </c>
      <c r="IH40" s="109">
        <f t="shared" si="283"/>
        <v>0.83873263888888894</v>
      </c>
      <c r="II40" s="109">
        <f t="shared" si="283"/>
        <v>0.84429358237547891</v>
      </c>
      <c r="IJ40" s="109">
        <f t="shared" si="283"/>
        <v>0.84440046296296289</v>
      </c>
      <c r="IK40" s="109">
        <f t="shared" si="283"/>
        <v>0.8494198028673835</v>
      </c>
      <c r="IL40" s="109">
        <f t="shared" si="283"/>
        <v>1</v>
      </c>
      <c r="IM40" s="109">
        <f t="shared" si="283"/>
        <v>1</v>
      </c>
      <c r="IN40" s="109">
        <f t="shared" si="283"/>
        <v>0.85237268518518516</v>
      </c>
      <c r="IO40" s="109">
        <f t="shared" si="283"/>
        <v>0.77625578703703701</v>
      </c>
      <c r="IP40" s="109">
        <f t="shared" si="283"/>
        <v>0.81758333333333333</v>
      </c>
      <c r="IQ40" s="109">
        <f t="shared" si="283"/>
        <v>0.8160050154320988</v>
      </c>
      <c r="IR40" s="109">
        <f t="shared" ref="IR40:LC40" si="284">IF(OR(IR$13="",IR$17="",IR$14="",IR$15="",IR$16="",IR$18="",IR$19="",IR$20="",IR$21=""),"",1-(IR66/(IR$5)))</f>
        <v>0.84140542328042323</v>
      </c>
      <c r="IS40" s="109">
        <f t="shared" si="284"/>
        <v>0.85339554398148143</v>
      </c>
      <c r="IT40" s="109">
        <f t="shared" si="284"/>
        <v>0.86968492798353902</v>
      </c>
      <c r="IU40" s="109">
        <f t="shared" si="284"/>
        <v>0.83803356481481472</v>
      </c>
      <c r="IV40" s="109">
        <f t="shared" si="284"/>
        <v>0.84684448653198652</v>
      </c>
      <c r="IW40" s="109">
        <f t="shared" si="284"/>
        <v>0.85960744598765426</v>
      </c>
      <c r="IX40" s="109">
        <f t="shared" si="284"/>
        <v>0.83377225783475784</v>
      </c>
      <c r="IY40" s="109">
        <f t="shared" si="284"/>
        <v>0.84564566798941798</v>
      </c>
      <c r="IZ40" s="109">
        <f t="shared" si="284"/>
        <v>0.85593595679012346</v>
      </c>
      <c r="JA40" s="109">
        <f t="shared" si="284"/>
        <v>0.85130353009259263</v>
      </c>
      <c r="JB40" s="109">
        <f t="shared" si="284"/>
        <v>0.8599108115468409</v>
      </c>
      <c r="JC40" s="109">
        <f t="shared" si="284"/>
        <v>0.86769354423868306</v>
      </c>
      <c r="JD40" s="109">
        <f t="shared" si="284"/>
        <v>0.87465704191033133</v>
      </c>
      <c r="JE40" s="109">
        <f t="shared" si="284"/>
        <v>0.8809241898148148</v>
      </c>
      <c r="JF40" s="109">
        <f t="shared" si="284"/>
        <v>0.88659446649029983</v>
      </c>
      <c r="JG40" s="109">
        <f t="shared" si="284"/>
        <v>0.89174926346801342</v>
      </c>
      <c r="JH40" s="109">
        <f t="shared" si="284"/>
        <v>0.89645581723027368</v>
      </c>
      <c r="JI40" s="109">
        <f t="shared" si="284"/>
        <v>0.90077015817901229</v>
      </c>
      <c r="JJ40" s="109">
        <f t="shared" si="284"/>
        <v>0.90473935185185184</v>
      </c>
      <c r="JK40" s="109">
        <f t="shared" si="284"/>
        <v>0.90840322293447295</v>
      </c>
      <c r="JL40" s="109">
        <f t="shared" si="284"/>
        <v>0.91179569615912204</v>
      </c>
      <c r="JM40" s="109">
        <f t="shared" si="284"/>
        <v>0.90390418320105814</v>
      </c>
      <c r="JN40" s="109">
        <f t="shared" si="284"/>
        <v>0.90721783205619411</v>
      </c>
      <c r="JO40" s="109">
        <f t="shared" si="284"/>
        <v>0.90892168209876545</v>
      </c>
      <c r="JP40" s="109">
        <f t="shared" si="284"/>
        <v>0.95833333333333337</v>
      </c>
      <c r="JQ40" s="109">
        <f t="shared" si="284"/>
        <v>0.854375</v>
      </c>
      <c r="JR40" s="109">
        <f t="shared" si="284"/>
        <v>0.62738811728395061</v>
      </c>
      <c r="JS40" s="109">
        <f t="shared" si="284"/>
        <v>0.71684027777777781</v>
      </c>
      <c r="JT40" s="109">
        <f t="shared" si="284"/>
        <v>0.77347222222222223</v>
      </c>
      <c r="JU40" s="109">
        <f t="shared" si="284"/>
        <v>0.81122685185185184</v>
      </c>
      <c r="JV40" s="109">
        <f t="shared" si="284"/>
        <v>0.83224206349206353</v>
      </c>
      <c r="JW40" s="109">
        <f t="shared" si="284"/>
        <v>0.85321180555555554</v>
      </c>
      <c r="JX40" s="109">
        <f t="shared" si="284"/>
        <v>0.85100308641975309</v>
      </c>
      <c r="JY40" s="109">
        <f t="shared" si="284"/>
        <v>0.76590277777777782</v>
      </c>
      <c r="JZ40" s="109">
        <f t="shared" si="284"/>
        <v>0.69627525252525246</v>
      </c>
      <c r="KA40" s="109">
        <f t="shared" si="284"/>
        <v>0.72158564814814818</v>
      </c>
      <c r="KB40" s="109">
        <f t="shared" si="284"/>
        <v>0.74300213675213667</v>
      </c>
      <c r="KC40" s="109">
        <f t="shared" si="284"/>
        <v>0.761359126984127</v>
      </c>
      <c r="KD40" s="109">
        <f t="shared" si="284"/>
        <v>0.77726851851851853</v>
      </c>
      <c r="KE40" s="109">
        <f t="shared" si="284"/>
        <v>0.79118923611111114</v>
      </c>
      <c r="KF40" s="109">
        <f t="shared" si="284"/>
        <v>0.80347222222222225</v>
      </c>
      <c r="KG40" s="109">
        <f t="shared" si="284"/>
        <v>0.81439043209876538</v>
      </c>
      <c r="KH40" s="109">
        <f t="shared" si="284"/>
        <v>0.79784356725146199</v>
      </c>
      <c r="KI40" s="109">
        <f t="shared" si="284"/>
        <v>0.80795138888888884</v>
      </c>
      <c r="KJ40" s="109">
        <f t="shared" si="284"/>
        <v>0.80519179894179893</v>
      </c>
      <c r="KK40" s="109">
        <f t="shared" si="284"/>
        <v>0.81404671717171717</v>
      </c>
      <c r="KL40" s="109">
        <f t="shared" si="284"/>
        <v>0.82213164251207727</v>
      </c>
      <c r="KM40" s="109">
        <f t="shared" si="284"/>
        <v>0.82954282407407409</v>
      </c>
      <c r="KN40" s="109">
        <f t="shared" si="284"/>
        <v>0.83636111111111111</v>
      </c>
      <c r="KO40" s="109">
        <f t="shared" si="284"/>
        <v>0.84265491452991448</v>
      </c>
      <c r="KP40" s="109">
        <f t="shared" si="284"/>
        <v>0.84848251028806587</v>
      </c>
      <c r="KQ40" s="109">
        <f t="shared" si="284"/>
        <v>0.85389384920634925</v>
      </c>
      <c r="KR40" s="109">
        <f t="shared" si="284"/>
        <v>0.85893199233716477</v>
      </c>
      <c r="KS40" s="109">
        <f t="shared" si="284"/>
        <v>0.86363425925925918</v>
      </c>
      <c r="KT40" s="109">
        <f t="shared" si="284"/>
        <v>0.86803315412186377</v>
      </c>
      <c r="KU40" s="109" t="str">
        <f t="shared" si="284"/>
        <v/>
      </c>
      <c r="KV40" s="109" t="str">
        <f t="shared" si="284"/>
        <v/>
      </c>
      <c r="KW40" s="109" t="str">
        <f t="shared" si="284"/>
        <v/>
      </c>
      <c r="KX40" s="109" t="str">
        <f t="shared" si="284"/>
        <v/>
      </c>
      <c r="KY40" s="109" t="str">
        <f t="shared" si="284"/>
        <v/>
      </c>
      <c r="KZ40" s="109" t="str">
        <f t="shared" si="284"/>
        <v/>
      </c>
      <c r="LA40" s="109" t="str">
        <f t="shared" si="284"/>
        <v/>
      </c>
      <c r="LB40" s="109" t="str">
        <f t="shared" si="284"/>
        <v/>
      </c>
      <c r="LC40" s="109" t="str">
        <f t="shared" si="284"/>
        <v/>
      </c>
      <c r="LD40" s="109" t="str">
        <f t="shared" ref="LD40:NO40" si="285">IF(OR(LD$13="",LD$17="",LD$14="",LD$15="",LD$16="",LD$18="",LD$19="",LD$20="",LD$21=""),"",1-(LD66/(LD$5)))</f>
        <v/>
      </c>
      <c r="LE40" s="109" t="str">
        <f t="shared" si="285"/>
        <v/>
      </c>
      <c r="LF40" s="109" t="str">
        <f t="shared" si="285"/>
        <v/>
      </c>
      <c r="LG40" s="109" t="str">
        <f t="shared" si="285"/>
        <v/>
      </c>
      <c r="LH40" s="109" t="str">
        <f t="shared" si="285"/>
        <v/>
      </c>
      <c r="LI40" s="109" t="str">
        <f t="shared" si="285"/>
        <v/>
      </c>
      <c r="LJ40" s="109" t="str">
        <f t="shared" si="285"/>
        <v/>
      </c>
      <c r="LK40" s="109" t="str">
        <f t="shared" si="285"/>
        <v/>
      </c>
      <c r="LL40" s="109" t="str">
        <f t="shared" si="285"/>
        <v/>
      </c>
      <c r="LM40" s="109" t="str">
        <f t="shared" si="285"/>
        <v/>
      </c>
      <c r="LN40" s="109" t="str">
        <f t="shared" si="285"/>
        <v/>
      </c>
      <c r="LO40" s="109" t="str">
        <f t="shared" si="285"/>
        <v/>
      </c>
      <c r="LP40" s="109" t="str">
        <f t="shared" si="285"/>
        <v/>
      </c>
      <c r="LQ40" s="109" t="str">
        <f t="shared" si="285"/>
        <v/>
      </c>
      <c r="LR40" s="109" t="str">
        <f t="shared" si="285"/>
        <v/>
      </c>
      <c r="LS40" s="109" t="str">
        <f t="shared" si="285"/>
        <v/>
      </c>
      <c r="LT40" s="109" t="str">
        <f t="shared" si="285"/>
        <v/>
      </c>
      <c r="LU40" s="109" t="str">
        <f t="shared" si="285"/>
        <v/>
      </c>
      <c r="LV40" s="109" t="str">
        <f t="shared" si="285"/>
        <v/>
      </c>
      <c r="LW40" s="109" t="str">
        <f t="shared" si="285"/>
        <v/>
      </c>
      <c r="LX40" s="109" t="str">
        <f t="shared" si="285"/>
        <v/>
      </c>
      <c r="LY40" s="109" t="str">
        <f t="shared" si="285"/>
        <v/>
      </c>
      <c r="LZ40" s="109" t="str">
        <f t="shared" si="285"/>
        <v/>
      </c>
      <c r="MA40" s="109" t="str">
        <f t="shared" si="285"/>
        <v/>
      </c>
      <c r="MB40" s="109" t="str">
        <f t="shared" si="285"/>
        <v/>
      </c>
      <c r="MC40" s="109" t="str">
        <f t="shared" si="285"/>
        <v/>
      </c>
      <c r="MD40" s="109" t="str">
        <f t="shared" si="285"/>
        <v/>
      </c>
      <c r="ME40" s="109" t="str">
        <f t="shared" si="285"/>
        <v/>
      </c>
      <c r="MF40" s="109" t="str">
        <f t="shared" si="285"/>
        <v/>
      </c>
      <c r="MG40" s="109" t="str">
        <f t="shared" si="285"/>
        <v/>
      </c>
      <c r="MH40" s="109" t="str">
        <f t="shared" si="285"/>
        <v/>
      </c>
      <c r="MI40" s="109" t="str">
        <f t="shared" si="285"/>
        <v/>
      </c>
      <c r="MJ40" s="109" t="str">
        <f t="shared" si="285"/>
        <v/>
      </c>
      <c r="MK40" s="109" t="str">
        <f t="shared" si="285"/>
        <v/>
      </c>
      <c r="ML40" s="109" t="str">
        <f t="shared" si="285"/>
        <v/>
      </c>
      <c r="MM40" s="109" t="str">
        <f t="shared" si="285"/>
        <v/>
      </c>
      <c r="MN40" s="109" t="str">
        <f t="shared" si="285"/>
        <v/>
      </c>
      <c r="MO40" s="109" t="str">
        <f t="shared" si="285"/>
        <v/>
      </c>
      <c r="MP40" s="109" t="str">
        <f t="shared" si="285"/>
        <v/>
      </c>
      <c r="MQ40" s="109" t="str">
        <f t="shared" si="285"/>
        <v/>
      </c>
      <c r="MR40" s="109" t="str">
        <f t="shared" si="285"/>
        <v/>
      </c>
      <c r="MS40" s="109" t="str">
        <f t="shared" si="285"/>
        <v/>
      </c>
      <c r="MT40" s="109" t="str">
        <f t="shared" si="285"/>
        <v/>
      </c>
      <c r="MU40" s="109" t="str">
        <f t="shared" si="285"/>
        <v/>
      </c>
      <c r="MV40" s="109" t="str">
        <f t="shared" si="285"/>
        <v/>
      </c>
      <c r="MW40" s="109" t="str">
        <f t="shared" si="285"/>
        <v/>
      </c>
      <c r="MX40" s="109" t="str">
        <f t="shared" si="285"/>
        <v/>
      </c>
      <c r="MY40" s="109" t="str">
        <f t="shared" si="285"/>
        <v/>
      </c>
      <c r="MZ40" s="109" t="str">
        <f t="shared" si="285"/>
        <v/>
      </c>
      <c r="NA40" s="109" t="str">
        <f t="shared" si="285"/>
        <v/>
      </c>
      <c r="NB40" s="109" t="str">
        <f t="shared" si="285"/>
        <v/>
      </c>
      <c r="NC40" s="109" t="str">
        <f t="shared" si="285"/>
        <v/>
      </c>
      <c r="ND40" s="109" t="str">
        <f t="shared" si="285"/>
        <v/>
      </c>
      <c r="NE40" s="109" t="str">
        <f t="shared" si="285"/>
        <v/>
      </c>
      <c r="NF40" s="109" t="str">
        <f t="shared" si="285"/>
        <v/>
      </c>
      <c r="NG40" s="109" t="str">
        <f t="shared" si="285"/>
        <v/>
      </c>
      <c r="NH40" s="109" t="str">
        <f t="shared" si="285"/>
        <v/>
      </c>
      <c r="NI40" s="109" t="str">
        <f t="shared" si="285"/>
        <v/>
      </c>
      <c r="NJ40" s="109" t="str">
        <f t="shared" si="285"/>
        <v/>
      </c>
      <c r="NK40" s="109" t="str">
        <f t="shared" si="285"/>
        <v/>
      </c>
      <c r="NL40" s="109" t="str">
        <f t="shared" si="285"/>
        <v/>
      </c>
      <c r="NM40" s="109" t="str">
        <f t="shared" si="285"/>
        <v/>
      </c>
      <c r="NN40" s="109" t="str">
        <f t="shared" si="285"/>
        <v/>
      </c>
      <c r="NO40" s="109" t="str">
        <f t="shared" si="285"/>
        <v/>
      </c>
      <c r="NP40" s="109" t="str">
        <f t="shared" ref="NP40:QA40" si="286">IF(OR(NP$13="",NP$17="",NP$14="",NP$15="",NP$16="",NP$18="",NP$19="",NP$20="",NP$21=""),"",1-(NP66/(NP$5)))</f>
        <v/>
      </c>
      <c r="NQ40" s="109" t="str">
        <f t="shared" si="286"/>
        <v/>
      </c>
      <c r="NR40" s="109" t="str">
        <f t="shared" si="286"/>
        <v/>
      </c>
      <c r="NS40" s="109" t="str">
        <f t="shared" si="286"/>
        <v/>
      </c>
      <c r="NT40" s="109" t="str">
        <f t="shared" si="286"/>
        <v/>
      </c>
      <c r="NU40" s="109" t="str">
        <f t="shared" si="286"/>
        <v/>
      </c>
      <c r="NV40" s="109" t="str">
        <f t="shared" si="286"/>
        <v/>
      </c>
      <c r="NW40" s="109" t="str">
        <f t="shared" si="286"/>
        <v/>
      </c>
      <c r="NX40" s="109" t="str">
        <f t="shared" si="286"/>
        <v/>
      </c>
      <c r="NY40" s="109" t="str">
        <f t="shared" si="286"/>
        <v/>
      </c>
      <c r="NZ40" s="109" t="str">
        <f t="shared" si="286"/>
        <v/>
      </c>
      <c r="OA40" s="109" t="str">
        <f t="shared" si="286"/>
        <v/>
      </c>
      <c r="OB40" s="109" t="str">
        <f t="shared" si="286"/>
        <v/>
      </c>
      <c r="OC40" s="109" t="str">
        <f t="shared" si="286"/>
        <v/>
      </c>
      <c r="OD40" s="109" t="str">
        <f t="shared" si="286"/>
        <v/>
      </c>
      <c r="OE40" s="109" t="str">
        <f t="shared" si="286"/>
        <v/>
      </c>
      <c r="OF40" s="109" t="str">
        <f t="shared" si="286"/>
        <v/>
      </c>
      <c r="OG40" s="109" t="str">
        <f t="shared" si="286"/>
        <v/>
      </c>
      <c r="OH40" s="109" t="str">
        <f t="shared" si="286"/>
        <v/>
      </c>
      <c r="OI40" s="109" t="str">
        <f t="shared" si="286"/>
        <v/>
      </c>
      <c r="OJ40" s="109" t="str">
        <f t="shared" si="286"/>
        <v/>
      </c>
      <c r="OK40" s="109" t="str">
        <f t="shared" si="286"/>
        <v/>
      </c>
      <c r="OL40" s="109" t="str">
        <f t="shared" si="286"/>
        <v/>
      </c>
      <c r="OM40" s="109" t="str">
        <f t="shared" si="286"/>
        <v/>
      </c>
      <c r="ON40" s="109" t="str">
        <f t="shared" si="286"/>
        <v/>
      </c>
      <c r="OO40" s="109" t="str">
        <f t="shared" si="286"/>
        <v/>
      </c>
      <c r="OP40" s="109" t="str">
        <f t="shared" si="286"/>
        <v/>
      </c>
      <c r="OQ40" s="109" t="str">
        <f t="shared" si="286"/>
        <v/>
      </c>
      <c r="OR40" s="109" t="str">
        <f t="shared" si="286"/>
        <v/>
      </c>
      <c r="OS40" s="109" t="str">
        <f t="shared" si="286"/>
        <v/>
      </c>
      <c r="OT40" s="109" t="str">
        <f t="shared" si="286"/>
        <v/>
      </c>
      <c r="OU40" s="109" t="str">
        <f t="shared" si="286"/>
        <v/>
      </c>
      <c r="OV40" s="109" t="str">
        <f t="shared" si="286"/>
        <v/>
      </c>
      <c r="OW40" s="109" t="str">
        <f t="shared" si="286"/>
        <v/>
      </c>
      <c r="OX40" s="109" t="str">
        <f t="shared" si="286"/>
        <v/>
      </c>
      <c r="OY40" s="109" t="str">
        <f t="shared" si="286"/>
        <v/>
      </c>
      <c r="OZ40" s="109" t="str">
        <f t="shared" si="286"/>
        <v/>
      </c>
      <c r="PA40" s="109" t="str">
        <f t="shared" si="286"/>
        <v/>
      </c>
      <c r="PB40" s="109" t="str">
        <f t="shared" si="286"/>
        <v/>
      </c>
      <c r="PC40" s="109" t="str">
        <f t="shared" si="286"/>
        <v/>
      </c>
      <c r="PD40" s="109" t="str">
        <f t="shared" si="286"/>
        <v/>
      </c>
      <c r="PE40" s="109" t="str">
        <f t="shared" si="286"/>
        <v/>
      </c>
      <c r="PF40" s="109" t="str">
        <f t="shared" si="286"/>
        <v/>
      </c>
      <c r="PG40" s="109" t="str">
        <f t="shared" si="286"/>
        <v/>
      </c>
      <c r="PH40" s="109" t="str">
        <f t="shared" si="286"/>
        <v/>
      </c>
      <c r="PI40" s="109" t="str">
        <f t="shared" si="286"/>
        <v/>
      </c>
      <c r="PJ40" s="109" t="str">
        <f t="shared" si="286"/>
        <v/>
      </c>
      <c r="PK40" s="109" t="str">
        <f t="shared" si="286"/>
        <v/>
      </c>
      <c r="PL40" s="109" t="str">
        <f t="shared" si="286"/>
        <v/>
      </c>
      <c r="PM40" s="109" t="str">
        <f t="shared" si="286"/>
        <v/>
      </c>
      <c r="PN40" s="109" t="str">
        <f t="shared" si="286"/>
        <v/>
      </c>
      <c r="PO40" s="109" t="str">
        <f t="shared" si="286"/>
        <v/>
      </c>
      <c r="PP40" s="109" t="str">
        <f t="shared" si="286"/>
        <v/>
      </c>
      <c r="PQ40" s="109" t="str">
        <f t="shared" si="286"/>
        <v/>
      </c>
      <c r="PR40" s="109" t="str">
        <f t="shared" si="286"/>
        <v/>
      </c>
      <c r="PS40" s="109" t="str">
        <f t="shared" si="286"/>
        <v/>
      </c>
      <c r="PT40" s="109" t="str">
        <f t="shared" si="286"/>
        <v/>
      </c>
      <c r="PU40" s="109" t="str">
        <f t="shared" si="286"/>
        <v/>
      </c>
      <c r="PV40" s="109" t="str">
        <f t="shared" si="286"/>
        <v/>
      </c>
      <c r="PW40" s="109" t="str">
        <f t="shared" si="286"/>
        <v/>
      </c>
      <c r="PX40" s="109" t="str">
        <f t="shared" si="286"/>
        <v/>
      </c>
      <c r="PY40" s="109" t="str">
        <f t="shared" si="286"/>
        <v/>
      </c>
      <c r="PZ40" s="109" t="str">
        <f t="shared" si="286"/>
        <v/>
      </c>
      <c r="QA40" s="109" t="str">
        <f t="shared" si="286"/>
        <v/>
      </c>
      <c r="QB40" s="109" t="str">
        <f t="shared" ref="QB40:SM40" si="287">IF(OR(QB$13="",QB$17="",QB$14="",QB$15="",QB$16="",QB$18="",QB$19="",QB$20="",QB$21=""),"",1-(QB66/(QB$5)))</f>
        <v/>
      </c>
      <c r="QC40" s="109" t="str">
        <f t="shared" si="287"/>
        <v/>
      </c>
      <c r="QD40" s="109" t="str">
        <f t="shared" si="287"/>
        <v/>
      </c>
      <c r="QE40" s="109" t="str">
        <f t="shared" si="287"/>
        <v/>
      </c>
      <c r="QF40" s="109" t="str">
        <f t="shared" si="287"/>
        <v/>
      </c>
      <c r="QG40" s="109" t="str">
        <f t="shared" si="287"/>
        <v/>
      </c>
      <c r="QH40" s="109" t="str">
        <f t="shared" si="287"/>
        <v/>
      </c>
      <c r="QI40" s="109" t="str">
        <f t="shared" si="287"/>
        <v/>
      </c>
      <c r="QJ40" s="109" t="str">
        <f t="shared" si="287"/>
        <v/>
      </c>
      <c r="QK40" s="109" t="str">
        <f t="shared" si="287"/>
        <v/>
      </c>
      <c r="QL40" s="109" t="str">
        <f t="shared" si="287"/>
        <v/>
      </c>
      <c r="QM40" s="109" t="str">
        <f t="shared" si="287"/>
        <v/>
      </c>
      <c r="QN40" s="109" t="str">
        <f t="shared" si="287"/>
        <v/>
      </c>
      <c r="QO40" s="109" t="str">
        <f t="shared" si="287"/>
        <v/>
      </c>
      <c r="QP40" s="109" t="str">
        <f t="shared" si="287"/>
        <v/>
      </c>
      <c r="QQ40" s="109" t="str">
        <f t="shared" si="287"/>
        <v/>
      </c>
      <c r="QR40" s="109" t="str">
        <f t="shared" si="287"/>
        <v/>
      </c>
      <c r="QS40" s="109" t="str">
        <f t="shared" si="287"/>
        <v/>
      </c>
      <c r="QT40" s="109" t="str">
        <f t="shared" si="287"/>
        <v/>
      </c>
      <c r="QU40" s="109" t="str">
        <f t="shared" si="287"/>
        <v/>
      </c>
      <c r="QV40" s="109" t="str">
        <f t="shared" si="287"/>
        <v/>
      </c>
      <c r="QW40" s="109" t="str">
        <f t="shared" si="287"/>
        <v/>
      </c>
      <c r="QX40" s="109" t="str">
        <f t="shared" si="287"/>
        <v/>
      </c>
      <c r="QY40" s="109" t="str">
        <f t="shared" si="287"/>
        <v/>
      </c>
      <c r="QZ40" s="109" t="str">
        <f t="shared" si="287"/>
        <v/>
      </c>
      <c r="RA40" s="109" t="str">
        <f t="shared" si="287"/>
        <v/>
      </c>
      <c r="RB40" s="109" t="str">
        <f t="shared" si="287"/>
        <v/>
      </c>
      <c r="RC40" s="109" t="str">
        <f t="shared" si="287"/>
        <v/>
      </c>
      <c r="RD40" s="109" t="str">
        <f t="shared" si="287"/>
        <v/>
      </c>
      <c r="RE40" s="109" t="str">
        <f t="shared" si="287"/>
        <v/>
      </c>
      <c r="RF40" s="109" t="str">
        <f t="shared" si="287"/>
        <v/>
      </c>
      <c r="RG40" s="109" t="str">
        <f t="shared" si="287"/>
        <v/>
      </c>
      <c r="RH40" s="109" t="str">
        <f t="shared" si="287"/>
        <v/>
      </c>
      <c r="RI40" s="109" t="str">
        <f t="shared" si="287"/>
        <v/>
      </c>
      <c r="RJ40" s="109" t="str">
        <f t="shared" si="287"/>
        <v/>
      </c>
      <c r="RK40" s="109" t="str">
        <f t="shared" si="287"/>
        <v/>
      </c>
      <c r="RL40" s="109" t="str">
        <f t="shared" si="287"/>
        <v/>
      </c>
      <c r="RM40" s="109" t="str">
        <f t="shared" si="287"/>
        <v/>
      </c>
      <c r="RN40" s="109" t="str">
        <f t="shared" si="287"/>
        <v/>
      </c>
      <c r="RO40" s="109" t="str">
        <f t="shared" si="287"/>
        <v/>
      </c>
      <c r="RP40" s="109" t="str">
        <f t="shared" si="287"/>
        <v/>
      </c>
      <c r="RQ40" s="109" t="str">
        <f t="shared" si="287"/>
        <v/>
      </c>
      <c r="RR40" s="109" t="str">
        <f t="shared" si="287"/>
        <v/>
      </c>
      <c r="RS40" s="109" t="str">
        <f t="shared" si="287"/>
        <v/>
      </c>
      <c r="RT40" s="109" t="str">
        <f t="shared" si="287"/>
        <v/>
      </c>
      <c r="RU40" s="109" t="str">
        <f t="shared" si="287"/>
        <v/>
      </c>
      <c r="RV40" s="109" t="str">
        <f t="shared" si="287"/>
        <v/>
      </c>
      <c r="RW40" s="109" t="str">
        <f t="shared" si="287"/>
        <v/>
      </c>
      <c r="RX40" s="109" t="str">
        <f t="shared" si="287"/>
        <v/>
      </c>
      <c r="RY40" s="109" t="str">
        <f t="shared" si="287"/>
        <v/>
      </c>
      <c r="RZ40" s="109" t="str">
        <f t="shared" si="287"/>
        <v/>
      </c>
      <c r="SA40" s="109" t="str">
        <f t="shared" si="287"/>
        <v/>
      </c>
      <c r="SB40" s="109" t="str">
        <f t="shared" si="287"/>
        <v/>
      </c>
      <c r="SC40" s="109" t="str">
        <f t="shared" si="287"/>
        <v/>
      </c>
      <c r="SD40" s="109" t="str">
        <f t="shared" si="287"/>
        <v/>
      </c>
      <c r="SE40" s="109" t="str">
        <f t="shared" si="287"/>
        <v/>
      </c>
      <c r="SF40" s="109" t="str">
        <f t="shared" si="287"/>
        <v/>
      </c>
      <c r="SG40" s="109" t="str">
        <f t="shared" si="287"/>
        <v/>
      </c>
      <c r="SH40" s="109" t="str">
        <f t="shared" si="287"/>
        <v/>
      </c>
      <c r="SI40" s="109" t="str">
        <f t="shared" si="287"/>
        <v/>
      </c>
      <c r="SJ40" s="109" t="str">
        <f t="shared" si="287"/>
        <v/>
      </c>
      <c r="SK40" s="109" t="str">
        <f t="shared" si="287"/>
        <v/>
      </c>
      <c r="SL40" s="109" t="str">
        <f t="shared" si="287"/>
        <v/>
      </c>
      <c r="SM40" s="109" t="str">
        <f t="shared" si="287"/>
        <v/>
      </c>
      <c r="SN40" s="109" t="str">
        <f t="shared" ref="SN40:SW40" si="288">IF(OR(SN$13="",SN$17="",SN$14="",SN$15="",SN$16="",SN$18="",SN$19="",SN$20="",SN$21=""),"",1-(SN66/(SN$5)))</f>
        <v/>
      </c>
      <c r="SO40" s="109" t="str">
        <f t="shared" si="288"/>
        <v/>
      </c>
      <c r="SP40" s="109" t="str">
        <f t="shared" si="288"/>
        <v/>
      </c>
      <c r="SQ40" s="109" t="str">
        <f t="shared" si="288"/>
        <v/>
      </c>
      <c r="SR40" s="109" t="str">
        <f t="shared" si="288"/>
        <v/>
      </c>
      <c r="SS40" s="109" t="str">
        <f t="shared" si="288"/>
        <v/>
      </c>
      <c r="ST40" s="109" t="str">
        <f t="shared" si="288"/>
        <v/>
      </c>
      <c r="SU40" s="109" t="str">
        <f t="shared" si="288"/>
        <v/>
      </c>
      <c r="SV40" s="109" t="str">
        <f t="shared" si="288"/>
        <v/>
      </c>
      <c r="SW40" s="109" t="str">
        <f t="shared" si="288"/>
        <v/>
      </c>
    </row>
    <row r="41" spans="1:517" ht="24.6" customHeight="1" x14ac:dyDescent="0.2">
      <c r="A41" s="94" t="s">
        <v>86</v>
      </c>
      <c r="B41" s="117" t="s">
        <v>78</v>
      </c>
      <c r="C41" s="109">
        <f t="shared" ref="C41:AH41" si="289">IF(OR(C$13="",C$17="",C$14="",C$15="",C$16="",C$18="",C$19="",C$20="",C$21=""),"",1-(C67/(C$5)))</f>
        <v>1</v>
      </c>
      <c r="D41" s="109">
        <f t="shared" si="289"/>
        <v>1</v>
      </c>
      <c r="E41" s="109">
        <f t="shared" si="289"/>
        <v>1</v>
      </c>
      <c r="F41" s="109">
        <f t="shared" si="289"/>
        <v>1</v>
      </c>
      <c r="G41" s="109">
        <f t="shared" si="289"/>
        <v>1</v>
      </c>
      <c r="H41" s="109">
        <f t="shared" si="289"/>
        <v>1</v>
      </c>
      <c r="I41" s="109">
        <f t="shared" si="289"/>
        <v>1</v>
      </c>
      <c r="J41" s="109">
        <f t="shared" si="289"/>
        <v>1</v>
      </c>
      <c r="K41" s="109">
        <f t="shared" si="289"/>
        <v>1</v>
      </c>
      <c r="L41" s="109">
        <f t="shared" si="289"/>
        <v>1</v>
      </c>
      <c r="M41" s="109">
        <f t="shared" si="289"/>
        <v>1</v>
      </c>
      <c r="N41" s="109">
        <f t="shared" si="289"/>
        <v>1</v>
      </c>
      <c r="O41" s="109">
        <f t="shared" si="289"/>
        <v>1</v>
      </c>
      <c r="P41" s="109">
        <f t="shared" si="289"/>
        <v>1</v>
      </c>
      <c r="Q41" s="109">
        <f t="shared" si="289"/>
        <v>1</v>
      </c>
      <c r="R41" s="109">
        <f t="shared" si="289"/>
        <v>1</v>
      </c>
      <c r="S41" s="109">
        <f t="shared" si="289"/>
        <v>1</v>
      </c>
      <c r="T41" s="109">
        <f t="shared" si="289"/>
        <v>1</v>
      </c>
      <c r="U41" s="109">
        <f t="shared" si="289"/>
        <v>1</v>
      </c>
      <c r="V41" s="109">
        <f t="shared" si="289"/>
        <v>1</v>
      </c>
      <c r="W41" s="109">
        <f t="shared" si="289"/>
        <v>1</v>
      </c>
      <c r="X41" s="109">
        <f t="shared" si="289"/>
        <v>1</v>
      </c>
      <c r="Y41" s="109">
        <f t="shared" si="289"/>
        <v>1</v>
      </c>
      <c r="Z41" s="109">
        <f t="shared" si="289"/>
        <v>1</v>
      </c>
      <c r="AA41" s="109">
        <f t="shared" si="289"/>
        <v>1</v>
      </c>
      <c r="AB41" s="109">
        <f t="shared" si="289"/>
        <v>1</v>
      </c>
      <c r="AC41" s="109">
        <f t="shared" si="289"/>
        <v>1</v>
      </c>
      <c r="AD41" s="109">
        <f t="shared" si="289"/>
        <v>1</v>
      </c>
      <c r="AE41" s="109">
        <f t="shared" si="289"/>
        <v>1</v>
      </c>
      <c r="AF41" s="109">
        <f t="shared" si="289"/>
        <v>1</v>
      </c>
      <c r="AG41" s="109">
        <f t="shared" si="289"/>
        <v>1</v>
      </c>
      <c r="AH41" s="109">
        <f t="shared" si="289"/>
        <v>1</v>
      </c>
      <c r="AI41" s="109">
        <f t="shared" ref="AI41:BN41" si="290">IF(OR(AI$13="",AI$17="",AI$14="",AI$15="",AI$16="",AI$18="",AI$19="",AI$20="",AI$21=""),"",1-(AI67/(AI$5)))</f>
        <v>0.91500000000000004</v>
      </c>
      <c r="AJ41" s="109">
        <f t="shared" si="290"/>
        <v>0.85972222222222217</v>
      </c>
      <c r="AK41" s="109">
        <f t="shared" si="290"/>
        <v>0.85135416666666663</v>
      </c>
      <c r="AL41" s="109">
        <f t="shared" si="290"/>
        <v>0.88108333333333333</v>
      </c>
      <c r="AM41" s="109">
        <f t="shared" si="290"/>
        <v>0.8520833333333333</v>
      </c>
      <c r="AN41" s="109">
        <f t="shared" si="290"/>
        <v>0.87321428571428572</v>
      </c>
      <c r="AO41" s="109">
        <f t="shared" si="290"/>
        <v>0.88906249999999998</v>
      </c>
      <c r="AP41" s="109">
        <f t="shared" si="290"/>
        <v>0.85717592592592595</v>
      </c>
      <c r="AQ41" s="109">
        <f t="shared" si="290"/>
        <v>0.87145833333333333</v>
      </c>
      <c r="AR41" s="109">
        <f t="shared" si="290"/>
        <v>0.87094696969696972</v>
      </c>
      <c r="AS41" s="109">
        <f t="shared" si="290"/>
        <v>0.88170138888888894</v>
      </c>
      <c r="AT41" s="109">
        <f t="shared" si="290"/>
        <v>0.89080128205128206</v>
      </c>
      <c r="AU41" s="109">
        <f t="shared" si="290"/>
        <v>0.89860119047619047</v>
      </c>
      <c r="AV41" s="109">
        <f t="shared" si="290"/>
        <v>0.8891944444444444</v>
      </c>
      <c r="AW41" s="109">
        <f t="shared" si="290"/>
        <v>0.89455729166666664</v>
      </c>
      <c r="AX41" s="109">
        <f t="shared" si="290"/>
        <v>0.89617647058823535</v>
      </c>
      <c r="AY41" s="109">
        <f t="shared" si="290"/>
        <v>0.89423611111111112</v>
      </c>
      <c r="AZ41" s="109">
        <f t="shared" si="290"/>
        <v>0.87381578947368421</v>
      </c>
      <c r="BA41" s="109">
        <f t="shared" si="290"/>
        <v>0.84985416666666669</v>
      </c>
      <c r="BB41" s="109">
        <f t="shared" si="290"/>
        <v>0.8570039682539683</v>
      </c>
      <c r="BC41" s="109">
        <f t="shared" si="290"/>
        <v>0.85170454545454544</v>
      </c>
      <c r="BD41" s="109">
        <f t="shared" si="290"/>
        <v>0.85815217391304355</v>
      </c>
      <c r="BE41" s="109">
        <f t="shared" si="290"/>
        <v>0.86406249999999996</v>
      </c>
      <c r="BF41" s="109">
        <f t="shared" si="290"/>
        <v>0.86949999999999994</v>
      </c>
      <c r="BG41" s="109">
        <f t="shared" si="290"/>
        <v>0.87451923076923077</v>
      </c>
      <c r="BH41" s="109">
        <f t="shared" si="290"/>
        <v>0.87916666666666665</v>
      </c>
      <c r="BI41" s="109">
        <f t="shared" si="290"/>
        <v>0.87194940476190474</v>
      </c>
      <c r="BJ41" s="109">
        <f t="shared" si="290"/>
        <v>1</v>
      </c>
      <c r="BK41" s="109">
        <f t="shared" si="290"/>
        <v>1</v>
      </c>
      <c r="BL41" s="109">
        <f t="shared" si="290"/>
        <v>0.98430555555555554</v>
      </c>
      <c r="BM41" s="109">
        <f t="shared" si="290"/>
        <v>0.98822916666666671</v>
      </c>
      <c r="BN41" s="109">
        <f t="shared" si="290"/>
        <v>0.99058333333333337</v>
      </c>
      <c r="BO41" s="109">
        <f t="shared" ref="BO41:CT41" si="291">IF(OR(BO$13="",BO$17="",BO$14="",BO$15="",BO$16="",BO$18="",BO$19="",BO$20="",BO$21=""),"",1-(BO67/(BO$5)))</f>
        <v>0.9440277777777778</v>
      </c>
      <c r="BP41" s="109">
        <f t="shared" si="291"/>
        <v>0.94178571428571434</v>
      </c>
      <c r="BQ41" s="109">
        <f t="shared" si="291"/>
        <v>0.94906250000000003</v>
      </c>
      <c r="BR41" s="109">
        <f t="shared" si="291"/>
        <v>0.93782407407407409</v>
      </c>
      <c r="BS41" s="109">
        <f t="shared" si="291"/>
        <v>0.94404166666666667</v>
      </c>
      <c r="BT41" s="109">
        <f t="shared" si="291"/>
        <v>0.94147727272727277</v>
      </c>
      <c r="BU41" s="109">
        <f t="shared" si="291"/>
        <v>0.94291666666666663</v>
      </c>
      <c r="BV41" s="109">
        <f t="shared" si="291"/>
        <v>0.9473076923076923</v>
      </c>
      <c r="BW41" s="109">
        <f t="shared" si="291"/>
        <v>0.95107142857142857</v>
      </c>
      <c r="BX41" s="109">
        <f t="shared" si="291"/>
        <v>0.94733333333333336</v>
      </c>
      <c r="BY41" s="109">
        <f t="shared" si="291"/>
        <v>0.95062500000000005</v>
      </c>
      <c r="BZ41" s="109">
        <f t="shared" si="291"/>
        <v>0.95352941176470585</v>
      </c>
      <c r="CA41" s="109">
        <f t="shared" si="291"/>
        <v>0.95611111111111113</v>
      </c>
      <c r="CB41" s="109">
        <f t="shared" si="291"/>
        <v>0.95842105263157895</v>
      </c>
      <c r="CC41" s="109">
        <f t="shared" si="291"/>
        <v>0.92862500000000003</v>
      </c>
      <c r="CD41" s="109">
        <f t="shared" si="291"/>
        <v>0.93202380952380959</v>
      </c>
      <c r="CE41" s="109">
        <f t="shared" si="291"/>
        <v>0.93511363636363631</v>
      </c>
      <c r="CF41" s="109">
        <f t="shared" si="291"/>
        <v>0.93793478260869567</v>
      </c>
      <c r="CG41" s="109">
        <f t="shared" si="291"/>
        <v>0.94052083333333336</v>
      </c>
      <c r="CH41" s="109">
        <f t="shared" si="291"/>
        <v>0.94289999999999996</v>
      </c>
      <c r="CI41" s="109">
        <f t="shared" si="291"/>
        <v>0.94421474358974355</v>
      </c>
      <c r="CJ41" s="109">
        <f t="shared" si="291"/>
        <v>0.944429012345679</v>
      </c>
      <c r="CK41" s="109">
        <f t="shared" si="291"/>
        <v>0.94641369047619051</v>
      </c>
      <c r="CL41" s="109">
        <f t="shared" si="291"/>
        <v>0.94826149425287354</v>
      </c>
      <c r="CM41" s="109">
        <f t="shared" si="291"/>
        <v>0.94998611111111109</v>
      </c>
      <c r="CN41" s="109">
        <f t="shared" si="291"/>
        <v>0.95159946236559145</v>
      </c>
      <c r="CO41" s="109">
        <f t="shared" si="291"/>
        <v>0.87375000000000003</v>
      </c>
      <c r="CP41" s="109">
        <f t="shared" si="291"/>
        <v>0.93687500000000001</v>
      </c>
      <c r="CQ41" s="109">
        <f t="shared" si="291"/>
        <v>0.94166666666666665</v>
      </c>
      <c r="CR41" s="109">
        <f t="shared" si="291"/>
        <v>0.95625000000000004</v>
      </c>
      <c r="CS41" s="109">
        <f t="shared" si="291"/>
        <v>0.96499999999999997</v>
      </c>
      <c r="CT41" s="109">
        <f t="shared" si="291"/>
        <v>0.97083333333333333</v>
      </c>
      <c r="CU41" s="109">
        <f t="shared" ref="CU41:DS41" si="292">IF(OR(CU$13="",CU$17="",CU$14="",CU$15="",CU$16="",CU$18="",CU$19="",CU$20="",CU$21=""),"",1-(CU67/(CU$5)))</f>
        <v>0.97499999999999998</v>
      </c>
      <c r="CV41" s="109">
        <f t="shared" si="292"/>
        <v>0.97812500000000002</v>
      </c>
      <c r="CW41" s="109">
        <f t="shared" si="292"/>
        <v>0.98055555555555551</v>
      </c>
      <c r="CX41" s="109">
        <f t="shared" si="292"/>
        <v>0.98250000000000004</v>
      </c>
      <c r="CY41" s="109">
        <f t="shared" si="292"/>
        <v>0.95159090909090904</v>
      </c>
      <c r="CZ41" s="109">
        <f t="shared" si="292"/>
        <v>0.95562499999999995</v>
      </c>
      <c r="DA41" s="109">
        <f t="shared" si="292"/>
        <v>0.95903846153846151</v>
      </c>
      <c r="DB41" s="109">
        <f t="shared" si="292"/>
        <v>0.96196428571428572</v>
      </c>
      <c r="DC41" s="109">
        <f t="shared" si="292"/>
        <v>0.96450000000000002</v>
      </c>
      <c r="DD41" s="109">
        <f t="shared" si="292"/>
        <v>0.96450520833333331</v>
      </c>
      <c r="DE41" s="109">
        <f t="shared" si="292"/>
        <v>0.96186274509803926</v>
      </c>
      <c r="DF41" s="109">
        <f t="shared" si="292"/>
        <v>0.95935185185185179</v>
      </c>
      <c r="DG41" s="109">
        <f t="shared" si="292"/>
        <v>0.93557017543859644</v>
      </c>
      <c r="DH41" s="109">
        <f t="shared" si="292"/>
        <v>0.93879166666666669</v>
      </c>
      <c r="DI41" s="109">
        <f t="shared" si="292"/>
        <v>0.94170634920634921</v>
      </c>
      <c r="DJ41" s="109">
        <f t="shared" si="292"/>
        <v>0.94009469696969694</v>
      </c>
      <c r="DK41" s="109">
        <f t="shared" si="292"/>
        <v>0.94269927536231879</v>
      </c>
      <c r="DL41" s="109">
        <f t="shared" si="292"/>
        <v>0.94508680555555558</v>
      </c>
      <c r="DM41" s="109">
        <f t="shared" si="292"/>
        <v>0.94728333333333337</v>
      </c>
      <c r="DN41" s="109">
        <f t="shared" si="292"/>
        <v>0.94931089743589747</v>
      </c>
      <c r="DO41" s="109">
        <f t="shared" si="292"/>
        <v>0.94459876543209875</v>
      </c>
      <c r="DP41" s="109">
        <f t="shared" si="292"/>
        <v>0.94657738095238098</v>
      </c>
      <c r="DQ41" s="109">
        <f t="shared" si="292"/>
        <v>0.94679597701149421</v>
      </c>
      <c r="DR41" s="109">
        <f t="shared" si="292"/>
        <v>0.89854166666666668</v>
      </c>
      <c r="DS41" s="109">
        <f t="shared" si="292"/>
        <v>0.43541666666666667</v>
      </c>
      <c r="DT41" s="109">
        <f t="shared" ref="DT41:GE41" si="293">IF(OR(DT$13="",DT$17="",DT$14="",DT$15="",DT$16="",DT$18="",DT$19="",DT$20="",DT$21=""),"",1-(DT67/(DT$5)))</f>
        <v>0.71770833333333339</v>
      </c>
      <c r="DU41" s="109">
        <f t="shared" si="293"/>
        <v>0.71180555555555558</v>
      </c>
      <c r="DV41" s="109">
        <f t="shared" si="293"/>
        <v>0.78385416666666663</v>
      </c>
      <c r="DW41" s="109">
        <f t="shared" si="293"/>
        <v>0.82708333333333339</v>
      </c>
      <c r="DX41" s="109">
        <f t="shared" si="293"/>
        <v>0.85590277777777779</v>
      </c>
      <c r="DY41" s="109">
        <f t="shared" si="293"/>
        <v>0.87648809523809523</v>
      </c>
      <c r="DZ41" s="109">
        <f t="shared" si="293"/>
        <v>0.88416666666666666</v>
      </c>
      <c r="EA41" s="109">
        <f t="shared" si="293"/>
        <v>0.89703703703703708</v>
      </c>
      <c r="EB41" s="109">
        <f t="shared" si="293"/>
        <v>0.88391666666666668</v>
      </c>
      <c r="EC41" s="109">
        <f t="shared" si="293"/>
        <v>0.79734848484848486</v>
      </c>
      <c r="ED41" s="109">
        <f t="shared" si="293"/>
        <v>0.80138888888888893</v>
      </c>
      <c r="EE41" s="109">
        <f t="shared" si="293"/>
        <v>0.69830128205128206</v>
      </c>
      <c r="EF41" s="109">
        <f t="shared" si="293"/>
        <v>0.71985119047619051</v>
      </c>
      <c r="EG41" s="109">
        <f t="shared" si="293"/>
        <v>0.73852777777777778</v>
      </c>
      <c r="EH41" s="109">
        <f t="shared" si="293"/>
        <v>0.75486979166666668</v>
      </c>
      <c r="EI41" s="109">
        <f t="shared" si="293"/>
        <v>0.76928921568627451</v>
      </c>
      <c r="EJ41" s="109">
        <f t="shared" si="293"/>
        <v>0.78210648148148154</v>
      </c>
      <c r="EK41" s="109">
        <f t="shared" si="293"/>
        <v>0.77625</v>
      </c>
      <c r="EL41" s="109">
        <f t="shared" si="293"/>
        <v>0.78743750000000001</v>
      </c>
      <c r="EM41" s="109">
        <f t="shared" si="293"/>
        <v>0.79755952380952377</v>
      </c>
      <c r="EN41" s="109">
        <f t="shared" si="293"/>
        <v>0.80676136363636364</v>
      </c>
      <c r="EO41" s="109">
        <f t="shared" si="293"/>
        <v>0.81516304347826085</v>
      </c>
      <c r="EP41" s="109">
        <f t="shared" si="293"/>
        <v>0.82286458333333334</v>
      </c>
      <c r="EQ41" s="109">
        <f t="shared" si="293"/>
        <v>0.82994999999999997</v>
      </c>
      <c r="ER41" s="109">
        <f t="shared" si="293"/>
        <v>0.83649038461538461</v>
      </c>
      <c r="ES41" s="109">
        <f t="shared" si="293"/>
        <v>0.84254629629629629</v>
      </c>
      <c r="ET41" s="109">
        <f t="shared" si="293"/>
        <v>0.8481696428571428</v>
      </c>
      <c r="EU41" s="109">
        <f t="shared" si="293"/>
        <v>0.8534051724137931</v>
      </c>
      <c r="EV41" s="109">
        <f t="shared" si="293"/>
        <v>0.85829166666666667</v>
      </c>
      <c r="EW41" s="109">
        <f t="shared" si="293"/>
        <v>0.86286290322580639</v>
      </c>
      <c r="EX41" s="109">
        <f t="shared" si="293"/>
        <v>1</v>
      </c>
      <c r="EY41" s="109">
        <f t="shared" si="293"/>
        <v>1</v>
      </c>
      <c r="EZ41" s="109">
        <f t="shared" si="293"/>
        <v>1</v>
      </c>
      <c r="FA41" s="109">
        <f t="shared" si="293"/>
        <v>1</v>
      </c>
      <c r="FB41" s="109">
        <f t="shared" si="293"/>
        <v>1</v>
      </c>
      <c r="FC41" s="109">
        <f t="shared" si="293"/>
        <v>1</v>
      </c>
      <c r="FD41" s="109">
        <f t="shared" si="293"/>
        <v>1</v>
      </c>
      <c r="FE41" s="109">
        <f t="shared" si="293"/>
        <v>0.99203125000000003</v>
      </c>
      <c r="FF41" s="109">
        <f t="shared" si="293"/>
        <v>0.95925925925925926</v>
      </c>
      <c r="FG41" s="109">
        <f t="shared" si="293"/>
        <v>0.91625000000000001</v>
      </c>
      <c r="FH41" s="109">
        <f t="shared" si="293"/>
        <v>0.91893939393939394</v>
      </c>
      <c r="FI41" s="109">
        <f t="shared" si="293"/>
        <v>0.92298611111111106</v>
      </c>
      <c r="FJ41" s="109">
        <f t="shared" si="293"/>
        <v>0.90653846153846152</v>
      </c>
      <c r="FK41" s="109">
        <f t="shared" si="293"/>
        <v>0.91321428571428576</v>
      </c>
      <c r="FL41" s="109">
        <f t="shared" si="293"/>
        <v>0.91900000000000004</v>
      </c>
      <c r="FM41" s="109">
        <f t="shared" si="293"/>
        <v>0.92406250000000001</v>
      </c>
      <c r="FN41" s="109">
        <f t="shared" si="293"/>
        <v>0.92852941176470583</v>
      </c>
      <c r="FO41" s="109">
        <f t="shared" si="293"/>
        <v>0.89976851851851847</v>
      </c>
      <c r="FP41" s="109">
        <f t="shared" si="293"/>
        <v>0.76416666666666666</v>
      </c>
      <c r="FQ41" s="109">
        <f t="shared" si="293"/>
        <v>0.77595833333333331</v>
      </c>
      <c r="FR41" s="109">
        <f t="shared" si="293"/>
        <v>0.78662698412698417</v>
      </c>
      <c r="FS41" s="109">
        <f t="shared" si="293"/>
        <v>0.77251893939393945</v>
      </c>
      <c r="FT41" s="109">
        <f t="shared" si="293"/>
        <v>0.73389492753623187</v>
      </c>
      <c r="FU41" s="109">
        <f t="shared" si="293"/>
        <v>0.74498263888888894</v>
      </c>
      <c r="FV41" s="109">
        <f t="shared" si="293"/>
        <v>0.75113333333333332</v>
      </c>
      <c r="FW41" s="109">
        <f t="shared" si="293"/>
        <v>0.75834935897435896</v>
      </c>
      <c r="FX41" s="109">
        <f t="shared" si="293"/>
        <v>0.7387345679012346</v>
      </c>
      <c r="FY41" s="109">
        <f t="shared" si="293"/>
        <v>0.33946428571428577</v>
      </c>
      <c r="FZ41" s="109">
        <f t="shared" si="293"/>
        <v>0.36224137931034484</v>
      </c>
      <c r="GA41" s="109">
        <f t="shared" si="282"/>
        <v>0.38349999999999995</v>
      </c>
      <c r="GB41" s="109">
        <f t="shared" si="282"/>
        <v>-1.6729166666666662</v>
      </c>
      <c r="GC41" s="109">
        <f t="shared" si="293"/>
        <v>-0.33645833333333308</v>
      </c>
      <c r="GD41" s="109">
        <f t="shared" si="293"/>
        <v>-0.22777777777777763</v>
      </c>
      <c r="GE41" s="109">
        <f t="shared" si="293"/>
        <v>-0.29083333333333328</v>
      </c>
      <c r="GF41" s="109">
        <f t="shared" ref="GF41:IQ41" si="294">IF(OR(GF$13="",GF$17="",GF$14="",GF$15="",GF$16="",GF$18="",GF$19="",GF$20="",GF$21=""),"",1-(GF67/(GF$5)))</f>
        <v>-3.2666666666666622E-2</v>
      </c>
      <c r="GG41" s="109">
        <f t="shared" si="294"/>
        <v>-0.41263888888888878</v>
      </c>
      <c r="GH41" s="109">
        <f t="shared" si="294"/>
        <v>-0.21083333333333321</v>
      </c>
      <c r="GI41" s="109">
        <f t="shared" si="294"/>
        <v>-5.9479166666666528E-2</v>
      </c>
      <c r="GJ41" s="109">
        <f t="shared" si="294"/>
        <v>5.8240740740740815E-2</v>
      </c>
      <c r="GK41" s="109">
        <f t="shared" si="294"/>
        <v>0.15241666666666676</v>
      </c>
      <c r="GL41" s="109">
        <f t="shared" si="294"/>
        <v>0.22946969696969699</v>
      </c>
      <c r="GM41" s="109">
        <f t="shared" si="294"/>
        <v>0.29368055555555561</v>
      </c>
      <c r="GN41" s="109">
        <f t="shared" si="294"/>
        <v>0.34801282051282056</v>
      </c>
      <c r="GO41" s="109">
        <f t="shared" si="294"/>
        <v>0.3945833333333334</v>
      </c>
      <c r="GP41" s="109">
        <f t="shared" si="294"/>
        <v>0.43494444444444447</v>
      </c>
      <c r="GQ41" s="109">
        <f t="shared" si="294"/>
        <v>0.47026041666666674</v>
      </c>
      <c r="GR41" s="109">
        <f t="shared" si="294"/>
        <v>0.50142156862745102</v>
      </c>
      <c r="GS41" s="109">
        <f t="shared" si="294"/>
        <v>0.52912037037037041</v>
      </c>
      <c r="GT41" s="109">
        <f t="shared" si="294"/>
        <v>0.55390350877192984</v>
      </c>
      <c r="GU41" s="109">
        <f t="shared" si="294"/>
        <v>0.57620833333333343</v>
      </c>
      <c r="GV41" s="109">
        <f t="shared" si="294"/>
        <v>0.59638888888888886</v>
      </c>
      <c r="GW41" s="109">
        <f t="shared" si="294"/>
        <v>0.61335227272727277</v>
      </c>
      <c r="GX41" s="109">
        <f t="shared" si="294"/>
        <v>0.63016304347826091</v>
      </c>
      <c r="GY41" s="109">
        <f t="shared" si="294"/>
        <v>0.64557291666666672</v>
      </c>
      <c r="GZ41" s="109">
        <f t="shared" si="294"/>
        <v>0.65975000000000006</v>
      </c>
      <c r="HA41" s="109">
        <f t="shared" si="294"/>
        <v>0.67283653846153846</v>
      </c>
      <c r="HB41" s="109">
        <f t="shared" si="294"/>
        <v>0.6808333333333334</v>
      </c>
      <c r="HC41" s="109">
        <f t="shared" si="294"/>
        <v>0.66254464285714287</v>
      </c>
      <c r="HD41" s="109">
        <f t="shared" si="294"/>
        <v>0.67418103448275868</v>
      </c>
      <c r="HE41" s="109">
        <f t="shared" si="294"/>
        <v>0.68504166666666677</v>
      </c>
      <c r="HF41" s="109">
        <f t="shared" si="294"/>
        <v>0.69502688172043015</v>
      </c>
      <c r="HG41" s="109">
        <f t="shared" si="294"/>
        <v>0.38322916666666662</v>
      </c>
      <c r="HH41" s="109">
        <f t="shared" si="294"/>
        <v>0.57705439814814818</v>
      </c>
      <c r="HI41" s="109">
        <f t="shared" si="294"/>
        <v>0.49393904320987658</v>
      </c>
      <c r="HJ41" s="109">
        <f t="shared" si="294"/>
        <v>0.62045428240740752</v>
      </c>
      <c r="HK41" s="109">
        <f t="shared" si="294"/>
        <v>0.68955787037037042</v>
      </c>
      <c r="HL41" s="109">
        <f t="shared" si="294"/>
        <v>0.60094328703703703</v>
      </c>
      <c r="HM41" s="109">
        <f t="shared" si="294"/>
        <v>0.53493386243386243</v>
      </c>
      <c r="HN41" s="109">
        <f t="shared" si="294"/>
        <v>0.55183015046296302</v>
      </c>
      <c r="HO41" s="109">
        <f t="shared" si="294"/>
        <v>0.59993955761316875</v>
      </c>
      <c r="HP41" s="109">
        <f t="shared" si="294"/>
        <v>0.59293171296296299</v>
      </c>
      <c r="HQ41" s="109">
        <f t="shared" si="294"/>
        <v>0.62993792087542089</v>
      </c>
      <c r="HR41" s="109">
        <f t="shared" si="294"/>
        <v>0.66077642746913579</v>
      </c>
      <c r="HS41" s="109">
        <f t="shared" si="294"/>
        <v>0.6868705484330484</v>
      </c>
      <c r="HT41" s="109">
        <f t="shared" si="294"/>
        <v>0.70923693783068775</v>
      </c>
      <c r="HU41" s="109">
        <f t="shared" si="294"/>
        <v>0.72862114197530858</v>
      </c>
      <c r="HV41" s="109">
        <f t="shared" si="294"/>
        <v>0.74558232060185192</v>
      </c>
      <c r="HW41" s="109">
        <f t="shared" si="294"/>
        <v>0.7566687091503268</v>
      </c>
      <c r="HX41" s="109">
        <f t="shared" si="294"/>
        <v>0.76310506687242796</v>
      </c>
      <c r="HY41" s="109">
        <f t="shared" si="294"/>
        <v>0.76131457115009749</v>
      </c>
      <c r="HZ41" s="109">
        <f t="shared" si="294"/>
        <v>0.757208912037037</v>
      </c>
      <c r="IA41" s="109">
        <f t="shared" si="294"/>
        <v>0.76877039241622569</v>
      </c>
      <c r="IB41" s="109">
        <f t="shared" si="294"/>
        <v>0.77928082912457919</v>
      </c>
      <c r="IC41" s="109">
        <f t="shared" si="294"/>
        <v>0.78887731481481482</v>
      </c>
      <c r="ID41" s="109">
        <f t="shared" si="294"/>
        <v>0.79767409336419748</v>
      </c>
      <c r="IE41" s="109">
        <f t="shared" si="294"/>
        <v>0.78490046296296301</v>
      </c>
      <c r="IF41" s="109">
        <f t="shared" si="294"/>
        <v>0.7931735220797721</v>
      </c>
      <c r="IG41" s="109">
        <f t="shared" si="294"/>
        <v>0.80083376200274348</v>
      </c>
      <c r="IH41" s="109">
        <f t="shared" si="294"/>
        <v>0.80415219907407409</v>
      </c>
      <c r="II41" s="109">
        <f t="shared" si="294"/>
        <v>0.81090557151979559</v>
      </c>
      <c r="IJ41" s="109">
        <f t="shared" si="294"/>
        <v>0.8172087191358024</v>
      </c>
      <c r="IK41" s="109">
        <f t="shared" si="294"/>
        <v>0.82310521206690557</v>
      </c>
      <c r="IL41" s="109">
        <f t="shared" si="294"/>
        <v>1</v>
      </c>
      <c r="IM41" s="109">
        <f t="shared" si="294"/>
        <v>0.76831018518518523</v>
      </c>
      <c r="IN41" s="109">
        <f t="shared" si="294"/>
        <v>0.57375771604938275</v>
      </c>
      <c r="IO41" s="109">
        <f t="shared" si="294"/>
        <v>0.67476851851851849</v>
      </c>
      <c r="IP41" s="109">
        <f t="shared" si="294"/>
        <v>0.72719907407407403</v>
      </c>
      <c r="IQ41" s="109">
        <f t="shared" si="294"/>
        <v>0.77266589506172834</v>
      </c>
      <c r="IR41" s="109">
        <f t="shared" ref="IR41:LC41" si="295">IF(OR(IR$13="",IR$17="",IR$14="",IR$15="",IR$16="",IR$18="",IR$19="",IR$20="",IR$21=""),"",1-(IR67/(IR$5)))</f>
        <v>0.80006613756613754</v>
      </c>
      <c r="IS41" s="109">
        <f t="shared" si="295"/>
        <v>0.82505787037037037</v>
      </c>
      <c r="IT41" s="109">
        <f t="shared" si="295"/>
        <v>0.84449588477366255</v>
      </c>
      <c r="IU41" s="109">
        <f t="shared" si="295"/>
        <v>0.83304398148148151</v>
      </c>
      <c r="IV41" s="109">
        <f t="shared" si="295"/>
        <v>0.84822180134680136</v>
      </c>
      <c r="IW41" s="109">
        <f t="shared" si="295"/>
        <v>0.8608699845679012</v>
      </c>
      <c r="IX41" s="109">
        <f t="shared" si="295"/>
        <v>0.86692752849002852</v>
      </c>
      <c r="IY41" s="109">
        <f t="shared" si="295"/>
        <v>0.87643270502645498</v>
      </c>
      <c r="IZ41" s="109">
        <f t="shared" si="295"/>
        <v>0.88467052469135798</v>
      </c>
      <c r="JA41" s="109">
        <f t="shared" si="295"/>
        <v>0.86661675347222222</v>
      </c>
      <c r="JB41" s="109">
        <f t="shared" si="295"/>
        <v>0.87163807189542486</v>
      </c>
      <c r="JC41" s="109">
        <f t="shared" si="295"/>
        <v>0.87876929012345673</v>
      </c>
      <c r="JD41" s="109">
        <f t="shared" si="295"/>
        <v>0.8765704191033139</v>
      </c>
      <c r="JE41" s="109">
        <f t="shared" si="295"/>
        <v>0.88274189814814819</v>
      </c>
      <c r="JF41" s="109">
        <f t="shared" si="295"/>
        <v>0.88832561728395065</v>
      </c>
      <c r="JG41" s="109">
        <f t="shared" si="295"/>
        <v>0.89340172558922559</v>
      </c>
      <c r="JH41" s="109">
        <f t="shared" si="295"/>
        <v>0.88006944444444446</v>
      </c>
      <c r="JI41" s="109">
        <f t="shared" si="295"/>
        <v>0.87555169753086415</v>
      </c>
      <c r="JJ41" s="109">
        <f t="shared" si="295"/>
        <v>0.87254444444444446</v>
      </c>
      <c r="JK41" s="109">
        <f t="shared" si="295"/>
        <v>0.87287927350427352</v>
      </c>
      <c r="JL41" s="109">
        <f t="shared" si="295"/>
        <v>0.87508701989026061</v>
      </c>
      <c r="JM41" s="109">
        <f t="shared" si="295"/>
        <v>0.87954819775132276</v>
      </c>
      <c r="JN41" s="109">
        <f t="shared" si="295"/>
        <v>0.88226492656449551</v>
      </c>
      <c r="JO41" s="109">
        <f t="shared" si="295"/>
        <v>0.88480054012345677</v>
      </c>
      <c r="JP41" s="109">
        <f t="shared" si="295"/>
        <v>0.95833333333333337</v>
      </c>
      <c r="JQ41" s="109">
        <f t="shared" si="295"/>
        <v>0.89583333333333337</v>
      </c>
      <c r="JR41" s="109">
        <f t="shared" si="295"/>
        <v>0.60986111111111119</v>
      </c>
      <c r="JS41" s="109">
        <f t="shared" si="295"/>
        <v>0.67614583333333333</v>
      </c>
      <c r="JT41" s="109">
        <f t="shared" si="295"/>
        <v>0.74091666666666667</v>
      </c>
      <c r="JU41" s="109">
        <f t="shared" si="295"/>
        <v>0.78409722222222222</v>
      </c>
      <c r="JV41" s="109">
        <f t="shared" si="295"/>
        <v>0.80898809523809523</v>
      </c>
      <c r="JW41" s="109">
        <f t="shared" si="295"/>
        <v>0.83286458333333335</v>
      </c>
      <c r="JX41" s="109">
        <f t="shared" si="295"/>
        <v>0.85143518518518513</v>
      </c>
      <c r="JY41" s="109">
        <f t="shared" si="295"/>
        <v>0.86629166666666668</v>
      </c>
      <c r="JZ41" s="109">
        <f t="shared" si="295"/>
        <v>0.87844696969696967</v>
      </c>
      <c r="KA41" s="109">
        <f t="shared" si="295"/>
        <v>0.8885763888888889</v>
      </c>
      <c r="KB41" s="109">
        <f t="shared" si="295"/>
        <v>0.89714743589743584</v>
      </c>
      <c r="KC41" s="109">
        <f t="shared" si="295"/>
        <v>0.83306547619047622</v>
      </c>
      <c r="KD41" s="109">
        <f t="shared" si="295"/>
        <v>0.82752777777777775</v>
      </c>
      <c r="KE41" s="109">
        <f t="shared" si="295"/>
        <v>0.83830729166666662</v>
      </c>
      <c r="KF41" s="109">
        <f t="shared" si="295"/>
        <v>0.84781862745098036</v>
      </c>
      <c r="KG41" s="109">
        <f t="shared" si="295"/>
        <v>0.85627314814814814</v>
      </c>
      <c r="KH41" s="109">
        <f t="shared" si="295"/>
        <v>0.8638377192982456</v>
      </c>
      <c r="KI41" s="109">
        <f t="shared" si="295"/>
        <v>0.87064583333333334</v>
      </c>
      <c r="KJ41" s="109">
        <f t="shared" si="295"/>
        <v>0.8768055555555555</v>
      </c>
      <c r="KK41" s="109">
        <f t="shared" si="295"/>
        <v>0.88240530303030307</v>
      </c>
      <c r="KL41" s="109">
        <f t="shared" si="295"/>
        <v>0.88751811594202901</v>
      </c>
      <c r="KM41" s="109">
        <f t="shared" si="295"/>
        <v>0.89220486111111108</v>
      </c>
      <c r="KN41" s="109">
        <f t="shared" si="295"/>
        <v>0.89651666666666663</v>
      </c>
      <c r="KO41" s="109">
        <f t="shared" si="295"/>
        <v>0.9004967948717949</v>
      </c>
      <c r="KP41" s="109">
        <f t="shared" si="295"/>
        <v>0.9041820987654321</v>
      </c>
      <c r="KQ41" s="109">
        <f t="shared" si="295"/>
        <v>0.90760416666666666</v>
      </c>
      <c r="KR41" s="109">
        <f t="shared" si="295"/>
        <v>0.91079022988505742</v>
      </c>
      <c r="KS41" s="109">
        <f t="shared" si="295"/>
        <v>0.91376388888888893</v>
      </c>
      <c r="KT41" s="109">
        <f t="shared" si="295"/>
        <v>0.91654569892473114</v>
      </c>
      <c r="KU41" s="109" t="str">
        <f t="shared" si="295"/>
        <v/>
      </c>
      <c r="KV41" s="109" t="str">
        <f t="shared" si="295"/>
        <v/>
      </c>
      <c r="KW41" s="109" t="str">
        <f t="shared" si="295"/>
        <v/>
      </c>
      <c r="KX41" s="109" t="str">
        <f t="shared" si="295"/>
        <v/>
      </c>
      <c r="KY41" s="109" t="str">
        <f t="shared" si="295"/>
        <v/>
      </c>
      <c r="KZ41" s="109" t="str">
        <f t="shared" si="295"/>
        <v/>
      </c>
      <c r="LA41" s="109" t="str">
        <f t="shared" si="295"/>
        <v/>
      </c>
      <c r="LB41" s="109" t="str">
        <f t="shared" si="295"/>
        <v/>
      </c>
      <c r="LC41" s="109" t="str">
        <f t="shared" si="295"/>
        <v/>
      </c>
      <c r="LD41" s="109" t="str">
        <f t="shared" ref="LD41:NO41" si="296">IF(OR(LD$13="",LD$17="",LD$14="",LD$15="",LD$16="",LD$18="",LD$19="",LD$20="",LD$21=""),"",1-(LD67/(LD$5)))</f>
        <v/>
      </c>
      <c r="LE41" s="109" t="str">
        <f t="shared" si="296"/>
        <v/>
      </c>
      <c r="LF41" s="109" t="str">
        <f t="shared" si="296"/>
        <v/>
      </c>
      <c r="LG41" s="109" t="str">
        <f t="shared" si="296"/>
        <v/>
      </c>
      <c r="LH41" s="109" t="str">
        <f t="shared" si="296"/>
        <v/>
      </c>
      <c r="LI41" s="109" t="str">
        <f t="shared" si="296"/>
        <v/>
      </c>
      <c r="LJ41" s="109" t="str">
        <f t="shared" si="296"/>
        <v/>
      </c>
      <c r="LK41" s="109" t="str">
        <f t="shared" si="296"/>
        <v/>
      </c>
      <c r="LL41" s="109" t="str">
        <f t="shared" si="296"/>
        <v/>
      </c>
      <c r="LM41" s="109" t="str">
        <f t="shared" si="296"/>
        <v/>
      </c>
      <c r="LN41" s="109" t="str">
        <f t="shared" si="296"/>
        <v/>
      </c>
      <c r="LO41" s="109" t="str">
        <f t="shared" si="296"/>
        <v/>
      </c>
      <c r="LP41" s="109" t="str">
        <f t="shared" si="296"/>
        <v/>
      </c>
      <c r="LQ41" s="109" t="str">
        <f t="shared" si="296"/>
        <v/>
      </c>
      <c r="LR41" s="109" t="str">
        <f t="shared" si="296"/>
        <v/>
      </c>
      <c r="LS41" s="109" t="str">
        <f t="shared" si="296"/>
        <v/>
      </c>
      <c r="LT41" s="109" t="str">
        <f t="shared" si="296"/>
        <v/>
      </c>
      <c r="LU41" s="109" t="str">
        <f t="shared" si="296"/>
        <v/>
      </c>
      <c r="LV41" s="109" t="str">
        <f t="shared" si="296"/>
        <v/>
      </c>
      <c r="LW41" s="109" t="str">
        <f t="shared" si="296"/>
        <v/>
      </c>
      <c r="LX41" s="109" t="str">
        <f t="shared" si="296"/>
        <v/>
      </c>
      <c r="LY41" s="109" t="str">
        <f t="shared" si="296"/>
        <v/>
      </c>
      <c r="LZ41" s="109" t="str">
        <f t="shared" si="296"/>
        <v/>
      </c>
      <c r="MA41" s="109" t="str">
        <f t="shared" si="296"/>
        <v/>
      </c>
      <c r="MB41" s="109" t="str">
        <f t="shared" si="296"/>
        <v/>
      </c>
      <c r="MC41" s="109" t="str">
        <f t="shared" si="296"/>
        <v/>
      </c>
      <c r="MD41" s="109" t="str">
        <f t="shared" si="296"/>
        <v/>
      </c>
      <c r="ME41" s="109" t="str">
        <f t="shared" si="296"/>
        <v/>
      </c>
      <c r="MF41" s="109" t="str">
        <f t="shared" si="296"/>
        <v/>
      </c>
      <c r="MG41" s="109" t="str">
        <f t="shared" si="296"/>
        <v/>
      </c>
      <c r="MH41" s="109" t="str">
        <f t="shared" si="296"/>
        <v/>
      </c>
      <c r="MI41" s="109" t="str">
        <f t="shared" si="296"/>
        <v/>
      </c>
      <c r="MJ41" s="109" t="str">
        <f t="shared" si="296"/>
        <v/>
      </c>
      <c r="MK41" s="109" t="str">
        <f t="shared" si="296"/>
        <v/>
      </c>
      <c r="ML41" s="109" t="str">
        <f t="shared" si="296"/>
        <v/>
      </c>
      <c r="MM41" s="109" t="str">
        <f t="shared" si="296"/>
        <v/>
      </c>
      <c r="MN41" s="109" t="str">
        <f t="shared" si="296"/>
        <v/>
      </c>
      <c r="MO41" s="109" t="str">
        <f t="shared" si="296"/>
        <v/>
      </c>
      <c r="MP41" s="109" t="str">
        <f t="shared" si="296"/>
        <v/>
      </c>
      <c r="MQ41" s="109" t="str">
        <f t="shared" si="296"/>
        <v/>
      </c>
      <c r="MR41" s="109" t="str">
        <f t="shared" si="296"/>
        <v/>
      </c>
      <c r="MS41" s="109" t="str">
        <f t="shared" si="296"/>
        <v/>
      </c>
      <c r="MT41" s="109" t="str">
        <f t="shared" si="296"/>
        <v/>
      </c>
      <c r="MU41" s="109" t="str">
        <f t="shared" si="296"/>
        <v/>
      </c>
      <c r="MV41" s="109" t="str">
        <f t="shared" si="296"/>
        <v/>
      </c>
      <c r="MW41" s="109" t="str">
        <f t="shared" si="296"/>
        <v/>
      </c>
      <c r="MX41" s="109" t="str">
        <f t="shared" si="296"/>
        <v/>
      </c>
      <c r="MY41" s="109" t="str">
        <f t="shared" si="296"/>
        <v/>
      </c>
      <c r="MZ41" s="109" t="str">
        <f t="shared" si="296"/>
        <v/>
      </c>
      <c r="NA41" s="109" t="str">
        <f t="shared" si="296"/>
        <v/>
      </c>
      <c r="NB41" s="109" t="str">
        <f t="shared" si="296"/>
        <v/>
      </c>
      <c r="NC41" s="109" t="str">
        <f t="shared" si="296"/>
        <v/>
      </c>
      <c r="ND41" s="109" t="str">
        <f t="shared" si="296"/>
        <v/>
      </c>
      <c r="NE41" s="109" t="str">
        <f t="shared" si="296"/>
        <v/>
      </c>
      <c r="NF41" s="109" t="str">
        <f t="shared" si="296"/>
        <v/>
      </c>
      <c r="NG41" s="109" t="str">
        <f t="shared" si="296"/>
        <v/>
      </c>
      <c r="NH41" s="109" t="str">
        <f t="shared" si="296"/>
        <v/>
      </c>
      <c r="NI41" s="109" t="str">
        <f t="shared" si="296"/>
        <v/>
      </c>
      <c r="NJ41" s="109" t="str">
        <f t="shared" si="296"/>
        <v/>
      </c>
      <c r="NK41" s="109" t="str">
        <f t="shared" si="296"/>
        <v/>
      </c>
      <c r="NL41" s="109" t="str">
        <f t="shared" si="296"/>
        <v/>
      </c>
      <c r="NM41" s="109" t="str">
        <f t="shared" si="296"/>
        <v/>
      </c>
      <c r="NN41" s="109" t="str">
        <f t="shared" si="296"/>
        <v/>
      </c>
      <c r="NO41" s="109" t="str">
        <f t="shared" si="296"/>
        <v/>
      </c>
      <c r="NP41" s="109" t="str">
        <f t="shared" ref="NP41:QA41" si="297">IF(OR(NP$13="",NP$17="",NP$14="",NP$15="",NP$16="",NP$18="",NP$19="",NP$20="",NP$21=""),"",1-(NP67/(NP$5)))</f>
        <v/>
      </c>
      <c r="NQ41" s="109" t="str">
        <f t="shared" si="297"/>
        <v/>
      </c>
      <c r="NR41" s="109" t="str">
        <f t="shared" si="297"/>
        <v/>
      </c>
      <c r="NS41" s="109" t="str">
        <f t="shared" si="297"/>
        <v/>
      </c>
      <c r="NT41" s="109" t="str">
        <f t="shared" si="297"/>
        <v/>
      </c>
      <c r="NU41" s="109" t="str">
        <f t="shared" si="297"/>
        <v/>
      </c>
      <c r="NV41" s="109" t="str">
        <f t="shared" si="297"/>
        <v/>
      </c>
      <c r="NW41" s="109" t="str">
        <f t="shared" si="297"/>
        <v/>
      </c>
      <c r="NX41" s="109" t="str">
        <f t="shared" si="297"/>
        <v/>
      </c>
      <c r="NY41" s="109" t="str">
        <f t="shared" si="297"/>
        <v/>
      </c>
      <c r="NZ41" s="109" t="str">
        <f t="shared" si="297"/>
        <v/>
      </c>
      <c r="OA41" s="109" t="str">
        <f t="shared" si="297"/>
        <v/>
      </c>
      <c r="OB41" s="109" t="str">
        <f t="shared" si="297"/>
        <v/>
      </c>
      <c r="OC41" s="109" t="str">
        <f t="shared" si="297"/>
        <v/>
      </c>
      <c r="OD41" s="109" t="str">
        <f t="shared" si="297"/>
        <v/>
      </c>
      <c r="OE41" s="109" t="str">
        <f t="shared" si="297"/>
        <v/>
      </c>
      <c r="OF41" s="109" t="str">
        <f t="shared" si="297"/>
        <v/>
      </c>
      <c r="OG41" s="109" t="str">
        <f t="shared" si="297"/>
        <v/>
      </c>
      <c r="OH41" s="109" t="str">
        <f t="shared" si="297"/>
        <v/>
      </c>
      <c r="OI41" s="109" t="str">
        <f t="shared" si="297"/>
        <v/>
      </c>
      <c r="OJ41" s="109" t="str">
        <f t="shared" si="297"/>
        <v/>
      </c>
      <c r="OK41" s="109" t="str">
        <f t="shared" si="297"/>
        <v/>
      </c>
      <c r="OL41" s="109" t="str">
        <f t="shared" si="297"/>
        <v/>
      </c>
      <c r="OM41" s="109" t="str">
        <f t="shared" si="297"/>
        <v/>
      </c>
      <c r="ON41" s="109" t="str">
        <f t="shared" si="297"/>
        <v/>
      </c>
      <c r="OO41" s="109" t="str">
        <f t="shared" si="297"/>
        <v/>
      </c>
      <c r="OP41" s="109" t="str">
        <f t="shared" si="297"/>
        <v/>
      </c>
      <c r="OQ41" s="109" t="str">
        <f t="shared" si="297"/>
        <v/>
      </c>
      <c r="OR41" s="109" t="str">
        <f t="shared" si="297"/>
        <v/>
      </c>
      <c r="OS41" s="109" t="str">
        <f t="shared" si="297"/>
        <v/>
      </c>
      <c r="OT41" s="109" t="str">
        <f t="shared" si="297"/>
        <v/>
      </c>
      <c r="OU41" s="109" t="str">
        <f t="shared" si="297"/>
        <v/>
      </c>
      <c r="OV41" s="109" t="str">
        <f t="shared" si="297"/>
        <v/>
      </c>
      <c r="OW41" s="109" t="str">
        <f t="shared" si="297"/>
        <v/>
      </c>
      <c r="OX41" s="109" t="str">
        <f t="shared" si="297"/>
        <v/>
      </c>
      <c r="OY41" s="109" t="str">
        <f t="shared" si="297"/>
        <v/>
      </c>
      <c r="OZ41" s="109" t="str">
        <f t="shared" si="297"/>
        <v/>
      </c>
      <c r="PA41" s="109" t="str">
        <f t="shared" si="297"/>
        <v/>
      </c>
      <c r="PB41" s="109" t="str">
        <f t="shared" si="297"/>
        <v/>
      </c>
      <c r="PC41" s="109" t="str">
        <f t="shared" si="297"/>
        <v/>
      </c>
      <c r="PD41" s="109" t="str">
        <f t="shared" si="297"/>
        <v/>
      </c>
      <c r="PE41" s="109" t="str">
        <f t="shared" si="297"/>
        <v/>
      </c>
      <c r="PF41" s="109" t="str">
        <f t="shared" si="297"/>
        <v/>
      </c>
      <c r="PG41" s="109" t="str">
        <f t="shared" si="297"/>
        <v/>
      </c>
      <c r="PH41" s="109" t="str">
        <f t="shared" si="297"/>
        <v/>
      </c>
      <c r="PI41" s="109" t="str">
        <f t="shared" si="297"/>
        <v/>
      </c>
      <c r="PJ41" s="109" t="str">
        <f t="shared" si="297"/>
        <v/>
      </c>
      <c r="PK41" s="109" t="str">
        <f t="shared" si="297"/>
        <v/>
      </c>
      <c r="PL41" s="109" t="str">
        <f t="shared" si="297"/>
        <v/>
      </c>
      <c r="PM41" s="109" t="str">
        <f t="shared" si="297"/>
        <v/>
      </c>
      <c r="PN41" s="109" t="str">
        <f t="shared" si="297"/>
        <v/>
      </c>
      <c r="PO41" s="109" t="str">
        <f t="shared" si="297"/>
        <v/>
      </c>
      <c r="PP41" s="109" t="str">
        <f t="shared" si="297"/>
        <v/>
      </c>
      <c r="PQ41" s="109" t="str">
        <f t="shared" si="297"/>
        <v/>
      </c>
      <c r="PR41" s="109" t="str">
        <f t="shared" si="297"/>
        <v/>
      </c>
      <c r="PS41" s="109" t="str">
        <f t="shared" si="297"/>
        <v/>
      </c>
      <c r="PT41" s="109" t="str">
        <f t="shared" si="297"/>
        <v/>
      </c>
      <c r="PU41" s="109" t="str">
        <f t="shared" si="297"/>
        <v/>
      </c>
      <c r="PV41" s="109" t="str">
        <f t="shared" si="297"/>
        <v/>
      </c>
      <c r="PW41" s="109" t="str">
        <f t="shared" si="297"/>
        <v/>
      </c>
      <c r="PX41" s="109" t="str">
        <f t="shared" si="297"/>
        <v/>
      </c>
      <c r="PY41" s="109" t="str">
        <f t="shared" si="297"/>
        <v/>
      </c>
      <c r="PZ41" s="109" t="str">
        <f t="shared" si="297"/>
        <v/>
      </c>
      <c r="QA41" s="109" t="str">
        <f t="shared" si="297"/>
        <v/>
      </c>
      <c r="QB41" s="109" t="str">
        <f t="shared" ref="QB41:SM41" si="298">IF(OR(QB$13="",QB$17="",QB$14="",QB$15="",QB$16="",QB$18="",QB$19="",QB$20="",QB$21=""),"",1-(QB67/(QB$5)))</f>
        <v/>
      </c>
      <c r="QC41" s="109" t="str">
        <f t="shared" si="298"/>
        <v/>
      </c>
      <c r="QD41" s="109" t="str">
        <f t="shared" si="298"/>
        <v/>
      </c>
      <c r="QE41" s="109" t="str">
        <f t="shared" si="298"/>
        <v/>
      </c>
      <c r="QF41" s="109" t="str">
        <f t="shared" si="298"/>
        <v/>
      </c>
      <c r="QG41" s="109" t="str">
        <f t="shared" si="298"/>
        <v/>
      </c>
      <c r="QH41" s="109" t="str">
        <f t="shared" si="298"/>
        <v/>
      </c>
      <c r="QI41" s="109" t="str">
        <f t="shared" si="298"/>
        <v/>
      </c>
      <c r="QJ41" s="109" t="str">
        <f t="shared" si="298"/>
        <v/>
      </c>
      <c r="QK41" s="109" t="str">
        <f t="shared" si="298"/>
        <v/>
      </c>
      <c r="QL41" s="109" t="str">
        <f t="shared" si="298"/>
        <v/>
      </c>
      <c r="QM41" s="109" t="str">
        <f t="shared" si="298"/>
        <v/>
      </c>
      <c r="QN41" s="109" t="str">
        <f t="shared" si="298"/>
        <v/>
      </c>
      <c r="QO41" s="109" t="str">
        <f t="shared" si="298"/>
        <v/>
      </c>
      <c r="QP41" s="109" t="str">
        <f t="shared" si="298"/>
        <v/>
      </c>
      <c r="QQ41" s="109" t="str">
        <f t="shared" si="298"/>
        <v/>
      </c>
      <c r="QR41" s="109" t="str">
        <f t="shared" si="298"/>
        <v/>
      </c>
      <c r="QS41" s="109" t="str">
        <f t="shared" si="298"/>
        <v/>
      </c>
      <c r="QT41" s="109" t="str">
        <f t="shared" si="298"/>
        <v/>
      </c>
      <c r="QU41" s="109" t="str">
        <f t="shared" si="298"/>
        <v/>
      </c>
      <c r="QV41" s="109" t="str">
        <f t="shared" si="298"/>
        <v/>
      </c>
      <c r="QW41" s="109" t="str">
        <f t="shared" si="298"/>
        <v/>
      </c>
      <c r="QX41" s="109" t="str">
        <f t="shared" si="298"/>
        <v/>
      </c>
      <c r="QY41" s="109" t="str">
        <f t="shared" si="298"/>
        <v/>
      </c>
      <c r="QZ41" s="109" t="str">
        <f t="shared" si="298"/>
        <v/>
      </c>
      <c r="RA41" s="109" t="str">
        <f t="shared" si="298"/>
        <v/>
      </c>
      <c r="RB41" s="109" t="str">
        <f t="shared" si="298"/>
        <v/>
      </c>
      <c r="RC41" s="109" t="str">
        <f t="shared" si="298"/>
        <v/>
      </c>
      <c r="RD41" s="109" t="str">
        <f t="shared" si="298"/>
        <v/>
      </c>
      <c r="RE41" s="109" t="str">
        <f t="shared" si="298"/>
        <v/>
      </c>
      <c r="RF41" s="109" t="str">
        <f t="shared" si="298"/>
        <v/>
      </c>
      <c r="RG41" s="109" t="str">
        <f t="shared" si="298"/>
        <v/>
      </c>
      <c r="RH41" s="109" t="str">
        <f t="shared" si="298"/>
        <v/>
      </c>
      <c r="RI41" s="109" t="str">
        <f t="shared" si="298"/>
        <v/>
      </c>
      <c r="RJ41" s="109" t="str">
        <f t="shared" si="298"/>
        <v/>
      </c>
      <c r="RK41" s="109" t="str">
        <f t="shared" si="298"/>
        <v/>
      </c>
      <c r="RL41" s="109" t="str">
        <f t="shared" si="298"/>
        <v/>
      </c>
      <c r="RM41" s="109" t="str">
        <f t="shared" si="298"/>
        <v/>
      </c>
      <c r="RN41" s="109" t="str">
        <f t="shared" si="298"/>
        <v/>
      </c>
      <c r="RO41" s="109" t="str">
        <f t="shared" si="298"/>
        <v/>
      </c>
      <c r="RP41" s="109" t="str">
        <f t="shared" si="298"/>
        <v/>
      </c>
      <c r="RQ41" s="109" t="str">
        <f t="shared" si="298"/>
        <v/>
      </c>
      <c r="RR41" s="109" t="str">
        <f t="shared" si="298"/>
        <v/>
      </c>
      <c r="RS41" s="109" t="str">
        <f t="shared" si="298"/>
        <v/>
      </c>
      <c r="RT41" s="109" t="str">
        <f t="shared" si="298"/>
        <v/>
      </c>
      <c r="RU41" s="109" t="str">
        <f t="shared" si="298"/>
        <v/>
      </c>
      <c r="RV41" s="109" t="str">
        <f t="shared" si="298"/>
        <v/>
      </c>
      <c r="RW41" s="109" t="str">
        <f t="shared" si="298"/>
        <v/>
      </c>
      <c r="RX41" s="109" t="str">
        <f t="shared" si="298"/>
        <v/>
      </c>
      <c r="RY41" s="109" t="str">
        <f t="shared" si="298"/>
        <v/>
      </c>
      <c r="RZ41" s="109" t="str">
        <f t="shared" si="298"/>
        <v/>
      </c>
      <c r="SA41" s="109" t="str">
        <f t="shared" si="298"/>
        <v/>
      </c>
      <c r="SB41" s="109" t="str">
        <f t="shared" si="298"/>
        <v/>
      </c>
      <c r="SC41" s="109" t="str">
        <f t="shared" si="298"/>
        <v/>
      </c>
      <c r="SD41" s="109" t="str">
        <f t="shared" si="298"/>
        <v/>
      </c>
      <c r="SE41" s="109" t="str">
        <f t="shared" si="298"/>
        <v/>
      </c>
      <c r="SF41" s="109" t="str">
        <f t="shared" si="298"/>
        <v/>
      </c>
      <c r="SG41" s="109" t="str">
        <f t="shared" si="298"/>
        <v/>
      </c>
      <c r="SH41" s="109" t="str">
        <f t="shared" si="298"/>
        <v/>
      </c>
      <c r="SI41" s="109" t="str">
        <f t="shared" si="298"/>
        <v/>
      </c>
      <c r="SJ41" s="109" t="str">
        <f t="shared" si="298"/>
        <v/>
      </c>
      <c r="SK41" s="109" t="str">
        <f t="shared" si="298"/>
        <v/>
      </c>
      <c r="SL41" s="109" t="str">
        <f t="shared" si="298"/>
        <v/>
      </c>
      <c r="SM41" s="109" t="str">
        <f t="shared" si="298"/>
        <v/>
      </c>
      <c r="SN41" s="109" t="str">
        <f t="shared" ref="SN41:SW41" si="299">IF(OR(SN$13="",SN$17="",SN$14="",SN$15="",SN$16="",SN$18="",SN$19="",SN$20="",SN$21=""),"",1-(SN67/(SN$5)))</f>
        <v/>
      </c>
      <c r="SO41" s="109" t="str">
        <f t="shared" si="299"/>
        <v/>
      </c>
      <c r="SP41" s="109" t="str">
        <f t="shared" si="299"/>
        <v/>
      </c>
      <c r="SQ41" s="109" t="str">
        <f t="shared" si="299"/>
        <v/>
      </c>
      <c r="SR41" s="109" t="str">
        <f t="shared" si="299"/>
        <v/>
      </c>
      <c r="SS41" s="109" t="str">
        <f t="shared" si="299"/>
        <v/>
      </c>
      <c r="ST41" s="109" t="str">
        <f t="shared" si="299"/>
        <v/>
      </c>
      <c r="SU41" s="109" t="str">
        <f t="shared" si="299"/>
        <v/>
      </c>
      <c r="SV41" s="109" t="str">
        <f t="shared" si="299"/>
        <v/>
      </c>
      <c r="SW41" s="109" t="str">
        <f t="shared" si="299"/>
        <v/>
      </c>
    </row>
    <row r="42" spans="1:517" ht="24.6" customHeight="1" x14ac:dyDescent="0.2">
      <c r="A42" s="94" t="s">
        <v>86</v>
      </c>
      <c r="B42" s="117" t="s">
        <v>79</v>
      </c>
      <c r="C42" s="109">
        <f t="shared" ref="C42:AH42" si="300">IF(OR(C$13="",C$17="",C$14="",C$15="",C$16="",C$18="",C$19="",C$20="",C$21=""),"",1-(C68/(C$5)))</f>
        <v>1</v>
      </c>
      <c r="D42" s="109">
        <f t="shared" si="300"/>
        <v>1</v>
      </c>
      <c r="E42" s="109">
        <f t="shared" si="300"/>
        <v>1</v>
      </c>
      <c r="F42" s="109">
        <f t="shared" si="300"/>
        <v>1</v>
      </c>
      <c r="G42" s="109">
        <f t="shared" si="300"/>
        <v>1</v>
      </c>
      <c r="H42" s="109">
        <f t="shared" si="300"/>
        <v>1</v>
      </c>
      <c r="I42" s="109">
        <f t="shared" si="300"/>
        <v>1</v>
      </c>
      <c r="J42" s="109">
        <f t="shared" si="300"/>
        <v>1</v>
      </c>
      <c r="K42" s="109">
        <f t="shared" si="300"/>
        <v>1</v>
      </c>
      <c r="L42" s="109">
        <f t="shared" si="300"/>
        <v>1</v>
      </c>
      <c r="M42" s="109">
        <f t="shared" si="300"/>
        <v>1</v>
      </c>
      <c r="N42" s="109">
        <f t="shared" si="300"/>
        <v>1</v>
      </c>
      <c r="O42" s="109">
        <f t="shared" si="300"/>
        <v>1</v>
      </c>
      <c r="P42" s="109">
        <f t="shared" si="300"/>
        <v>1</v>
      </c>
      <c r="Q42" s="109">
        <f t="shared" si="300"/>
        <v>1</v>
      </c>
      <c r="R42" s="109">
        <f t="shared" si="300"/>
        <v>1</v>
      </c>
      <c r="S42" s="109">
        <f t="shared" si="300"/>
        <v>1</v>
      </c>
      <c r="T42" s="109">
        <f t="shared" si="300"/>
        <v>1</v>
      </c>
      <c r="U42" s="109">
        <f t="shared" si="300"/>
        <v>1</v>
      </c>
      <c r="V42" s="109">
        <f t="shared" si="300"/>
        <v>1</v>
      </c>
      <c r="W42" s="109">
        <f t="shared" si="300"/>
        <v>1</v>
      </c>
      <c r="X42" s="109">
        <f t="shared" si="300"/>
        <v>0.95267045454545451</v>
      </c>
      <c r="Y42" s="109">
        <f t="shared" si="300"/>
        <v>0.95472826086956519</v>
      </c>
      <c r="Z42" s="109">
        <f t="shared" si="300"/>
        <v>0.95543402777777775</v>
      </c>
      <c r="AA42" s="109">
        <f t="shared" si="300"/>
        <v>0.95721666666666672</v>
      </c>
      <c r="AB42" s="109">
        <f t="shared" si="300"/>
        <v>0.95886217948717944</v>
      </c>
      <c r="AC42" s="109">
        <f t="shared" si="300"/>
        <v>0.96038580246913585</v>
      </c>
      <c r="AD42" s="109">
        <f t="shared" si="300"/>
        <v>0.96180059523809525</v>
      </c>
      <c r="AE42" s="109">
        <f t="shared" si="300"/>
        <v>0.96311781609195402</v>
      </c>
      <c r="AF42" s="109">
        <f t="shared" si="300"/>
        <v>0.96434722222222224</v>
      </c>
      <c r="AG42" s="109">
        <f t="shared" si="300"/>
        <v>0.96549731182795695</v>
      </c>
      <c r="AH42" s="109">
        <f t="shared" si="300"/>
        <v>1</v>
      </c>
      <c r="AI42" s="109">
        <f t="shared" ref="AI42:BN42" si="301">IF(OR(AI$13="",AI$17="",AI$14="",AI$15="",AI$16="",AI$18="",AI$19="",AI$20="",AI$21=""),"",1-(AI68/(AI$5)))</f>
        <v>0.890625</v>
      </c>
      <c r="AJ42" s="109">
        <f t="shared" si="301"/>
        <v>0.92708333333333337</v>
      </c>
      <c r="AK42" s="109">
        <f t="shared" si="301"/>
        <v>0.91666666666666663</v>
      </c>
      <c r="AL42" s="109">
        <f t="shared" si="301"/>
        <v>0.89041666666666663</v>
      </c>
      <c r="AM42" s="109">
        <f t="shared" si="301"/>
        <v>0.82826388888888891</v>
      </c>
      <c r="AN42" s="109">
        <f t="shared" si="301"/>
        <v>0.8348214285714286</v>
      </c>
      <c r="AO42" s="109">
        <f t="shared" si="301"/>
        <v>0.85546875</v>
      </c>
      <c r="AP42" s="109">
        <f t="shared" si="301"/>
        <v>0.8504166666666666</v>
      </c>
      <c r="AQ42" s="109">
        <f t="shared" si="301"/>
        <v>0.82895833333333335</v>
      </c>
      <c r="AR42" s="109">
        <f t="shared" si="301"/>
        <v>0.79378787878787871</v>
      </c>
      <c r="AS42" s="109">
        <f t="shared" si="301"/>
        <v>0.81097222222222221</v>
      </c>
      <c r="AT42" s="109">
        <f t="shared" si="301"/>
        <v>0.82551282051282049</v>
      </c>
      <c r="AU42" s="109">
        <f t="shared" si="301"/>
        <v>0.83797619047619043</v>
      </c>
      <c r="AV42" s="109">
        <f t="shared" si="301"/>
        <v>0.84877777777777774</v>
      </c>
      <c r="AW42" s="109">
        <f t="shared" si="301"/>
        <v>0.85046875</v>
      </c>
      <c r="AX42" s="109">
        <f t="shared" si="301"/>
        <v>0.85602941176470582</v>
      </c>
      <c r="AY42" s="109">
        <f t="shared" si="301"/>
        <v>0.84361111111111109</v>
      </c>
      <c r="AZ42" s="109">
        <f t="shared" si="301"/>
        <v>0.85184210526315796</v>
      </c>
      <c r="BA42" s="109">
        <f t="shared" si="301"/>
        <v>0.84906250000000005</v>
      </c>
      <c r="BB42" s="109">
        <f t="shared" si="301"/>
        <v>0.85327380952380949</v>
      </c>
      <c r="BC42" s="109">
        <f t="shared" si="301"/>
        <v>0.85994318181818175</v>
      </c>
      <c r="BD42" s="109">
        <f t="shared" si="301"/>
        <v>0.86603260869565213</v>
      </c>
      <c r="BE42" s="109">
        <f t="shared" si="301"/>
        <v>0.86817708333333332</v>
      </c>
      <c r="BF42" s="109">
        <f t="shared" si="301"/>
        <v>0.86691666666666667</v>
      </c>
      <c r="BG42" s="109">
        <f t="shared" si="301"/>
        <v>0.87203525641025637</v>
      </c>
      <c r="BH42" s="109">
        <f t="shared" si="301"/>
        <v>0.87677469135802466</v>
      </c>
      <c r="BI42" s="109">
        <f t="shared" si="301"/>
        <v>0.8800148809523809</v>
      </c>
      <c r="BJ42" s="109">
        <f t="shared" si="301"/>
        <v>0.80125000000000002</v>
      </c>
      <c r="BK42" s="109">
        <f t="shared" si="301"/>
        <v>0.64166666666666661</v>
      </c>
      <c r="BL42" s="109">
        <f t="shared" si="301"/>
        <v>0.4323611111111112</v>
      </c>
      <c r="BM42" s="109">
        <f t="shared" si="301"/>
        <v>0.57427083333333329</v>
      </c>
      <c r="BN42" s="109">
        <f t="shared" si="301"/>
        <v>0.65941666666666676</v>
      </c>
      <c r="BO42" s="109">
        <f t="shared" ref="BO42:CT42" si="302">IF(OR(BO$13="",BO$17="",BO$14="",BO$15="",BO$16="",BO$18="",BO$19="",BO$20="",BO$21=""),"",1-(BO68/(BO$5)))</f>
        <v>0.70819444444444446</v>
      </c>
      <c r="BP42" s="109">
        <f t="shared" si="302"/>
        <v>0.7360714285714286</v>
      </c>
      <c r="BQ42" s="109">
        <f t="shared" si="302"/>
        <v>0.75203125000000004</v>
      </c>
      <c r="BR42" s="109">
        <f t="shared" si="302"/>
        <v>0.72759259259259257</v>
      </c>
      <c r="BS42" s="109">
        <f t="shared" si="302"/>
        <v>0.7310416666666667</v>
      </c>
      <c r="BT42" s="109">
        <f t="shared" si="302"/>
        <v>0.73977272727272725</v>
      </c>
      <c r="BU42" s="109">
        <f t="shared" si="302"/>
        <v>0.74819444444444438</v>
      </c>
      <c r="BV42" s="109">
        <f t="shared" si="302"/>
        <v>0.74060897435897433</v>
      </c>
      <c r="BW42" s="109">
        <f t="shared" si="302"/>
        <v>0.72630952380952385</v>
      </c>
      <c r="BX42" s="109">
        <f t="shared" si="302"/>
        <v>0.74455555555555553</v>
      </c>
      <c r="BY42" s="109">
        <f t="shared" si="302"/>
        <v>0.76052083333333331</v>
      </c>
      <c r="BZ42" s="109">
        <f t="shared" si="302"/>
        <v>0.77460784313725495</v>
      </c>
      <c r="CA42" s="109">
        <f t="shared" si="302"/>
        <v>0.75731481481481477</v>
      </c>
      <c r="CB42" s="109">
        <f t="shared" si="302"/>
        <v>0.7572149122807017</v>
      </c>
      <c r="CC42" s="109">
        <f t="shared" si="302"/>
        <v>0.71950000000000003</v>
      </c>
      <c r="CD42" s="109">
        <f t="shared" si="302"/>
        <v>0.73285714285714287</v>
      </c>
      <c r="CE42" s="109">
        <f t="shared" si="302"/>
        <v>0.745</v>
      </c>
      <c r="CF42" s="109">
        <f t="shared" si="302"/>
        <v>0.75054347826086953</v>
      </c>
      <c r="CG42" s="109">
        <f t="shared" si="302"/>
        <v>0.76093749999999993</v>
      </c>
      <c r="CH42" s="109">
        <f t="shared" si="302"/>
        <v>0.77049999999999996</v>
      </c>
      <c r="CI42" s="109">
        <f t="shared" si="302"/>
        <v>0.77769230769230768</v>
      </c>
      <c r="CJ42" s="109">
        <f t="shared" si="302"/>
        <v>0.77194444444444443</v>
      </c>
      <c r="CK42" s="109">
        <f t="shared" si="302"/>
        <v>0.78008928571428571</v>
      </c>
      <c r="CL42" s="109">
        <f t="shared" si="302"/>
        <v>0.78767241379310338</v>
      </c>
      <c r="CM42" s="109">
        <f t="shared" si="302"/>
        <v>0.78388888888888886</v>
      </c>
      <c r="CN42" s="109">
        <f t="shared" si="302"/>
        <v>0.79086021505376336</v>
      </c>
      <c r="CO42" s="109">
        <f t="shared" si="302"/>
        <v>0.74875000000000003</v>
      </c>
      <c r="CP42" s="109">
        <f t="shared" si="302"/>
        <v>0.77562500000000001</v>
      </c>
      <c r="CQ42" s="109">
        <f t="shared" si="302"/>
        <v>0.62055555555555553</v>
      </c>
      <c r="CR42" s="109">
        <f t="shared" si="302"/>
        <v>0.37187499999999996</v>
      </c>
      <c r="CS42" s="109">
        <f t="shared" si="302"/>
        <v>0.49749999999999994</v>
      </c>
      <c r="CT42" s="109">
        <f t="shared" si="302"/>
        <v>0.58125000000000004</v>
      </c>
      <c r="CU42" s="109">
        <f t="shared" ref="CU42:DS42" si="303">IF(OR(CU$13="",CU$17="",CU$14="",CU$15="",CU$16="",CU$18="",CU$19="",CU$20="",CU$21=""),"",1-(CU68/(CU$5)))</f>
        <v>0.62827380952380951</v>
      </c>
      <c r="CV42" s="109">
        <f t="shared" si="303"/>
        <v>0.67473958333333339</v>
      </c>
      <c r="CW42" s="109">
        <f t="shared" si="303"/>
        <v>0.71087962962962958</v>
      </c>
      <c r="CX42" s="109">
        <f t="shared" si="303"/>
        <v>0.73979166666666663</v>
      </c>
      <c r="CY42" s="109">
        <f t="shared" si="303"/>
        <v>0.76015151515151513</v>
      </c>
      <c r="CZ42" s="109">
        <f t="shared" si="303"/>
        <v>0.78013888888888894</v>
      </c>
      <c r="DA42" s="109">
        <f t="shared" si="303"/>
        <v>0.78038461538461545</v>
      </c>
      <c r="DB42" s="109">
        <f t="shared" si="303"/>
        <v>0.7895833333333333</v>
      </c>
      <c r="DC42" s="109">
        <f t="shared" si="303"/>
        <v>0.80361111111111105</v>
      </c>
      <c r="DD42" s="109">
        <f t="shared" si="303"/>
        <v>0.78494791666666663</v>
      </c>
      <c r="DE42" s="109">
        <f t="shared" si="303"/>
        <v>0.79112745098039217</v>
      </c>
      <c r="DF42" s="109">
        <f t="shared" si="303"/>
        <v>0.80273148148148143</v>
      </c>
      <c r="DG42" s="109">
        <f t="shared" si="303"/>
        <v>0.80559210526315783</v>
      </c>
      <c r="DH42" s="109">
        <f t="shared" si="303"/>
        <v>0.78697916666666667</v>
      </c>
      <c r="DI42" s="109">
        <f t="shared" si="303"/>
        <v>0.79712301587301582</v>
      </c>
      <c r="DJ42" s="109">
        <f t="shared" si="303"/>
        <v>0.80634469696969702</v>
      </c>
      <c r="DK42" s="109">
        <f t="shared" si="303"/>
        <v>0.81476449275362317</v>
      </c>
      <c r="DL42" s="109">
        <f t="shared" si="303"/>
        <v>0.82248263888888884</v>
      </c>
      <c r="DM42" s="109">
        <f t="shared" si="303"/>
        <v>0.82958333333333334</v>
      </c>
      <c r="DN42" s="109">
        <f t="shared" si="303"/>
        <v>0.83613782051282048</v>
      </c>
      <c r="DO42" s="109">
        <f t="shared" si="303"/>
        <v>0.84220679012345678</v>
      </c>
      <c r="DP42" s="109">
        <f t="shared" si="303"/>
        <v>0.84784226190476186</v>
      </c>
      <c r="DQ42" s="109">
        <f t="shared" si="303"/>
        <v>0.85308908045977017</v>
      </c>
      <c r="DR42" s="109">
        <f t="shared" si="303"/>
        <v>0.85798611111111112</v>
      </c>
      <c r="DS42" s="109">
        <f t="shared" si="303"/>
        <v>1</v>
      </c>
      <c r="DT42" s="109">
        <f t="shared" ref="DT42:GE42" si="304">IF(OR(DT$13="",DT$17="",DT$14="",DT$15="",DT$16="",DT$18="",DT$19="",DT$20="",DT$21=""),"",1-(DT68/(DT$5)))</f>
        <v>1</v>
      </c>
      <c r="DU42" s="109">
        <f t="shared" si="304"/>
        <v>0.87194444444444441</v>
      </c>
      <c r="DV42" s="109">
        <f t="shared" si="304"/>
        <v>0.90395833333333331</v>
      </c>
      <c r="DW42" s="109">
        <f t="shared" si="304"/>
        <v>0.92316666666666669</v>
      </c>
      <c r="DX42" s="109">
        <f t="shared" si="304"/>
        <v>0.93597222222222221</v>
      </c>
      <c r="DY42" s="109">
        <f t="shared" si="304"/>
        <v>0.94511904761904764</v>
      </c>
      <c r="DZ42" s="109">
        <f t="shared" si="304"/>
        <v>0.95197916666666671</v>
      </c>
      <c r="EA42" s="109">
        <f t="shared" si="304"/>
        <v>0.95731481481481484</v>
      </c>
      <c r="EB42" s="109">
        <f t="shared" si="304"/>
        <v>0.96158333333333335</v>
      </c>
      <c r="EC42" s="109">
        <f t="shared" si="304"/>
        <v>0.96507575757575759</v>
      </c>
      <c r="ED42" s="109">
        <f t="shared" si="304"/>
        <v>0.9679861111111111</v>
      </c>
      <c r="EE42" s="109">
        <f t="shared" si="304"/>
        <v>0.9704487179487179</v>
      </c>
      <c r="EF42" s="109">
        <f t="shared" si="304"/>
        <v>0.97255952380952382</v>
      </c>
      <c r="EG42" s="109">
        <f t="shared" si="304"/>
        <v>0.88600000000000001</v>
      </c>
      <c r="EH42" s="109">
        <f t="shared" si="304"/>
        <v>0.89312499999999995</v>
      </c>
      <c r="EI42" s="109">
        <f t="shared" si="304"/>
        <v>0.89941176470588236</v>
      </c>
      <c r="EJ42" s="109">
        <f t="shared" si="304"/>
        <v>0.90500000000000003</v>
      </c>
      <c r="EK42" s="109">
        <f t="shared" si="304"/>
        <v>0.91</v>
      </c>
      <c r="EL42" s="109">
        <f t="shared" si="304"/>
        <v>0.90164583333333337</v>
      </c>
      <c r="EM42" s="109">
        <f t="shared" si="304"/>
        <v>0.90632936507936512</v>
      </c>
      <c r="EN42" s="109">
        <f t="shared" si="304"/>
        <v>0.90660984848484849</v>
      </c>
      <c r="EO42" s="109">
        <f t="shared" si="304"/>
        <v>0.86719202898550729</v>
      </c>
      <c r="EP42" s="109">
        <f t="shared" si="304"/>
        <v>0.83800347222222227</v>
      </c>
      <c r="EQ42" s="109">
        <f t="shared" si="304"/>
        <v>0.84448333333333336</v>
      </c>
      <c r="ER42" s="109">
        <f t="shared" si="304"/>
        <v>0.85046474358974355</v>
      </c>
      <c r="ES42" s="109">
        <f t="shared" si="304"/>
        <v>0.84782407407407412</v>
      </c>
      <c r="ET42" s="109">
        <f t="shared" si="304"/>
        <v>0.85102678571428569</v>
      </c>
      <c r="EU42" s="109">
        <f t="shared" si="304"/>
        <v>0.85616379310344826</v>
      </c>
      <c r="EV42" s="109">
        <f t="shared" si="304"/>
        <v>0.86095833333333327</v>
      </c>
      <c r="EW42" s="109">
        <f t="shared" si="304"/>
        <v>0.86544354838709681</v>
      </c>
      <c r="EX42" s="109">
        <f t="shared" si="304"/>
        <v>1</v>
      </c>
      <c r="EY42" s="109">
        <f t="shared" si="304"/>
        <v>1</v>
      </c>
      <c r="EZ42" s="109">
        <f t="shared" si="304"/>
        <v>1</v>
      </c>
      <c r="FA42" s="109">
        <f t="shared" si="304"/>
        <v>1</v>
      </c>
      <c r="FB42" s="109">
        <f t="shared" si="304"/>
        <v>1</v>
      </c>
      <c r="FC42" s="109">
        <f t="shared" si="304"/>
        <v>1</v>
      </c>
      <c r="FD42" s="109">
        <f t="shared" si="304"/>
        <v>1</v>
      </c>
      <c r="FE42" s="109">
        <f t="shared" si="304"/>
        <v>0.99984375000000003</v>
      </c>
      <c r="FF42" s="109">
        <f t="shared" si="304"/>
        <v>0.99986111111111109</v>
      </c>
      <c r="FG42" s="109">
        <f t="shared" si="304"/>
        <v>0.94537499999999997</v>
      </c>
      <c r="FH42" s="109">
        <f t="shared" si="304"/>
        <v>0.95034090909090907</v>
      </c>
      <c r="FI42" s="109">
        <f t="shared" si="304"/>
        <v>0.95354166666666662</v>
      </c>
      <c r="FJ42" s="109">
        <f t="shared" si="304"/>
        <v>0.95711538461538459</v>
      </c>
      <c r="FK42" s="109">
        <f t="shared" si="304"/>
        <v>0.96017857142857144</v>
      </c>
      <c r="FL42" s="109">
        <f t="shared" si="304"/>
        <v>0.95394444444444448</v>
      </c>
      <c r="FM42" s="109">
        <f t="shared" si="304"/>
        <v>0.95682291666666663</v>
      </c>
      <c r="FN42" s="109">
        <f t="shared" si="304"/>
        <v>0.9593627450980392</v>
      </c>
      <c r="FO42" s="109">
        <f t="shared" si="304"/>
        <v>0.9616203703703704</v>
      </c>
      <c r="FP42" s="109">
        <f t="shared" si="304"/>
        <v>0.96364035087719302</v>
      </c>
      <c r="FQ42" s="109">
        <f t="shared" si="304"/>
        <v>0.96545833333333331</v>
      </c>
      <c r="FR42" s="109">
        <f t="shared" si="304"/>
        <v>0.96289682539682542</v>
      </c>
      <c r="FS42" s="109">
        <f t="shared" si="304"/>
        <v>0.96458333333333335</v>
      </c>
      <c r="FT42" s="109">
        <f t="shared" si="304"/>
        <v>0.96612318840579714</v>
      </c>
      <c r="FU42" s="109">
        <f t="shared" si="304"/>
        <v>0.95508680555555558</v>
      </c>
      <c r="FV42" s="109">
        <f t="shared" si="304"/>
        <v>0.94091666666666662</v>
      </c>
      <c r="FW42" s="109">
        <f t="shared" si="304"/>
        <v>0.93376602564102562</v>
      </c>
      <c r="FX42" s="109">
        <f t="shared" si="304"/>
        <v>0.93621913580246918</v>
      </c>
      <c r="FY42" s="109">
        <f t="shared" si="304"/>
        <v>0.93849702380952382</v>
      </c>
      <c r="FZ42" s="109">
        <f t="shared" si="304"/>
        <v>0.94061781609195405</v>
      </c>
      <c r="GA42" s="109">
        <f t="shared" si="282"/>
        <v>0.94079166666666669</v>
      </c>
      <c r="GB42" s="109">
        <f t="shared" si="282"/>
        <v>1</v>
      </c>
      <c r="GC42" s="109">
        <f t="shared" si="304"/>
        <v>1</v>
      </c>
      <c r="GD42" s="109">
        <f t="shared" si="304"/>
        <v>1</v>
      </c>
      <c r="GE42" s="109">
        <f t="shared" si="304"/>
        <v>1</v>
      </c>
      <c r="GF42" s="109">
        <f t="shared" ref="GF42:IQ42" si="305">IF(OR(GF$13="",GF$17="",GF$14="",GF$15="",GF$16="",GF$18="",GF$19="",GF$20="",GF$21=""),"",1-(GF68/(GF$5)))</f>
        <v>0.97483333333333333</v>
      </c>
      <c r="GG42" s="109">
        <f t="shared" si="305"/>
        <v>0.97902777777777783</v>
      </c>
      <c r="GH42" s="109">
        <f t="shared" si="305"/>
        <v>0.98202380952380952</v>
      </c>
      <c r="GI42" s="109">
        <f t="shared" si="305"/>
        <v>0.95083333333333331</v>
      </c>
      <c r="GJ42" s="109">
        <f t="shared" si="305"/>
        <v>0.92842592592592599</v>
      </c>
      <c r="GK42" s="109">
        <f t="shared" si="305"/>
        <v>0.93558333333333332</v>
      </c>
      <c r="GL42" s="109">
        <f t="shared" si="305"/>
        <v>0.21840909090909089</v>
      </c>
      <c r="GM42" s="109">
        <f t="shared" si="305"/>
        <v>0.28354166666666669</v>
      </c>
      <c r="GN42" s="109">
        <f t="shared" si="305"/>
        <v>0.33865384615384619</v>
      </c>
      <c r="GO42" s="109">
        <f t="shared" si="305"/>
        <v>0.38589285714285715</v>
      </c>
      <c r="GP42" s="109">
        <f t="shared" si="305"/>
        <v>0.42683333333333329</v>
      </c>
      <c r="GQ42" s="109">
        <f t="shared" si="305"/>
        <v>0.46265624999999999</v>
      </c>
      <c r="GR42" s="109">
        <f t="shared" si="305"/>
        <v>0.49426470588235294</v>
      </c>
      <c r="GS42" s="109">
        <f t="shared" si="305"/>
        <v>0.52236111111111105</v>
      </c>
      <c r="GT42" s="109">
        <f t="shared" si="305"/>
        <v>0.54749999999999999</v>
      </c>
      <c r="GU42" s="109">
        <f t="shared" si="305"/>
        <v>0.57012499999999999</v>
      </c>
      <c r="GV42" s="109">
        <f t="shared" si="305"/>
        <v>0.59059523809523806</v>
      </c>
      <c r="GW42" s="109">
        <f t="shared" si="305"/>
        <v>0.59973484848484848</v>
      </c>
      <c r="GX42" s="109">
        <f t="shared" si="305"/>
        <v>0.61713768115942025</v>
      </c>
      <c r="GY42" s="109">
        <f t="shared" si="305"/>
        <v>0.63309027777777782</v>
      </c>
      <c r="GZ42" s="109">
        <f t="shared" si="305"/>
        <v>0.6477666666666666</v>
      </c>
      <c r="HA42" s="109">
        <f t="shared" si="305"/>
        <v>0.6613141025641025</v>
      </c>
      <c r="HB42" s="109">
        <f t="shared" si="305"/>
        <v>0.67385802469135803</v>
      </c>
      <c r="HC42" s="109">
        <f t="shared" si="305"/>
        <v>0.68550595238095235</v>
      </c>
      <c r="HD42" s="109">
        <f t="shared" si="305"/>
        <v>0.69635057471264372</v>
      </c>
      <c r="HE42" s="109">
        <f t="shared" si="305"/>
        <v>0.70647222222222217</v>
      </c>
      <c r="HF42" s="109">
        <f t="shared" si="305"/>
        <v>0.69555107526881721</v>
      </c>
      <c r="HG42" s="109">
        <f t="shared" si="305"/>
        <v>1</v>
      </c>
      <c r="HH42" s="109">
        <f t="shared" si="305"/>
        <v>1</v>
      </c>
      <c r="HI42" s="109">
        <f t="shared" si="305"/>
        <v>1</v>
      </c>
      <c r="HJ42" s="109">
        <f t="shared" si="305"/>
        <v>1</v>
      </c>
      <c r="HK42" s="109">
        <f t="shared" si="305"/>
        <v>1</v>
      </c>
      <c r="HL42" s="109">
        <f t="shared" si="305"/>
        <v>1</v>
      </c>
      <c r="HM42" s="109">
        <f t="shared" si="305"/>
        <v>1</v>
      </c>
      <c r="HN42" s="109">
        <f t="shared" si="305"/>
        <v>1</v>
      </c>
      <c r="HO42" s="109">
        <f t="shared" si="305"/>
        <v>1</v>
      </c>
      <c r="HP42" s="109">
        <f t="shared" si="305"/>
        <v>1</v>
      </c>
      <c r="HQ42" s="109">
        <f t="shared" si="305"/>
        <v>1</v>
      </c>
      <c r="HR42" s="109">
        <f t="shared" si="305"/>
        <v>1</v>
      </c>
      <c r="HS42" s="109">
        <f t="shared" si="305"/>
        <v>1</v>
      </c>
      <c r="HT42" s="109">
        <f t="shared" si="305"/>
        <v>1</v>
      </c>
      <c r="HU42" s="109">
        <f t="shared" si="305"/>
        <v>1</v>
      </c>
      <c r="HV42" s="109">
        <f t="shared" si="305"/>
        <v>1</v>
      </c>
      <c r="HW42" s="109">
        <f t="shared" si="305"/>
        <v>0.97533837145969504</v>
      </c>
      <c r="HX42" s="109">
        <f t="shared" si="305"/>
        <v>0.97670846193415639</v>
      </c>
      <c r="HY42" s="109">
        <f t="shared" si="305"/>
        <v>0.97768457602339176</v>
      </c>
      <c r="HZ42" s="109">
        <f t="shared" si="305"/>
        <v>0.95167187499999994</v>
      </c>
      <c r="IA42" s="109">
        <f t="shared" si="305"/>
        <v>0.95397321428571424</v>
      </c>
      <c r="IB42" s="109">
        <f t="shared" si="305"/>
        <v>0.9560653409090909</v>
      </c>
      <c r="IC42" s="109">
        <f t="shared" si="305"/>
        <v>0.95797554347826086</v>
      </c>
      <c r="ID42" s="109">
        <f t="shared" si="305"/>
        <v>0.95338975694444439</v>
      </c>
      <c r="IE42" s="109">
        <f t="shared" si="305"/>
        <v>0.95525416666666663</v>
      </c>
      <c r="IF42" s="109">
        <f t="shared" si="305"/>
        <v>0.95697516025641027</v>
      </c>
      <c r="IG42" s="109">
        <f t="shared" si="305"/>
        <v>0.9585686728395062</v>
      </c>
      <c r="IH42" s="109">
        <f t="shared" si="305"/>
        <v>0.96004836309523811</v>
      </c>
      <c r="II42" s="109">
        <f t="shared" si="305"/>
        <v>0.96142600574712644</v>
      </c>
      <c r="IJ42" s="109">
        <f t="shared" si="305"/>
        <v>0.96271180555555558</v>
      </c>
      <c r="IK42" s="109">
        <f t="shared" si="305"/>
        <v>0.96391465053763437</v>
      </c>
      <c r="IL42" s="109">
        <f t="shared" si="305"/>
        <v>0.83839120370370368</v>
      </c>
      <c r="IM42" s="109">
        <f t="shared" si="305"/>
        <v>0.9191956018518519</v>
      </c>
      <c r="IN42" s="109">
        <f t="shared" si="305"/>
        <v>0.94613040123456793</v>
      </c>
      <c r="IO42" s="109">
        <f t="shared" si="305"/>
        <v>0.95959780092592595</v>
      </c>
      <c r="IP42" s="109">
        <f t="shared" si="305"/>
        <v>0.96767824074074071</v>
      </c>
      <c r="IQ42" s="109">
        <f t="shared" si="305"/>
        <v>0.97306520061728397</v>
      </c>
      <c r="IR42" s="109">
        <f t="shared" ref="IR42:LC42" si="306">IF(OR(IR$13="",IR$17="",IR$14="",IR$15="",IR$16="",IR$18="",IR$19="",IR$20="",IR$21=""),"",1-(IR68/(IR$5)))</f>
        <v>0.96885416666666668</v>
      </c>
      <c r="IS42" s="109">
        <f t="shared" si="306"/>
        <v>0.95158709490740745</v>
      </c>
      <c r="IT42" s="109">
        <f t="shared" si="306"/>
        <v>0.86741255144032925</v>
      </c>
      <c r="IU42" s="109">
        <f t="shared" si="306"/>
        <v>0.78120833333333328</v>
      </c>
      <c r="IV42" s="109">
        <f t="shared" si="306"/>
        <v>0.71018939393939395</v>
      </c>
      <c r="IW42" s="109">
        <f t="shared" si="306"/>
        <v>0.6510069444444444</v>
      </c>
      <c r="IX42" s="109">
        <f t="shared" si="306"/>
        <v>0.60092948717948724</v>
      </c>
      <c r="IY42" s="109">
        <f t="shared" si="306"/>
        <v>0.58417162698412706</v>
      </c>
      <c r="IZ42" s="109">
        <f t="shared" si="306"/>
        <v>0.61189351851851859</v>
      </c>
      <c r="JA42" s="109">
        <f t="shared" si="306"/>
        <v>0.63615017361111104</v>
      </c>
      <c r="JB42" s="109">
        <f t="shared" si="306"/>
        <v>0.65755310457516347</v>
      </c>
      <c r="JC42" s="109">
        <f t="shared" si="306"/>
        <v>0.67657793209876549</v>
      </c>
      <c r="JD42" s="109">
        <f t="shared" si="306"/>
        <v>0.69360014619883037</v>
      </c>
      <c r="JE42" s="109">
        <f t="shared" si="306"/>
        <v>0.70378587962962968</v>
      </c>
      <c r="JF42" s="109">
        <f t="shared" si="306"/>
        <v>0.71789131393298056</v>
      </c>
      <c r="JG42" s="109">
        <f t="shared" si="306"/>
        <v>0.73071443602693598</v>
      </c>
      <c r="JH42" s="109">
        <f t="shared" si="306"/>
        <v>0.74242250402576493</v>
      </c>
      <c r="JI42" s="109">
        <f t="shared" si="306"/>
        <v>0.75306471836419753</v>
      </c>
      <c r="JJ42" s="109">
        <f t="shared" si="306"/>
        <v>0.76220601851851855</v>
      </c>
      <c r="JK42" s="109">
        <f t="shared" si="306"/>
        <v>0.77102875712250718</v>
      </c>
      <c r="JL42" s="109">
        <f t="shared" si="306"/>
        <v>0.7795091735253773</v>
      </c>
      <c r="JM42" s="109">
        <f t="shared" si="306"/>
        <v>0.78738384589947097</v>
      </c>
      <c r="JN42" s="109">
        <f t="shared" si="306"/>
        <v>0.78163354086845471</v>
      </c>
      <c r="JO42" s="109">
        <f t="shared" si="306"/>
        <v>0.78752353395061736</v>
      </c>
      <c r="JP42" s="109">
        <f t="shared" si="306"/>
        <v>0.89781250000000001</v>
      </c>
      <c r="JQ42" s="109">
        <f t="shared" si="306"/>
        <v>0.92807291666666669</v>
      </c>
      <c r="JR42" s="109">
        <f t="shared" si="306"/>
        <v>0.85829861111111105</v>
      </c>
      <c r="JS42" s="109">
        <f t="shared" si="306"/>
        <v>0.86247395833333329</v>
      </c>
      <c r="JT42" s="109">
        <f t="shared" si="306"/>
        <v>0.87597916666666664</v>
      </c>
      <c r="JU42" s="109">
        <f t="shared" si="306"/>
        <v>0.89664930555555555</v>
      </c>
      <c r="JV42" s="109">
        <f t="shared" si="306"/>
        <v>0.91052083333333333</v>
      </c>
      <c r="JW42" s="109">
        <f t="shared" si="306"/>
        <v>0.92170572916666671</v>
      </c>
      <c r="JX42" s="109">
        <f t="shared" si="306"/>
        <v>0.93040509259259263</v>
      </c>
      <c r="JY42" s="109">
        <f t="shared" si="306"/>
        <v>0.93736458333333328</v>
      </c>
      <c r="JZ42" s="109">
        <f t="shared" si="306"/>
        <v>0.94305871212121217</v>
      </c>
      <c r="KA42" s="109">
        <f t="shared" si="306"/>
        <v>0.94780381944444447</v>
      </c>
      <c r="KB42" s="109">
        <f t="shared" si="306"/>
        <v>0.9518189102564103</v>
      </c>
      <c r="KC42" s="109">
        <f t="shared" si="306"/>
        <v>0.95526041666666672</v>
      </c>
      <c r="KD42" s="109">
        <f t="shared" si="306"/>
        <v>0.95824305555555556</v>
      </c>
      <c r="KE42" s="109">
        <f t="shared" si="306"/>
        <v>0.9608528645833333</v>
      </c>
      <c r="KF42" s="109">
        <f t="shared" si="306"/>
        <v>0.96315563725490194</v>
      </c>
      <c r="KG42" s="109">
        <f t="shared" si="306"/>
        <v>0.96520254629629632</v>
      </c>
      <c r="KH42" s="109">
        <f t="shared" si="306"/>
        <v>0.96703399122807021</v>
      </c>
      <c r="KI42" s="109">
        <f t="shared" si="306"/>
        <v>0.96868229166666664</v>
      </c>
      <c r="KJ42" s="109">
        <f t="shared" si="306"/>
        <v>0.97017361111111111</v>
      </c>
      <c r="KK42" s="109">
        <f t="shared" si="306"/>
        <v>0.97152935606060609</v>
      </c>
      <c r="KL42" s="109">
        <f t="shared" si="306"/>
        <v>0.97276721014492751</v>
      </c>
      <c r="KM42" s="109">
        <f t="shared" si="306"/>
        <v>0.97390190972222224</v>
      </c>
      <c r="KN42" s="109">
        <f t="shared" si="306"/>
        <v>0.97494583333333329</v>
      </c>
      <c r="KO42" s="109">
        <f t="shared" si="306"/>
        <v>0.97590945512820515</v>
      </c>
      <c r="KP42" s="109">
        <f t="shared" si="306"/>
        <v>0.97680169753086421</v>
      </c>
      <c r="KQ42" s="109">
        <f t="shared" si="306"/>
        <v>0.97763020833333336</v>
      </c>
      <c r="KR42" s="109">
        <f t="shared" si="306"/>
        <v>0.9784015804597701</v>
      </c>
      <c r="KS42" s="109">
        <f t="shared" si="306"/>
        <v>0.97912152777777783</v>
      </c>
      <c r="KT42" s="109">
        <f t="shared" si="306"/>
        <v>0.97979502688172038</v>
      </c>
      <c r="KU42" s="109" t="str">
        <f t="shared" si="306"/>
        <v/>
      </c>
      <c r="KV42" s="109" t="str">
        <f t="shared" si="306"/>
        <v/>
      </c>
      <c r="KW42" s="109" t="str">
        <f t="shared" si="306"/>
        <v/>
      </c>
      <c r="KX42" s="109" t="str">
        <f t="shared" si="306"/>
        <v/>
      </c>
      <c r="KY42" s="109" t="str">
        <f t="shared" si="306"/>
        <v/>
      </c>
      <c r="KZ42" s="109" t="str">
        <f t="shared" si="306"/>
        <v/>
      </c>
      <c r="LA42" s="109" t="str">
        <f t="shared" si="306"/>
        <v/>
      </c>
      <c r="LB42" s="109" t="str">
        <f t="shared" si="306"/>
        <v/>
      </c>
      <c r="LC42" s="109" t="str">
        <f t="shared" si="306"/>
        <v/>
      </c>
      <c r="LD42" s="109" t="str">
        <f t="shared" ref="LD42:NO42" si="307">IF(OR(LD$13="",LD$17="",LD$14="",LD$15="",LD$16="",LD$18="",LD$19="",LD$20="",LD$21=""),"",1-(LD68/(LD$5)))</f>
        <v/>
      </c>
      <c r="LE42" s="109" t="str">
        <f t="shared" si="307"/>
        <v/>
      </c>
      <c r="LF42" s="109" t="str">
        <f t="shared" si="307"/>
        <v/>
      </c>
      <c r="LG42" s="109" t="str">
        <f t="shared" si="307"/>
        <v/>
      </c>
      <c r="LH42" s="109" t="str">
        <f t="shared" si="307"/>
        <v/>
      </c>
      <c r="LI42" s="109" t="str">
        <f t="shared" si="307"/>
        <v/>
      </c>
      <c r="LJ42" s="109" t="str">
        <f t="shared" si="307"/>
        <v/>
      </c>
      <c r="LK42" s="109" t="str">
        <f t="shared" si="307"/>
        <v/>
      </c>
      <c r="LL42" s="109" t="str">
        <f t="shared" si="307"/>
        <v/>
      </c>
      <c r="LM42" s="109" t="str">
        <f t="shared" si="307"/>
        <v/>
      </c>
      <c r="LN42" s="109" t="str">
        <f t="shared" si="307"/>
        <v/>
      </c>
      <c r="LO42" s="109" t="str">
        <f t="shared" si="307"/>
        <v/>
      </c>
      <c r="LP42" s="109" t="str">
        <f t="shared" si="307"/>
        <v/>
      </c>
      <c r="LQ42" s="109" t="str">
        <f t="shared" si="307"/>
        <v/>
      </c>
      <c r="LR42" s="109" t="str">
        <f t="shared" si="307"/>
        <v/>
      </c>
      <c r="LS42" s="109" t="str">
        <f t="shared" si="307"/>
        <v/>
      </c>
      <c r="LT42" s="109" t="str">
        <f t="shared" si="307"/>
        <v/>
      </c>
      <c r="LU42" s="109" t="str">
        <f t="shared" si="307"/>
        <v/>
      </c>
      <c r="LV42" s="109" t="str">
        <f t="shared" si="307"/>
        <v/>
      </c>
      <c r="LW42" s="109" t="str">
        <f t="shared" si="307"/>
        <v/>
      </c>
      <c r="LX42" s="109" t="str">
        <f t="shared" si="307"/>
        <v/>
      </c>
      <c r="LY42" s="109" t="str">
        <f t="shared" si="307"/>
        <v/>
      </c>
      <c r="LZ42" s="109" t="str">
        <f t="shared" si="307"/>
        <v/>
      </c>
      <c r="MA42" s="109" t="str">
        <f t="shared" si="307"/>
        <v/>
      </c>
      <c r="MB42" s="109" t="str">
        <f t="shared" si="307"/>
        <v/>
      </c>
      <c r="MC42" s="109" t="str">
        <f t="shared" si="307"/>
        <v/>
      </c>
      <c r="MD42" s="109" t="str">
        <f t="shared" si="307"/>
        <v/>
      </c>
      <c r="ME42" s="109" t="str">
        <f t="shared" si="307"/>
        <v/>
      </c>
      <c r="MF42" s="109" t="str">
        <f t="shared" si="307"/>
        <v/>
      </c>
      <c r="MG42" s="109" t="str">
        <f t="shared" si="307"/>
        <v/>
      </c>
      <c r="MH42" s="109" t="str">
        <f t="shared" si="307"/>
        <v/>
      </c>
      <c r="MI42" s="109" t="str">
        <f t="shared" si="307"/>
        <v/>
      </c>
      <c r="MJ42" s="109" t="str">
        <f t="shared" si="307"/>
        <v/>
      </c>
      <c r="MK42" s="109" t="str">
        <f t="shared" si="307"/>
        <v/>
      </c>
      <c r="ML42" s="109" t="str">
        <f t="shared" si="307"/>
        <v/>
      </c>
      <c r="MM42" s="109" t="str">
        <f t="shared" si="307"/>
        <v/>
      </c>
      <c r="MN42" s="109" t="str">
        <f t="shared" si="307"/>
        <v/>
      </c>
      <c r="MO42" s="109" t="str">
        <f t="shared" si="307"/>
        <v/>
      </c>
      <c r="MP42" s="109" t="str">
        <f t="shared" si="307"/>
        <v/>
      </c>
      <c r="MQ42" s="109" t="str">
        <f t="shared" si="307"/>
        <v/>
      </c>
      <c r="MR42" s="109" t="str">
        <f t="shared" si="307"/>
        <v/>
      </c>
      <c r="MS42" s="109" t="str">
        <f t="shared" si="307"/>
        <v/>
      </c>
      <c r="MT42" s="109" t="str">
        <f t="shared" si="307"/>
        <v/>
      </c>
      <c r="MU42" s="109" t="str">
        <f t="shared" si="307"/>
        <v/>
      </c>
      <c r="MV42" s="109" t="str">
        <f t="shared" si="307"/>
        <v/>
      </c>
      <c r="MW42" s="109" t="str">
        <f t="shared" si="307"/>
        <v/>
      </c>
      <c r="MX42" s="109" t="str">
        <f t="shared" si="307"/>
        <v/>
      </c>
      <c r="MY42" s="109" t="str">
        <f t="shared" si="307"/>
        <v/>
      </c>
      <c r="MZ42" s="109" t="str">
        <f t="shared" si="307"/>
        <v/>
      </c>
      <c r="NA42" s="109" t="str">
        <f t="shared" si="307"/>
        <v/>
      </c>
      <c r="NB42" s="109" t="str">
        <f t="shared" si="307"/>
        <v/>
      </c>
      <c r="NC42" s="109" t="str">
        <f t="shared" si="307"/>
        <v/>
      </c>
      <c r="ND42" s="109" t="str">
        <f t="shared" si="307"/>
        <v/>
      </c>
      <c r="NE42" s="109" t="str">
        <f t="shared" si="307"/>
        <v/>
      </c>
      <c r="NF42" s="109" t="str">
        <f t="shared" si="307"/>
        <v/>
      </c>
      <c r="NG42" s="109" t="str">
        <f t="shared" si="307"/>
        <v/>
      </c>
      <c r="NH42" s="109" t="str">
        <f t="shared" si="307"/>
        <v/>
      </c>
      <c r="NI42" s="109" t="str">
        <f t="shared" si="307"/>
        <v/>
      </c>
      <c r="NJ42" s="109" t="str">
        <f t="shared" si="307"/>
        <v/>
      </c>
      <c r="NK42" s="109" t="str">
        <f t="shared" si="307"/>
        <v/>
      </c>
      <c r="NL42" s="109" t="str">
        <f t="shared" si="307"/>
        <v/>
      </c>
      <c r="NM42" s="109" t="str">
        <f t="shared" si="307"/>
        <v/>
      </c>
      <c r="NN42" s="109" t="str">
        <f t="shared" si="307"/>
        <v/>
      </c>
      <c r="NO42" s="109" t="str">
        <f t="shared" si="307"/>
        <v/>
      </c>
      <c r="NP42" s="109" t="str">
        <f t="shared" ref="NP42:QA42" si="308">IF(OR(NP$13="",NP$17="",NP$14="",NP$15="",NP$16="",NP$18="",NP$19="",NP$20="",NP$21=""),"",1-(NP68/(NP$5)))</f>
        <v/>
      </c>
      <c r="NQ42" s="109" t="str">
        <f t="shared" si="308"/>
        <v/>
      </c>
      <c r="NR42" s="109" t="str">
        <f t="shared" si="308"/>
        <v/>
      </c>
      <c r="NS42" s="109" t="str">
        <f t="shared" si="308"/>
        <v/>
      </c>
      <c r="NT42" s="109" t="str">
        <f t="shared" si="308"/>
        <v/>
      </c>
      <c r="NU42" s="109" t="str">
        <f t="shared" si="308"/>
        <v/>
      </c>
      <c r="NV42" s="109" t="str">
        <f t="shared" si="308"/>
        <v/>
      </c>
      <c r="NW42" s="109" t="str">
        <f t="shared" si="308"/>
        <v/>
      </c>
      <c r="NX42" s="109" t="str">
        <f t="shared" si="308"/>
        <v/>
      </c>
      <c r="NY42" s="109" t="str">
        <f t="shared" si="308"/>
        <v/>
      </c>
      <c r="NZ42" s="109" t="str">
        <f t="shared" si="308"/>
        <v/>
      </c>
      <c r="OA42" s="109" t="str">
        <f t="shared" si="308"/>
        <v/>
      </c>
      <c r="OB42" s="109" t="str">
        <f t="shared" si="308"/>
        <v/>
      </c>
      <c r="OC42" s="109" t="str">
        <f t="shared" si="308"/>
        <v/>
      </c>
      <c r="OD42" s="109" t="str">
        <f t="shared" si="308"/>
        <v/>
      </c>
      <c r="OE42" s="109" t="str">
        <f t="shared" si="308"/>
        <v/>
      </c>
      <c r="OF42" s="109" t="str">
        <f t="shared" si="308"/>
        <v/>
      </c>
      <c r="OG42" s="109" t="str">
        <f t="shared" si="308"/>
        <v/>
      </c>
      <c r="OH42" s="109" t="str">
        <f t="shared" si="308"/>
        <v/>
      </c>
      <c r="OI42" s="109" t="str">
        <f t="shared" si="308"/>
        <v/>
      </c>
      <c r="OJ42" s="109" t="str">
        <f t="shared" si="308"/>
        <v/>
      </c>
      <c r="OK42" s="109" t="str">
        <f t="shared" si="308"/>
        <v/>
      </c>
      <c r="OL42" s="109" t="str">
        <f t="shared" si="308"/>
        <v/>
      </c>
      <c r="OM42" s="109" t="str">
        <f t="shared" si="308"/>
        <v/>
      </c>
      <c r="ON42" s="109" t="str">
        <f t="shared" si="308"/>
        <v/>
      </c>
      <c r="OO42" s="109" t="str">
        <f t="shared" si="308"/>
        <v/>
      </c>
      <c r="OP42" s="109" t="str">
        <f t="shared" si="308"/>
        <v/>
      </c>
      <c r="OQ42" s="109" t="str">
        <f t="shared" si="308"/>
        <v/>
      </c>
      <c r="OR42" s="109" t="str">
        <f t="shared" si="308"/>
        <v/>
      </c>
      <c r="OS42" s="109" t="str">
        <f t="shared" si="308"/>
        <v/>
      </c>
      <c r="OT42" s="109" t="str">
        <f t="shared" si="308"/>
        <v/>
      </c>
      <c r="OU42" s="109" t="str">
        <f t="shared" si="308"/>
        <v/>
      </c>
      <c r="OV42" s="109" t="str">
        <f t="shared" si="308"/>
        <v/>
      </c>
      <c r="OW42" s="109" t="str">
        <f t="shared" si="308"/>
        <v/>
      </c>
      <c r="OX42" s="109" t="str">
        <f t="shared" si="308"/>
        <v/>
      </c>
      <c r="OY42" s="109" t="str">
        <f t="shared" si="308"/>
        <v/>
      </c>
      <c r="OZ42" s="109" t="str">
        <f t="shared" si="308"/>
        <v/>
      </c>
      <c r="PA42" s="109" t="str">
        <f t="shared" si="308"/>
        <v/>
      </c>
      <c r="PB42" s="109" t="str">
        <f t="shared" si="308"/>
        <v/>
      </c>
      <c r="PC42" s="109" t="str">
        <f t="shared" si="308"/>
        <v/>
      </c>
      <c r="PD42" s="109" t="str">
        <f t="shared" si="308"/>
        <v/>
      </c>
      <c r="PE42" s="109" t="str">
        <f t="shared" si="308"/>
        <v/>
      </c>
      <c r="PF42" s="109" t="str">
        <f t="shared" si="308"/>
        <v/>
      </c>
      <c r="PG42" s="109" t="str">
        <f t="shared" si="308"/>
        <v/>
      </c>
      <c r="PH42" s="109" t="str">
        <f t="shared" si="308"/>
        <v/>
      </c>
      <c r="PI42" s="109" t="str">
        <f t="shared" si="308"/>
        <v/>
      </c>
      <c r="PJ42" s="109" t="str">
        <f t="shared" si="308"/>
        <v/>
      </c>
      <c r="PK42" s="109" t="str">
        <f t="shared" si="308"/>
        <v/>
      </c>
      <c r="PL42" s="109" t="str">
        <f t="shared" si="308"/>
        <v/>
      </c>
      <c r="PM42" s="109" t="str">
        <f t="shared" si="308"/>
        <v/>
      </c>
      <c r="PN42" s="109" t="str">
        <f t="shared" si="308"/>
        <v/>
      </c>
      <c r="PO42" s="109" t="str">
        <f t="shared" si="308"/>
        <v/>
      </c>
      <c r="PP42" s="109" t="str">
        <f t="shared" si="308"/>
        <v/>
      </c>
      <c r="PQ42" s="109" t="str">
        <f t="shared" si="308"/>
        <v/>
      </c>
      <c r="PR42" s="109" t="str">
        <f t="shared" si="308"/>
        <v/>
      </c>
      <c r="PS42" s="109" t="str">
        <f t="shared" si="308"/>
        <v/>
      </c>
      <c r="PT42" s="109" t="str">
        <f t="shared" si="308"/>
        <v/>
      </c>
      <c r="PU42" s="109" t="str">
        <f t="shared" si="308"/>
        <v/>
      </c>
      <c r="PV42" s="109" t="str">
        <f t="shared" si="308"/>
        <v/>
      </c>
      <c r="PW42" s="109" t="str">
        <f t="shared" si="308"/>
        <v/>
      </c>
      <c r="PX42" s="109" t="str">
        <f t="shared" si="308"/>
        <v/>
      </c>
      <c r="PY42" s="109" t="str">
        <f t="shared" si="308"/>
        <v/>
      </c>
      <c r="PZ42" s="109" t="str">
        <f t="shared" si="308"/>
        <v/>
      </c>
      <c r="QA42" s="109" t="str">
        <f t="shared" si="308"/>
        <v/>
      </c>
      <c r="QB42" s="109" t="str">
        <f t="shared" ref="QB42:SM42" si="309">IF(OR(QB$13="",QB$17="",QB$14="",QB$15="",QB$16="",QB$18="",QB$19="",QB$20="",QB$21=""),"",1-(QB68/(QB$5)))</f>
        <v/>
      </c>
      <c r="QC42" s="109" t="str">
        <f t="shared" si="309"/>
        <v/>
      </c>
      <c r="QD42" s="109" t="str">
        <f t="shared" si="309"/>
        <v/>
      </c>
      <c r="QE42" s="109" t="str">
        <f t="shared" si="309"/>
        <v/>
      </c>
      <c r="QF42" s="109" t="str">
        <f t="shared" si="309"/>
        <v/>
      </c>
      <c r="QG42" s="109" t="str">
        <f t="shared" si="309"/>
        <v/>
      </c>
      <c r="QH42" s="109" t="str">
        <f t="shared" si="309"/>
        <v/>
      </c>
      <c r="QI42" s="109" t="str">
        <f t="shared" si="309"/>
        <v/>
      </c>
      <c r="QJ42" s="109" t="str">
        <f t="shared" si="309"/>
        <v/>
      </c>
      <c r="QK42" s="109" t="str">
        <f t="shared" si="309"/>
        <v/>
      </c>
      <c r="QL42" s="109" t="str">
        <f t="shared" si="309"/>
        <v/>
      </c>
      <c r="QM42" s="109" t="str">
        <f t="shared" si="309"/>
        <v/>
      </c>
      <c r="QN42" s="109" t="str">
        <f t="shared" si="309"/>
        <v/>
      </c>
      <c r="QO42" s="109" t="str">
        <f t="shared" si="309"/>
        <v/>
      </c>
      <c r="QP42" s="109" t="str">
        <f t="shared" si="309"/>
        <v/>
      </c>
      <c r="QQ42" s="109" t="str">
        <f t="shared" si="309"/>
        <v/>
      </c>
      <c r="QR42" s="109" t="str">
        <f t="shared" si="309"/>
        <v/>
      </c>
      <c r="QS42" s="109" t="str">
        <f t="shared" si="309"/>
        <v/>
      </c>
      <c r="QT42" s="109" t="str">
        <f t="shared" si="309"/>
        <v/>
      </c>
      <c r="QU42" s="109" t="str">
        <f t="shared" si="309"/>
        <v/>
      </c>
      <c r="QV42" s="109" t="str">
        <f t="shared" si="309"/>
        <v/>
      </c>
      <c r="QW42" s="109" t="str">
        <f t="shared" si="309"/>
        <v/>
      </c>
      <c r="QX42" s="109" t="str">
        <f t="shared" si="309"/>
        <v/>
      </c>
      <c r="QY42" s="109" t="str">
        <f t="shared" si="309"/>
        <v/>
      </c>
      <c r="QZ42" s="109" t="str">
        <f t="shared" si="309"/>
        <v/>
      </c>
      <c r="RA42" s="109" t="str">
        <f t="shared" si="309"/>
        <v/>
      </c>
      <c r="RB42" s="109" t="str">
        <f t="shared" si="309"/>
        <v/>
      </c>
      <c r="RC42" s="109" t="str">
        <f t="shared" si="309"/>
        <v/>
      </c>
      <c r="RD42" s="109" t="str">
        <f t="shared" si="309"/>
        <v/>
      </c>
      <c r="RE42" s="109" t="str">
        <f t="shared" si="309"/>
        <v/>
      </c>
      <c r="RF42" s="109" t="str">
        <f t="shared" si="309"/>
        <v/>
      </c>
      <c r="RG42" s="109" t="str">
        <f t="shared" si="309"/>
        <v/>
      </c>
      <c r="RH42" s="109" t="str">
        <f t="shared" si="309"/>
        <v/>
      </c>
      <c r="RI42" s="109" t="str">
        <f t="shared" si="309"/>
        <v/>
      </c>
      <c r="RJ42" s="109" t="str">
        <f t="shared" si="309"/>
        <v/>
      </c>
      <c r="RK42" s="109" t="str">
        <f t="shared" si="309"/>
        <v/>
      </c>
      <c r="RL42" s="109" t="str">
        <f t="shared" si="309"/>
        <v/>
      </c>
      <c r="RM42" s="109" t="str">
        <f t="shared" si="309"/>
        <v/>
      </c>
      <c r="RN42" s="109" t="str">
        <f t="shared" si="309"/>
        <v/>
      </c>
      <c r="RO42" s="109" t="str">
        <f t="shared" si="309"/>
        <v/>
      </c>
      <c r="RP42" s="109" t="str">
        <f t="shared" si="309"/>
        <v/>
      </c>
      <c r="RQ42" s="109" t="str">
        <f t="shared" si="309"/>
        <v/>
      </c>
      <c r="RR42" s="109" t="str">
        <f t="shared" si="309"/>
        <v/>
      </c>
      <c r="RS42" s="109" t="str">
        <f t="shared" si="309"/>
        <v/>
      </c>
      <c r="RT42" s="109" t="str">
        <f t="shared" si="309"/>
        <v/>
      </c>
      <c r="RU42" s="109" t="str">
        <f t="shared" si="309"/>
        <v/>
      </c>
      <c r="RV42" s="109" t="str">
        <f t="shared" si="309"/>
        <v/>
      </c>
      <c r="RW42" s="109" t="str">
        <f t="shared" si="309"/>
        <v/>
      </c>
      <c r="RX42" s="109" t="str">
        <f t="shared" si="309"/>
        <v/>
      </c>
      <c r="RY42" s="109" t="str">
        <f t="shared" si="309"/>
        <v/>
      </c>
      <c r="RZ42" s="109" t="str">
        <f t="shared" si="309"/>
        <v/>
      </c>
      <c r="SA42" s="109" t="str">
        <f t="shared" si="309"/>
        <v/>
      </c>
      <c r="SB42" s="109" t="str">
        <f t="shared" si="309"/>
        <v/>
      </c>
      <c r="SC42" s="109" t="str">
        <f t="shared" si="309"/>
        <v/>
      </c>
      <c r="SD42" s="109" t="str">
        <f t="shared" si="309"/>
        <v/>
      </c>
      <c r="SE42" s="109" t="str">
        <f t="shared" si="309"/>
        <v/>
      </c>
      <c r="SF42" s="109" t="str">
        <f t="shared" si="309"/>
        <v/>
      </c>
      <c r="SG42" s="109" t="str">
        <f t="shared" si="309"/>
        <v/>
      </c>
      <c r="SH42" s="109" t="str">
        <f t="shared" si="309"/>
        <v/>
      </c>
      <c r="SI42" s="109" t="str">
        <f t="shared" si="309"/>
        <v/>
      </c>
      <c r="SJ42" s="109" t="str">
        <f t="shared" si="309"/>
        <v/>
      </c>
      <c r="SK42" s="109" t="str">
        <f t="shared" si="309"/>
        <v/>
      </c>
      <c r="SL42" s="109" t="str">
        <f t="shared" si="309"/>
        <v/>
      </c>
      <c r="SM42" s="109" t="str">
        <f t="shared" si="309"/>
        <v/>
      </c>
      <c r="SN42" s="109" t="str">
        <f t="shared" ref="SN42:SW42" si="310">IF(OR(SN$13="",SN$17="",SN$14="",SN$15="",SN$16="",SN$18="",SN$19="",SN$20="",SN$21=""),"",1-(SN68/(SN$5)))</f>
        <v/>
      </c>
      <c r="SO42" s="109" t="str">
        <f t="shared" si="310"/>
        <v/>
      </c>
      <c r="SP42" s="109" t="str">
        <f t="shared" si="310"/>
        <v/>
      </c>
      <c r="SQ42" s="109" t="str">
        <f t="shared" si="310"/>
        <v/>
      </c>
      <c r="SR42" s="109" t="str">
        <f t="shared" si="310"/>
        <v/>
      </c>
      <c r="SS42" s="109" t="str">
        <f t="shared" si="310"/>
        <v/>
      </c>
      <c r="ST42" s="109" t="str">
        <f t="shared" si="310"/>
        <v/>
      </c>
      <c r="SU42" s="109" t="str">
        <f t="shared" si="310"/>
        <v/>
      </c>
      <c r="SV42" s="109" t="str">
        <f t="shared" si="310"/>
        <v/>
      </c>
      <c r="SW42" s="109" t="str">
        <f t="shared" si="310"/>
        <v/>
      </c>
    </row>
    <row r="43" spans="1:517" ht="24.6" customHeight="1" x14ac:dyDescent="0.2">
      <c r="A43" s="94" t="s">
        <v>86</v>
      </c>
      <c r="B43" s="117" t="s">
        <v>80</v>
      </c>
      <c r="C43" s="109">
        <f t="shared" ref="C43:AH43" si="311">IF(OR(C$13="",C$17="",C$14="",C$15="",C$16="",C$18="",C$19="",C$20="",C$21=""),"",1-(C69/(C$5)))</f>
        <v>1</v>
      </c>
      <c r="D43" s="109">
        <f t="shared" si="311"/>
        <v>1</v>
      </c>
      <c r="E43" s="109">
        <f t="shared" si="311"/>
        <v>1</v>
      </c>
      <c r="F43" s="109">
        <f t="shared" si="311"/>
        <v>1</v>
      </c>
      <c r="G43" s="109">
        <f t="shared" si="311"/>
        <v>1</v>
      </c>
      <c r="H43" s="109">
        <f t="shared" si="311"/>
        <v>1</v>
      </c>
      <c r="I43" s="109">
        <f t="shared" si="311"/>
        <v>1</v>
      </c>
      <c r="J43" s="109">
        <f t="shared" si="311"/>
        <v>1</v>
      </c>
      <c r="K43" s="109">
        <f t="shared" si="311"/>
        <v>1</v>
      </c>
      <c r="L43" s="109">
        <f t="shared" si="311"/>
        <v>1</v>
      </c>
      <c r="M43" s="109">
        <f t="shared" si="311"/>
        <v>1</v>
      </c>
      <c r="N43" s="109">
        <f t="shared" si="311"/>
        <v>1</v>
      </c>
      <c r="O43" s="109">
        <f t="shared" si="311"/>
        <v>1</v>
      </c>
      <c r="P43" s="109">
        <f t="shared" si="311"/>
        <v>1</v>
      </c>
      <c r="Q43" s="109">
        <f t="shared" si="311"/>
        <v>1</v>
      </c>
      <c r="R43" s="109">
        <f t="shared" si="311"/>
        <v>1</v>
      </c>
      <c r="S43" s="109">
        <f t="shared" si="311"/>
        <v>1</v>
      </c>
      <c r="T43" s="109">
        <f t="shared" si="311"/>
        <v>1</v>
      </c>
      <c r="U43" s="109">
        <f t="shared" si="311"/>
        <v>1</v>
      </c>
      <c r="V43" s="109">
        <f t="shared" si="311"/>
        <v>1</v>
      </c>
      <c r="W43" s="109">
        <f t="shared" si="311"/>
        <v>1</v>
      </c>
      <c r="X43" s="109">
        <f t="shared" si="311"/>
        <v>1</v>
      </c>
      <c r="Y43" s="109">
        <f t="shared" si="311"/>
        <v>0.9485507246376812</v>
      </c>
      <c r="Z43" s="109">
        <f t="shared" si="311"/>
        <v>0.9506944444444444</v>
      </c>
      <c r="AA43" s="109">
        <f t="shared" si="311"/>
        <v>0.95266666666666666</v>
      </c>
      <c r="AB43" s="109">
        <f t="shared" si="311"/>
        <v>0.95448717948717943</v>
      </c>
      <c r="AC43" s="109">
        <f t="shared" si="311"/>
        <v>0.95617283950617282</v>
      </c>
      <c r="AD43" s="109">
        <f t="shared" si="311"/>
        <v>0.95773809523809528</v>
      </c>
      <c r="AE43" s="109">
        <f t="shared" si="311"/>
        <v>0.95919540229885059</v>
      </c>
      <c r="AF43" s="109">
        <f t="shared" si="311"/>
        <v>0.96055555555555561</v>
      </c>
      <c r="AG43" s="109">
        <f t="shared" si="311"/>
        <v>0.95993279569892476</v>
      </c>
      <c r="AH43" s="109">
        <f t="shared" si="311"/>
        <v>1</v>
      </c>
      <c r="AI43" s="109">
        <f t="shared" ref="AI43:BN43" si="312">IF(OR(AI$13="",AI$17="",AI$14="",AI$15="",AI$16="",AI$18="",AI$19="",AI$20="",AI$21=""),"",1-(AI69/(AI$5)))</f>
        <v>0.94208333333333338</v>
      </c>
      <c r="AJ43" s="109">
        <f t="shared" si="312"/>
        <v>0.96138888888888885</v>
      </c>
      <c r="AK43" s="109">
        <f t="shared" si="312"/>
        <v>0.96114583333333337</v>
      </c>
      <c r="AL43" s="109">
        <f t="shared" si="312"/>
        <v>0.95725000000000005</v>
      </c>
      <c r="AM43" s="109">
        <f t="shared" si="312"/>
        <v>0.96437499999999998</v>
      </c>
      <c r="AN43" s="109">
        <f t="shared" si="312"/>
        <v>0.95791666666666664</v>
      </c>
      <c r="AO43" s="109">
        <f t="shared" si="312"/>
        <v>0.94770833333333337</v>
      </c>
      <c r="AP43" s="109">
        <f t="shared" si="312"/>
        <v>0.95351851851851854</v>
      </c>
      <c r="AQ43" s="109">
        <f t="shared" si="312"/>
        <v>0.95816666666666661</v>
      </c>
      <c r="AR43" s="109">
        <f t="shared" si="312"/>
        <v>0.96196969696969692</v>
      </c>
      <c r="AS43" s="109">
        <f t="shared" si="312"/>
        <v>0.96513888888888888</v>
      </c>
      <c r="AT43" s="109">
        <f t="shared" si="312"/>
        <v>0.9588141025641026</v>
      </c>
      <c r="AU43" s="109">
        <f t="shared" si="312"/>
        <v>0.96175595238095235</v>
      </c>
      <c r="AV43" s="109">
        <f t="shared" si="312"/>
        <v>0.90533333333333332</v>
      </c>
      <c r="AW43" s="109">
        <f t="shared" si="312"/>
        <v>0.91125</v>
      </c>
      <c r="AX43" s="109">
        <f t="shared" si="312"/>
        <v>0.91647058823529415</v>
      </c>
      <c r="AY43" s="109">
        <f t="shared" si="312"/>
        <v>0.9211111111111111</v>
      </c>
      <c r="AZ43" s="109">
        <f t="shared" si="312"/>
        <v>0.9174342105263158</v>
      </c>
      <c r="BA43" s="109">
        <f t="shared" si="312"/>
        <v>0.92156250000000006</v>
      </c>
      <c r="BB43" s="109">
        <f t="shared" si="312"/>
        <v>0.92529761904761909</v>
      </c>
      <c r="BC43" s="109">
        <f t="shared" si="312"/>
        <v>0.92869318181818183</v>
      </c>
      <c r="BD43" s="109">
        <f t="shared" si="312"/>
        <v>0.93179347826086956</v>
      </c>
      <c r="BE43" s="109">
        <f t="shared" si="312"/>
        <v>0.93463541666666661</v>
      </c>
      <c r="BF43" s="109">
        <f t="shared" si="312"/>
        <v>0.93725000000000003</v>
      </c>
      <c r="BG43" s="109">
        <f t="shared" si="312"/>
        <v>0.93192307692307697</v>
      </c>
      <c r="BH43" s="109">
        <f t="shared" si="312"/>
        <v>0.93444444444444441</v>
      </c>
      <c r="BI43" s="109">
        <f t="shared" si="312"/>
        <v>0.93678571428571433</v>
      </c>
      <c r="BJ43" s="109">
        <f t="shared" si="312"/>
        <v>1</v>
      </c>
      <c r="BK43" s="109">
        <f t="shared" si="312"/>
        <v>0.68937500000000007</v>
      </c>
      <c r="BL43" s="109">
        <f t="shared" si="312"/>
        <v>0.63277777777777777</v>
      </c>
      <c r="BM43" s="109">
        <f t="shared" si="312"/>
        <v>0.72458333333333336</v>
      </c>
      <c r="BN43" s="109">
        <f t="shared" si="312"/>
        <v>0.58366666666666667</v>
      </c>
      <c r="BO43" s="109">
        <f t="shared" ref="BO43:CT43" si="313">IF(OR(BO$13="",BO$17="",BO$14="",BO$15="",BO$16="",BO$18="",BO$19="",BO$20="",BO$21=""),"",1-(BO69/(BO$5)))</f>
        <v>0.6530555555555555</v>
      </c>
      <c r="BP43" s="109">
        <f t="shared" si="313"/>
        <v>0.70261904761904759</v>
      </c>
      <c r="BQ43" s="109">
        <f t="shared" si="313"/>
        <v>0.73979166666666663</v>
      </c>
      <c r="BR43" s="109">
        <f t="shared" si="313"/>
        <v>0.76870370370370367</v>
      </c>
      <c r="BS43" s="109">
        <f t="shared" si="313"/>
        <v>0.79183333333333339</v>
      </c>
      <c r="BT43" s="109">
        <f t="shared" si="313"/>
        <v>0.81075757575757579</v>
      </c>
      <c r="BU43" s="109">
        <f t="shared" si="313"/>
        <v>0.82315972222222222</v>
      </c>
      <c r="BV43" s="109">
        <f t="shared" si="313"/>
        <v>0.83676282051282058</v>
      </c>
      <c r="BW43" s="109">
        <f t="shared" si="313"/>
        <v>0.84842261904761906</v>
      </c>
      <c r="BX43" s="109">
        <f t="shared" si="313"/>
        <v>0.85852777777777778</v>
      </c>
      <c r="BY43" s="109">
        <f t="shared" si="313"/>
        <v>0.86736979166666672</v>
      </c>
      <c r="BZ43" s="109">
        <f t="shared" si="313"/>
        <v>0.87517156862745094</v>
      </c>
      <c r="CA43" s="109">
        <f t="shared" si="313"/>
        <v>0.88210648148148152</v>
      </c>
      <c r="CB43" s="109">
        <f t="shared" si="313"/>
        <v>0.81631578947368422</v>
      </c>
      <c r="CC43" s="109">
        <f t="shared" si="313"/>
        <v>0.82550000000000001</v>
      </c>
      <c r="CD43" s="109">
        <f t="shared" si="313"/>
        <v>0.83380952380952378</v>
      </c>
      <c r="CE43" s="109">
        <f t="shared" si="313"/>
        <v>0.84136363636363631</v>
      </c>
      <c r="CF43" s="109">
        <f t="shared" si="313"/>
        <v>0.8482608695652174</v>
      </c>
      <c r="CG43" s="109">
        <f t="shared" si="313"/>
        <v>0.85458333333333336</v>
      </c>
      <c r="CH43" s="109">
        <f t="shared" si="313"/>
        <v>0.85923333333333329</v>
      </c>
      <c r="CI43" s="109">
        <f t="shared" si="313"/>
        <v>0.86464743589743587</v>
      </c>
      <c r="CJ43" s="109">
        <f t="shared" si="313"/>
        <v>0.86966049382716049</v>
      </c>
      <c r="CK43" s="109">
        <f t="shared" si="313"/>
        <v>0.87431547619047623</v>
      </c>
      <c r="CL43" s="109">
        <f t="shared" si="313"/>
        <v>0.87864942528735634</v>
      </c>
      <c r="CM43" s="109">
        <f t="shared" si="313"/>
        <v>0.88269444444444445</v>
      </c>
      <c r="CN43" s="109">
        <f t="shared" si="313"/>
        <v>0.88647849462365591</v>
      </c>
      <c r="CO43" s="109">
        <f t="shared" si="313"/>
        <v>5.5416666666666559E-2</v>
      </c>
      <c r="CP43" s="109">
        <f t="shared" si="313"/>
        <v>0.52770833333333322</v>
      </c>
      <c r="CQ43" s="109">
        <f t="shared" si="313"/>
        <v>0.68513888888888885</v>
      </c>
      <c r="CR43" s="109">
        <f t="shared" si="313"/>
        <v>0.76385416666666661</v>
      </c>
      <c r="CS43" s="109">
        <f t="shared" si="313"/>
        <v>0.55125000000000002</v>
      </c>
      <c r="CT43" s="109">
        <f t="shared" si="313"/>
        <v>0.50381944444444438</v>
      </c>
      <c r="CU43" s="109">
        <f t="shared" ref="CU43:DS43" si="314">IF(OR(CU$13="",CU$17="",CU$14="",CU$15="",CU$16="",CU$18="",CU$19="",CU$20="",CU$21=""),"",1-(CU69/(CU$5)))</f>
        <v>0.55029761904761909</v>
      </c>
      <c r="CV43" s="109">
        <f t="shared" si="314"/>
        <v>0.6021875000000001</v>
      </c>
      <c r="CW43" s="109">
        <f t="shared" si="314"/>
        <v>0.6463888888888889</v>
      </c>
      <c r="CX43" s="109">
        <f t="shared" si="314"/>
        <v>0.68175000000000008</v>
      </c>
      <c r="CY43" s="109">
        <f t="shared" si="314"/>
        <v>0.6952272727272728</v>
      </c>
      <c r="CZ43" s="109">
        <f t="shared" si="314"/>
        <v>0.72062500000000007</v>
      </c>
      <c r="DA43" s="109">
        <f t="shared" si="314"/>
        <v>0.74211538461538462</v>
      </c>
      <c r="DB43" s="109">
        <f t="shared" si="314"/>
        <v>0.75398809523809529</v>
      </c>
      <c r="DC43" s="109">
        <f t="shared" si="314"/>
        <v>0.7703888888888889</v>
      </c>
      <c r="DD43" s="109">
        <f t="shared" si="314"/>
        <v>0.78473958333333338</v>
      </c>
      <c r="DE43" s="109">
        <f t="shared" si="314"/>
        <v>0.78485294117647064</v>
      </c>
      <c r="DF43" s="109">
        <f t="shared" si="314"/>
        <v>0.79680555555555554</v>
      </c>
      <c r="DG43" s="109">
        <f t="shared" si="314"/>
        <v>0.8075</v>
      </c>
      <c r="DH43" s="109">
        <f t="shared" si="314"/>
        <v>0.81712499999999999</v>
      </c>
      <c r="DI43" s="109">
        <f t="shared" si="314"/>
        <v>0.82218253968253974</v>
      </c>
      <c r="DJ43" s="109">
        <f t="shared" si="314"/>
        <v>0.83026515151515157</v>
      </c>
      <c r="DK43" s="109">
        <f t="shared" si="314"/>
        <v>0.83507246376811595</v>
      </c>
      <c r="DL43" s="109">
        <f t="shared" si="314"/>
        <v>0.84194444444444438</v>
      </c>
      <c r="DM43" s="109">
        <f t="shared" si="314"/>
        <v>0.84826666666666672</v>
      </c>
      <c r="DN43" s="109">
        <f t="shared" si="314"/>
        <v>0.85410256410256413</v>
      </c>
      <c r="DO43" s="109">
        <f t="shared" si="314"/>
        <v>0.85950617283950614</v>
      </c>
      <c r="DP43" s="109">
        <f t="shared" si="314"/>
        <v>0.85924107142857142</v>
      </c>
      <c r="DQ43" s="109">
        <f t="shared" si="314"/>
        <v>0.86409482758620693</v>
      </c>
      <c r="DR43" s="109">
        <f t="shared" si="314"/>
        <v>0.86862499999999998</v>
      </c>
      <c r="DS43" s="109">
        <f t="shared" si="314"/>
        <v>0.88208333333333333</v>
      </c>
      <c r="DT43" s="109">
        <f t="shared" ref="DT43:GE43" si="315">IF(OR(DT$13="",DT$17="",DT$14="",DT$15="",DT$16="",DT$18="",DT$19="",DT$20="",DT$21=""),"",1-(DT69/(DT$5)))</f>
        <v>0.90125</v>
      </c>
      <c r="DU43" s="109">
        <f t="shared" si="315"/>
        <v>0.86402777777777784</v>
      </c>
      <c r="DV43" s="109">
        <f t="shared" si="315"/>
        <v>0.89802083333333338</v>
      </c>
      <c r="DW43" s="109">
        <f t="shared" si="315"/>
        <v>0.91841666666666666</v>
      </c>
      <c r="DX43" s="109">
        <f t="shared" si="315"/>
        <v>0.91013888888888883</v>
      </c>
      <c r="DY43" s="109">
        <f t="shared" si="315"/>
        <v>0.8956547619047619</v>
      </c>
      <c r="DZ43" s="109">
        <f t="shared" si="315"/>
        <v>0.85729166666666667</v>
      </c>
      <c r="EA43" s="109">
        <f t="shared" si="315"/>
        <v>0.87314814814814812</v>
      </c>
      <c r="EB43" s="109">
        <f t="shared" si="315"/>
        <v>0.88583333333333336</v>
      </c>
      <c r="EC43" s="109">
        <f t="shared" si="315"/>
        <v>0.89621212121212124</v>
      </c>
      <c r="ED43" s="109">
        <f t="shared" si="315"/>
        <v>0.90486111111111112</v>
      </c>
      <c r="EE43" s="109">
        <f t="shared" si="315"/>
        <v>0.91217948717948716</v>
      </c>
      <c r="EF43" s="109">
        <f t="shared" si="315"/>
        <v>0.91845238095238091</v>
      </c>
      <c r="EG43" s="109">
        <f t="shared" si="315"/>
        <v>0.92388888888888887</v>
      </c>
      <c r="EH43" s="109">
        <f t="shared" si="315"/>
        <v>0.92864583333333328</v>
      </c>
      <c r="EI43" s="109">
        <f t="shared" si="315"/>
        <v>0.875</v>
      </c>
      <c r="EJ43" s="109">
        <f t="shared" si="315"/>
        <v>0.88194444444444442</v>
      </c>
      <c r="EK43" s="109">
        <f t="shared" si="315"/>
        <v>0.88815789473684215</v>
      </c>
      <c r="EL43" s="109">
        <f t="shared" si="315"/>
        <v>0.85420833333333335</v>
      </c>
      <c r="EM43" s="109">
        <f t="shared" si="315"/>
        <v>0.85992063492063486</v>
      </c>
      <c r="EN43" s="109">
        <f t="shared" si="315"/>
        <v>0.86628787878787872</v>
      </c>
      <c r="EO43" s="109">
        <f t="shared" si="315"/>
        <v>0.86498188405797105</v>
      </c>
      <c r="EP43" s="109">
        <f t="shared" si="315"/>
        <v>0.87060763888888881</v>
      </c>
      <c r="EQ43" s="109">
        <f t="shared" si="315"/>
        <v>0.87014999999999998</v>
      </c>
      <c r="ER43" s="109">
        <f t="shared" si="315"/>
        <v>0.87514423076923076</v>
      </c>
      <c r="ES43" s="109">
        <f t="shared" si="315"/>
        <v>0.87598765432098769</v>
      </c>
      <c r="ET43" s="109">
        <f t="shared" si="315"/>
        <v>0.88041666666666663</v>
      </c>
      <c r="EU43" s="109">
        <f t="shared" si="315"/>
        <v>0.88454022988505743</v>
      </c>
      <c r="EV43" s="109">
        <f t="shared" si="315"/>
        <v>0.88838888888888889</v>
      </c>
      <c r="EW43" s="109">
        <f t="shared" si="315"/>
        <v>0.89198924731182794</v>
      </c>
      <c r="EX43" s="109">
        <f t="shared" si="315"/>
        <v>1</v>
      </c>
      <c r="EY43" s="109">
        <f t="shared" si="315"/>
        <v>1</v>
      </c>
      <c r="EZ43" s="109">
        <f t="shared" si="315"/>
        <v>1</v>
      </c>
      <c r="FA43" s="109">
        <f t="shared" si="315"/>
        <v>1</v>
      </c>
      <c r="FB43" s="109">
        <f t="shared" si="315"/>
        <v>1</v>
      </c>
      <c r="FC43" s="109">
        <f t="shared" si="315"/>
        <v>1</v>
      </c>
      <c r="FD43" s="109">
        <f t="shared" si="315"/>
        <v>1</v>
      </c>
      <c r="FE43" s="109">
        <f t="shared" si="315"/>
        <v>1</v>
      </c>
      <c r="FF43" s="109">
        <f t="shared" si="315"/>
        <v>1</v>
      </c>
      <c r="FG43" s="109">
        <f t="shared" si="315"/>
        <v>1</v>
      </c>
      <c r="FH43" s="109">
        <f t="shared" si="315"/>
        <v>1</v>
      </c>
      <c r="FI43" s="109">
        <f t="shared" si="315"/>
        <v>0.95666666666666667</v>
      </c>
      <c r="FJ43" s="109">
        <f t="shared" si="315"/>
        <v>0.96</v>
      </c>
      <c r="FK43" s="109">
        <f t="shared" si="315"/>
        <v>0.89491071428571423</v>
      </c>
      <c r="FL43" s="109">
        <f t="shared" si="315"/>
        <v>0.9019166666666667</v>
      </c>
      <c r="FM43" s="109">
        <f t="shared" si="315"/>
        <v>0.90804687500000003</v>
      </c>
      <c r="FN43" s="109">
        <f t="shared" si="315"/>
        <v>0.91345588235294117</v>
      </c>
      <c r="FO43" s="109">
        <f t="shared" si="315"/>
        <v>0.91826388888888888</v>
      </c>
      <c r="FP43" s="109">
        <f t="shared" si="315"/>
        <v>0.92212719298245616</v>
      </c>
      <c r="FQ43" s="109">
        <f t="shared" si="315"/>
        <v>0.90679166666666666</v>
      </c>
      <c r="FR43" s="109">
        <f t="shared" si="315"/>
        <v>0.8954563492063492</v>
      </c>
      <c r="FS43" s="109">
        <f t="shared" si="315"/>
        <v>0.89660984848484848</v>
      </c>
      <c r="FT43" s="109">
        <f t="shared" si="315"/>
        <v>0.90110507246376814</v>
      </c>
      <c r="FU43" s="109">
        <f t="shared" si="315"/>
        <v>0.87979166666666664</v>
      </c>
      <c r="FV43" s="109">
        <f t="shared" si="315"/>
        <v>0.88459999999999994</v>
      </c>
      <c r="FW43" s="109">
        <f t="shared" si="315"/>
        <v>0.87320512820512819</v>
      </c>
      <c r="FX43" s="109">
        <f t="shared" si="315"/>
        <v>0.87790123456790126</v>
      </c>
      <c r="FY43" s="109">
        <f t="shared" si="315"/>
        <v>0.87812500000000004</v>
      </c>
      <c r="FZ43" s="109">
        <f t="shared" si="315"/>
        <v>0.88232758620689655</v>
      </c>
      <c r="GA43" s="109">
        <f t="shared" si="282"/>
        <v>0.88624999999999998</v>
      </c>
      <c r="GB43" s="109">
        <f t="shared" si="282"/>
        <v>1</v>
      </c>
      <c r="GC43" s="109">
        <f t="shared" si="315"/>
        <v>0.70291666666666663</v>
      </c>
      <c r="GD43" s="109">
        <f t="shared" si="315"/>
        <v>0.80194444444444446</v>
      </c>
      <c r="GE43" s="109">
        <f t="shared" si="315"/>
        <v>0.85145833333333332</v>
      </c>
      <c r="GF43" s="109">
        <f t="shared" ref="GF43:IQ43" si="316">IF(OR(GF$13="",GF$17="",GF$14="",GF$15="",GF$16="",GF$18="",GF$19="",GF$20="",GF$21=""),"",1-(GF69/(GF$5)))</f>
        <v>0.88116666666666665</v>
      </c>
      <c r="GG43" s="109">
        <f t="shared" si="316"/>
        <v>0.90097222222222229</v>
      </c>
      <c r="GH43" s="109">
        <f t="shared" si="316"/>
        <v>0.91511904761904761</v>
      </c>
      <c r="GI43" s="109">
        <f t="shared" si="316"/>
        <v>0.92572916666666671</v>
      </c>
      <c r="GJ43" s="109">
        <f t="shared" si="316"/>
        <v>0.93398148148148152</v>
      </c>
      <c r="GK43" s="109">
        <f t="shared" si="316"/>
        <v>0.94058333333333333</v>
      </c>
      <c r="GL43" s="109">
        <f t="shared" si="316"/>
        <v>0.94598484848484854</v>
      </c>
      <c r="GM43" s="109">
        <f t="shared" si="316"/>
        <v>0.9148263888888889</v>
      </c>
      <c r="GN43" s="109">
        <f t="shared" si="316"/>
        <v>0.92137820512820512</v>
      </c>
      <c r="GO43" s="109">
        <f t="shared" si="316"/>
        <v>0.92699404761904758</v>
      </c>
      <c r="GP43" s="109">
        <f t="shared" si="316"/>
        <v>0.93186111111111114</v>
      </c>
      <c r="GQ43" s="109">
        <f t="shared" si="316"/>
        <v>0.9361197916666667</v>
      </c>
      <c r="GR43" s="109">
        <f t="shared" si="316"/>
        <v>0.82242647058823526</v>
      </c>
      <c r="GS43" s="109">
        <f t="shared" si="316"/>
        <v>0.83229166666666665</v>
      </c>
      <c r="GT43" s="109">
        <f t="shared" si="316"/>
        <v>0.81572368421052632</v>
      </c>
      <c r="GU43" s="109">
        <f t="shared" si="316"/>
        <v>0.82493749999999999</v>
      </c>
      <c r="GV43" s="109">
        <f t="shared" si="316"/>
        <v>0.83327380952380947</v>
      </c>
      <c r="GW43" s="109">
        <f t="shared" si="316"/>
        <v>0.8408522727272727</v>
      </c>
      <c r="GX43" s="109">
        <f t="shared" si="316"/>
        <v>0.8477717391304348</v>
      </c>
      <c r="GY43" s="109">
        <f t="shared" si="316"/>
        <v>0.85411458333333334</v>
      </c>
      <c r="GZ43" s="109">
        <f t="shared" si="316"/>
        <v>0.85994999999999999</v>
      </c>
      <c r="HA43" s="109">
        <f t="shared" si="316"/>
        <v>0.86533653846153846</v>
      </c>
      <c r="HB43" s="109">
        <f t="shared" si="316"/>
        <v>0.87032407407407408</v>
      </c>
      <c r="HC43" s="109">
        <f t="shared" si="316"/>
        <v>0.8749553571428571</v>
      </c>
      <c r="HD43" s="109">
        <f t="shared" si="316"/>
        <v>0.87926724137931034</v>
      </c>
      <c r="HE43" s="109">
        <f t="shared" si="316"/>
        <v>0.8832916666666667</v>
      </c>
      <c r="HF43" s="109">
        <f t="shared" si="316"/>
        <v>0.88705645161290325</v>
      </c>
      <c r="HG43" s="109">
        <f t="shared" si="316"/>
        <v>1</v>
      </c>
      <c r="HH43" s="109">
        <f t="shared" si="316"/>
        <v>1</v>
      </c>
      <c r="HI43" s="109">
        <f t="shared" si="316"/>
        <v>1</v>
      </c>
      <c r="HJ43" s="109">
        <f t="shared" si="316"/>
        <v>1</v>
      </c>
      <c r="HK43" s="109">
        <f t="shared" si="316"/>
        <v>1</v>
      </c>
      <c r="HL43" s="109">
        <f t="shared" si="316"/>
        <v>1</v>
      </c>
      <c r="HM43" s="109">
        <f t="shared" si="316"/>
        <v>1</v>
      </c>
      <c r="HN43" s="109">
        <f t="shared" si="316"/>
        <v>0.96456597222222218</v>
      </c>
      <c r="HO43" s="109">
        <f t="shared" si="316"/>
        <v>0.96850308641975313</v>
      </c>
      <c r="HP43" s="109">
        <f t="shared" si="316"/>
        <v>0.97165277777777781</v>
      </c>
      <c r="HQ43" s="109">
        <f t="shared" si="316"/>
        <v>0.97422979797979803</v>
      </c>
      <c r="HR43" s="109">
        <f t="shared" si="316"/>
        <v>0.97637731481481482</v>
      </c>
      <c r="HS43" s="109">
        <f t="shared" si="316"/>
        <v>0.97819444444444448</v>
      </c>
      <c r="HT43" s="109">
        <f t="shared" si="316"/>
        <v>0.97975198412698417</v>
      </c>
      <c r="HU43" s="109">
        <f t="shared" si="316"/>
        <v>0.98110185185185184</v>
      </c>
      <c r="HV43" s="109">
        <f t="shared" si="316"/>
        <v>0.98228298611111109</v>
      </c>
      <c r="HW43" s="109">
        <f t="shared" si="316"/>
        <v>0.9833251633986928</v>
      </c>
      <c r="HX43" s="109">
        <f t="shared" si="316"/>
        <v>0.98383166152263379</v>
      </c>
      <c r="HY43" s="109">
        <f t="shared" si="316"/>
        <v>0.97513706140350875</v>
      </c>
      <c r="HZ43" s="109">
        <f t="shared" si="316"/>
        <v>0.93203356481481481</v>
      </c>
      <c r="IA43" s="109">
        <f t="shared" si="316"/>
        <v>0.91896660052910051</v>
      </c>
      <c r="IB43" s="109">
        <f t="shared" si="316"/>
        <v>0.9226499368686869</v>
      </c>
      <c r="IC43" s="109">
        <f t="shared" si="316"/>
        <v>0.92601298309178748</v>
      </c>
      <c r="ID43" s="109">
        <f t="shared" si="316"/>
        <v>0.92909577546296296</v>
      </c>
      <c r="IE43" s="109">
        <f t="shared" si="316"/>
        <v>0.93193194444444449</v>
      </c>
      <c r="IF43" s="109">
        <f t="shared" si="316"/>
        <v>0.92846020299145304</v>
      </c>
      <c r="IG43" s="109">
        <f t="shared" si="316"/>
        <v>0.93110982510288065</v>
      </c>
      <c r="IH43" s="109">
        <f t="shared" si="316"/>
        <v>0.93357018849206352</v>
      </c>
      <c r="II43" s="109">
        <f t="shared" si="316"/>
        <v>0.93586087164750964</v>
      </c>
      <c r="IJ43" s="109">
        <f t="shared" si="316"/>
        <v>0.93799884259259259</v>
      </c>
      <c r="IK43" s="109">
        <f t="shared" si="316"/>
        <v>0.92084901433691757</v>
      </c>
      <c r="IL43" s="109">
        <f t="shared" si="316"/>
        <v>0.78170138888888885</v>
      </c>
      <c r="IM43" s="109">
        <f t="shared" si="316"/>
        <v>0.89085069444444442</v>
      </c>
      <c r="IN43" s="109">
        <f t="shared" si="316"/>
        <v>0.92723379629629632</v>
      </c>
      <c r="IO43" s="109">
        <f t="shared" si="316"/>
        <v>0.89302662037037039</v>
      </c>
      <c r="IP43" s="109">
        <f t="shared" si="316"/>
        <v>0.84132638888888889</v>
      </c>
      <c r="IQ43" s="109">
        <f t="shared" si="316"/>
        <v>0.82481674382716053</v>
      </c>
      <c r="IR43" s="109">
        <f t="shared" ref="IR43:LC43" si="317">IF(OR(IR$13="",IR$17="",IR$14="",IR$15="",IR$16="",IR$18="",IR$19="",IR$20="",IR$21=""),"",1-(IR69/(IR$5)))</f>
        <v>0.78949404761904762</v>
      </c>
      <c r="IS43" s="109">
        <f t="shared" si="317"/>
        <v>0.81534288194444449</v>
      </c>
      <c r="IT43" s="109">
        <f t="shared" si="317"/>
        <v>0.8333191872427983</v>
      </c>
      <c r="IU43" s="109">
        <f t="shared" si="317"/>
        <v>0.84998726851851858</v>
      </c>
      <c r="IV43" s="109">
        <f t="shared" si="317"/>
        <v>0.85578808922558924</v>
      </c>
      <c r="IW43" s="109">
        <f t="shared" si="317"/>
        <v>0.86780574845679015</v>
      </c>
      <c r="IX43" s="109">
        <f t="shared" si="317"/>
        <v>0.82493144586894585</v>
      </c>
      <c r="IY43" s="109">
        <f t="shared" si="317"/>
        <v>0.77537285052910054</v>
      </c>
      <c r="IZ43" s="109">
        <f t="shared" si="317"/>
        <v>0.76576311728395063</v>
      </c>
      <c r="JA43" s="109">
        <f t="shared" si="317"/>
        <v>0.771021412037037</v>
      </c>
      <c r="JB43" s="109">
        <f t="shared" si="317"/>
        <v>0.78449074074074066</v>
      </c>
      <c r="JC43" s="109">
        <f t="shared" si="317"/>
        <v>0.79634002057613174</v>
      </c>
      <c r="JD43" s="109">
        <f t="shared" si="317"/>
        <v>0.80705896686159839</v>
      </c>
      <c r="JE43" s="109">
        <f t="shared" si="317"/>
        <v>0.81667418981481477</v>
      </c>
      <c r="JF43" s="109">
        <f t="shared" si="317"/>
        <v>0.82540399029982359</v>
      </c>
      <c r="JG43" s="109">
        <f t="shared" si="317"/>
        <v>0.83334017255892257</v>
      </c>
      <c r="JH43" s="109">
        <f t="shared" si="317"/>
        <v>0.8405862520128824</v>
      </c>
      <c r="JI43" s="109">
        <f t="shared" si="317"/>
        <v>0.82153452932098769</v>
      </c>
      <c r="JJ43" s="109">
        <f t="shared" si="317"/>
        <v>0.78867314814814815</v>
      </c>
      <c r="JK43" s="109">
        <f t="shared" si="317"/>
        <v>0.78672186609686601</v>
      </c>
      <c r="JL43" s="109">
        <f t="shared" si="317"/>
        <v>0.79462105624142665</v>
      </c>
      <c r="JM43" s="109">
        <f t="shared" si="317"/>
        <v>0.8019560185185185</v>
      </c>
      <c r="JN43" s="109">
        <f t="shared" si="317"/>
        <v>0.79785121328224773</v>
      </c>
      <c r="JO43" s="109">
        <f t="shared" si="317"/>
        <v>0.80320061728395054</v>
      </c>
      <c r="JP43" s="109">
        <f t="shared" si="317"/>
        <v>0.95833333333333337</v>
      </c>
      <c r="JQ43" s="109">
        <f t="shared" si="317"/>
        <v>0.95833333333333337</v>
      </c>
      <c r="JR43" s="109">
        <f t="shared" si="317"/>
        <v>0.79079475308641978</v>
      </c>
      <c r="JS43" s="109">
        <f t="shared" si="317"/>
        <v>0.83267939814814818</v>
      </c>
      <c r="JT43" s="109">
        <f t="shared" si="317"/>
        <v>0.86114351851851856</v>
      </c>
      <c r="JU43" s="109">
        <f t="shared" si="317"/>
        <v>0.85331404320987658</v>
      </c>
      <c r="JV43" s="109">
        <f t="shared" si="317"/>
        <v>0.87337632275132271</v>
      </c>
      <c r="JW43" s="109">
        <f t="shared" si="317"/>
        <v>0.88920428240740745</v>
      </c>
      <c r="JX43" s="109">
        <f t="shared" si="317"/>
        <v>0.90151491769547332</v>
      </c>
      <c r="JY43" s="109">
        <f t="shared" si="317"/>
        <v>0.9113634259259259</v>
      </c>
      <c r="JZ43" s="109">
        <f t="shared" si="317"/>
        <v>0.91942129629629632</v>
      </c>
      <c r="KA43" s="109">
        <f t="shared" si="317"/>
        <v>0.92613618827160493</v>
      </c>
      <c r="KB43" s="109">
        <f t="shared" si="317"/>
        <v>0.93181801994301994</v>
      </c>
      <c r="KC43" s="109">
        <f t="shared" si="317"/>
        <v>0.93668816137566135</v>
      </c>
      <c r="KD43" s="109">
        <f t="shared" si="317"/>
        <v>0.94090895061728397</v>
      </c>
      <c r="KE43" s="109">
        <f t="shared" si="317"/>
        <v>0.94460214120370367</v>
      </c>
      <c r="KF43" s="109">
        <f t="shared" si="317"/>
        <v>0.94786083877995642</v>
      </c>
      <c r="KG43" s="109">
        <f t="shared" si="317"/>
        <v>0.95075745884773666</v>
      </c>
      <c r="KH43" s="109">
        <f t="shared" si="317"/>
        <v>0.90071759259259254</v>
      </c>
      <c r="KI43" s="109">
        <f t="shared" si="317"/>
        <v>0.90568171296296296</v>
      </c>
      <c r="KJ43" s="109">
        <f t="shared" si="317"/>
        <v>0.91017305996472664</v>
      </c>
      <c r="KK43" s="109">
        <f t="shared" si="317"/>
        <v>0.91425610269360269</v>
      </c>
      <c r="KL43" s="109">
        <f t="shared" si="317"/>
        <v>0.91798409822866345</v>
      </c>
      <c r="KM43" s="109">
        <f t="shared" si="317"/>
        <v>0.92140142746913578</v>
      </c>
      <c r="KN43" s="109">
        <f t="shared" si="317"/>
        <v>0.92454537037037032</v>
      </c>
      <c r="KO43" s="109">
        <f t="shared" si="317"/>
        <v>0.92744747150997153</v>
      </c>
      <c r="KP43" s="109">
        <f t="shared" si="317"/>
        <v>0.93013460219478739</v>
      </c>
      <c r="KQ43" s="109">
        <f t="shared" si="317"/>
        <v>0.93262979497354492</v>
      </c>
      <c r="KR43" s="109">
        <f t="shared" si="317"/>
        <v>0.93495290549169863</v>
      </c>
      <c r="KS43" s="109">
        <f t="shared" si="317"/>
        <v>0.9371211419753086</v>
      </c>
      <c r="KT43" s="109">
        <f t="shared" si="317"/>
        <v>0.93914949223416966</v>
      </c>
      <c r="KU43" s="109" t="str">
        <f t="shared" si="317"/>
        <v/>
      </c>
      <c r="KV43" s="109" t="str">
        <f t="shared" si="317"/>
        <v/>
      </c>
      <c r="KW43" s="109" t="str">
        <f t="shared" si="317"/>
        <v/>
      </c>
      <c r="KX43" s="109" t="str">
        <f t="shared" si="317"/>
        <v/>
      </c>
      <c r="KY43" s="109" t="str">
        <f t="shared" si="317"/>
        <v/>
      </c>
      <c r="KZ43" s="109" t="str">
        <f t="shared" si="317"/>
        <v/>
      </c>
      <c r="LA43" s="109" t="str">
        <f t="shared" si="317"/>
        <v/>
      </c>
      <c r="LB43" s="109" t="str">
        <f t="shared" si="317"/>
        <v/>
      </c>
      <c r="LC43" s="109" t="str">
        <f t="shared" si="317"/>
        <v/>
      </c>
      <c r="LD43" s="109" t="str">
        <f t="shared" ref="LD43:NO43" si="318">IF(OR(LD$13="",LD$17="",LD$14="",LD$15="",LD$16="",LD$18="",LD$19="",LD$20="",LD$21=""),"",1-(LD69/(LD$5)))</f>
        <v/>
      </c>
      <c r="LE43" s="109" t="str">
        <f t="shared" si="318"/>
        <v/>
      </c>
      <c r="LF43" s="109" t="str">
        <f t="shared" si="318"/>
        <v/>
      </c>
      <c r="LG43" s="109" t="str">
        <f t="shared" si="318"/>
        <v/>
      </c>
      <c r="LH43" s="109" t="str">
        <f t="shared" si="318"/>
        <v/>
      </c>
      <c r="LI43" s="109" t="str">
        <f t="shared" si="318"/>
        <v/>
      </c>
      <c r="LJ43" s="109" t="str">
        <f t="shared" si="318"/>
        <v/>
      </c>
      <c r="LK43" s="109" t="str">
        <f t="shared" si="318"/>
        <v/>
      </c>
      <c r="LL43" s="109" t="str">
        <f t="shared" si="318"/>
        <v/>
      </c>
      <c r="LM43" s="109" t="str">
        <f t="shared" si="318"/>
        <v/>
      </c>
      <c r="LN43" s="109" t="str">
        <f t="shared" si="318"/>
        <v/>
      </c>
      <c r="LO43" s="109" t="str">
        <f t="shared" si="318"/>
        <v/>
      </c>
      <c r="LP43" s="109" t="str">
        <f t="shared" si="318"/>
        <v/>
      </c>
      <c r="LQ43" s="109" t="str">
        <f t="shared" si="318"/>
        <v/>
      </c>
      <c r="LR43" s="109" t="str">
        <f t="shared" si="318"/>
        <v/>
      </c>
      <c r="LS43" s="109" t="str">
        <f t="shared" si="318"/>
        <v/>
      </c>
      <c r="LT43" s="109" t="str">
        <f t="shared" si="318"/>
        <v/>
      </c>
      <c r="LU43" s="109" t="str">
        <f t="shared" si="318"/>
        <v/>
      </c>
      <c r="LV43" s="109" t="str">
        <f t="shared" si="318"/>
        <v/>
      </c>
      <c r="LW43" s="109" t="str">
        <f t="shared" si="318"/>
        <v/>
      </c>
      <c r="LX43" s="109" t="str">
        <f t="shared" si="318"/>
        <v/>
      </c>
      <c r="LY43" s="109" t="str">
        <f t="shared" si="318"/>
        <v/>
      </c>
      <c r="LZ43" s="109" t="str">
        <f t="shared" si="318"/>
        <v/>
      </c>
      <c r="MA43" s="109" t="str">
        <f t="shared" si="318"/>
        <v/>
      </c>
      <c r="MB43" s="109" t="str">
        <f t="shared" si="318"/>
        <v/>
      </c>
      <c r="MC43" s="109" t="str">
        <f t="shared" si="318"/>
        <v/>
      </c>
      <c r="MD43" s="109" t="str">
        <f t="shared" si="318"/>
        <v/>
      </c>
      <c r="ME43" s="109" t="str">
        <f t="shared" si="318"/>
        <v/>
      </c>
      <c r="MF43" s="109" t="str">
        <f t="shared" si="318"/>
        <v/>
      </c>
      <c r="MG43" s="109" t="str">
        <f t="shared" si="318"/>
        <v/>
      </c>
      <c r="MH43" s="109" t="str">
        <f t="shared" si="318"/>
        <v/>
      </c>
      <c r="MI43" s="109" t="str">
        <f t="shared" si="318"/>
        <v/>
      </c>
      <c r="MJ43" s="109" t="str">
        <f t="shared" si="318"/>
        <v/>
      </c>
      <c r="MK43" s="109" t="str">
        <f t="shared" si="318"/>
        <v/>
      </c>
      <c r="ML43" s="109" t="str">
        <f t="shared" si="318"/>
        <v/>
      </c>
      <c r="MM43" s="109" t="str">
        <f t="shared" si="318"/>
        <v/>
      </c>
      <c r="MN43" s="109" t="str">
        <f t="shared" si="318"/>
        <v/>
      </c>
      <c r="MO43" s="109" t="str">
        <f t="shared" si="318"/>
        <v/>
      </c>
      <c r="MP43" s="109" t="str">
        <f t="shared" si="318"/>
        <v/>
      </c>
      <c r="MQ43" s="109" t="str">
        <f t="shared" si="318"/>
        <v/>
      </c>
      <c r="MR43" s="109" t="str">
        <f t="shared" si="318"/>
        <v/>
      </c>
      <c r="MS43" s="109" t="str">
        <f t="shared" si="318"/>
        <v/>
      </c>
      <c r="MT43" s="109" t="str">
        <f t="shared" si="318"/>
        <v/>
      </c>
      <c r="MU43" s="109" t="str">
        <f t="shared" si="318"/>
        <v/>
      </c>
      <c r="MV43" s="109" t="str">
        <f t="shared" si="318"/>
        <v/>
      </c>
      <c r="MW43" s="109" t="str">
        <f t="shared" si="318"/>
        <v/>
      </c>
      <c r="MX43" s="109" t="str">
        <f t="shared" si="318"/>
        <v/>
      </c>
      <c r="MY43" s="109" t="str">
        <f t="shared" si="318"/>
        <v/>
      </c>
      <c r="MZ43" s="109" t="str">
        <f t="shared" si="318"/>
        <v/>
      </c>
      <c r="NA43" s="109" t="str">
        <f t="shared" si="318"/>
        <v/>
      </c>
      <c r="NB43" s="109" t="str">
        <f t="shared" si="318"/>
        <v/>
      </c>
      <c r="NC43" s="109" t="str">
        <f t="shared" si="318"/>
        <v/>
      </c>
      <c r="ND43" s="109" t="str">
        <f t="shared" si="318"/>
        <v/>
      </c>
      <c r="NE43" s="109" t="str">
        <f t="shared" si="318"/>
        <v/>
      </c>
      <c r="NF43" s="109" t="str">
        <f t="shared" si="318"/>
        <v/>
      </c>
      <c r="NG43" s="109" t="str">
        <f t="shared" si="318"/>
        <v/>
      </c>
      <c r="NH43" s="109" t="str">
        <f t="shared" si="318"/>
        <v/>
      </c>
      <c r="NI43" s="109" t="str">
        <f t="shared" si="318"/>
        <v/>
      </c>
      <c r="NJ43" s="109" t="str">
        <f t="shared" si="318"/>
        <v/>
      </c>
      <c r="NK43" s="109" t="str">
        <f t="shared" si="318"/>
        <v/>
      </c>
      <c r="NL43" s="109" t="str">
        <f t="shared" si="318"/>
        <v/>
      </c>
      <c r="NM43" s="109" t="str">
        <f t="shared" si="318"/>
        <v/>
      </c>
      <c r="NN43" s="109" t="str">
        <f t="shared" si="318"/>
        <v/>
      </c>
      <c r="NO43" s="109" t="str">
        <f t="shared" si="318"/>
        <v/>
      </c>
      <c r="NP43" s="109" t="str">
        <f t="shared" ref="NP43:QA43" si="319">IF(OR(NP$13="",NP$17="",NP$14="",NP$15="",NP$16="",NP$18="",NP$19="",NP$20="",NP$21=""),"",1-(NP69/(NP$5)))</f>
        <v/>
      </c>
      <c r="NQ43" s="109" t="str">
        <f t="shared" si="319"/>
        <v/>
      </c>
      <c r="NR43" s="109" t="str">
        <f t="shared" si="319"/>
        <v/>
      </c>
      <c r="NS43" s="109" t="str">
        <f t="shared" si="319"/>
        <v/>
      </c>
      <c r="NT43" s="109" t="str">
        <f t="shared" si="319"/>
        <v/>
      </c>
      <c r="NU43" s="109" t="str">
        <f t="shared" si="319"/>
        <v/>
      </c>
      <c r="NV43" s="109" t="str">
        <f t="shared" si="319"/>
        <v/>
      </c>
      <c r="NW43" s="109" t="str">
        <f t="shared" si="319"/>
        <v/>
      </c>
      <c r="NX43" s="109" t="str">
        <f t="shared" si="319"/>
        <v/>
      </c>
      <c r="NY43" s="109" t="str">
        <f t="shared" si="319"/>
        <v/>
      </c>
      <c r="NZ43" s="109" t="str">
        <f t="shared" si="319"/>
        <v/>
      </c>
      <c r="OA43" s="109" t="str">
        <f t="shared" si="319"/>
        <v/>
      </c>
      <c r="OB43" s="109" t="str">
        <f t="shared" si="319"/>
        <v/>
      </c>
      <c r="OC43" s="109" t="str">
        <f t="shared" si="319"/>
        <v/>
      </c>
      <c r="OD43" s="109" t="str">
        <f t="shared" si="319"/>
        <v/>
      </c>
      <c r="OE43" s="109" t="str">
        <f t="shared" si="319"/>
        <v/>
      </c>
      <c r="OF43" s="109" t="str">
        <f t="shared" si="319"/>
        <v/>
      </c>
      <c r="OG43" s="109" t="str">
        <f t="shared" si="319"/>
        <v/>
      </c>
      <c r="OH43" s="109" t="str">
        <f t="shared" si="319"/>
        <v/>
      </c>
      <c r="OI43" s="109" t="str">
        <f t="shared" si="319"/>
        <v/>
      </c>
      <c r="OJ43" s="109" t="str">
        <f t="shared" si="319"/>
        <v/>
      </c>
      <c r="OK43" s="109" t="str">
        <f t="shared" si="319"/>
        <v/>
      </c>
      <c r="OL43" s="109" t="str">
        <f t="shared" si="319"/>
        <v/>
      </c>
      <c r="OM43" s="109" t="str">
        <f t="shared" si="319"/>
        <v/>
      </c>
      <c r="ON43" s="109" t="str">
        <f t="shared" si="319"/>
        <v/>
      </c>
      <c r="OO43" s="109" t="str">
        <f t="shared" si="319"/>
        <v/>
      </c>
      <c r="OP43" s="109" t="str">
        <f t="shared" si="319"/>
        <v/>
      </c>
      <c r="OQ43" s="109" t="str">
        <f t="shared" si="319"/>
        <v/>
      </c>
      <c r="OR43" s="109" t="str">
        <f t="shared" si="319"/>
        <v/>
      </c>
      <c r="OS43" s="109" t="str">
        <f t="shared" si="319"/>
        <v/>
      </c>
      <c r="OT43" s="109" t="str">
        <f t="shared" si="319"/>
        <v/>
      </c>
      <c r="OU43" s="109" t="str">
        <f t="shared" si="319"/>
        <v/>
      </c>
      <c r="OV43" s="109" t="str">
        <f t="shared" si="319"/>
        <v/>
      </c>
      <c r="OW43" s="109" t="str">
        <f t="shared" si="319"/>
        <v/>
      </c>
      <c r="OX43" s="109" t="str">
        <f t="shared" si="319"/>
        <v/>
      </c>
      <c r="OY43" s="109" t="str">
        <f t="shared" si="319"/>
        <v/>
      </c>
      <c r="OZ43" s="109" t="str">
        <f t="shared" si="319"/>
        <v/>
      </c>
      <c r="PA43" s="109" t="str">
        <f t="shared" si="319"/>
        <v/>
      </c>
      <c r="PB43" s="109" t="str">
        <f t="shared" si="319"/>
        <v/>
      </c>
      <c r="PC43" s="109" t="str">
        <f t="shared" si="319"/>
        <v/>
      </c>
      <c r="PD43" s="109" t="str">
        <f t="shared" si="319"/>
        <v/>
      </c>
      <c r="PE43" s="109" t="str">
        <f t="shared" si="319"/>
        <v/>
      </c>
      <c r="PF43" s="109" t="str">
        <f t="shared" si="319"/>
        <v/>
      </c>
      <c r="PG43" s="109" t="str">
        <f t="shared" si="319"/>
        <v/>
      </c>
      <c r="PH43" s="109" t="str">
        <f t="shared" si="319"/>
        <v/>
      </c>
      <c r="PI43" s="109" t="str">
        <f t="shared" si="319"/>
        <v/>
      </c>
      <c r="PJ43" s="109" t="str">
        <f t="shared" si="319"/>
        <v/>
      </c>
      <c r="PK43" s="109" t="str">
        <f t="shared" si="319"/>
        <v/>
      </c>
      <c r="PL43" s="109" t="str">
        <f t="shared" si="319"/>
        <v/>
      </c>
      <c r="PM43" s="109" t="str">
        <f t="shared" si="319"/>
        <v/>
      </c>
      <c r="PN43" s="109" t="str">
        <f t="shared" si="319"/>
        <v/>
      </c>
      <c r="PO43" s="109" t="str">
        <f t="shared" si="319"/>
        <v/>
      </c>
      <c r="PP43" s="109" t="str">
        <f t="shared" si="319"/>
        <v/>
      </c>
      <c r="PQ43" s="109" t="str">
        <f t="shared" si="319"/>
        <v/>
      </c>
      <c r="PR43" s="109" t="str">
        <f t="shared" si="319"/>
        <v/>
      </c>
      <c r="PS43" s="109" t="str">
        <f t="shared" si="319"/>
        <v/>
      </c>
      <c r="PT43" s="109" t="str">
        <f t="shared" si="319"/>
        <v/>
      </c>
      <c r="PU43" s="109" t="str">
        <f t="shared" si="319"/>
        <v/>
      </c>
      <c r="PV43" s="109" t="str">
        <f t="shared" si="319"/>
        <v/>
      </c>
      <c r="PW43" s="109" t="str">
        <f t="shared" si="319"/>
        <v/>
      </c>
      <c r="PX43" s="109" t="str">
        <f t="shared" si="319"/>
        <v/>
      </c>
      <c r="PY43" s="109" t="str">
        <f t="shared" si="319"/>
        <v/>
      </c>
      <c r="PZ43" s="109" t="str">
        <f t="shared" si="319"/>
        <v/>
      </c>
      <c r="QA43" s="109" t="str">
        <f t="shared" si="319"/>
        <v/>
      </c>
      <c r="QB43" s="109" t="str">
        <f t="shared" ref="QB43:SM43" si="320">IF(OR(QB$13="",QB$17="",QB$14="",QB$15="",QB$16="",QB$18="",QB$19="",QB$20="",QB$21=""),"",1-(QB69/(QB$5)))</f>
        <v/>
      </c>
      <c r="QC43" s="109" t="str">
        <f t="shared" si="320"/>
        <v/>
      </c>
      <c r="QD43" s="109" t="str">
        <f t="shared" si="320"/>
        <v/>
      </c>
      <c r="QE43" s="109" t="str">
        <f t="shared" si="320"/>
        <v/>
      </c>
      <c r="QF43" s="109" t="str">
        <f t="shared" si="320"/>
        <v/>
      </c>
      <c r="QG43" s="109" t="str">
        <f t="shared" si="320"/>
        <v/>
      </c>
      <c r="QH43" s="109" t="str">
        <f t="shared" si="320"/>
        <v/>
      </c>
      <c r="QI43" s="109" t="str">
        <f t="shared" si="320"/>
        <v/>
      </c>
      <c r="QJ43" s="109" t="str">
        <f t="shared" si="320"/>
        <v/>
      </c>
      <c r="QK43" s="109" t="str">
        <f t="shared" si="320"/>
        <v/>
      </c>
      <c r="QL43" s="109" t="str">
        <f t="shared" si="320"/>
        <v/>
      </c>
      <c r="QM43" s="109" t="str">
        <f t="shared" si="320"/>
        <v/>
      </c>
      <c r="QN43" s="109" t="str">
        <f t="shared" si="320"/>
        <v/>
      </c>
      <c r="QO43" s="109" t="str">
        <f t="shared" si="320"/>
        <v/>
      </c>
      <c r="QP43" s="109" t="str">
        <f t="shared" si="320"/>
        <v/>
      </c>
      <c r="QQ43" s="109" t="str">
        <f t="shared" si="320"/>
        <v/>
      </c>
      <c r="QR43" s="109" t="str">
        <f t="shared" si="320"/>
        <v/>
      </c>
      <c r="QS43" s="109" t="str">
        <f t="shared" si="320"/>
        <v/>
      </c>
      <c r="QT43" s="109" t="str">
        <f t="shared" si="320"/>
        <v/>
      </c>
      <c r="QU43" s="109" t="str">
        <f t="shared" si="320"/>
        <v/>
      </c>
      <c r="QV43" s="109" t="str">
        <f t="shared" si="320"/>
        <v/>
      </c>
      <c r="QW43" s="109" t="str">
        <f t="shared" si="320"/>
        <v/>
      </c>
      <c r="QX43" s="109" t="str">
        <f t="shared" si="320"/>
        <v/>
      </c>
      <c r="QY43" s="109" t="str">
        <f t="shared" si="320"/>
        <v/>
      </c>
      <c r="QZ43" s="109" t="str">
        <f t="shared" si="320"/>
        <v/>
      </c>
      <c r="RA43" s="109" t="str">
        <f t="shared" si="320"/>
        <v/>
      </c>
      <c r="RB43" s="109" t="str">
        <f t="shared" si="320"/>
        <v/>
      </c>
      <c r="RC43" s="109" t="str">
        <f t="shared" si="320"/>
        <v/>
      </c>
      <c r="RD43" s="109" t="str">
        <f t="shared" si="320"/>
        <v/>
      </c>
      <c r="RE43" s="109" t="str">
        <f t="shared" si="320"/>
        <v/>
      </c>
      <c r="RF43" s="109" t="str">
        <f t="shared" si="320"/>
        <v/>
      </c>
      <c r="RG43" s="109" t="str">
        <f t="shared" si="320"/>
        <v/>
      </c>
      <c r="RH43" s="109" t="str">
        <f t="shared" si="320"/>
        <v/>
      </c>
      <c r="RI43" s="109" t="str">
        <f t="shared" si="320"/>
        <v/>
      </c>
      <c r="RJ43" s="109" t="str">
        <f t="shared" si="320"/>
        <v/>
      </c>
      <c r="RK43" s="109" t="str">
        <f t="shared" si="320"/>
        <v/>
      </c>
      <c r="RL43" s="109" t="str">
        <f t="shared" si="320"/>
        <v/>
      </c>
      <c r="RM43" s="109" t="str">
        <f t="shared" si="320"/>
        <v/>
      </c>
      <c r="RN43" s="109" t="str">
        <f t="shared" si="320"/>
        <v/>
      </c>
      <c r="RO43" s="109" t="str">
        <f t="shared" si="320"/>
        <v/>
      </c>
      <c r="RP43" s="109" t="str">
        <f t="shared" si="320"/>
        <v/>
      </c>
      <c r="RQ43" s="109" t="str">
        <f t="shared" si="320"/>
        <v/>
      </c>
      <c r="RR43" s="109" t="str">
        <f t="shared" si="320"/>
        <v/>
      </c>
      <c r="RS43" s="109" t="str">
        <f t="shared" si="320"/>
        <v/>
      </c>
      <c r="RT43" s="109" t="str">
        <f t="shared" si="320"/>
        <v/>
      </c>
      <c r="RU43" s="109" t="str">
        <f t="shared" si="320"/>
        <v/>
      </c>
      <c r="RV43" s="109" t="str">
        <f t="shared" si="320"/>
        <v/>
      </c>
      <c r="RW43" s="109" t="str">
        <f t="shared" si="320"/>
        <v/>
      </c>
      <c r="RX43" s="109" t="str">
        <f t="shared" si="320"/>
        <v/>
      </c>
      <c r="RY43" s="109" t="str">
        <f t="shared" si="320"/>
        <v/>
      </c>
      <c r="RZ43" s="109" t="str">
        <f t="shared" si="320"/>
        <v/>
      </c>
      <c r="SA43" s="109" t="str">
        <f t="shared" si="320"/>
        <v/>
      </c>
      <c r="SB43" s="109" t="str">
        <f t="shared" si="320"/>
        <v/>
      </c>
      <c r="SC43" s="109" t="str">
        <f t="shared" si="320"/>
        <v/>
      </c>
      <c r="SD43" s="109" t="str">
        <f t="shared" si="320"/>
        <v/>
      </c>
      <c r="SE43" s="109" t="str">
        <f t="shared" si="320"/>
        <v/>
      </c>
      <c r="SF43" s="109" t="str">
        <f t="shared" si="320"/>
        <v/>
      </c>
      <c r="SG43" s="109" t="str">
        <f t="shared" si="320"/>
        <v/>
      </c>
      <c r="SH43" s="109" t="str">
        <f t="shared" si="320"/>
        <v/>
      </c>
      <c r="SI43" s="109" t="str">
        <f t="shared" si="320"/>
        <v/>
      </c>
      <c r="SJ43" s="109" t="str">
        <f t="shared" si="320"/>
        <v/>
      </c>
      <c r="SK43" s="109" t="str">
        <f t="shared" si="320"/>
        <v/>
      </c>
      <c r="SL43" s="109" t="str">
        <f t="shared" si="320"/>
        <v/>
      </c>
      <c r="SM43" s="109" t="str">
        <f t="shared" si="320"/>
        <v/>
      </c>
      <c r="SN43" s="109" t="str">
        <f t="shared" ref="SN43:SW43" si="321">IF(OR(SN$13="",SN$17="",SN$14="",SN$15="",SN$16="",SN$18="",SN$19="",SN$20="",SN$21=""),"",1-(SN69/(SN$5)))</f>
        <v/>
      </c>
      <c r="SO43" s="109" t="str">
        <f t="shared" si="321"/>
        <v/>
      </c>
      <c r="SP43" s="109" t="str">
        <f t="shared" si="321"/>
        <v/>
      </c>
      <c r="SQ43" s="109" t="str">
        <f t="shared" si="321"/>
        <v/>
      </c>
      <c r="SR43" s="109" t="str">
        <f t="shared" si="321"/>
        <v/>
      </c>
      <c r="SS43" s="109" t="str">
        <f t="shared" si="321"/>
        <v/>
      </c>
      <c r="ST43" s="109" t="str">
        <f t="shared" si="321"/>
        <v/>
      </c>
      <c r="SU43" s="109" t="str">
        <f t="shared" si="321"/>
        <v/>
      </c>
      <c r="SV43" s="109" t="str">
        <f t="shared" si="321"/>
        <v/>
      </c>
      <c r="SW43" s="109" t="str">
        <f t="shared" si="321"/>
        <v/>
      </c>
    </row>
    <row r="44" spans="1:517" ht="24.6" customHeight="1" x14ac:dyDescent="0.2">
      <c r="A44" s="94" t="s">
        <v>86</v>
      </c>
      <c r="B44" s="117" t="s">
        <v>81</v>
      </c>
      <c r="C44" s="109">
        <f t="shared" ref="C44:AH44" si="322">IF(OR(C$13="",C$17="",C$14="",C$15="",C$16="",C$18="",C$19="",C$20="",C$21=""),"",1-(C70/(C$5)))</f>
        <v>1</v>
      </c>
      <c r="D44" s="109">
        <f t="shared" si="322"/>
        <v>1</v>
      </c>
      <c r="E44" s="109">
        <f t="shared" si="322"/>
        <v>1</v>
      </c>
      <c r="F44" s="109">
        <f t="shared" si="322"/>
        <v>1</v>
      </c>
      <c r="G44" s="109">
        <f t="shared" si="322"/>
        <v>1</v>
      </c>
      <c r="H44" s="109">
        <f t="shared" si="322"/>
        <v>1</v>
      </c>
      <c r="I44" s="109">
        <f t="shared" si="322"/>
        <v>1</v>
      </c>
      <c r="J44" s="109">
        <f t="shared" si="322"/>
        <v>1</v>
      </c>
      <c r="K44" s="109">
        <f t="shared" si="322"/>
        <v>0.99421296296296291</v>
      </c>
      <c r="L44" s="109">
        <f t="shared" si="322"/>
        <v>0.96050000000000002</v>
      </c>
      <c r="M44" s="109">
        <f t="shared" si="322"/>
        <v>0.82632575757575755</v>
      </c>
      <c r="N44" s="109">
        <f t="shared" si="322"/>
        <v>0.84079861111111109</v>
      </c>
      <c r="O44" s="109">
        <f t="shared" si="322"/>
        <v>0.71580128205128202</v>
      </c>
      <c r="P44" s="109">
        <f t="shared" si="322"/>
        <v>0.73610119047619049</v>
      </c>
      <c r="Q44" s="109">
        <f t="shared" si="322"/>
        <v>0.73577777777777775</v>
      </c>
      <c r="R44" s="109">
        <f t="shared" si="322"/>
        <v>0.72677083333333337</v>
      </c>
      <c r="S44" s="109">
        <f t="shared" si="322"/>
        <v>0.74034313725490186</v>
      </c>
      <c r="T44" s="109">
        <f t="shared" si="322"/>
        <v>0.74219907407407404</v>
      </c>
      <c r="U44" s="109">
        <f t="shared" si="322"/>
        <v>0.74859649122807015</v>
      </c>
      <c r="V44" s="109">
        <f t="shared" si="322"/>
        <v>0.74310416666666668</v>
      </c>
      <c r="W44" s="109">
        <f t="shared" si="322"/>
        <v>0.75533730158730161</v>
      </c>
      <c r="X44" s="109">
        <f t="shared" si="322"/>
        <v>0.76645833333333335</v>
      </c>
      <c r="Y44" s="109">
        <f t="shared" si="322"/>
        <v>0.73871376811594192</v>
      </c>
      <c r="Z44" s="109">
        <f t="shared" si="322"/>
        <v>0.73446180555555551</v>
      </c>
      <c r="AA44" s="109">
        <f t="shared" si="322"/>
        <v>0.74394999999999989</v>
      </c>
      <c r="AB44" s="109">
        <f t="shared" si="322"/>
        <v>0.75379807692307688</v>
      </c>
      <c r="AC44" s="109">
        <f t="shared" si="322"/>
        <v>0.76291666666666669</v>
      </c>
      <c r="AD44" s="109">
        <f t="shared" si="322"/>
        <v>0.71316964285714279</v>
      </c>
      <c r="AE44" s="109">
        <f t="shared" si="322"/>
        <v>0.72306034482758619</v>
      </c>
      <c r="AF44" s="109">
        <f t="shared" si="322"/>
        <v>0.71113888888888888</v>
      </c>
      <c r="AG44" s="109">
        <f t="shared" si="322"/>
        <v>0.7143145161290323</v>
      </c>
      <c r="AH44" s="109">
        <f t="shared" si="322"/>
        <v>0.91791666666666671</v>
      </c>
      <c r="AI44" s="109">
        <f t="shared" ref="AI44:BN44" si="323">IF(OR(AI$13="",AI$17="",AI$14="",AI$15="",AI$16="",AI$18="",AI$19="",AI$20="",AI$21=""),"",1-(AI70/(AI$5)))</f>
        <v>0.95895833333333336</v>
      </c>
      <c r="AJ44" s="109">
        <f t="shared" si="323"/>
        <v>0.97263888888888894</v>
      </c>
      <c r="AK44" s="109">
        <f t="shared" si="323"/>
        <v>0.97947916666666668</v>
      </c>
      <c r="AL44" s="109">
        <f t="shared" si="323"/>
        <v>0.98358333333333337</v>
      </c>
      <c r="AM44" s="109">
        <f t="shared" si="323"/>
        <v>0.97798611111111111</v>
      </c>
      <c r="AN44" s="109">
        <f t="shared" si="323"/>
        <v>0.98113095238095238</v>
      </c>
      <c r="AO44" s="109">
        <f t="shared" si="323"/>
        <v>0.92500000000000004</v>
      </c>
      <c r="AP44" s="109">
        <f t="shared" si="323"/>
        <v>0.91675925925925927</v>
      </c>
      <c r="AQ44" s="109">
        <f t="shared" si="323"/>
        <v>0.91333333333333333</v>
      </c>
      <c r="AR44" s="109">
        <f t="shared" si="323"/>
        <v>0.92121212121212115</v>
      </c>
      <c r="AS44" s="109">
        <f t="shared" si="323"/>
        <v>0.92777777777777781</v>
      </c>
      <c r="AT44" s="109">
        <f t="shared" si="323"/>
        <v>0.93333333333333335</v>
      </c>
      <c r="AU44" s="109">
        <f t="shared" si="323"/>
        <v>0.926875</v>
      </c>
      <c r="AV44" s="109">
        <f t="shared" si="323"/>
        <v>0.93174999999999997</v>
      </c>
      <c r="AW44" s="109">
        <f t="shared" si="323"/>
        <v>0.93601562500000002</v>
      </c>
      <c r="AX44" s="109">
        <f t="shared" si="323"/>
        <v>0.93977941176470592</v>
      </c>
      <c r="AY44" s="109">
        <f t="shared" si="323"/>
        <v>0.89104166666666662</v>
      </c>
      <c r="AZ44" s="109">
        <f t="shared" si="323"/>
        <v>0.87820175438596493</v>
      </c>
      <c r="BA44" s="109">
        <f t="shared" si="323"/>
        <v>0.8842916666666667</v>
      </c>
      <c r="BB44" s="109">
        <f t="shared" si="323"/>
        <v>0.88980158730158732</v>
      </c>
      <c r="BC44" s="109">
        <f t="shared" si="323"/>
        <v>0.89481060606060603</v>
      </c>
      <c r="BD44" s="109">
        <f t="shared" si="323"/>
        <v>0.89346014492753623</v>
      </c>
      <c r="BE44" s="109">
        <f t="shared" si="323"/>
        <v>0.89789930555555553</v>
      </c>
      <c r="BF44" s="109">
        <f t="shared" si="323"/>
        <v>0.90198333333333336</v>
      </c>
      <c r="BG44" s="109">
        <f t="shared" si="323"/>
        <v>0.90575320512820512</v>
      </c>
      <c r="BH44" s="109">
        <f t="shared" si="323"/>
        <v>0.90924382716049379</v>
      </c>
      <c r="BI44" s="109">
        <f t="shared" si="323"/>
        <v>0.91248511904761909</v>
      </c>
      <c r="BJ44" s="109">
        <f t="shared" si="323"/>
        <v>-9.8333333333333384E-2</v>
      </c>
      <c r="BK44" s="109">
        <f t="shared" si="323"/>
        <v>0.45083333333333331</v>
      </c>
      <c r="BL44" s="109">
        <f t="shared" si="323"/>
        <v>0.54055555555555546</v>
      </c>
      <c r="BM44" s="109">
        <f t="shared" si="323"/>
        <v>0.65541666666666654</v>
      </c>
      <c r="BN44" s="109">
        <f t="shared" si="323"/>
        <v>0.71449999999999991</v>
      </c>
      <c r="BO44" s="109">
        <f t="shared" ref="BO44:CT44" si="324">IF(OR(BO$13="",BO$17="",BO$14="",BO$15="",BO$16="",BO$18="",BO$19="",BO$20="",BO$21=""),"",1-(BO70/(BO$5)))</f>
        <v>0.64798611111111115</v>
      </c>
      <c r="BP44" s="109">
        <f t="shared" si="324"/>
        <v>0.69827380952380946</v>
      </c>
      <c r="BQ44" s="109">
        <f t="shared" si="324"/>
        <v>0.72182291666666665</v>
      </c>
      <c r="BR44" s="109">
        <f t="shared" si="324"/>
        <v>0.745</v>
      </c>
      <c r="BS44" s="109">
        <f t="shared" si="324"/>
        <v>0.69895833333333335</v>
      </c>
      <c r="BT44" s="109">
        <f t="shared" si="324"/>
        <v>0.72632575757575757</v>
      </c>
      <c r="BU44" s="109">
        <f t="shared" si="324"/>
        <v>0.74913194444444442</v>
      </c>
      <c r="BV44" s="109">
        <f t="shared" si="324"/>
        <v>0.73766025641025645</v>
      </c>
      <c r="BW44" s="109">
        <f t="shared" si="324"/>
        <v>0.75291666666666668</v>
      </c>
      <c r="BX44" s="109">
        <f t="shared" si="324"/>
        <v>0.7693888888888889</v>
      </c>
      <c r="BY44" s="109">
        <f t="shared" si="324"/>
        <v>0.78380208333333334</v>
      </c>
      <c r="BZ44" s="109">
        <f t="shared" si="324"/>
        <v>0.78786764705882351</v>
      </c>
      <c r="CA44" s="109">
        <f t="shared" si="324"/>
        <v>0.79965277777777777</v>
      </c>
      <c r="CB44" s="109">
        <f t="shared" si="324"/>
        <v>0.81019736842105261</v>
      </c>
      <c r="CC44" s="109">
        <f t="shared" si="324"/>
        <v>0.81968750000000001</v>
      </c>
      <c r="CD44" s="109">
        <f t="shared" si="324"/>
        <v>0.82432539682539685</v>
      </c>
      <c r="CE44" s="109">
        <f t="shared" si="324"/>
        <v>0.83231060606060603</v>
      </c>
      <c r="CF44" s="109">
        <f t="shared" si="324"/>
        <v>0.83960144927536229</v>
      </c>
      <c r="CG44" s="109">
        <f t="shared" si="324"/>
        <v>0.84628472222222229</v>
      </c>
      <c r="CH44" s="109">
        <f t="shared" si="324"/>
        <v>0.85243333333333338</v>
      </c>
      <c r="CI44" s="109">
        <f t="shared" si="324"/>
        <v>0.8552564102564103</v>
      </c>
      <c r="CJ44" s="109">
        <f t="shared" si="324"/>
        <v>0.86061728395061732</v>
      </c>
      <c r="CK44" s="109">
        <f t="shared" si="324"/>
        <v>0.86559523809523808</v>
      </c>
      <c r="CL44" s="109">
        <f t="shared" si="324"/>
        <v>0.86724137931034484</v>
      </c>
      <c r="CM44" s="109">
        <f t="shared" si="324"/>
        <v>0.84750000000000003</v>
      </c>
      <c r="CN44" s="109">
        <f t="shared" si="324"/>
        <v>0.83797043010752692</v>
      </c>
      <c r="CO44" s="109">
        <f t="shared" si="324"/>
        <v>0.86541666666666672</v>
      </c>
      <c r="CP44" s="109">
        <f t="shared" si="324"/>
        <v>0.93270833333333336</v>
      </c>
      <c r="CQ44" s="109">
        <f t="shared" si="324"/>
        <v>0.95513888888888887</v>
      </c>
      <c r="CR44" s="109">
        <f t="shared" si="324"/>
        <v>0.96635416666666663</v>
      </c>
      <c r="CS44" s="109">
        <f t="shared" si="324"/>
        <v>0.9730833333333333</v>
      </c>
      <c r="CT44" s="109">
        <f t="shared" si="324"/>
        <v>0.97756944444444449</v>
      </c>
      <c r="CU44" s="109">
        <f t="shared" ref="CU44:DS44" si="325">IF(OR(CU$13="",CU$17="",CU$14="",CU$15="",CU$16="",CU$18="",CU$19="",CU$20="",CU$21=""),"",1-(CU70/(CU$5)))</f>
        <v>0.95565476190476195</v>
      </c>
      <c r="CV44" s="109">
        <f t="shared" si="325"/>
        <v>0.96119791666666665</v>
      </c>
      <c r="CW44" s="109">
        <f t="shared" si="325"/>
        <v>0.96550925925925923</v>
      </c>
      <c r="CX44" s="109">
        <f t="shared" si="325"/>
        <v>0.96895833333333337</v>
      </c>
      <c r="CY44" s="109">
        <f t="shared" si="325"/>
        <v>0.95890151515151512</v>
      </c>
      <c r="CZ44" s="109">
        <f t="shared" si="325"/>
        <v>0.96232638888888888</v>
      </c>
      <c r="DA44" s="109">
        <f t="shared" si="325"/>
        <v>0.9409615384615384</v>
      </c>
      <c r="DB44" s="109">
        <f t="shared" si="325"/>
        <v>0.94517857142857142</v>
      </c>
      <c r="DC44" s="109">
        <f t="shared" si="325"/>
        <v>0.94883333333333331</v>
      </c>
      <c r="DD44" s="109">
        <f t="shared" si="325"/>
        <v>0.95203125</v>
      </c>
      <c r="DE44" s="109">
        <f t="shared" si="325"/>
        <v>0.94992647058823532</v>
      </c>
      <c r="DF44" s="109">
        <f t="shared" si="325"/>
        <v>0.95270833333333338</v>
      </c>
      <c r="DG44" s="109">
        <f t="shared" si="325"/>
        <v>0.95519736842105263</v>
      </c>
      <c r="DH44" s="109">
        <f t="shared" si="325"/>
        <v>0.89256250000000004</v>
      </c>
      <c r="DI44" s="109">
        <f t="shared" si="325"/>
        <v>0.89767857142857144</v>
      </c>
      <c r="DJ44" s="109">
        <f t="shared" si="325"/>
        <v>0.89473484848484852</v>
      </c>
      <c r="DK44" s="109">
        <f t="shared" si="325"/>
        <v>0.89931159420289852</v>
      </c>
      <c r="DL44" s="109">
        <f t="shared" si="325"/>
        <v>0.90350694444444446</v>
      </c>
      <c r="DM44" s="109">
        <f t="shared" si="325"/>
        <v>0.90736666666666665</v>
      </c>
      <c r="DN44" s="109">
        <f t="shared" si="325"/>
        <v>0.91092948717948719</v>
      </c>
      <c r="DO44" s="109">
        <f t="shared" si="325"/>
        <v>0.9073148148148148</v>
      </c>
      <c r="DP44" s="109">
        <f t="shared" si="325"/>
        <v>0.90385416666666663</v>
      </c>
      <c r="DQ44" s="109">
        <f t="shared" si="325"/>
        <v>0.90716954022988505</v>
      </c>
      <c r="DR44" s="109">
        <f t="shared" si="325"/>
        <v>0.91026388888888887</v>
      </c>
      <c r="DS44" s="109">
        <f t="shared" si="325"/>
        <v>1</v>
      </c>
      <c r="DT44" s="109">
        <f t="shared" ref="DT44:GE44" si="326">IF(OR(DT$13="",DT$17="",DT$14="",DT$15="",DT$16="",DT$18="",DT$19="",DT$20="",DT$21=""),"",1-(DT70/(DT$5)))</f>
        <v>1</v>
      </c>
      <c r="DU44" s="109">
        <f t="shared" si="326"/>
        <v>0.79888888888888887</v>
      </c>
      <c r="DV44" s="109">
        <f t="shared" si="326"/>
        <v>0.78822916666666665</v>
      </c>
      <c r="DW44" s="109">
        <f t="shared" si="326"/>
        <v>0.82000000000000006</v>
      </c>
      <c r="DX44" s="109">
        <f t="shared" si="326"/>
        <v>0.77430555555555558</v>
      </c>
      <c r="DY44" s="109">
        <f t="shared" si="326"/>
        <v>0.80654761904761907</v>
      </c>
      <c r="DZ44" s="109">
        <f t="shared" si="326"/>
        <v>0.80067708333333332</v>
      </c>
      <c r="EA44" s="109">
        <f t="shared" si="326"/>
        <v>0.8228240740740741</v>
      </c>
      <c r="EB44" s="109">
        <f t="shared" si="326"/>
        <v>0.84054166666666674</v>
      </c>
      <c r="EC44" s="109">
        <f t="shared" si="326"/>
        <v>0.85503787878787874</v>
      </c>
      <c r="ED44" s="109">
        <f t="shared" si="326"/>
        <v>0.86711805555555554</v>
      </c>
      <c r="EE44" s="109">
        <f t="shared" si="326"/>
        <v>0.87733974358974365</v>
      </c>
      <c r="EF44" s="109">
        <f t="shared" si="326"/>
        <v>0.88610119047619051</v>
      </c>
      <c r="EG44" s="109">
        <f t="shared" si="326"/>
        <v>0.89369444444444446</v>
      </c>
      <c r="EH44" s="109">
        <f t="shared" si="326"/>
        <v>0.90033854166666671</v>
      </c>
      <c r="EI44" s="109">
        <f t="shared" si="326"/>
        <v>0.90620098039215691</v>
      </c>
      <c r="EJ44" s="109">
        <f t="shared" si="326"/>
        <v>0.88025462962962964</v>
      </c>
      <c r="EK44" s="109">
        <f t="shared" si="326"/>
        <v>0.88655701754385963</v>
      </c>
      <c r="EL44" s="109">
        <f t="shared" si="326"/>
        <v>0.89222916666666663</v>
      </c>
      <c r="EM44" s="109">
        <f t="shared" si="326"/>
        <v>0.87761904761904763</v>
      </c>
      <c r="EN44" s="109">
        <f t="shared" si="326"/>
        <v>0.88318181818181818</v>
      </c>
      <c r="EO44" s="109">
        <f t="shared" si="326"/>
        <v>0.88826086956521744</v>
      </c>
      <c r="EP44" s="109">
        <f t="shared" si="326"/>
        <v>0.86710069444444449</v>
      </c>
      <c r="EQ44" s="109">
        <f t="shared" si="326"/>
        <v>0.87241666666666662</v>
      </c>
      <c r="ER44" s="109">
        <f t="shared" si="326"/>
        <v>0.877323717948718</v>
      </c>
      <c r="ES44" s="109">
        <f t="shared" si="326"/>
        <v>0.88186728395061731</v>
      </c>
      <c r="ET44" s="109">
        <f t="shared" si="326"/>
        <v>0.87860119047619045</v>
      </c>
      <c r="EU44" s="109">
        <f t="shared" si="326"/>
        <v>0.88278735632183913</v>
      </c>
      <c r="EV44" s="109">
        <f t="shared" si="326"/>
        <v>0.88669444444444445</v>
      </c>
      <c r="EW44" s="109">
        <f t="shared" si="326"/>
        <v>0.89034946236559143</v>
      </c>
      <c r="EX44" s="109">
        <f t="shared" si="326"/>
        <v>1</v>
      </c>
      <c r="EY44" s="109">
        <f t="shared" si="326"/>
        <v>1</v>
      </c>
      <c r="EZ44" s="109">
        <f t="shared" si="326"/>
        <v>1</v>
      </c>
      <c r="FA44" s="109">
        <f t="shared" si="326"/>
        <v>1</v>
      </c>
      <c r="FB44" s="109">
        <f t="shared" si="326"/>
        <v>1</v>
      </c>
      <c r="FC44" s="109">
        <f t="shared" si="326"/>
        <v>1</v>
      </c>
      <c r="FD44" s="109">
        <f t="shared" si="326"/>
        <v>0.97291666666666665</v>
      </c>
      <c r="FE44" s="109">
        <f t="shared" si="326"/>
        <v>0.97630208333333335</v>
      </c>
      <c r="FF44" s="109">
        <f t="shared" si="326"/>
        <v>0.97893518518518519</v>
      </c>
      <c r="FG44" s="109">
        <f t="shared" si="326"/>
        <v>0.9810416666666667</v>
      </c>
      <c r="FH44" s="109">
        <f t="shared" si="326"/>
        <v>0.98276515151515154</v>
      </c>
      <c r="FI44" s="109">
        <f t="shared" si="326"/>
        <v>0.98420138888888886</v>
      </c>
      <c r="FJ44" s="109">
        <f t="shared" si="326"/>
        <v>0.98541666666666672</v>
      </c>
      <c r="FK44" s="109">
        <f t="shared" si="326"/>
        <v>0.98645833333333333</v>
      </c>
      <c r="FL44" s="109">
        <f t="shared" si="326"/>
        <v>0.98736111111111113</v>
      </c>
      <c r="FM44" s="109">
        <f t="shared" si="326"/>
        <v>0.97481770833333337</v>
      </c>
      <c r="FN44" s="109">
        <f t="shared" si="326"/>
        <v>0.97629901960784315</v>
      </c>
      <c r="FO44" s="109">
        <f t="shared" si="326"/>
        <v>0.93706018518518519</v>
      </c>
      <c r="FP44" s="109">
        <f t="shared" si="326"/>
        <v>0.94037280701754389</v>
      </c>
      <c r="FQ44" s="109">
        <f t="shared" si="326"/>
        <v>0.94335416666666672</v>
      </c>
      <c r="FR44" s="109">
        <f t="shared" si="326"/>
        <v>0.66043650793650799</v>
      </c>
      <c r="FS44" s="109">
        <f t="shared" si="326"/>
        <v>0.67587121212121204</v>
      </c>
      <c r="FT44" s="109">
        <f t="shared" si="326"/>
        <v>0.68996376811594207</v>
      </c>
      <c r="FU44" s="109">
        <f t="shared" si="326"/>
        <v>0.70288194444444441</v>
      </c>
      <c r="FV44" s="109">
        <f t="shared" si="326"/>
        <v>0.71476666666666666</v>
      </c>
      <c r="FW44" s="109">
        <f t="shared" si="326"/>
        <v>0.72573717948717942</v>
      </c>
      <c r="FX44" s="109">
        <f t="shared" si="326"/>
        <v>0.73589506172839503</v>
      </c>
      <c r="FY44" s="109">
        <f t="shared" si="326"/>
        <v>0.74532738095238094</v>
      </c>
      <c r="FZ44" s="109">
        <f t="shared" si="326"/>
        <v>0.75410919540229882</v>
      </c>
      <c r="GA44" s="109">
        <f t="shared" si="282"/>
        <v>0.76230555555555557</v>
      </c>
      <c r="GB44" s="109">
        <f t="shared" si="282"/>
        <v>1</v>
      </c>
      <c r="GC44" s="109">
        <f t="shared" si="326"/>
        <v>1</v>
      </c>
      <c r="GD44" s="109">
        <f t="shared" si="326"/>
        <v>1</v>
      </c>
      <c r="GE44" s="109">
        <f t="shared" si="326"/>
        <v>1</v>
      </c>
      <c r="GF44" s="109">
        <f t="shared" ref="GF44:IQ44" si="327">IF(OR(GF$13="",GF$17="",GF$14="",GF$15="",GF$16="",GF$18="",GF$19="",GF$20="",GF$21=""),"",1-(GF70/(GF$5)))</f>
        <v>0.94474999999999998</v>
      </c>
      <c r="GG44" s="109">
        <f t="shared" si="327"/>
        <v>0.87270833333333331</v>
      </c>
      <c r="GH44" s="109">
        <f t="shared" si="327"/>
        <v>0.75708333333333333</v>
      </c>
      <c r="GI44" s="109">
        <f t="shared" si="327"/>
        <v>0.78744791666666669</v>
      </c>
      <c r="GJ44" s="109">
        <f t="shared" si="327"/>
        <v>0.80935185185185188</v>
      </c>
      <c r="GK44" s="109">
        <f t="shared" si="327"/>
        <v>0.82841666666666669</v>
      </c>
      <c r="GL44" s="109">
        <f t="shared" si="327"/>
        <v>0.8440151515151515</v>
      </c>
      <c r="GM44" s="109">
        <f t="shared" si="327"/>
        <v>0.8478472222222222</v>
      </c>
      <c r="GN44" s="109">
        <f t="shared" si="327"/>
        <v>0.85955128205128206</v>
      </c>
      <c r="GO44" s="109">
        <f t="shared" si="327"/>
        <v>0.86958333333333337</v>
      </c>
      <c r="GP44" s="109">
        <f t="shared" si="327"/>
        <v>0.87827777777777782</v>
      </c>
      <c r="GQ44" s="109">
        <f t="shared" si="327"/>
        <v>0.88588541666666665</v>
      </c>
      <c r="GR44" s="109">
        <f t="shared" si="327"/>
        <v>0.89259803921568626</v>
      </c>
      <c r="GS44" s="109">
        <f t="shared" si="327"/>
        <v>0.89856481481481487</v>
      </c>
      <c r="GT44" s="109">
        <f t="shared" si="327"/>
        <v>0.90390350877192982</v>
      </c>
      <c r="GU44" s="109">
        <f t="shared" si="327"/>
        <v>0.90870833333333334</v>
      </c>
      <c r="GV44" s="109">
        <f t="shared" si="327"/>
        <v>0.91305555555555551</v>
      </c>
      <c r="GW44" s="109">
        <f t="shared" si="327"/>
        <v>0.85134469696969695</v>
      </c>
      <c r="GX44" s="109">
        <f t="shared" si="327"/>
        <v>0.8578079710144928</v>
      </c>
      <c r="GY44" s="109">
        <f t="shared" si="327"/>
        <v>0.86373263888888885</v>
      </c>
      <c r="GZ44" s="109">
        <f t="shared" si="327"/>
        <v>0.86918333333333331</v>
      </c>
      <c r="HA44" s="109">
        <f t="shared" si="327"/>
        <v>0.8742147435897436</v>
      </c>
      <c r="HB44" s="109">
        <f t="shared" si="327"/>
        <v>0.87887345679012341</v>
      </c>
      <c r="HC44" s="109">
        <f t="shared" si="327"/>
        <v>0.88319940476190473</v>
      </c>
      <c r="HD44" s="109">
        <f t="shared" si="327"/>
        <v>0.88722701149425287</v>
      </c>
      <c r="HE44" s="109">
        <f t="shared" si="327"/>
        <v>0.89098611111111115</v>
      </c>
      <c r="HF44" s="109">
        <f t="shared" si="327"/>
        <v>0.89450268817204304</v>
      </c>
      <c r="HG44" s="109">
        <f t="shared" si="327"/>
        <v>0.9019328703703704</v>
      </c>
      <c r="HH44" s="109">
        <f t="shared" si="327"/>
        <v>0.9509664351851852</v>
      </c>
      <c r="HI44" s="109">
        <f t="shared" si="327"/>
        <v>0.80940972222222218</v>
      </c>
      <c r="HJ44" s="109">
        <f t="shared" si="327"/>
        <v>0.77931423611111106</v>
      </c>
      <c r="HK44" s="109">
        <f t="shared" si="327"/>
        <v>0.82345138888888891</v>
      </c>
      <c r="HL44" s="109">
        <f t="shared" si="327"/>
        <v>0.85287615740740741</v>
      </c>
      <c r="HM44" s="109">
        <f t="shared" si="327"/>
        <v>0.83517691798941796</v>
      </c>
      <c r="HN44" s="109">
        <f t="shared" si="327"/>
        <v>0.85364149305555559</v>
      </c>
      <c r="HO44" s="109">
        <f t="shared" si="327"/>
        <v>0.86990354938271608</v>
      </c>
      <c r="HP44" s="109">
        <f t="shared" si="327"/>
        <v>0.78200115740740739</v>
      </c>
      <c r="HQ44" s="109">
        <f t="shared" si="327"/>
        <v>0.79488320707070703</v>
      </c>
      <c r="HR44" s="109">
        <f t="shared" si="327"/>
        <v>0.73329089506172829</v>
      </c>
      <c r="HS44" s="109">
        <f t="shared" si="327"/>
        <v>0.75380698005697999</v>
      </c>
      <c r="HT44" s="109">
        <f t="shared" si="327"/>
        <v>0.74736028439153435</v>
      </c>
      <c r="HU44" s="109">
        <f t="shared" si="327"/>
        <v>0.74629783950617279</v>
      </c>
      <c r="HV44" s="109">
        <f t="shared" si="327"/>
        <v>0.75595558449074074</v>
      </c>
      <c r="HW44" s="109">
        <f t="shared" si="327"/>
        <v>0.77009055010893246</v>
      </c>
      <c r="HX44" s="109">
        <f t="shared" si="327"/>
        <v>0.77493698559670787</v>
      </c>
      <c r="HY44" s="109">
        <f t="shared" si="327"/>
        <v>0.78630543372319683</v>
      </c>
      <c r="HZ44" s="109">
        <f t="shared" si="327"/>
        <v>0.78083564814814821</v>
      </c>
      <c r="IA44" s="109">
        <f t="shared" si="327"/>
        <v>0.79127204585537925</v>
      </c>
      <c r="IB44" s="109">
        <f t="shared" si="327"/>
        <v>0.80075968013468013</v>
      </c>
      <c r="IC44" s="109">
        <f t="shared" si="327"/>
        <v>0.80942230273752014</v>
      </c>
      <c r="ID44" s="109">
        <f t="shared" si="327"/>
        <v>0.81736304012345684</v>
      </c>
      <c r="IE44" s="109">
        <f t="shared" si="327"/>
        <v>0.82466851851851852</v>
      </c>
      <c r="IF44" s="109">
        <f t="shared" si="327"/>
        <v>0.82844729344729351</v>
      </c>
      <c r="IG44" s="109">
        <f t="shared" si="327"/>
        <v>0.83480109739369002</v>
      </c>
      <c r="IH44" s="109">
        <f t="shared" si="327"/>
        <v>0.71012070105820113</v>
      </c>
      <c r="II44" s="109">
        <f t="shared" si="327"/>
        <v>0.72011653895274585</v>
      </c>
      <c r="IJ44" s="109">
        <f t="shared" si="327"/>
        <v>0.63551543209876549</v>
      </c>
      <c r="IK44" s="109">
        <f t="shared" si="327"/>
        <v>0.64727299880525691</v>
      </c>
      <c r="IL44" s="109">
        <f t="shared" si="327"/>
        <v>1</v>
      </c>
      <c r="IM44" s="109">
        <f t="shared" si="327"/>
        <v>1</v>
      </c>
      <c r="IN44" s="109">
        <f t="shared" si="327"/>
        <v>1</v>
      </c>
      <c r="IO44" s="109">
        <f t="shared" si="327"/>
        <v>1</v>
      </c>
      <c r="IP44" s="109">
        <f t="shared" si="327"/>
        <v>1</v>
      </c>
      <c r="IQ44" s="109">
        <f t="shared" si="327"/>
        <v>1</v>
      </c>
      <c r="IR44" s="109">
        <f t="shared" ref="IR44:LC44" si="328">IF(OR(IR$13="",IR$17="",IR$14="",IR$15="",IR$16="",IR$18="",IR$19="",IR$20="",IR$21=""),"",1-(IR70/(IR$5)))</f>
        <v>1</v>
      </c>
      <c r="IS44" s="109">
        <f t="shared" si="328"/>
        <v>1</v>
      </c>
      <c r="IT44" s="109">
        <f t="shared" si="328"/>
        <v>1</v>
      </c>
      <c r="IU44" s="109">
        <f t="shared" si="328"/>
        <v>0.99604629629629626</v>
      </c>
      <c r="IV44" s="109">
        <f t="shared" si="328"/>
        <v>0.97446233164983165</v>
      </c>
      <c r="IW44" s="109">
        <f t="shared" si="328"/>
        <v>0.9412056327160494</v>
      </c>
      <c r="IX44" s="109">
        <f t="shared" si="328"/>
        <v>0.94262019230769234</v>
      </c>
      <c r="IY44" s="109">
        <f t="shared" si="328"/>
        <v>0.9265079365079365</v>
      </c>
      <c r="IZ44" s="109">
        <f t="shared" si="328"/>
        <v>0.90679089506172839</v>
      </c>
      <c r="JA44" s="109">
        <f t="shared" si="328"/>
        <v>0.91127965856481485</v>
      </c>
      <c r="JB44" s="109">
        <f t="shared" si="328"/>
        <v>0.91649850217864925</v>
      </c>
      <c r="JC44" s="109">
        <f t="shared" si="328"/>
        <v>0.91900655864197534</v>
      </c>
      <c r="JD44" s="109">
        <f t="shared" si="328"/>
        <v>0.9104215399610136</v>
      </c>
      <c r="JE44" s="109">
        <f t="shared" si="328"/>
        <v>0.9149004629629629</v>
      </c>
      <c r="JF44" s="109">
        <f t="shared" si="328"/>
        <v>0.91895282186948857</v>
      </c>
      <c r="JG44" s="109">
        <f t="shared" si="328"/>
        <v>0.92263678451178455</v>
      </c>
      <c r="JH44" s="109">
        <f t="shared" si="328"/>
        <v>0.92600040257648952</v>
      </c>
      <c r="JI44" s="109">
        <f t="shared" si="328"/>
        <v>0.91762490354938275</v>
      </c>
      <c r="JJ44" s="109">
        <f t="shared" si="328"/>
        <v>0.92091990740740737</v>
      </c>
      <c r="JK44" s="109">
        <f t="shared" si="328"/>
        <v>0.92396144943019942</v>
      </c>
      <c r="JL44" s="109">
        <f t="shared" si="328"/>
        <v>0.91951003086419758</v>
      </c>
      <c r="JM44" s="109">
        <f t="shared" si="328"/>
        <v>0.92238467261904766</v>
      </c>
      <c r="JN44" s="109">
        <f t="shared" si="328"/>
        <v>0.92362428160919541</v>
      </c>
      <c r="JO44" s="109">
        <f t="shared" si="328"/>
        <v>0.92478125</v>
      </c>
      <c r="JP44" s="109">
        <f t="shared" si="328"/>
        <v>0.625</v>
      </c>
      <c r="JQ44" s="109">
        <f t="shared" si="328"/>
        <v>0.78770833333333334</v>
      </c>
      <c r="JR44" s="109">
        <f t="shared" si="328"/>
        <v>0.84458333333333335</v>
      </c>
      <c r="JS44" s="109">
        <f t="shared" si="328"/>
        <v>0.87302083333333336</v>
      </c>
      <c r="JT44" s="109">
        <f t="shared" si="328"/>
        <v>0.89841666666666664</v>
      </c>
      <c r="JU44" s="109">
        <f t="shared" si="328"/>
        <v>0.9153472222222222</v>
      </c>
      <c r="JV44" s="109">
        <f t="shared" si="328"/>
        <v>0.9274404761904762</v>
      </c>
      <c r="JW44" s="109">
        <f t="shared" si="328"/>
        <v>0.93651041666666668</v>
      </c>
      <c r="JX44" s="109">
        <f t="shared" si="328"/>
        <v>0.9435648148148148</v>
      </c>
      <c r="JY44" s="109">
        <f t="shared" si="328"/>
        <v>0.94920833333333332</v>
      </c>
      <c r="JZ44" s="109">
        <f t="shared" si="328"/>
        <v>0.9538257575757576</v>
      </c>
      <c r="KA44" s="109">
        <f t="shared" si="328"/>
        <v>0.95767361111111116</v>
      </c>
      <c r="KB44" s="109">
        <f t="shared" si="328"/>
        <v>0.96092948717948723</v>
      </c>
      <c r="KC44" s="109">
        <f t="shared" si="328"/>
        <v>0.9637202380952381</v>
      </c>
      <c r="KD44" s="109">
        <f t="shared" si="328"/>
        <v>0.96613888888888888</v>
      </c>
      <c r="KE44" s="109">
        <f t="shared" si="328"/>
        <v>0.96825520833333334</v>
      </c>
      <c r="KF44" s="109">
        <f t="shared" si="328"/>
        <v>0.97012254901960782</v>
      </c>
      <c r="KG44" s="109">
        <f t="shared" si="328"/>
        <v>0.9717824074074074</v>
      </c>
      <c r="KH44" s="109">
        <f t="shared" si="328"/>
        <v>0.97326754385964909</v>
      </c>
      <c r="KI44" s="109">
        <f t="shared" si="328"/>
        <v>0.97460416666666672</v>
      </c>
      <c r="KJ44" s="109">
        <f t="shared" si="328"/>
        <v>0.97581349206349211</v>
      </c>
      <c r="KK44" s="109">
        <f t="shared" si="328"/>
        <v>0.9769128787878788</v>
      </c>
      <c r="KL44" s="109">
        <f t="shared" si="328"/>
        <v>0.97791666666666666</v>
      </c>
      <c r="KM44" s="109">
        <f t="shared" si="328"/>
        <v>0.97883680555555552</v>
      </c>
      <c r="KN44" s="109">
        <f t="shared" si="328"/>
        <v>0.97968333333333335</v>
      </c>
      <c r="KO44" s="109">
        <f t="shared" si="328"/>
        <v>0.98046474358974356</v>
      </c>
      <c r="KP44" s="109">
        <f t="shared" si="328"/>
        <v>0.98118827160493827</v>
      </c>
      <c r="KQ44" s="109">
        <f t="shared" si="328"/>
        <v>0.98186011904761905</v>
      </c>
      <c r="KR44" s="109">
        <f t="shared" si="328"/>
        <v>0.98248563218390805</v>
      </c>
      <c r="KS44" s="109">
        <f t="shared" si="328"/>
        <v>0.98306944444444444</v>
      </c>
      <c r="KT44" s="109">
        <f t="shared" si="328"/>
        <v>0.98361559139784949</v>
      </c>
      <c r="KU44" s="109" t="str">
        <f t="shared" si="328"/>
        <v/>
      </c>
      <c r="KV44" s="109" t="str">
        <f t="shared" si="328"/>
        <v/>
      </c>
      <c r="KW44" s="109" t="str">
        <f t="shared" si="328"/>
        <v/>
      </c>
      <c r="KX44" s="109" t="str">
        <f t="shared" si="328"/>
        <v/>
      </c>
      <c r="KY44" s="109" t="str">
        <f t="shared" si="328"/>
        <v/>
      </c>
      <c r="KZ44" s="109" t="str">
        <f t="shared" si="328"/>
        <v/>
      </c>
      <c r="LA44" s="109" t="str">
        <f t="shared" si="328"/>
        <v/>
      </c>
      <c r="LB44" s="109" t="str">
        <f t="shared" si="328"/>
        <v/>
      </c>
      <c r="LC44" s="109" t="str">
        <f t="shared" si="328"/>
        <v/>
      </c>
      <c r="LD44" s="109" t="str">
        <f t="shared" ref="LD44:NO44" si="329">IF(OR(LD$13="",LD$17="",LD$14="",LD$15="",LD$16="",LD$18="",LD$19="",LD$20="",LD$21=""),"",1-(LD70/(LD$5)))</f>
        <v/>
      </c>
      <c r="LE44" s="109" t="str">
        <f t="shared" si="329"/>
        <v/>
      </c>
      <c r="LF44" s="109" t="str">
        <f t="shared" si="329"/>
        <v/>
      </c>
      <c r="LG44" s="109" t="str">
        <f t="shared" si="329"/>
        <v/>
      </c>
      <c r="LH44" s="109" t="str">
        <f t="shared" si="329"/>
        <v/>
      </c>
      <c r="LI44" s="109" t="str">
        <f t="shared" si="329"/>
        <v/>
      </c>
      <c r="LJ44" s="109" t="str">
        <f t="shared" si="329"/>
        <v/>
      </c>
      <c r="LK44" s="109" t="str">
        <f t="shared" si="329"/>
        <v/>
      </c>
      <c r="LL44" s="109" t="str">
        <f t="shared" si="329"/>
        <v/>
      </c>
      <c r="LM44" s="109" t="str">
        <f t="shared" si="329"/>
        <v/>
      </c>
      <c r="LN44" s="109" t="str">
        <f t="shared" si="329"/>
        <v/>
      </c>
      <c r="LO44" s="109" t="str">
        <f t="shared" si="329"/>
        <v/>
      </c>
      <c r="LP44" s="109" t="str">
        <f t="shared" si="329"/>
        <v/>
      </c>
      <c r="LQ44" s="109" t="str">
        <f t="shared" si="329"/>
        <v/>
      </c>
      <c r="LR44" s="109" t="str">
        <f t="shared" si="329"/>
        <v/>
      </c>
      <c r="LS44" s="109" t="str">
        <f t="shared" si="329"/>
        <v/>
      </c>
      <c r="LT44" s="109" t="str">
        <f t="shared" si="329"/>
        <v/>
      </c>
      <c r="LU44" s="109" t="str">
        <f t="shared" si="329"/>
        <v/>
      </c>
      <c r="LV44" s="109" t="str">
        <f t="shared" si="329"/>
        <v/>
      </c>
      <c r="LW44" s="109" t="str">
        <f t="shared" si="329"/>
        <v/>
      </c>
      <c r="LX44" s="109" t="str">
        <f t="shared" si="329"/>
        <v/>
      </c>
      <c r="LY44" s="109" t="str">
        <f t="shared" si="329"/>
        <v/>
      </c>
      <c r="LZ44" s="109" t="str">
        <f t="shared" si="329"/>
        <v/>
      </c>
      <c r="MA44" s="109" t="str">
        <f t="shared" si="329"/>
        <v/>
      </c>
      <c r="MB44" s="109" t="str">
        <f t="shared" si="329"/>
        <v/>
      </c>
      <c r="MC44" s="109" t="str">
        <f t="shared" si="329"/>
        <v/>
      </c>
      <c r="MD44" s="109" t="str">
        <f t="shared" si="329"/>
        <v/>
      </c>
      <c r="ME44" s="109" t="str">
        <f t="shared" si="329"/>
        <v/>
      </c>
      <c r="MF44" s="109" t="str">
        <f t="shared" si="329"/>
        <v/>
      </c>
      <c r="MG44" s="109" t="str">
        <f t="shared" si="329"/>
        <v/>
      </c>
      <c r="MH44" s="109" t="str">
        <f t="shared" si="329"/>
        <v/>
      </c>
      <c r="MI44" s="109" t="str">
        <f t="shared" si="329"/>
        <v/>
      </c>
      <c r="MJ44" s="109" t="str">
        <f t="shared" si="329"/>
        <v/>
      </c>
      <c r="MK44" s="109" t="str">
        <f t="shared" si="329"/>
        <v/>
      </c>
      <c r="ML44" s="109" t="str">
        <f t="shared" si="329"/>
        <v/>
      </c>
      <c r="MM44" s="109" t="str">
        <f t="shared" si="329"/>
        <v/>
      </c>
      <c r="MN44" s="109" t="str">
        <f t="shared" si="329"/>
        <v/>
      </c>
      <c r="MO44" s="109" t="str">
        <f t="shared" si="329"/>
        <v/>
      </c>
      <c r="MP44" s="109" t="str">
        <f t="shared" si="329"/>
        <v/>
      </c>
      <c r="MQ44" s="109" t="str">
        <f t="shared" si="329"/>
        <v/>
      </c>
      <c r="MR44" s="109" t="str">
        <f t="shared" si="329"/>
        <v/>
      </c>
      <c r="MS44" s="109" t="str">
        <f t="shared" si="329"/>
        <v/>
      </c>
      <c r="MT44" s="109" t="str">
        <f t="shared" si="329"/>
        <v/>
      </c>
      <c r="MU44" s="109" t="str">
        <f t="shared" si="329"/>
        <v/>
      </c>
      <c r="MV44" s="109" t="str">
        <f t="shared" si="329"/>
        <v/>
      </c>
      <c r="MW44" s="109" t="str">
        <f t="shared" si="329"/>
        <v/>
      </c>
      <c r="MX44" s="109" t="str">
        <f t="shared" si="329"/>
        <v/>
      </c>
      <c r="MY44" s="109" t="str">
        <f t="shared" si="329"/>
        <v/>
      </c>
      <c r="MZ44" s="109" t="str">
        <f t="shared" si="329"/>
        <v/>
      </c>
      <c r="NA44" s="109" t="str">
        <f t="shared" si="329"/>
        <v/>
      </c>
      <c r="NB44" s="109" t="str">
        <f t="shared" si="329"/>
        <v/>
      </c>
      <c r="NC44" s="109" t="str">
        <f t="shared" si="329"/>
        <v/>
      </c>
      <c r="ND44" s="109" t="str">
        <f t="shared" si="329"/>
        <v/>
      </c>
      <c r="NE44" s="109" t="str">
        <f t="shared" si="329"/>
        <v/>
      </c>
      <c r="NF44" s="109" t="str">
        <f t="shared" si="329"/>
        <v/>
      </c>
      <c r="NG44" s="109" t="str">
        <f t="shared" si="329"/>
        <v/>
      </c>
      <c r="NH44" s="109" t="str">
        <f t="shared" si="329"/>
        <v/>
      </c>
      <c r="NI44" s="109" t="str">
        <f t="shared" si="329"/>
        <v/>
      </c>
      <c r="NJ44" s="109" t="str">
        <f t="shared" si="329"/>
        <v/>
      </c>
      <c r="NK44" s="109" t="str">
        <f t="shared" si="329"/>
        <v/>
      </c>
      <c r="NL44" s="109" t="str">
        <f t="shared" si="329"/>
        <v/>
      </c>
      <c r="NM44" s="109" t="str">
        <f t="shared" si="329"/>
        <v/>
      </c>
      <c r="NN44" s="109" t="str">
        <f t="shared" si="329"/>
        <v/>
      </c>
      <c r="NO44" s="109" t="str">
        <f t="shared" si="329"/>
        <v/>
      </c>
      <c r="NP44" s="109" t="str">
        <f t="shared" ref="NP44:QA44" si="330">IF(OR(NP$13="",NP$17="",NP$14="",NP$15="",NP$16="",NP$18="",NP$19="",NP$20="",NP$21=""),"",1-(NP70/(NP$5)))</f>
        <v/>
      </c>
      <c r="NQ44" s="109" t="str">
        <f t="shared" si="330"/>
        <v/>
      </c>
      <c r="NR44" s="109" t="str">
        <f t="shared" si="330"/>
        <v/>
      </c>
      <c r="NS44" s="109" t="str">
        <f t="shared" si="330"/>
        <v/>
      </c>
      <c r="NT44" s="109" t="str">
        <f t="shared" si="330"/>
        <v/>
      </c>
      <c r="NU44" s="109" t="str">
        <f t="shared" si="330"/>
        <v/>
      </c>
      <c r="NV44" s="109" t="str">
        <f t="shared" si="330"/>
        <v/>
      </c>
      <c r="NW44" s="109" t="str">
        <f t="shared" si="330"/>
        <v/>
      </c>
      <c r="NX44" s="109" t="str">
        <f t="shared" si="330"/>
        <v/>
      </c>
      <c r="NY44" s="109" t="str">
        <f t="shared" si="330"/>
        <v/>
      </c>
      <c r="NZ44" s="109" t="str">
        <f t="shared" si="330"/>
        <v/>
      </c>
      <c r="OA44" s="109" t="str">
        <f t="shared" si="330"/>
        <v/>
      </c>
      <c r="OB44" s="109" t="str">
        <f t="shared" si="330"/>
        <v/>
      </c>
      <c r="OC44" s="109" t="str">
        <f t="shared" si="330"/>
        <v/>
      </c>
      <c r="OD44" s="109" t="str">
        <f t="shared" si="330"/>
        <v/>
      </c>
      <c r="OE44" s="109" t="str">
        <f t="shared" si="330"/>
        <v/>
      </c>
      <c r="OF44" s="109" t="str">
        <f t="shared" si="330"/>
        <v/>
      </c>
      <c r="OG44" s="109" t="str">
        <f t="shared" si="330"/>
        <v/>
      </c>
      <c r="OH44" s="109" t="str">
        <f t="shared" si="330"/>
        <v/>
      </c>
      <c r="OI44" s="109" t="str">
        <f t="shared" si="330"/>
        <v/>
      </c>
      <c r="OJ44" s="109" t="str">
        <f t="shared" si="330"/>
        <v/>
      </c>
      <c r="OK44" s="109" t="str">
        <f t="shared" si="330"/>
        <v/>
      </c>
      <c r="OL44" s="109" t="str">
        <f t="shared" si="330"/>
        <v/>
      </c>
      <c r="OM44" s="109" t="str">
        <f t="shared" si="330"/>
        <v/>
      </c>
      <c r="ON44" s="109" t="str">
        <f t="shared" si="330"/>
        <v/>
      </c>
      <c r="OO44" s="109" t="str">
        <f t="shared" si="330"/>
        <v/>
      </c>
      <c r="OP44" s="109" t="str">
        <f t="shared" si="330"/>
        <v/>
      </c>
      <c r="OQ44" s="109" t="str">
        <f t="shared" si="330"/>
        <v/>
      </c>
      <c r="OR44" s="109" t="str">
        <f t="shared" si="330"/>
        <v/>
      </c>
      <c r="OS44" s="109" t="str">
        <f t="shared" si="330"/>
        <v/>
      </c>
      <c r="OT44" s="109" t="str">
        <f t="shared" si="330"/>
        <v/>
      </c>
      <c r="OU44" s="109" t="str">
        <f t="shared" si="330"/>
        <v/>
      </c>
      <c r="OV44" s="109" t="str">
        <f t="shared" si="330"/>
        <v/>
      </c>
      <c r="OW44" s="109" t="str">
        <f t="shared" si="330"/>
        <v/>
      </c>
      <c r="OX44" s="109" t="str">
        <f t="shared" si="330"/>
        <v/>
      </c>
      <c r="OY44" s="109" t="str">
        <f t="shared" si="330"/>
        <v/>
      </c>
      <c r="OZ44" s="109" t="str">
        <f t="shared" si="330"/>
        <v/>
      </c>
      <c r="PA44" s="109" t="str">
        <f t="shared" si="330"/>
        <v/>
      </c>
      <c r="PB44" s="109" t="str">
        <f t="shared" si="330"/>
        <v/>
      </c>
      <c r="PC44" s="109" t="str">
        <f t="shared" si="330"/>
        <v/>
      </c>
      <c r="PD44" s="109" t="str">
        <f t="shared" si="330"/>
        <v/>
      </c>
      <c r="PE44" s="109" t="str">
        <f t="shared" si="330"/>
        <v/>
      </c>
      <c r="PF44" s="109" t="str">
        <f t="shared" si="330"/>
        <v/>
      </c>
      <c r="PG44" s="109" t="str">
        <f t="shared" si="330"/>
        <v/>
      </c>
      <c r="PH44" s="109" t="str">
        <f t="shared" si="330"/>
        <v/>
      </c>
      <c r="PI44" s="109" t="str">
        <f t="shared" si="330"/>
        <v/>
      </c>
      <c r="PJ44" s="109" t="str">
        <f t="shared" si="330"/>
        <v/>
      </c>
      <c r="PK44" s="109" t="str">
        <f t="shared" si="330"/>
        <v/>
      </c>
      <c r="PL44" s="109" t="str">
        <f t="shared" si="330"/>
        <v/>
      </c>
      <c r="PM44" s="109" t="str">
        <f t="shared" si="330"/>
        <v/>
      </c>
      <c r="PN44" s="109" t="str">
        <f t="shared" si="330"/>
        <v/>
      </c>
      <c r="PO44" s="109" t="str">
        <f t="shared" si="330"/>
        <v/>
      </c>
      <c r="PP44" s="109" t="str">
        <f t="shared" si="330"/>
        <v/>
      </c>
      <c r="PQ44" s="109" t="str">
        <f t="shared" si="330"/>
        <v/>
      </c>
      <c r="PR44" s="109" t="str">
        <f t="shared" si="330"/>
        <v/>
      </c>
      <c r="PS44" s="109" t="str">
        <f t="shared" si="330"/>
        <v/>
      </c>
      <c r="PT44" s="109" t="str">
        <f t="shared" si="330"/>
        <v/>
      </c>
      <c r="PU44" s="109" t="str">
        <f t="shared" si="330"/>
        <v/>
      </c>
      <c r="PV44" s="109" t="str">
        <f t="shared" si="330"/>
        <v/>
      </c>
      <c r="PW44" s="109" t="str">
        <f t="shared" si="330"/>
        <v/>
      </c>
      <c r="PX44" s="109" t="str">
        <f t="shared" si="330"/>
        <v/>
      </c>
      <c r="PY44" s="109" t="str">
        <f t="shared" si="330"/>
        <v/>
      </c>
      <c r="PZ44" s="109" t="str">
        <f t="shared" si="330"/>
        <v/>
      </c>
      <c r="QA44" s="109" t="str">
        <f t="shared" si="330"/>
        <v/>
      </c>
      <c r="QB44" s="109" t="str">
        <f t="shared" ref="QB44:SM44" si="331">IF(OR(QB$13="",QB$17="",QB$14="",QB$15="",QB$16="",QB$18="",QB$19="",QB$20="",QB$21=""),"",1-(QB70/(QB$5)))</f>
        <v/>
      </c>
      <c r="QC44" s="109" t="str">
        <f t="shared" si="331"/>
        <v/>
      </c>
      <c r="QD44" s="109" t="str">
        <f t="shared" si="331"/>
        <v/>
      </c>
      <c r="QE44" s="109" t="str">
        <f t="shared" si="331"/>
        <v/>
      </c>
      <c r="QF44" s="109" t="str">
        <f t="shared" si="331"/>
        <v/>
      </c>
      <c r="QG44" s="109" t="str">
        <f t="shared" si="331"/>
        <v/>
      </c>
      <c r="QH44" s="109" t="str">
        <f t="shared" si="331"/>
        <v/>
      </c>
      <c r="QI44" s="109" t="str">
        <f t="shared" si="331"/>
        <v/>
      </c>
      <c r="QJ44" s="109" t="str">
        <f t="shared" si="331"/>
        <v/>
      </c>
      <c r="QK44" s="109" t="str">
        <f t="shared" si="331"/>
        <v/>
      </c>
      <c r="QL44" s="109" t="str">
        <f t="shared" si="331"/>
        <v/>
      </c>
      <c r="QM44" s="109" t="str">
        <f t="shared" si="331"/>
        <v/>
      </c>
      <c r="QN44" s="109" t="str">
        <f t="shared" si="331"/>
        <v/>
      </c>
      <c r="QO44" s="109" t="str">
        <f t="shared" si="331"/>
        <v/>
      </c>
      <c r="QP44" s="109" t="str">
        <f t="shared" si="331"/>
        <v/>
      </c>
      <c r="QQ44" s="109" t="str">
        <f t="shared" si="331"/>
        <v/>
      </c>
      <c r="QR44" s="109" t="str">
        <f t="shared" si="331"/>
        <v/>
      </c>
      <c r="QS44" s="109" t="str">
        <f t="shared" si="331"/>
        <v/>
      </c>
      <c r="QT44" s="109" t="str">
        <f t="shared" si="331"/>
        <v/>
      </c>
      <c r="QU44" s="109" t="str">
        <f t="shared" si="331"/>
        <v/>
      </c>
      <c r="QV44" s="109" t="str">
        <f t="shared" si="331"/>
        <v/>
      </c>
      <c r="QW44" s="109" t="str">
        <f t="shared" si="331"/>
        <v/>
      </c>
      <c r="QX44" s="109" t="str">
        <f t="shared" si="331"/>
        <v/>
      </c>
      <c r="QY44" s="109" t="str">
        <f t="shared" si="331"/>
        <v/>
      </c>
      <c r="QZ44" s="109" t="str">
        <f t="shared" si="331"/>
        <v/>
      </c>
      <c r="RA44" s="109" t="str">
        <f t="shared" si="331"/>
        <v/>
      </c>
      <c r="RB44" s="109" t="str">
        <f t="shared" si="331"/>
        <v/>
      </c>
      <c r="RC44" s="109" t="str">
        <f t="shared" si="331"/>
        <v/>
      </c>
      <c r="RD44" s="109" t="str">
        <f t="shared" si="331"/>
        <v/>
      </c>
      <c r="RE44" s="109" t="str">
        <f t="shared" si="331"/>
        <v/>
      </c>
      <c r="RF44" s="109" t="str">
        <f t="shared" si="331"/>
        <v/>
      </c>
      <c r="RG44" s="109" t="str">
        <f t="shared" si="331"/>
        <v/>
      </c>
      <c r="RH44" s="109" t="str">
        <f t="shared" si="331"/>
        <v/>
      </c>
      <c r="RI44" s="109" t="str">
        <f t="shared" si="331"/>
        <v/>
      </c>
      <c r="RJ44" s="109" t="str">
        <f t="shared" si="331"/>
        <v/>
      </c>
      <c r="RK44" s="109" t="str">
        <f t="shared" si="331"/>
        <v/>
      </c>
      <c r="RL44" s="109" t="str">
        <f t="shared" si="331"/>
        <v/>
      </c>
      <c r="RM44" s="109" t="str">
        <f t="shared" si="331"/>
        <v/>
      </c>
      <c r="RN44" s="109" t="str">
        <f t="shared" si="331"/>
        <v/>
      </c>
      <c r="RO44" s="109" t="str">
        <f t="shared" si="331"/>
        <v/>
      </c>
      <c r="RP44" s="109" t="str">
        <f t="shared" si="331"/>
        <v/>
      </c>
      <c r="RQ44" s="109" t="str">
        <f t="shared" si="331"/>
        <v/>
      </c>
      <c r="RR44" s="109" t="str">
        <f t="shared" si="331"/>
        <v/>
      </c>
      <c r="RS44" s="109" t="str">
        <f t="shared" si="331"/>
        <v/>
      </c>
      <c r="RT44" s="109" t="str">
        <f t="shared" si="331"/>
        <v/>
      </c>
      <c r="RU44" s="109" t="str">
        <f t="shared" si="331"/>
        <v/>
      </c>
      <c r="RV44" s="109" t="str">
        <f t="shared" si="331"/>
        <v/>
      </c>
      <c r="RW44" s="109" t="str">
        <f t="shared" si="331"/>
        <v/>
      </c>
      <c r="RX44" s="109" t="str">
        <f t="shared" si="331"/>
        <v/>
      </c>
      <c r="RY44" s="109" t="str">
        <f t="shared" si="331"/>
        <v/>
      </c>
      <c r="RZ44" s="109" t="str">
        <f t="shared" si="331"/>
        <v/>
      </c>
      <c r="SA44" s="109" t="str">
        <f t="shared" si="331"/>
        <v/>
      </c>
      <c r="SB44" s="109" t="str">
        <f t="shared" si="331"/>
        <v/>
      </c>
      <c r="SC44" s="109" t="str">
        <f t="shared" si="331"/>
        <v/>
      </c>
      <c r="SD44" s="109" t="str">
        <f t="shared" si="331"/>
        <v/>
      </c>
      <c r="SE44" s="109" t="str">
        <f t="shared" si="331"/>
        <v/>
      </c>
      <c r="SF44" s="109" t="str">
        <f t="shared" si="331"/>
        <v/>
      </c>
      <c r="SG44" s="109" t="str">
        <f t="shared" si="331"/>
        <v/>
      </c>
      <c r="SH44" s="109" t="str">
        <f t="shared" si="331"/>
        <v/>
      </c>
      <c r="SI44" s="109" t="str">
        <f t="shared" si="331"/>
        <v/>
      </c>
      <c r="SJ44" s="109" t="str">
        <f t="shared" si="331"/>
        <v/>
      </c>
      <c r="SK44" s="109" t="str">
        <f t="shared" si="331"/>
        <v/>
      </c>
      <c r="SL44" s="109" t="str">
        <f t="shared" si="331"/>
        <v/>
      </c>
      <c r="SM44" s="109" t="str">
        <f t="shared" si="331"/>
        <v/>
      </c>
      <c r="SN44" s="109" t="str">
        <f t="shared" ref="SN44:SW44" si="332">IF(OR(SN$13="",SN$17="",SN$14="",SN$15="",SN$16="",SN$18="",SN$19="",SN$20="",SN$21=""),"",1-(SN70/(SN$5)))</f>
        <v/>
      </c>
      <c r="SO44" s="109" t="str">
        <f t="shared" si="332"/>
        <v/>
      </c>
      <c r="SP44" s="109" t="str">
        <f t="shared" si="332"/>
        <v/>
      </c>
      <c r="SQ44" s="109" t="str">
        <f t="shared" si="332"/>
        <v/>
      </c>
      <c r="SR44" s="109" t="str">
        <f t="shared" si="332"/>
        <v/>
      </c>
      <c r="SS44" s="109" t="str">
        <f t="shared" si="332"/>
        <v/>
      </c>
      <c r="ST44" s="109" t="str">
        <f t="shared" si="332"/>
        <v/>
      </c>
      <c r="SU44" s="109" t="str">
        <f t="shared" si="332"/>
        <v/>
      </c>
      <c r="SV44" s="109" t="str">
        <f t="shared" si="332"/>
        <v/>
      </c>
      <c r="SW44" s="109" t="str">
        <f t="shared" si="332"/>
        <v/>
      </c>
    </row>
    <row r="45" spans="1:517" ht="24.6" customHeight="1" x14ac:dyDescent="0.2">
      <c r="A45" s="94">
        <v>777</v>
      </c>
      <c r="B45" s="117" t="s">
        <v>82</v>
      </c>
      <c r="C45" s="109">
        <f t="shared" ref="C45:AH45" si="333">IF(OR(C$13="",C$17="",C$14="",C$15="",C$16="",C$18="",C$19="",C$20="",C$21=""),"",1-(C71/(C$5)))</f>
        <v>1</v>
      </c>
      <c r="D45" s="109">
        <f t="shared" si="333"/>
        <v>-0.12750000000000017</v>
      </c>
      <c r="E45" s="109">
        <f t="shared" si="333"/>
        <v>0.24833333333333329</v>
      </c>
      <c r="F45" s="109">
        <f t="shared" si="333"/>
        <v>0.43624999999999992</v>
      </c>
      <c r="G45" s="109">
        <f t="shared" si="333"/>
        <v>0.29299999999999993</v>
      </c>
      <c r="H45" s="109">
        <f t="shared" si="333"/>
        <v>0.3611805555555555</v>
      </c>
      <c r="I45" s="109">
        <f t="shared" si="333"/>
        <v>0.45244047619047612</v>
      </c>
      <c r="J45" s="109">
        <f t="shared" si="333"/>
        <v>0.45989583333333328</v>
      </c>
      <c r="K45" s="109">
        <f t="shared" si="333"/>
        <v>0.51990740740740737</v>
      </c>
      <c r="L45" s="109">
        <f t="shared" si="333"/>
        <v>0.55449999999999999</v>
      </c>
      <c r="M45" s="109">
        <f t="shared" si="333"/>
        <v>0.59499999999999997</v>
      </c>
      <c r="N45" s="109">
        <f t="shared" si="333"/>
        <v>0.62451388888888881</v>
      </c>
      <c r="O45" s="109">
        <f t="shared" si="333"/>
        <v>0.65339743589743593</v>
      </c>
      <c r="P45" s="109">
        <f t="shared" si="333"/>
        <v>0.66869047619047617</v>
      </c>
      <c r="Q45" s="109">
        <f t="shared" si="333"/>
        <v>0.69077777777777771</v>
      </c>
      <c r="R45" s="109">
        <f t="shared" si="333"/>
        <v>0.71010416666666665</v>
      </c>
      <c r="S45" s="109">
        <f t="shared" si="333"/>
        <v>0.72715686274509794</v>
      </c>
      <c r="T45" s="109">
        <f t="shared" si="333"/>
        <v>0.74231481481481487</v>
      </c>
      <c r="U45" s="109">
        <f t="shared" si="333"/>
        <v>0.75587719298245615</v>
      </c>
      <c r="V45" s="109">
        <f t="shared" si="333"/>
        <v>0.76808333333333334</v>
      </c>
      <c r="W45" s="109">
        <f t="shared" si="333"/>
        <v>0.77912698412698411</v>
      </c>
      <c r="X45" s="109">
        <f t="shared" si="333"/>
        <v>0.78916666666666668</v>
      </c>
      <c r="Y45" s="109">
        <f t="shared" si="333"/>
        <v>0.79833333333333334</v>
      </c>
      <c r="Z45" s="109">
        <f t="shared" si="333"/>
        <v>0.80086805555555551</v>
      </c>
      <c r="AA45" s="109">
        <f t="shared" si="333"/>
        <v>0.80883333333333329</v>
      </c>
      <c r="AB45" s="109">
        <f t="shared" si="333"/>
        <v>0.81618589743589742</v>
      </c>
      <c r="AC45" s="109">
        <f t="shared" si="333"/>
        <v>0.77527777777777773</v>
      </c>
      <c r="AD45" s="109">
        <f t="shared" si="333"/>
        <v>0.78330357142857143</v>
      </c>
      <c r="AE45" s="109">
        <f t="shared" si="333"/>
        <v>0.79077586206896555</v>
      </c>
      <c r="AF45" s="109">
        <f t="shared" si="333"/>
        <v>0.79774999999999996</v>
      </c>
      <c r="AG45" s="109">
        <f t="shared" si="333"/>
        <v>0.80427419354838703</v>
      </c>
      <c r="AH45" s="109">
        <f t="shared" si="333"/>
        <v>1</v>
      </c>
      <c r="AI45" s="109">
        <f t="shared" ref="AI45:BN45" si="334">IF(OR(AI$13="",AI$17="",AI$14="",AI$15="",AI$16="",AI$18="",AI$19="",AI$20="",AI$21=""),"",1-(AI71/(AI$5)))</f>
        <v>1</v>
      </c>
      <c r="AJ45" s="109">
        <f t="shared" si="334"/>
        <v>1</v>
      </c>
      <c r="AK45" s="109">
        <f t="shared" si="334"/>
        <v>1</v>
      </c>
      <c r="AL45" s="109">
        <f t="shared" si="334"/>
        <v>0.98466666666666669</v>
      </c>
      <c r="AM45" s="109">
        <f t="shared" si="334"/>
        <v>0.98722222222222222</v>
      </c>
      <c r="AN45" s="109">
        <f t="shared" si="334"/>
        <v>0.98904761904761906</v>
      </c>
      <c r="AO45" s="109">
        <f t="shared" si="334"/>
        <v>0.99041666666666672</v>
      </c>
      <c r="AP45" s="109">
        <f t="shared" si="334"/>
        <v>0.99148148148148152</v>
      </c>
      <c r="AQ45" s="109">
        <f t="shared" si="334"/>
        <v>0.99233333333333329</v>
      </c>
      <c r="AR45" s="109">
        <f t="shared" si="334"/>
        <v>0.99303030303030304</v>
      </c>
      <c r="AS45" s="109">
        <f t="shared" si="334"/>
        <v>0.99361111111111111</v>
      </c>
      <c r="AT45" s="109">
        <f t="shared" si="334"/>
        <v>0.99410256410256415</v>
      </c>
      <c r="AU45" s="109">
        <f t="shared" si="334"/>
        <v>0.99452380952380948</v>
      </c>
      <c r="AV45" s="109">
        <f t="shared" si="334"/>
        <v>0.99488888888888893</v>
      </c>
      <c r="AW45" s="109">
        <f t="shared" si="334"/>
        <v>0.99520833333333336</v>
      </c>
      <c r="AX45" s="109">
        <f t="shared" si="334"/>
        <v>0.99549019607843137</v>
      </c>
      <c r="AY45" s="109">
        <f t="shared" si="334"/>
        <v>0.9957407407407407</v>
      </c>
      <c r="AZ45" s="109">
        <f t="shared" si="334"/>
        <v>0.99596491228070172</v>
      </c>
      <c r="BA45" s="109">
        <f t="shared" si="334"/>
        <v>0.99533333333333329</v>
      </c>
      <c r="BB45" s="109">
        <f t="shared" si="334"/>
        <v>0.99555555555555553</v>
      </c>
      <c r="BC45" s="109">
        <f t="shared" si="334"/>
        <v>0.99575757575757573</v>
      </c>
      <c r="BD45" s="109">
        <f t="shared" si="334"/>
        <v>0.95499999999999996</v>
      </c>
      <c r="BE45" s="109">
        <f t="shared" si="334"/>
        <v>0.95687500000000003</v>
      </c>
      <c r="BF45" s="109">
        <f t="shared" si="334"/>
        <v>0.95860000000000001</v>
      </c>
      <c r="BG45" s="109">
        <f t="shared" si="334"/>
        <v>0.96019230769230768</v>
      </c>
      <c r="BH45" s="109">
        <f t="shared" si="334"/>
        <v>0.96166666666666667</v>
      </c>
      <c r="BI45" s="109">
        <f t="shared" si="334"/>
        <v>0.9553422619047619</v>
      </c>
      <c r="BJ45" s="109">
        <f t="shared" si="334"/>
        <v>0.60083333333333333</v>
      </c>
      <c r="BK45" s="109">
        <f t="shared" si="334"/>
        <v>0.640625</v>
      </c>
      <c r="BL45" s="109">
        <f t="shared" si="334"/>
        <v>0.56083333333333329</v>
      </c>
      <c r="BM45" s="109">
        <f t="shared" si="334"/>
        <v>0.58989583333333329</v>
      </c>
      <c r="BN45" s="109">
        <f t="shared" si="334"/>
        <v>0.61091666666666655</v>
      </c>
      <c r="BO45" s="109">
        <f t="shared" ref="BO45:CT45" si="335">IF(OR(BO$13="",BO$17="",BO$14="",BO$15="",BO$16="",BO$18="",BO$19="",BO$20="",BO$21=""),"",1-(BO71/(BO$5)))</f>
        <v>0.46708333333333329</v>
      </c>
      <c r="BP45" s="109">
        <f t="shared" si="335"/>
        <v>0.54321428571428565</v>
      </c>
      <c r="BQ45" s="109">
        <f t="shared" si="335"/>
        <v>0.59578124999999993</v>
      </c>
      <c r="BR45" s="109">
        <f t="shared" si="335"/>
        <v>0.62458333333333327</v>
      </c>
      <c r="BS45" s="109">
        <f t="shared" si="335"/>
        <v>0.6403333333333332</v>
      </c>
      <c r="BT45" s="109">
        <f t="shared" si="335"/>
        <v>0.67303030303030287</v>
      </c>
      <c r="BU45" s="109">
        <f t="shared" si="335"/>
        <v>0.70027777777777778</v>
      </c>
      <c r="BV45" s="109">
        <f t="shared" si="335"/>
        <v>0.72333333333333327</v>
      </c>
      <c r="BW45" s="109">
        <f t="shared" si="335"/>
        <v>0.74309523809523803</v>
      </c>
      <c r="BX45" s="109">
        <f t="shared" si="335"/>
        <v>0.69119444444444444</v>
      </c>
      <c r="BY45" s="109">
        <f t="shared" si="335"/>
        <v>0.66838541666666662</v>
      </c>
      <c r="BZ45" s="109">
        <f t="shared" si="335"/>
        <v>0.68789215686274507</v>
      </c>
      <c r="CA45" s="109">
        <f t="shared" si="335"/>
        <v>0.70523148148148151</v>
      </c>
      <c r="CB45" s="109">
        <f t="shared" si="335"/>
        <v>0.71813596491228071</v>
      </c>
      <c r="CC45" s="109">
        <f t="shared" si="335"/>
        <v>0.72452083333333328</v>
      </c>
      <c r="CD45" s="109">
        <f t="shared" si="335"/>
        <v>0.73763888888888884</v>
      </c>
      <c r="CE45" s="109">
        <f t="shared" si="335"/>
        <v>0.74956439393939389</v>
      </c>
      <c r="CF45" s="109">
        <f t="shared" si="335"/>
        <v>0.76045289855072462</v>
      </c>
      <c r="CG45" s="109">
        <f t="shared" si="335"/>
        <v>0.7704340277777777</v>
      </c>
      <c r="CH45" s="109">
        <f t="shared" si="335"/>
        <v>0.77508333333333335</v>
      </c>
      <c r="CI45" s="109">
        <f t="shared" si="335"/>
        <v>0.76442307692307687</v>
      </c>
      <c r="CJ45" s="109">
        <f t="shared" si="335"/>
        <v>0.77314814814814814</v>
      </c>
      <c r="CK45" s="109">
        <f t="shared" si="335"/>
        <v>0.78125</v>
      </c>
      <c r="CL45" s="109">
        <f t="shared" si="335"/>
        <v>0.78672413793103446</v>
      </c>
      <c r="CM45" s="109">
        <f t="shared" si="335"/>
        <v>0.79383333333333328</v>
      </c>
      <c r="CN45" s="109">
        <f t="shared" si="335"/>
        <v>0.80048387096774187</v>
      </c>
      <c r="CO45" s="109">
        <f t="shared" si="335"/>
        <v>1</v>
      </c>
      <c r="CP45" s="109">
        <f t="shared" si="335"/>
        <v>1</v>
      </c>
      <c r="CQ45" s="109">
        <f t="shared" si="335"/>
        <v>0.97541666666666671</v>
      </c>
      <c r="CR45" s="109">
        <f t="shared" si="335"/>
        <v>0.9815625</v>
      </c>
      <c r="CS45" s="109">
        <f t="shared" si="335"/>
        <v>0.9750833333333333</v>
      </c>
      <c r="CT45" s="109">
        <f t="shared" si="335"/>
        <v>0.97923611111111108</v>
      </c>
      <c r="CU45" s="109">
        <f t="shared" ref="CU45:DS45" si="336">IF(OR(CU$13="",CU$17="",CU$14="",CU$15="",CU$16="",CU$18="",CU$19="",CU$20="",CU$21=""),"",1-(CU71/(CU$5)))</f>
        <v>0.98220238095238099</v>
      </c>
      <c r="CV45" s="109">
        <f t="shared" si="336"/>
        <v>0.98442708333333329</v>
      </c>
      <c r="CW45" s="109">
        <f t="shared" si="336"/>
        <v>0.98615740740740743</v>
      </c>
      <c r="CX45" s="109">
        <f t="shared" si="336"/>
        <v>0.83512500000000001</v>
      </c>
      <c r="CY45" s="109">
        <f t="shared" si="336"/>
        <v>0.85011363636363635</v>
      </c>
      <c r="CZ45" s="109">
        <f t="shared" si="336"/>
        <v>0.85739583333333336</v>
      </c>
      <c r="DA45" s="109">
        <f t="shared" si="336"/>
        <v>0.86836538461538459</v>
      </c>
      <c r="DB45" s="109">
        <f t="shared" si="336"/>
        <v>0.84875</v>
      </c>
      <c r="DC45" s="109">
        <f t="shared" si="336"/>
        <v>0.85411111111111104</v>
      </c>
      <c r="DD45" s="109">
        <f t="shared" si="336"/>
        <v>0.86322916666666671</v>
      </c>
      <c r="DE45" s="109">
        <f t="shared" si="336"/>
        <v>0.87127450980392163</v>
      </c>
      <c r="DF45" s="109">
        <f t="shared" si="336"/>
        <v>0.87479166666666663</v>
      </c>
      <c r="DG45" s="109">
        <f t="shared" si="336"/>
        <v>0.88138157894736846</v>
      </c>
      <c r="DH45" s="109">
        <f t="shared" si="336"/>
        <v>0.88731249999999995</v>
      </c>
      <c r="DI45" s="109">
        <f t="shared" si="336"/>
        <v>0.89267857142857143</v>
      </c>
      <c r="DJ45" s="109">
        <f t="shared" si="336"/>
        <v>0.89755681818181821</v>
      </c>
      <c r="DK45" s="109">
        <f t="shared" si="336"/>
        <v>0.90201086956521737</v>
      </c>
      <c r="DL45" s="109">
        <f t="shared" si="336"/>
        <v>0.90609375000000003</v>
      </c>
      <c r="DM45" s="109">
        <f t="shared" si="336"/>
        <v>0.90985000000000005</v>
      </c>
      <c r="DN45" s="109">
        <f t="shared" si="336"/>
        <v>0.91331730769230768</v>
      </c>
      <c r="DO45" s="109">
        <f t="shared" si="336"/>
        <v>0.91652777777777783</v>
      </c>
      <c r="DP45" s="109">
        <f t="shared" si="336"/>
        <v>0.9179761904761905</v>
      </c>
      <c r="DQ45" s="109">
        <f t="shared" si="336"/>
        <v>0.91919540229885055</v>
      </c>
      <c r="DR45" s="109">
        <f t="shared" si="336"/>
        <v>0.92188888888888887</v>
      </c>
      <c r="DS45" s="109">
        <f t="shared" si="336"/>
        <v>0.9604166666666667</v>
      </c>
      <c r="DT45" s="109">
        <f t="shared" ref="DT45:GE45" si="337">IF(OR(DT$13="",DT$17="",DT$14="",DT$15="",DT$16="",DT$18="",DT$19="",DT$20="",DT$21=""),"",1-(DT71/(DT$5)))</f>
        <v>0.81874999999999998</v>
      </c>
      <c r="DU45" s="109">
        <f t="shared" si="337"/>
        <v>0.87916666666666665</v>
      </c>
      <c r="DV45" s="109">
        <f t="shared" si="337"/>
        <v>0.90937500000000004</v>
      </c>
      <c r="DW45" s="109">
        <f t="shared" si="337"/>
        <v>0.92749999999999999</v>
      </c>
      <c r="DX45" s="109">
        <f t="shared" si="337"/>
        <v>0.93958333333333333</v>
      </c>
      <c r="DY45" s="109">
        <f t="shared" si="337"/>
        <v>0.94821428571428568</v>
      </c>
      <c r="DZ45" s="109">
        <f t="shared" si="337"/>
        <v>0.95468750000000002</v>
      </c>
      <c r="EA45" s="109">
        <f t="shared" si="337"/>
        <v>0.95972222222222225</v>
      </c>
      <c r="EB45" s="109">
        <f t="shared" si="337"/>
        <v>0.95416666666666672</v>
      </c>
      <c r="EC45" s="109">
        <f t="shared" si="337"/>
        <v>0.95833333333333337</v>
      </c>
      <c r="ED45" s="109">
        <f t="shared" si="337"/>
        <v>0.96180555555555558</v>
      </c>
      <c r="EE45" s="109">
        <f t="shared" si="337"/>
        <v>0.92532051282051286</v>
      </c>
      <c r="EF45" s="109">
        <f t="shared" si="337"/>
        <v>0.93065476190476193</v>
      </c>
      <c r="EG45" s="109">
        <f t="shared" si="337"/>
        <v>0.8997222222222222</v>
      </c>
      <c r="EH45" s="109">
        <f t="shared" si="337"/>
        <v>0.90598958333333335</v>
      </c>
      <c r="EI45" s="109">
        <f t="shared" si="337"/>
        <v>0.91151960784313724</v>
      </c>
      <c r="EJ45" s="109">
        <f t="shared" si="337"/>
        <v>0.91643518518518519</v>
      </c>
      <c r="EK45" s="109">
        <f t="shared" si="337"/>
        <v>0.92083333333333339</v>
      </c>
      <c r="EL45" s="109">
        <f t="shared" si="337"/>
        <v>0.92479166666666668</v>
      </c>
      <c r="EM45" s="109">
        <f t="shared" si="337"/>
        <v>0.92255952380952377</v>
      </c>
      <c r="EN45" s="109">
        <f t="shared" si="337"/>
        <v>0.92607954545454541</v>
      </c>
      <c r="EO45" s="109">
        <f t="shared" si="337"/>
        <v>0.92929347826086961</v>
      </c>
      <c r="EP45" s="109">
        <f t="shared" si="337"/>
        <v>0.92003472222222227</v>
      </c>
      <c r="EQ45" s="109">
        <f t="shared" si="337"/>
        <v>0.92323333333333335</v>
      </c>
      <c r="ER45" s="109">
        <f t="shared" si="337"/>
        <v>0.92618589743589741</v>
      </c>
      <c r="ES45" s="109">
        <f t="shared" si="337"/>
        <v>0.92891975308641972</v>
      </c>
      <c r="ET45" s="109">
        <f t="shared" si="337"/>
        <v>0.93145833333333328</v>
      </c>
      <c r="EU45" s="109">
        <f t="shared" si="337"/>
        <v>0.93382183908045979</v>
      </c>
      <c r="EV45" s="109">
        <f t="shared" si="337"/>
        <v>0.93602777777777779</v>
      </c>
      <c r="EW45" s="109">
        <f t="shared" si="337"/>
        <v>0.93809139784946238</v>
      </c>
      <c r="EX45" s="109">
        <f t="shared" si="337"/>
        <v>1</v>
      </c>
      <c r="EY45" s="109">
        <f t="shared" si="337"/>
        <v>1</v>
      </c>
      <c r="EZ45" s="109">
        <f t="shared" si="337"/>
        <v>1</v>
      </c>
      <c r="FA45" s="109">
        <f t="shared" si="337"/>
        <v>1</v>
      </c>
      <c r="FB45" s="109">
        <f t="shared" si="337"/>
        <v>1</v>
      </c>
      <c r="FC45" s="109">
        <f t="shared" si="337"/>
        <v>1</v>
      </c>
      <c r="FD45" s="109">
        <f t="shared" si="337"/>
        <v>0.9754761904761905</v>
      </c>
      <c r="FE45" s="109">
        <f t="shared" si="337"/>
        <v>0.97854166666666664</v>
      </c>
      <c r="FF45" s="109">
        <f t="shared" si="337"/>
        <v>0.9786111111111111</v>
      </c>
      <c r="FG45" s="109">
        <f t="shared" si="337"/>
        <v>0.98075000000000001</v>
      </c>
      <c r="FH45" s="109">
        <f t="shared" si="337"/>
        <v>0.98250000000000004</v>
      </c>
      <c r="FI45" s="109">
        <f t="shared" si="337"/>
        <v>0.98395833333333338</v>
      </c>
      <c r="FJ45" s="109">
        <f t="shared" si="337"/>
        <v>0.9851923076923077</v>
      </c>
      <c r="FK45" s="109">
        <f t="shared" si="337"/>
        <v>0.98624999999999996</v>
      </c>
      <c r="FL45" s="109">
        <f t="shared" si="337"/>
        <v>0.97447222222222218</v>
      </c>
      <c r="FM45" s="109">
        <f t="shared" si="337"/>
        <v>0.97606770833333334</v>
      </c>
      <c r="FN45" s="109">
        <f t="shared" si="337"/>
        <v>0.97747549019607838</v>
      </c>
      <c r="FO45" s="109">
        <f t="shared" si="337"/>
        <v>0.97513888888888889</v>
      </c>
      <c r="FP45" s="109">
        <f t="shared" si="337"/>
        <v>0.97644736842105262</v>
      </c>
      <c r="FQ45" s="109">
        <f t="shared" si="337"/>
        <v>0.97758333333333336</v>
      </c>
      <c r="FR45" s="109">
        <f t="shared" si="337"/>
        <v>0.97865079365079366</v>
      </c>
      <c r="FS45" s="109">
        <f t="shared" si="337"/>
        <v>0.97962121212121211</v>
      </c>
      <c r="FT45" s="109">
        <f t="shared" si="337"/>
        <v>0.93847826086956521</v>
      </c>
      <c r="FU45" s="109">
        <f t="shared" si="337"/>
        <v>0.94104166666666667</v>
      </c>
      <c r="FV45" s="109">
        <f t="shared" si="337"/>
        <v>0.94340000000000002</v>
      </c>
      <c r="FW45" s="109">
        <f t="shared" si="337"/>
        <v>0.94557692307692309</v>
      </c>
      <c r="FX45" s="109">
        <f t="shared" si="337"/>
        <v>0.9431018518518518</v>
      </c>
      <c r="FY45" s="109">
        <f t="shared" si="337"/>
        <v>0.94513392857142853</v>
      </c>
      <c r="FZ45" s="109">
        <f t="shared" si="337"/>
        <v>0.94702586206896555</v>
      </c>
      <c r="GA45" s="109">
        <f t="shared" si="282"/>
        <v>0.9487916666666667</v>
      </c>
      <c r="GB45" s="109">
        <f t="shared" si="282"/>
        <v>0.8320833333333334</v>
      </c>
      <c r="GC45" s="109">
        <f t="shared" si="337"/>
        <v>0.91604166666666664</v>
      </c>
      <c r="GD45" s="109">
        <f t="shared" si="337"/>
        <v>0.9440277777777778</v>
      </c>
      <c r="GE45" s="109">
        <f t="shared" si="337"/>
        <v>0.95802083333333332</v>
      </c>
      <c r="GF45" s="109">
        <f t="shared" ref="GF45:IQ45" si="338">IF(OR(GF$13="",GF$17="",GF$14="",GF$15="",GF$16="",GF$18="",GF$19="",GF$20="",GF$21=""),"",1-(GF71/(GF$5)))</f>
        <v>0.86616666666666664</v>
      </c>
      <c r="GG45" s="109">
        <f t="shared" si="338"/>
        <v>0.87694444444444442</v>
      </c>
      <c r="GH45" s="109">
        <f t="shared" si="338"/>
        <v>0.8945238095238095</v>
      </c>
      <c r="GI45" s="109">
        <f t="shared" si="338"/>
        <v>0.90770833333333334</v>
      </c>
      <c r="GJ45" s="109">
        <f t="shared" si="338"/>
        <v>0.89768518518518525</v>
      </c>
      <c r="GK45" s="109">
        <f t="shared" si="338"/>
        <v>0.90791666666666671</v>
      </c>
      <c r="GL45" s="109">
        <f t="shared" si="338"/>
        <v>0.91628787878787876</v>
      </c>
      <c r="GM45" s="109">
        <f t="shared" si="338"/>
        <v>0.92326388888888888</v>
      </c>
      <c r="GN45" s="109">
        <f t="shared" si="338"/>
        <v>0.9291666666666667</v>
      </c>
      <c r="GO45" s="109">
        <f t="shared" si="338"/>
        <v>0.93422619047619049</v>
      </c>
      <c r="GP45" s="109">
        <f t="shared" si="338"/>
        <v>0.93861111111111106</v>
      </c>
      <c r="GQ45" s="109">
        <f t="shared" si="338"/>
        <v>0.94244791666666672</v>
      </c>
      <c r="GR45" s="109">
        <f t="shared" si="338"/>
        <v>0.94061274509803927</v>
      </c>
      <c r="GS45" s="109">
        <f t="shared" si="338"/>
        <v>0.94391203703703708</v>
      </c>
      <c r="GT45" s="109">
        <f t="shared" si="338"/>
        <v>0.94686403508771932</v>
      </c>
      <c r="GU45" s="109">
        <f t="shared" si="338"/>
        <v>0.94952083333333337</v>
      </c>
      <c r="GV45" s="109">
        <f t="shared" si="338"/>
        <v>0.95192460317460315</v>
      </c>
      <c r="GW45" s="109">
        <f t="shared" si="338"/>
        <v>0.93967803030303032</v>
      </c>
      <c r="GX45" s="109">
        <f t="shared" si="338"/>
        <v>0.94230072463768111</v>
      </c>
      <c r="GY45" s="109">
        <f t="shared" si="338"/>
        <v>0.94470486111111107</v>
      </c>
      <c r="GZ45" s="109">
        <f t="shared" si="338"/>
        <v>0.94691666666666663</v>
      </c>
      <c r="HA45" s="109">
        <f t="shared" si="338"/>
        <v>0.94895833333333335</v>
      </c>
      <c r="HB45" s="109">
        <f t="shared" si="338"/>
        <v>0.95084876543209873</v>
      </c>
      <c r="HC45" s="109">
        <f t="shared" si="338"/>
        <v>0.9526041666666667</v>
      </c>
      <c r="HD45" s="109">
        <f t="shared" si="338"/>
        <v>0.95423850574712643</v>
      </c>
      <c r="HE45" s="109">
        <f t="shared" si="338"/>
        <v>0.95576388888888886</v>
      </c>
      <c r="HF45" s="109">
        <f t="shared" si="338"/>
        <v>0.95719086021505373</v>
      </c>
      <c r="HG45" s="109">
        <f t="shared" si="338"/>
        <v>1</v>
      </c>
      <c r="HH45" s="109">
        <f t="shared" si="338"/>
        <v>1</v>
      </c>
      <c r="HI45" s="109">
        <f t="shared" si="338"/>
        <v>1</v>
      </c>
      <c r="HJ45" s="109">
        <f t="shared" si="338"/>
        <v>1</v>
      </c>
      <c r="HK45" s="109">
        <f t="shared" si="338"/>
        <v>0.83045370370370364</v>
      </c>
      <c r="HL45" s="109">
        <f t="shared" si="338"/>
        <v>0.69204475308641977</v>
      </c>
      <c r="HM45" s="109">
        <f t="shared" si="338"/>
        <v>0.61295469576719586</v>
      </c>
      <c r="HN45" s="109">
        <f t="shared" si="338"/>
        <v>0.65861834490740745</v>
      </c>
      <c r="HO45" s="109">
        <f t="shared" si="338"/>
        <v>0.69654963991769558</v>
      </c>
      <c r="HP45" s="109">
        <f t="shared" si="338"/>
        <v>0.72689467592592594</v>
      </c>
      <c r="HQ45" s="109">
        <f t="shared" si="338"/>
        <v>0.75172243265993266</v>
      </c>
      <c r="HR45" s="109">
        <f t="shared" si="338"/>
        <v>0.77241222993827163</v>
      </c>
      <c r="HS45" s="109">
        <f t="shared" si="338"/>
        <v>0.75995014245014247</v>
      </c>
      <c r="HT45" s="109">
        <f t="shared" si="338"/>
        <v>0.77709656084656087</v>
      </c>
      <c r="HU45" s="109">
        <f t="shared" si="338"/>
        <v>0.79195679012345677</v>
      </c>
      <c r="HV45" s="109">
        <f t="shared" si="338"/>
        <v>0.8049594907407408</v>
      </c>
      <c r="HW45" s="109">
        <f t="shared" si="338"/>
        <v>0.80966230936819172</v>
      </c>
      <c r="HX45" s="109">
        <f t="shared" si="338"/>
        <v>0.82023662551440335</v>
      </c>
      <c r="HY45" s="109">
        <f t="shared" si="338"/>
        <v>0.82969785575048738</v>
      </c>
      <c r="HZ45" s="109">
        <f t="shared" si="338"/>
        <v>0.82143229166666665</v>
      </c>
      <c r="IA45" s="109">
        <f t="shared" si="338"/>
        <v>0.82993551587301595</v>
      </c>
      <c r="IB45" s="109">
        <f t="shared" si="338"/>
        <v>0.83766571969696968</v>
      </c>
      <c r="IC45" s="109">
        <f t="shared" si="338"/>
        <v>0.84472373188405803</v>
      </c>
      <c r="ID45" s="109">
        <f t="shared" si="338"/>
        <v>0.84737413194444444</v>
      </c>
      <c r="IE45" s="109">
        <f t="shared" si="338"/>
        <v>0.85347916666666668</v>
      </c>
      <c r="IF45" s="109">
        <f t="shared" si="338"/>
        <v>0.85105368589743591</v>
      </c>
      <c r="IG45" s="109">
        <f t="shared" si="338"/>
        <v>0.85657021604938266</v>
      </c>
      <c r="IH45" s="109">
        <f t="shared" si="338"/>
        <v>0.86169270833333333</v>
      </c>
      <c r="II45" s="109">
        <f t="shared" si="338"/>
        <v>0.86646192528735633</v>
      </c>
      <c r="IJ45" s="109">
        <f t="shared" si="338"/>
        <v>0.87091319444444448</v>
      </c>
      <c r="IK45" s="109">
        <f t="shared" si="338"/>
        <v>0.86977934587813621</v>
      </c>
      <c r="IL45" s="109">
        <f t="shared" si="338"/>
        <v>1</v>
      </c>
      <c r="IM45" s="109">
        <f t="shared" si="338"/>
        <v>1</v>
      </c>
      <c r="IN45" s="109">
        <f t="shared" si="338"/>
        <v>0.94572916666666673</v>
      </c>
      <c r="IO45" s="109">
        <f t="shared" si="338"/>
        <v>0.95929687500000005</v>
      </c>
      <c r="IP45" s="109">
        <f t="shared" si="338"/>
        <v>0.96743749999999995</v>
      </c>
      <c r="IQ45" s="109">
        <f t="shared" si="338"/>
        <v>0.96227816358024687</v>
      </c>
      <c r="IR45" s="109">
        <f t="shared" ref="IR45:LC45" si="339">IF(OR(IR$13="",IR$17="",IR$14="",IR$15="",IR$16="",IR$18="",IR$19="",IR$20="",IR$21=""),"",1-(IR71/(IR$5)))</f>
        <v>0.96766699735449735</v>
      </c>
      <c r="IS45" s="109">
        <f t="shared" si="339"/>
        <v>0.97136718750000006</v>
      </c>
      <c r="IT45" s="109">
        <f t="shared" si="339"/>
        <v>0.97454861111111113</v>
      </c>
      <c r="IU45" s="109">
        <f t="shared" si="339"/>
        <v>0.97709374999999998</v>
      </c>
      <c r="IV45" s="109">
        <f t="shared" si="339"/>
        <v>0.97878156565656571</v>
      </c>
      <c r="IW45" s="109">
        <f t="shared" si="339"/>
        <v>0.98022183641975313</v>
      </c>
      <c r="IX45" s="109">
        <f t="shared" si="339"/>
        <v>0.98174323361823368</v>
      </c>
      <c r="IY45" s="109">
        <f t="shared" si="339"/>
        <v>0.98282076719576716</v>
      </c>
      <c r="IZ45" s="109">
        <f t="shared" si="339"/>
        <v>0.98382021604938275</v>
      </c>
      <c r="JA45" s="109">
        <f t="shared" si="339"/>
        <v>0.9802112268518518</v>
      </c>
      <c r="JB45" s="109">
        <f t="shared" si="339"/>
        <v>0.96687295751633984</v>
      </c>
      <c r="JC45" s="109">
        <f t="shared" si="339"/>
        <v>0.96871334876543214</v>
      </c>
      <c r="JD45" s="109">
        <f t="shared" si="339"/>
        <v>0.97036001461988308</v>
      </c>
      <c r="JE45" s="109">
        <f t="shared" si="339"/>
        <v>0.97184201388888891</v>
      </c>
      <c r="JF45" s="109">
        <f t="shared" si="339"/>
        <v>0.97318287037037032</v>
      </c>
      <c r="JG45" s="109">
        <f t="shared" si="339"/>
        <v>0.97440183080808085</v>
      </c>
      <c r="JH45" s="109">
        <f t="shared" si="339"/>
        <v>0.96672403381642513</v>
      </c>
      <c r="JI45" s="109">
        <f t="shared" si="339"/>
        <v>0.96220052083333329</v>
      </c>
      <c r="JJ45" s="109">
        <f t="shared" si="339"/>
        <v>0.95836296296296297</v>
      </c>
      <c r="JK45" s="109">
        <f t="shared" si="339"/>
        <v>0.94734998219373223</v>
      </c>
      <c r="JL45" s="109">
        <f t="shared" si="339"/>
        <v>0.93519461591220854</v>
      </c>
      <c r="JM45" s="109">
        <f t="shared" si="339"/>
        <v>0.92903521825396829</v>
      </c>
      <c r="JN45" s="109">
        <f t="shared" si="339"/>
        <v>0.93004549808429116</v>
      </c>
      <c r="JO45" s="109">
        <f t="shared" si="339"/>
        <v>0.9309884259259259</v>
      </c>
      <c r="JP45" s="109">
        <f t="shared" si="339"/>
        <v>0.95833333333333337</v>
      </c>
      <c r="JQ45" s="109">
        <f t="shared" si="339"/>
        <v>0.95833333333333337</v>
      </c>
      <c r="JR45" s="109">
        <f t="shared" si="339"/>
        <v>0.95833333333333337</v>
      </c>
      <c r="JS45" s="109">
        <f t="shared" si="339"/>
        <v>0.8677083333333333</v>
      </c>
      <c r="JT45" s="109">
        <f t="shared" si="339"/>
        <v>0.86083333333333334</v>
      </c>
      <c r="JU45" s="109">
        <f t="shared" si="339"/>
        <v>0.88173611111111116</v>
      </c>
      <c r="JV45" s="109">
        <f t="shared" si="339"/>
        <v>0.89267857142857143</v>
      </c>
      <c r="JW45" s="109">
        <f t="shared" si="339"/>
        <v>0.90609375000000003</v>
      </c>
      <c r="JX45" s="109">
        <f t="shared" si="339"/>
        <v>0.91652777777777783</v>
      </c>
      <c r="JY45" s="109">
        <f t="shared" si="339"/>
        <v>0.924875</v>
      </c>
      <c r="JZ45" s="109">
        <f t="shared" si="339"/>
        <v>0.93170454545454551</v>
      </c>
      <c r="KA45" s="109">
        <f t="shared" si="339"/>
        <v>0.93739583333333332</v>
      </c>
      <c r="KB45" s="109">
        <f t="shared" si="339"/>
        <v>0.94221153846153849</v>
      </c>
      <c r="KC45" s="109">
        <f t="shared" si="339"/>
        <v>0.94633928571428572</v>
      </c>
      <c r="KD45" s="109">
        <f t="shared" si="339"/>
        <v>0.94991666666666663</v>
      </c>
      <c r="KE45" s="109">
        <f t="shared" si="339"/>
        <v>0.95304687499999996</v>
      </c>
      <c r="KF45" s="109">
        <f t="shared" si="339"/>
        <v>0.95580882352941177</v>
      </c>
      <c r="KG45" s="109">
        <f t="shared" si="339"/>
        <v>0.95826388888888892</v>
      </c>
      <c r="KH45" s="109">
        <f t="shared" si="339"/>
        <v>0.96046052631578949</v>
      </c>
      <c r="KI45" s="109">
        <f t="shared" si="339"/>
        <v>0.96243750000000006</v>
      </c>
      <c r="KJ45" s="109">
        <f t="shared" si="339"/>
        <v>0.96422619047619051</v>
      </c>
      <c r="KK45" s="109">
        <f t="shared" si="339"/>
        <v>0.9658522727272727</v>
      </c>
      <c r="KL45" s="109">
        <f t="shared" si="339"/>
        <v>0.96733695652173912</v>
      </c>
      <c r="KM45" s="109">
        <f t="shared" si="339"/>
        <v>0.96869791666666671</v>
      </c>
      <c r="KN45" s="109">
        <f t="shared" si="339"/>
        <v>0.96994999999999998</v>
      </c>
      <c r="KO45" s="109">
        <f t="shared" si="339"/>
        <v>0.97110576923076919</v>
      </c>
      <c r="KP45" s="109">
        <f t="shared" si="339"/>
        <v>0.97217592592592594</v>
      </c>
      <c r="KQ45" s="109">
        <f t="shared" si="339"/>
        <v>0.97316964285714291</v>
      </c>
      <c r="KR45" s="109">
        <f t="shared" si="339"/>
        <v>0.97409482758620691</v>
      </c>
      <c r="KS45" s="109">
        <f t="shared" si="339"/>
        <v>0.97495833333333337</v>
      </c>
      <c r="KT45" s="109">
        <f t="shared" si="339"/>
        <v>0.97576612903225812</v>
      </c>
      <c r="KU45" s="109" t="str">
        <f t="shared" si="339"/>
        <v/>
      </c>
      <c r="KV45" s="109" t="str">
        <f t="shared" si="339"/>
        <v/>
      </c>
      <c r="KW45" s="109" t="str">
        <f t="shared" si="339"/>
        <v/>
      </c>
      <c r="KX45" s="109" t="str">
        <f t="shared" si="339"/>
        <v/>
      </c>
      <c r="KY45" s="109" t="str">
        <f t="shared" si="339"/>
        <v/>
      </c>
      <c r="KZ45" s="109" t="str">
        <f t="shared" si="339"/>
        <v/>
      </c>
      <c r="LA45" s="109" t="str">
        <f t="shared" si="339"/>
        <v/>
      </c>
      <c r="LB45" s="109" t="str">
        <f t="shared" si="339"/>
        <v/>
      </c>
      <c r="LC45" s="109" t="str">
        <f t="shared" si="339"/>
        <v/>
      </c>
      <c r="LD45" s="109" t="str">
        <f t="shared" ref="LD45:NO45" si="340">IF(OR(LD$13="",LD$17="",LD$14="",LD$15="",LD$16="",LD$18="",LD$19="",LD$20="",LD$21=""),"",1-(LD71/(LD$5)))</f>
        <v/>
      </c>
      <c r="LE45" s="109" t="str">
        <f t="shared" si="340"/>
        <v/>
      </c>
      <c r="LF45" s="109" t="str">
        <f t="shared" si="340"/>
        <v/>
      </c>
      <c r="LG45" s="109" t="str">
        <f t="shared" si="340"/>
        <v/>
      </c>
      <c r="LH45" s="109" t="str">
        <f t="shared" si="340"/>
        <v/>
      </c>
      <c r="LI45" s="109" t="str">
        <f t="shared" si="340"/>
        <v/>
      </c>
      <c r="LJ45" s="109" t="str">
        <f t="shared" si="340"/>
        <v/>
      </c>
      <c r="LK45" s="109" t="str">
        <f t="shared" si="340"/>
        <v/>
      </c>
      <c r="LL45" s="109" t="str">
        <f t="shared" si="340"/>
        <v/>
      </c>
      <c r="LM45" s="109" t="str">
        <f t="shared" si="340"/>
        <v/>
      </c>
      <c r="LN45" s="109" t="str">
        <f t="shared" si="340"/>
        <v/>
      </c>
      <c r="LO45" s="109" t="str">
        <f t="shared" si="340"/>
        <v/>
      </c>
      <c r="LP45" s="109" t="str">
        <f t="shared" si="340"/>
        <v/>
      </c>
      <c r="LQ45" s="109" t="str">
        <f t="shared" si="340"/>
        <v/>
      </c>
      <c r="LR45" s="109" t="str">
        <f t="shared" si="340"/>
        <v/>
      </c>
      <c r="LS45" s="109" t="str">
        <f t="shared" si="340"/>
        <v/>
      </c>
      <c r="LT45" s="109" t="str">
        <f t="shared" si="340"/>
        <v/>
      </c>
      <c r="LU45" s="109" t="str">
        <f t="shared" si="340"/>
        <v/>
      </c>
      <c r="LV45" s="109" t="str">
        <f t="shared" si="340"/>
        <v/>
      </c>
      <c r="LW45" s="109" t="str">
        <f t="shared" si="340"/>
        <v/>
      </c>
      <c r="LX45" s="109" t="str">
        <f t="shared" si="340"/>
        <v/>
      </c>
      <c r="LY45" s="109" t="str">
        <f t="shared" si="340"/>
        <v/>
      </c>
      <c r="LZ45" s="109" t="str">
        <f t="shared" si="340"/>
        <v/>
      </c>
      <c r="MA45" s="109" t="str">
        <f t="shared" si="340"/>
        <v/>
      </c>
      <c r="MB45" s="109" t="str">
        <f t="shared" si="340"/>
        <v/>
      </c>
      <c r="MC45" s="109" t="str">
        <f t="shared" si="340"/>
        <v/>
      </c>
      <c r="MD45" s="109" t="str">
        <f t="shared" si="340"/>
        <v/>
      </c>
      <c r="ME45" s="109" t="str">
        <f t="shared" si="340"/>
        <v/>
      </c>
      <c r="MF45" s="109" t="str">
        <f t="shared" si="340"/>
        <v/>
      </c>
      <c r="MG45" s="109" t="str">
        <f t="shared" si="340"/>
        <v/>
      </c>
      <c r="MH45" s="109" t="str">
        <f t="shared" si="340"/>
        <v/>
      </c>
      <c r="MI45" s="109" t="str">
        <f t="shared" si="340"/>
        <v/>
      </c>
      <c r="MJ45" s="109" t="str">
        <f t="shared" si="340"/>
        <v/>
      </c>
      <c r="MK45" s="109" t="str">
        <f t="shared" si="340"/>
        <v/>
      </c>
      <c r="ML45" s="109" t="str">
        <f t="shared" si="340"/>
        <v/>
      </c>
      <c r="MM45" s="109" t="str">
        <f t="shared" si="340"/>
        <v/>
      </c>
      <c r="MN45" s="109" t="str">
        <f t="shared" si="340"/>
        <v/>
      </c>
      <c r="MO45" s="109" t="str">
        <f t="shared" si="340"/>
        <v/>
      </c>
      <c r="MP45" s="109" t="str">
        <f t="shared" si="340"/>
        <v/>
      </c>
      <c r="MQ45" s="109" t="str">
        <f t="shared" si="340"/>
        <v/>
      </c>
      <c r="MR45" s="109" t="str">
        <f t="shared" si="340"/>
        <v/>
      </c>
      <c r="MS45" s="109" t="str">
        <f t="shared" si="340"/>
        <v/>
      </c>
      <c r="MT45" s="109" t="str">
        <f t="shared" si="340"/>
        <v/>
      </c>
      <c r="MU45" s="109" t="str">
        <f t="shared" si="340"/>
        <v/>
      </c>
      <c r="MV45" s="109" t="str">
        <f t="shared" si="340"/>
        <v/>
      </c>
      <c r="MW45" s="109" t="str">
        <f t="shared" si="340"/>
        <v/>
      </c>
      <c r="MX45" s="109" t="str">
        <f t="shared" si="340"/>
        <v/>
      </c>
      <c r="MY45" s="109" t="str">
        <f t="shared" si="340"/>
        <v/>
      </c>
      <c r="MZ45" s="109" t="str">
        <f t="shared" si="340"/>
        <v/>
      </c>
      <c r="NA45" s="109" t="str">
        <f t="shared" si="340"/>
        <v/>
      </c>
      <c r="NB45" s="109" t="str">
        <f t="shared" si="340"/>
        <v/>
      </c>
      <c r="NC45" s="109" t="str">
        <f t="shared" si="340"/>
        <v/>
      </c>
      <c r="ND45" s="109" t="str">
        <f t="shared" si="340"/>
        <v/>
      </c>
      <c r="NE45" s="109" t="str">
        <f t="shared" si="340"/>
        <v/>
      </c>
      <c r="NF45" s="109" t="str">
        <f t="shared" si="340"/>
        <v/>
      </c>
      <c r="NG45" s="109" t="str">
        <f t="shared" si="340"/>
        <v/>
      </c>
      <c r="NH45" s="109" t="str">
        <f t="shared" si="340"/>
        <v/>
      </c>
      <c r="NI45" s="109" t="str">
        <f t="shared" si="340"/>
        <v/>
      </c>
      <c r="NJ45" s="109" t="str">
        <f t="shared" si="340"/>
        <v/>
      </c>
      <c r="NK45" s="109" t="str">
        <f t="shared" si="340"/>
        <v/>
      </c>
      <c r="NL45" s="109" t="str">
        <f t="shared" si="340"/>
        <v/>
      </c>
      <c r="NM45" s="109" t="str">
        <f t="shared" si="340"/>
        <v/>
      </c>
      <c r="NN45" s="109" t="str">
        <f t="shared" si="340"/>
        <v/>
      </c>
      <c r="NO45" s="109" t="str">
        <f t="shared" si="340"/>
        <v/>
      </c>
      <c r="NP45" s="109" t="str">
        <f t="shared" ref="NP45:QA45" si="341">IF(OR(NP$13="",NP$17="",NP$14="",NP$15="",NP$16="",NP$18="",NP$19="",NP$20="",NP$21=""),"",1-(NP71/(NP$5)))</f>
        <v/>
      </c>
      <c r="NQ45" s="109" t="str">
        <f t="shared" si="341"/>
        <v/>
      </c>
      <c r="NR45" s="109" t="str">
        <f t="shared" si="341"/>
        <v/>
      </c>
      <c r="NS45" s="109" t="str">
        <f t="shared" si="341"/>
        <v/>
      </c>
      <c r="NT45" s="109" t="str">
        <f t="shared" si="341"/>
        <v/>
      </c>
      <c r="NU45" s="109" t="str">
        <f t="shared" si="341"/>
        <v/>
      </c>
      <c r="NV45" s="109" t="str">
        <f t="shared" si="341"/>
        <v/>
      </c>
      <c r="NW45" s="109" t="str">
        <f t="shared" si="341"/>
        <v/>
      </c>
      <c r="NX45" s="109" t="str">
        <f t="shared" si="341"/>
        <v/>
      </c>
      <c r="NY45" s="109" t="str">
        <f t="shared" si="341"/>
        <v/>
      </c>
      <c r="NZ45" s="109" t="str">
        <f t="shared" si="341"/>
        <v/>
      </c>
      <c r="OA45" s="109" t="str">
        <f t="shared" si="341"/>
        <v/>
      </c>
      <c r="OB45" s="109" t="str">
        <f t="shared" si="341"/>
        <v/>
      </c>
      <c r="OC45" s="109" t="str">
        <f t="shared" si="341"/>
        <v/>
      </c>
      <c r="OD45" s="109" t="str">
        <f t="shared" si="341"/>
        <v/>
      </c>
      <c r="OE45" s="109" t="str">
        <f t="shared" si="341"/>
        <v/>
      </c>
      <c r="OF45" s="109" t="str">
        <f t="shared" si="341"/>
        <v/>
      </c>
      <c r="OG45" s="109" t="str">
        <f t="shared" si="341"/>
        <v/>
      </c>
      <c r="OH45" s="109" t="str">
        <f t="shared" si="341"/>
        <v/>
      </c>
      <c r="OI45" s="109" t="str">
        <f t="shared" si="341"/>
        <v/>
      </c>
      <c r="OJ45" s="109" t="str">
        <f t="shared" si="341"/>
        <v/>
      </c>
      <c r="OK45" s="109" t="str">
        <f t="shared" si="341"/>
        <v/>
      </c>
      <c r="OL45" s="109" t="str">
        <f t="shared" si="341"/>
        <v/>
      </c>
      <c r="OM45" s="109" t="str">
        <f t="shared" si="341"/>
        <v/>
      </c>
      <c r="ON45" s="109" t="str">
        <f t="shared" si="341"/>
        <v/>
      </c>
      <c r="OO45" s="109" t="str">
        <f t="shared" si="341"/>
        <v/>
      </c>
      <c r="OP45" s="109" t="str">
        <f t="shared" si="341"/>
        <v/>
      </c>
      <c r="OQ45" s="109" t="str">
        <f t="shared" si="341"/>
        <v/>
      </c>
      <c r="OR45" s="109" t="str">
        <f t="shared" si="341"/>
        <v/>
      </c>
      <c r="OS45" s="109" t="str">
        <f t="shared" si="341"/>
        <v/>
      </c>
      <c r="OT45" s="109" t="str">
        <f t="shared" si="341"/>
        <v/>
      </c>
      <c r="OU45" s="109" t="str">
        <f t="shared" si="341"/>
        <v/>
      </c>
      <c r="OV45" s="109" t="str">
        <f t="shared" si="341"/>
        <v/>
      </c>
      <c r="OW45" s="109" t="str">
        <f t="shared" si="341"/>
        <v/>
      </c>
      <c r="OX45" s="109" t="str">
        <f t="shared" si="341"/>
        <v/>
      </c>
      <c r="OY45" s="109" t="str">
        <f t="shared" si="341"/>
        <v/>
      </c>
      <c r="OZ45" s="109" t="str">
        <f t="shared" si="341"/>
        <v/>
      </c>
      <c r="PA45" s="109" t="str">
        <f t="shared" si="341"/>
        <v/>
      </c>
      <c r="PB45" s="109" t="str">
        <f t="shared" si="341"/>
        <v/>
      </c>
      <c r="PC45" s="109" t="str">
        <f t="shared" si="341"/>
        <v/>
      </c>
      <c r="PD45" s="109" t="str">
        <f t="shared" si="341"/>
        <v/>
      </c>
      <c r="PE45" s="109" t="str">
        <f t="shared" si="341"/>
        <v/>
      </c>
      <c r="PF45" s="109" t="str">
        <f t="shared" si="341"/>
        <v/>
      </c>
      <c r="PG45" s="109" t="str">
        <f t="shared" si="341"/>
        <v/>
      </c>
      <c r="PH45" s="109" t="str">
        <f t="shared" si="341"/>
        <v/>
      </c>
      <c r="PI45" s="109" t="str">
        <f t="shared" si="341"/>
        <v/>
      </c>
      <c r="PJ45" s="109" t="str">
        <f t="shared" si="341"/>
        <v/>
      </c>
      <c r="PK45" s="109" t="str">
        <f t="shared" si="341"/>
        <v/>
      </c>
      <c r="PL45" s="109" t="str">
        <f t="shared" si="341"/>
        <v/>
      </c>
      <c r="PM45" s="109" t="str">
        <f t="shared" si="341"/>
        <v/>
      </c>
      <c r="PN45" s="109" t="str">
        <f t="shared" si="341"/>
        <v/>
      </c>
      <c r="PO45" s="109" t="str">
        <f t="shared" si="341"/>
        <v/>
      </c>
      <c r="PP45" s="109" t="str">
        <f t="shared" si="341"/>
        <v/>
      </c>
      <c r="PQ45" s="109" t="str">
        <f t="shared" si="341"/>
        <v/>
      </c>
      <c r="PR45" s="109" t="str">
        <f t="shared" si="341"/>
        <v/>
      </c>
      <c r="PS45" s="109" t="str">
        <f t="shared" si="341"/>
        <v/>
      </c>
      <c r="PT45" s="109" t="str">
        <f t="shared" si="341"/>
        <v/>
      </c>
      <c r="PU45" s="109" t="str">
        <f t="shared" si="341"/>
        <v/>
      </c>
      <c r="PV45" s="109" t="str">
        <f t="shared" si="341"/>
        <v/>
      </c>
      <c r="PW45" s="109" t="str">
        <f t="shared" si="341"/>
        <v/>
      </c>
      <c r="PX45" s="109" t="str">
        <f t="shared" si="341"/>
        <v/>
      </c>
      <c r="PY45" s="109" t="str">
        <f t="shared" si="341"/>
        <v/>
      </c>
      <c r="PZ45" s="109" t="str">
        <f t="shared" si="341"/>
        <v/>
      </c>
      <c r="QA45" s="109" t="str">
        <f t="shared" si="341"/>
        <v/>
      </c>
      <c r="QB45" s="109" t="str">
        <f t="shared" ref="QB45:SM45" si="342">IF(OR(QB$13="",QB$17="",QB$14="",QB$15="",QB$16="",QB$18="",QB$19="",QB$20="",QB$21=""),"",1-(QB71/(QB$5)))</f>
        <v/>
      </c>
      <c r="QC45" s="109" t="str">
        <f t="shared" si="342"/>
        <v/>
      </c>
      <c r="QD45" s="109" t="str">
        <f t="shared" si="342"/>
        <v/>
      </c>
      <c r="QE45" s="109" t="str">
        <f t="shared" si="342"/>
        <v/>
      </c>
      <c r="QF45" s="109" t="str">
        <f t="shared" si="342"/>
        <v/>
      </c>
      <c r="QG45" s="109" t="str">
        <f t="shared" si="342"/>
        <v/>
      </c>
      <c r="QH45" s="109" t="str">
        <f t="shared" si="342"/>
        <v/>
      </c>
      <c r="QI45" s="109" t="str">
        <f t="shared" si="342"/>
        <v/>
      </c>
      <c r="QJ45" s="109" t="str">
        <f t="shared" si="342"/>
        <v/>
      </c>
      <c r="QK45" s="109" t="str">
        <f t="shared" si="342"/>
        <v/>
      </c>
      <c r="QL45" s="109" t="str">
        <f t="shared" si="342"/>
        <v/>
      </c>
      <c r="QM45" s="109" t="str">
        <f t="shared" si="342"/>
        <v/>
      </c>
      <c r="QN45" s="109" t="str">
        <f t="shared" si="342"/>
        <v/>
      </c>
      <c r="QO45" s="109" t="str">
        <f t="shared" si="342"/>
        <v/>
      </c>
      <c r="QP45" s="109" t="str">
        <f t="shared" si="342"/>
        <v/>
      </c>
      <c r="QQ45" s="109" t="str">
        <f t="shared" si="342"/>
        <v/>
      </c>
      <c r="QR45" s="109" t="str">
        <f t="shared" si="342"/>
        <v/>
      </c>
      <c r="QS45" s="109" t="str">
        <f t="shared" si="342"/>
        <v/>
      </c>
      <c r="QT45" s="109" t="str">
        <f t="shared" si="342"/>
        <v/>
      </c>
      <c r="QU45" s="109" t="str">
        <f t="shared" si="342"/>
        <v/>
      </c>
      <c r="QV45" s="109" t="str">
        <f t="shared" si="342"/>
        <v/>
      </c>
      <c r="QW45" s="109" t="str">
        <f t="shared" si="342"/>
        <v/>
      </c>
      <c r="QX45" s="109" t="str">
        <f t="shared" si="342"/>
        <v/>
      </c>
      <c r="QY45" s="109" t="str">
        <f t="shared" si="342"/>
        <v/>
      </c>
      <c r="QZ45" s="109" t="str">
        <f t="shared" si="342"/>
        <v/>
      </c>
      <c r="RA45" s="109" t="str">
        <f t="shared" si="342"/>
        <v/>
      </c>
      <c r="RB45" s="109" t="str">
        <f t="shared" si="342"/>
        <v/>
      </c>
      <c r="RC45" s="109" t="str">
        <f t="shared" si="342"/>
        <v/>
      </c>
      <c r="RD45" s="109" t="str">
        <f t="shared" si="342"/>
        <v/>
      </c>
      <c r="RE45" s="109" t="str">
        <f t="shared" si="342"/>
        <v/>
      </c>
      <c r="RF45" s="109" t="str">
        <f t="shared" si="342"/>
        <v/>
      </c>
      <c r="RG45" s="109" t="str">
        <f t="shared" si="342"/>
        <v/>
      </c>
      <c r="RH45" s="109" t="str">
        <f t="shared" si="342"/>
        <v/>
      </c>
      <c r="RI45" s="109" t="str">
        <f t="shared" si="342"/>
        <v/>
      </c>
      <c r="RJ45" s="109" t="str">
        <f t="shared" si="342"/>
        <v/>
      </c>
      <c r="RK45" s="109" t="str">
        <f t="shared" si="342"/>
        <v/>
      </c>
      <c r="RL45" s="109" t="str">
        <f t="shared" si="342"/>
        <v/>
      </c>
      <c r="RM45" s="109" t="str">
        <f t="shared" si="342"/>
        <v/>
      </c>
      <c r="RN45" s="109" t="str">
        <f t="shared" si="342"/>
        <v/>
      </c>
      <c r="RO45" s="109" t="str">
        <f t="shared" si="342"/>
        <v/>
      </c>
      <c r="RP45" s="109" t="str">
        <f t="shared" si="342"/>
        <v/>
      </c>
      <c r="RQ45" s="109" t="str">
        <f t="shared" si="342"/>
        <v/>
      </c>
      <c r="RR45" s="109" t="str">
        <f t="shared" si="342"/>
        <v/>
      </c>
      <c r="RS45" s="109" t="str">
        <f t="shared" si="342"/>
        <v/>
      </c>
      <c r="RT45" s="109" t="str">
        <f t="shared" si="342"/>
        <v/>
      </c>
      <c r="RU45" s="109" t="str">
        <f t="shared" si="342"/>
        <v/>
      </c>
      <c r="RV45" s="109" t="str">
        <f t="shared" si="342"/>
        <v/>
      </c>
      <c r="RW45" s="109" t="str">
        <f t="shared" si="342"/>
        <v/>
      </c>
      <c r="RX45" s="109" t="str">
        <f t="shared" si="342"/>
        <v/>
      </c>
      <c r="RY45" s="109" t="str">
        <f t="shared" si="342"/>
        <v/>
      </c>
      <c r="RZ45" s="109" t="str">
        <f t="shared" si="342"/>
        <v/>
      </c>
      <c r="SA45" s="109" t="str">
        <f t="shared" si="342"/>
        <v/>
      </c>
      <c r="SB45" s="109" t="str">
        <f t="shared" si="342"/>
        <v/>
      </c>
      <c r="SC45" s="109" t="str">
        <f t="shared" si="342"/>
        <v/>
      </c>
      <c r="SD45" s="109" t="str">
        <f t="shared" si="342"/>
        <v/>
      </c>
      <c r="SE45" s="109" t="str">
        <f t="shared" si="342"/>
        <v/>
      </c>
      <c r="SF45" s="109" t="str">
        <f t="shared" si="342"/>
        <v/>
      </c>
      <c r="SG45" s="109" t="str">
        <f t="shared" si="342"/>
        <v/>
      </c>
      <c r="SH45" s="109" t="str">
        <f t="shared" si="342"/>
        <v/>
      </c>
      <c r="SI45" s="109" t="str">
        <f t="shared" si="342"/>
        <v/>
      </c>
      <c r="SJ45" s="109" t="str">
        <f t="shared" si="342"/>
        <v/>
      </c>
      <c r="SK45" s="109" t="str">
        <f t="shared" si="342"/>
        <v/>
      </c>
      <c r="SL45" s="109" t="str">
        <f t="shared" si="342"/>
        <v/>
      </c>
      <c r="SM45" s="109" t="str">
        <f t="shared" si="342"/>
        <v/>
      </c>
      <c r="SN45" s="109" t="str">
        <f t="shared" ref="SN45:SW45" si="343">IF(OR(SN$13="",SN$17="",SN$14="",SN$15="",SN$16="",SN$18="",SN$19="",SN$20="",SN$21=""),"",1-(SN71/(SN$5)))</f>
        <v/>
      </c>
      <c r="SO45" s="109" t="str">
        <f t="shared" si="343"/>
        <v/>
      </c>
      <c r="SP45" s="109" t="str">
        <f t="shared" si="343"/>
        <v/>
      </c>
      <c r="SQ45" s="109" t="str">
        <f t="shared" si="343"/>
        <v/>
      </c>
      <c r="SR45" s="109" t="str">
        <f t="shared" si="343"/>
        <v/>
      </c>
      <c r="SS45" s="109" t="str">
        <f t="shared" si="343"/>
        <v/>
      </c>
      <c r="ST45" s="109" t="str">
        <f t="shared" si="343"/>
        <v/>
      </c>
      <c r="SU45" s="109" t="str">
        <f t="shared" si="343"/>
        <v/>
      </c>
      <c r="SV45" s="109" t="str">
        <f t="shared" si="343"/>
        <v/>
      </c>
      <c r="SW45" s="109" t="str">
        <f t="shared" si="343"/>
        <v/>
      </c>
    </row>
    <row r="46" spans="1:517" ht="24.6" customHeight="1" x14ac:dyDescent="0.2">
      <c r="A46" s="94">
        <v>777</v>
      </c>
      <c r="B46" s="117" t="s">
        <v>83</v>
      </c>
      <c r="C46" s="109">
        <f t="shared" ref="C46:AH46" si="344">IF(OR(C$13="",C$17="",C$14="",C$15="",C$16="",C$18="",C$19="",C$20="",C$21=""),"",1-(C72/(C$5)))</f>
        <v>1</v>
      </c>
      <c r="D46" s="109">
        <f t="shared" si="344"/>
        <v>1</v>
      </c>
      <c r="E46" s="109">
        <f t="shared" si="344"/>
        <v>1</v>
      </c>
      <c r="F46" s="109">
        <f t="shared" si="344"/>
        <v>1</v>
      </c>
      <c r="G46" s="109">
        <f t="shared" si="344"/>
        <v>1</v>
      </c>
      <c r="H46" s="109">
        <f t="shared" si="344"/>
        <v>1</v>
      </c>
      <c r="I46" s="109">
        <f t="shared" si="344"/>
        <v>1</v>
      </c>
      <c r="J46" s="109">
        <f t="shared" si="344"/>
        <v>1</v>
      </c>
      <c r="K46" s="109">
        <f t="shared" si="344"/>
        <v>0.98356481481481484</v>
      </c>
      <c r="L46" s="109">
        <f t="shared" si="344"/>
        <v>0.93987500000000002</v>
      </c>
      <c r="M46" s="109">
        <f t="shared" si="344"/>
        <v>0.94534090909090907</v>
      </c>
      <c r="N46" s="109">
        <f t="shared" si="344"/>
        <v>0.94989583333333338</v>
      </c>
      <c r="O46" s="109">
        <f t="shared" si="344"/>
        <v>0.95374999999999999</v>
      </c>
      <c r="P46" s="109">
        <f t="shared" si="344"/>
        <v>0.95705357142857139</v>
      </c>
      <c r="Q46" s="109">
        <f t="shared" si="344"/>
        <v>0.95991666666666664</v>
      </c>
      <c r="R46" s="109">
        <f t="shared" si="344"/>
        <v>0.95578125000000003</v>
      </c>
      <c r="S46" s="109">
        <f t="shared" si="344"/>
        <v>0.95838235294117646</v>
      </c>
      <c r="T46" s="109">
        <f t="shared" si="344"/>
        <v>0.96069444444444441</v>
      </c>
      <c r="U46" s="109">
        <f t="shared" si="344"/>
        <v>0.94412280701754381</v>
      </c>
      <c r="V46" s="109">
        <f t="shared" si="344"/>
        <v>0.92889583333333337</v>
      </c>
      <c r="W46" s="109">
        <f t="shared" si="344"/>
        <v>0.93228174603174607</v>
      </c>
      <c r="X46" s="109">
        <f t="shared" si="344"/>
        <v>0.93535984848484843</v>
      </c>
      <c r="Y46" s="109">
        <f t="shared" si="344"/>
        <v>0.93817028985507245</v>
      </c>
      <c r="Z46" s="109">
        <f t="shared" si="344"/>
        <v>0.94074652777777779</v>
      </c>
      <c r="AA46" s="109">
        <f t="shared" si="344"/>
        <v>0.94311666666666671</v>
      </c>
      <c r="AB46" s="109">
        <f t="shared" si="344"/>
        <v>0.94530448717948712</v>
      </c>
      <c r="AC46" s="109">
        <f t="shared" si="344"/>
        <v>0.94643518518518521</v>
      </c>
      <c r="AD46" s="109">
        <f t="shared" si="344"/>
        <v>0.94834821428571425</v>
      </c>
      <c r="AE46" s="109">
        <f t="shared" si="344"/>
        <v>0.95012931034482762</v>
      </c>
      <c r="AF46" s="109">
        <f t="shared" si="344"/>
        <v>0.9517916666666667</v>
      </c>
      <c r="AG46" s="109">
        <f t="shared" si="344"/>
        <v>0.95334677419354841</v>
      </c>
      <c r="AH46" s="109">
        <f t="shared" si="344"/>
        <v>1</v>
      </c>
      <c r="AI46" s="109">
        <f t="shared" ref="AI46:BN46" si="345">IF(OR(AI$13="",AI$17="",AI$14="",AI$15="",AI$16="",AI$18="",AI$19="",AI$20="",AI$21=""),"",1-(AI72/(AI$5)))</f>
        <v>1</v>
      </c>
      <c r="AJ46" s="109">
        <f t="shared" si="345"/>
        <v>1</v>
      </c>
      <c r="AK46" s="109">
        <f t="shared" si="345"/>
        <v>1</v>
      </c>
      <c r="AL46" s="109">
        <f t="shared" si="345"/>
        <v>0.96850000000000003</v>
      </c>
      <c r="AM46" s="109">
        <f t="shared" si="345"/>
        <v>0.97027777777777779</v>
      </c>
      <c r="AN46" s="109">
        <f t="shared" si="345"/>
        <v>0.97452380952380957</v>
      </c>
      <c r="AO46" s="109">
        <f t="shared" si="345"/>
        <v>0.97770833333333329</v>
      </c>
      <c r="AP46" s="109">
        <f t="shared" si="345"/>
        <v>0.98018518518518516</v>
      </c>
      <c r="AQ46" s="109">
        <f t="shared" si="345"/>
        <v>0.97683333333333333</v>
      </c>
      <c r="AR46" s="109">
        <f t="shared" si="345"/>
        <v>0.97022727272727272</v>
      </c>
      <c r="AS46" s="109">
        <f t="shared" si="345"/>
        <v>0.93354166666666671</v>
      </c>
      <c r="AT46" s="109">
        <f t="shared" si="345"/>
        <v>0.88038461538461543</v>
      </c>
      <c r="AU46" s="109">
        <f t="shared" si="345"/>
        <v>0.8889285714285714</v>
      </c>
      <c r="AV46" s="109">
        <f t="shared" si="345"/>
        <v>0.89633333333333332</v>
      </c>
      <c r="AW46" s="109">
        <f t="shared" si="345"/>
        <v>0.90281250000000002</v>
      </c>
      <c r="AX46" s="109">
        <f t="shared" si="345"/>
        <v>0.8936274509803922</v>
      </c>
      <c r="AY46" s="109">
        <f t="shared" si="345"/>
        <v>0.89953703703703702</v>
      </c>
      <c r="AZ46" s="109">
        <f t="shared" si="345"/>
        <v>0.90482456140350875</v>
      </c>
      <c r="BA46" s="109">
        <f t="shared" si="345"/>
        <v>0.9095833333333333</v>
      </c>
      <c r="BB46" s="109">
        <f t="shared" si="345"/>
        <v>0.90313492063492062</v>
      </c>
      <c r="BC46" s="109">
        <f t="shared" si="345"/>
        <v>0.82331439393939398</v>
      </c>
      <c r="BD46" s="109">
        <f t="shared" si="345"/>
        <v>0.83099637681159422</v>
      </c>
      <c r="BE46" s="109">
        <f t="shared" si="345"/>
        <v>0.83607638888888891</v>
      </c>
      <c r="BF46" s="109">
        <f t="shared" si="345"/>
        <v>0.8329333333333333</v>
      </c>
      <c r="BG46" s="109">
        <f t="shared" si="345"/>
        <v>0.83935897435897444</v>
      </c>
      <c r="BH46" s="109">
        <f t="shared" si="345"/>
        <v>0.84530864197530864</v>
      </c>
      <c r="BI46" s="109">
        <f t="shared" si="345"/>
        <v>0.85083333333333333</v>
      </c>
      <c r="BJ46" s="109">
        <f t="shared" si="345"/>
        <v>1</v>
      </c>
      <c r="BK46" s="109">
        <f t="shared" si="345"/>
        <v>1</v>
      </c>
      <c r="BL46" s="109">
        <f t="shared" si="345"/>
        <v>0.96708333333333329</v>
      </c>
      <c r="BM46" s="109">
        <f t="shared" si="345"/>
        <v>0.97531250000000003</v>
      </c>
      <c r="BN46" s="109">
        <f t="shared" si="345"/>
        <v>0.98024999999999995</v>
      </c>
      <c r="BO46" s="109">
        <f t="shared" ref="BO46:CT46" si="346">IF(OR(BO$13="",BO$17="",BO$14="",BO$15="",BO$16="",BO$18="",BO$19="",BO$20="",BO$21=""),"",1-(BO72/(BO$5)))</f>
        <v>0.98354166666666665</v>
      </c>
      <c r="BP46" s="109">
        <f t="shared" si="346"/>
        <v>0.98589285714285713</v>
      </c>
      <c r="BQ46" s="109">
        <f t="shared" si="346"/>
        <v>0.98765625000000001</v>
      </c>
      <c r="BR46" s="109">
        <f t="shared" si="346"/>
        <v>0.94050925925925921</v>
      </c>
      <c r="BS46" s="109">
        <f t="shared" si="346"/>
        <v>0.94645833333333329</v>
      </c>
      <c r="BT46" s="109">
        <f t="shared" si="346"/>
        <v>0.95132575757575755</v>
      </c>
      <c r="BU46" s="109">
        <f t="shared" si="346"/>
        <v>0.95538194444444446</v>
      </c>
      <c r="BV46" s="109">
        <f t="shared" si="346"/>
        <v>0.9588141025641026</v>
      </c>
      <c r="BW46" s="109">
        <f t="shared" si="346"/>
        <v>0.96175595238095235</v>
      </c>
      <c r="BX46" s="109">
        <f t="shared" si="346"/>
        <v>0.96430555555555553</v>
      </c>
      <c r="BY46" s="109">
        <f t="shared" si="346"/>
        <v>0.96653645833333335</v>
      </c>
      <c r="BZ46" s="109">
        <f t="shared" si="346"/>
        <v>0.96850490196078431</v>
      </c>
      <c r="CA46" s="109">
        <f t="shared" si="346"/>
        <v>0.97025462962962961</v>
      </c>
      <c r="CB46" s="109">
        <f t="shared" si="346"/>
        <v>0.97182017543859645</v>
      </c>
      <c r="CC46" s="109">
        <f t="shared" si="346"/>
        <v>0.9732291666666667</v>
      </c>
      <c r="CD46" s="109">
        <f t="shared" si="346"/>
        <v>0.97450396825396823</v>
      </c>
      <c r="CE46" s="109">
        <f t="shared" si="346"/>
        <v>0.97566287878787883</v>
      </c>
      <c r="CF46" s="109">
        <f t="shared" si="346"/>
        <v>0.95425724637681164</v>
      </c>
      <c r="CG46" s="109">
        <f t="shared" si="346"/>
        <v>0.95616319444444442</v>
      </c>
      <c r="CH46" s="109">
        <f t="shared" si="346"/>
        <v>0.95791666666666664</v>
      </c>
      <c r="CI46" s="109">
        <f t="shared" si="346"/>
        <v>0.94355769230769226</v>
      </c>
      <c r="CJ46" s="109">
        <f t="shared" si="346"/>
        <v>0.94564814814814813</v>
      </c>
      <c r="CK46" s="109">
        <f t="shared" si="346"/>
        <v>0.94758928571428569</v>
      </c>
      <c r="CL46" s="109">
        <f t="shared" si="346"/>
        <v>0.94939655172413795</v>
      </c>
      <c r="CM46" s="109">
        <f t="shared" si="346"/>
        <v>0.94381944444444443</v>
      </c>
      <c r="CN46" s="109">
        <f t="shared" si="346"/>
        <v>0.94563172043010757</v>
      </c>
      <c r="CO46" s="109">
        <f t="shared" si="346"/>
        <v>0.35333333333333339</v>
      </c>
      <c r="CP46" s="109">
        <f t="shared" si="346"/>
        <v>0.66874999999999996</v>
      </c>
      <c r="CQ46" s="109">
        <f t="shared" si="346"/>
        <v>0.77916666666666667</v>
      </c>
      <c r="CR46" s="109">
        <f t="shared" si="346"/>
        <v>0.83437499999999998</v>
      </c>
      <c r="CS46" s="109">
        <f t="shared" si="346"/>
        <v>0.77833333333333332</v>
      </c>
      <c r="CT46" s="109">
        <f t="shared" si="346"/>
        <v>0.81527777777777777</v>
      </c>
      <c r="CU46" s="109">
        <f t="shared" ref="CU46:DS46" si="347">IF(OR(CU$13="",CU$17="",CU$14="",CU$15="",CU$16="",CU$18="",CU$19="",CU$20="",CU$21=""),"",1-(CU72/(CU$5)))</f>
        <v>0.84166666666666667</v>
      </c>
      <c r="CV46" s="109">
        <f t="shared" si="347"/>
        <v>0.86145833333333333</v>
      </c>
      <c r="CW46" s="109">
        <f t="shared" si="347"/>
        <v>0.86101851851851852</v>
      </c>
      <c r="CX46" s="109">
        <f t="shared" si="347"/>
        <v>0.87491666666666668</v>
      </c>
      <c r="CY46" s="109">
        <f t="shared" si="347"/>
        <v>0.88628787878787874</v>
      </c>
      <c r="CZ46" s="109">
        <f t="shared" si="347"/>
        <v>0.89576388888888892</v>
      </c>
      <c r="DA46" s="109">
        <f t="shared" si="347"/>
        <v>0.90057692307692305</v>
      </c>
      <c r="DB46" s="109">
        <f t="shared" si="347"/>
        <v>0.90767857142857145</v>
      </c>
      <c r="DC46" s="109">
        <f t="shared" si="347"/>
        <v>0.91383333333333328</v>
      </c>
      <c r="DD46" s="109">
        <f t="shared" si="347"/>
        <v>0.91888020833333328</v>
      </c>
      <c r="DE46" s="109">
        <f t="shared" si="347"/>
        <v>0.92365196078431366</v>
      </c>
      <c r="DF46" s="109">
        <f t="shared" si="347"/>
        <v>0.91824074074074069</v>
      </c>
      <c r="DG46" s="109">
        <f t="shared" si="347"/>
        <v>0.92254385964912278</v>
      </c>
      <c r="DH46" s="109">
        <f t="shared" si="347"/>
        <v>0.92152083333333334</v>
      </c>
      <c r="DI46" s="109">
        <f t="shared" si="347"/>
        <v>0.91815476190476186</v>
      </c>
      <c r="DJ46" s="109">
        <f t="shared" si="347"/>
        <v>0.59939393939393937</v>
      </c>
      <c r="DK46" s="109">
        <f t="shared" si="347"/>
        <v>0.61681159420289855</v>
      </c>
      <c r="DL46" s="109">
        <f t="shared" si="347"/>
        <v>0.63277777777777777</v>
      </c>
      <c r="DM46" s="109">
        <f t="shared" si="347"/>
        <v>0.64746666666666663</v>
      </c>
      <c r="DN46" s="109">
        <f t="shared" si="347"/>
        <v>0.66102564102564099</v>
      </c>
      <c r="DO46" s="109">
        <f t="shared" si="347"/>
        <v>0.67358024691358021</v>
      </c>
      <c r="DP46" s="109">
        <f t="shared" si="347"/>
        <v>0.6852380952380952</v>
      </c>
      <c r="DQ46" s="109">
        <f t="shared" si="347"/>
        <v>0.69609195402298851</v>
      </c>
      <c r="DR46" s="109">
        <f t="shared" si="347"/>
        <v>0.7062222222222222</v>
      </c>
      <c r="DS46" s="109">
        <f t="shared" si="347"/>
        <v>1</v>
      </c>
      <c r="DT46" s="109">
        <f t="shared" ref="DT46:GE46" si="348">IF(OR(DT$13="",DT$17="",DT$14="",DT$15="",DT$16="",DT$18="",DT$19="",DT$20="",DT$21=""),"",1-(DT72/(DT$5)))</f>
        <v>0.98270833333333329</v>
      </c>
      <c r="DU46" s="109">
        <f t="shared" si="348"/>
        <v>0.87361111111111112</v>
      </c>
      <c r="DV46" s="109">
        <f t="shared" si="348"/>
        <v>0.87708333333333333</v>
      </c>
      <c r="DW46" s="109">
        <f t="shared" si="348"/>
        <v>0.5665</v>
      </c>
      <c r="DX46" s="109">
        <f t="shared" si="348"/>
        <v>0.63875000000000004</v>
      </c>
      <c r="DY46" s="109">
        <f t="shared" si="348"/>
        <v>0.69035714285714289</v>
      </c>
      <c r="DZ46" s="109">
        <f t="shared" si="348"/>
        <v>0.72906249999999995</v>
      </c>
      <c r="EA46" s="109">
        <f t="shared" si="348"/>
        <v>0.75384259259259268</v>
      </c>
      <c r="EB46" s="109">
        <f t="shared" si="348"/>
        <v>0.77845833333333336</v>
      </c>
      <c r="EC46" s="109">
        <f t="shared" si="348"/>
        <v>0.79859848484848484</v>
      </c>
      <c r="ED46" s="109">
        <f t="shared" si="348"/>
        <v>0.81538194444444445</v>
      </c>
      <c r="EE46" s="109">
        <f t="shared" si="348"/>
        <v>0.82958333333333334</v>
      </c>
      <c r="EF46" s="109">
        <f t="shared" si="348"/>
        <v>0.83922619047619051</v>
      </c>
      <c r="EG46" s="109">
        <f t="shared" si="348"/>
        <v>0.82299999999999995</v>
      </c>
      <c r="EH46" s="109">
        <f t="shared" si="348"/>
        <v>0.83406250000000004</v>
      </c>
      <c r="EI46" s="109">
        <f t="shared" si="348"/>
        <v>0.84272058823529417</v>
      </c>
      <c r="EJ46" s="109">
        <f t="shared" si="348"/>
        <v>0.85145833333333332</v>
      </c>
      <c r="EK46" s="109">
        <f t="shared" si="348"/>
        <v>0.85927631578947372</v>
      </c>
      <c r="EL46" s="109">
        <f t="shared" si="348"/>
        <v>0.86631250000000004</v>
      </c>
      <c r="EM46" s="109">
        <f t="shared" si="348"/>
        <v>0.87244047619047616</v>
      </c>
      <c r="EN46" s="109">
        <f t="shared" si="348"/>
        <v>0.8782386363636363</v>
      </c>
      <c r="EO46" s="109">
        <f t="shared" si="348"/>
        <v>0.8835326086956522</v>
      </c>
      <c r="EP46" s="109">
        <f t="shared" si="348"/>
        <v>0.88838541666666671</v>
      </c>
      <c r="EQ46" s="109">
        <f t="shared" si="348"/>
        <v>0.89134999999999998</v>
      </c>
      <c r="ER46" s="109">
        <f t="shared" si="348"/>
        <v>0.89552884615384609</v>
      </c>
      <c r="ES46" s="109">
        <f t="shared" si="348"/>
        <v>0.89939814814814811</v>
      </c>
      <c r="ET46" s="109">
        <f t="shared" si="348"/>
        <v>0.90299107142857138</v>
      </c>
      <c r="EU46" s="109">
        <f t="shared" si="348"/>
        <v>0.90202586206896551</v>
      </c>
      <c r="EV46" s="109">
        <f t="shared" si="348"/>
        <v>0.90529166666666661</v>
      </c>
      <c r="EW46" s="109">
        <f t="shared" si="348"/>
        <v>0.90834677419354837</v>
      </c>
      <c r="EX46" s="109">
        <f t="shared" si="348"/>
        <v>1</v>
      </c>
      <c r="EY46" s="109">
        <f t="shared" si="348"/>
        <v>1</v>
      </c>
      <c r="EZ46" s="109">
        <f t="shared" si="348"/>
        <v>1</v>
      </c>
      <c r="FA46" s="109">
        <f t="shared" si="348"/>
        <v>1</v>
      </c>
      <c r="FB46" s="109">
        <f t="shared" si="348"/>
        <v>1</v>
      </c>
      <c r="FC46" s="109">
        <f t="shared" si="348"/>
        <v>1</v>
      </c>
      <c r="FD46" s="109">
        <f t="shared" si="348"/>
        <v>0.9570238095238095</v>
      </c>
      <c r="FE46" s="109">
        <f t="shared" si="348"/>
        <v>0.90093749999999995</v>
      </c>
      <c r="FF46" s="109">
        <f t="shared" si="348"/>
        <v>0.91194444444444445</v>
      </c>
      <c r="FG46" s="109">
        <f t="shared" si="348"/>
        <v>0.88091666666666668</v>
      </c>
      <c r="FH46" s="109">
        <f t="shared" si="348"/>
        <v>0.86496212121212124</v>
      </c>
      <c r="FI46" s="109">
        <f t="shared" si="348"/>
        <v>0.87142361111111111</v>
      </c>
      <c r="FJ46" s="109">
        <f t="shared" si="348"/>
        <v>0.88131410256410259</v>
      </c>
      <c r="FK46" s="109">
        <f t="shared" si="348"/>
        <v>0.88979166666666665</v>
      </c>
      <c r="FL46" s="109">
        <f t="shared" si="348"/>
        <v>0.89713888888888893</v>
      </c>
      <c r="FM46" s="109">
        <f t="shared" si="348"/>
        <v>0.90356770833333333</v>
      </c>
      <c r="FN46" s="109">
        <f t="shared" si="348"/>
        <v>0.90924019607843132</v>
      </c>
      <c r="FO46" s="109">
        <f t="shared" si="348"/>
        <v>0.9142824074074074</v>
      </c>
      <c r="FP46" s="109">
        <f t="shared" si="348"/>
        <v>0.91879385964912275</v>
      </c>
      <c r="FQ46" s="109">
        <f t="shared" si="348"/>
        <v>0.92285416666666664</v>
      </c>
      <c r="FR46" s="109">
        <f t="shared" si="348"/>
        <v>0.92652777777777773</v>
      </c>
      <c r="FS46" s="109">
        <f t="shared" si="348"/>
        <v>0.9298674242424243</v>
      </c>
      <c r="FT46" s="109">
        <f t="shared" si="348"/>
        <v>0.93291666666666662</v>
      </c>
      <c r="FU46" s="109">
        <f t="shared" si="348"/>
        <v>0.93571180555555555</v>
      </c>
      <c r="FV46" s="109">
        <f t="shared" si="348"/>
        <v>0.93828333333333336</v>
      </c>
      <c r="FW46" s="109">
        <f t="shared" si="348"/>
        <v>0.93128205128205133</v>
      </c>
      <c r="FX46" s="109">
        <f t="shared" si="348"/>
        <v>0.93382716049382719</v>
      </c>
      <c r="FY46" s="109">
        <f t="shared" si="348"/>
        <v>0.93619047619047624</v>
      </c>
      <c r="FZ46" s="109">
        <f t="shared" si="348"/>
        <v>0.93813218390804598</v>
      </c>
      <c r="GA46" s="109">
        <f t="shared" si="282"/>
        <v>0.94019444444444444</v>
      </c>
      <c r="GB46" s="109">
        <f t="shared" si="282"/>
        <v>1</v>
      </c>
      <c r="GC46" s="109">
        <f t="shared" si="348"/>
        <v>1</v>
      </c>
      <c r="GD46" s="109">
        <f t="shared" si="348"/>
        <v>1</v>
      </c>
      <c r="GE46" s="109">
        <f t="shared" si="348"/>
        <v>0.98052083333333329</v>
      </c>
      <c r="GF46" s="109">
        <f t="shared" ref="GF46:IQ46" si="349">IF(OR(GF$13="",GF$17="",GF$14="",GF$15="",GF$16="",GF$18="",GF$19="",GF$20="",GF$21=""),"",1-(GF72/(GF$5)))</f>
        <v>0.98441666666666672</v>
      </c>
      <c r="GG46" s="109">
        <f t="shared" si="349"/>
        <v>0.98701388888888886</v>
      </c>
      <c r="GH46" s="109">
        <f t="shared" si="349"/>
        <v>0.98886904761904759</v>
      </c>
      <c r="GI46" s="109">
        <f t="shared" si="349"/>
        <v>0.99026041666666664</v>
      </c>
      <c r="GJ46" s="109">
        <f t="shared" si="349"/>
        <v>0.99134259259259261</v>
      </c>
      <c r="GK46" s="109">
        <f t="shared" si="349"/>
        <v>0.99220833333333336</v>
      </c>
      <c r="GL46" s="109">
        <f t="shared" si="349"/>
        <v>0.99291666666666667</v>
      </c>
      <c r="GM46" s="109">
        <f t="shared" si="349"/>
        <v>0.99350694444444443</v>
      </c>
      <c r="GN46" s="109">
        <f t="shared" si="349"/>
        <v>0.99400641025641023</v>
      </c>
      <c r="GO46" s="109">
        <f t="shared" si="349"/>
        <v>0.9944345238095238</v>
      </c>
      <c r="GP46" s="109">
        <f t="shared" si="349"/>
        <v>0.99480555555555561</v>
      </c>
      <c r="GQ46" s="109">
        <f t="shared" si="349"/>
        <v>0.98895833333333338</v>
      </c>
      <c r="GR46" s="109">
        <f t="shared" si="349"/>
        <v>0.97490196078431368</v>
      </c>
      <c r="GS46" s="109">
        <f t="shared" si="349"/>
        <v>0.97629629629629633</v>
      </c>
      <c r="GT46" s="109">
        <f t="shared" si="349"/>
        <v>0.96120614035087715</v>
      </c>
      <c r="GU46" s="109">
        <f t="shared" si="349"/>
        <v>0.96314583333333337</v>
      </c>
      <c r="GV46" s="109">
        <f t="shared" si="349"/>
        <v>0.66063492063492069</v>
      </c>
      <c r="GW46" s="109">
        <f t="shared" si="349"/>
        <v>0.67606060606060603</v>
      </c>
      <c r="GX46" s="109">
        <f t="shared" si="349"/>
        <v>0.69014492753623191</v>
      </c>
      <c r="GY46" s="109">
        <f t="shared" si="349"/>
        <v>0.70305555555555554</v>
      </c>
      <c r="GZ46" s="109">
        <f t="shared" si="349"/>
        <v>0.71493333333333342</v>
      </c>
      <c r="HA46" s="109">
        <f t="shared" si="349"/>
        <v>0.72589743589743594</v>
      </c>
      <c r="HB46" s="109">
        <f t="shared" si="349"/>
        <v>0.5121296296296296</v>
      </c>
      <c r="HC46" s="109">
        <f t="shared" si="349"/>
        <v>0.52955357142857151</v>
      </c>
      <c r="HD46" s="109">
        <f t="shared" si="349"/>
        <v>0.54577586206896556</v>
      </c>
      <c r="HE46" s="109">
        <f t="shared" si="349"/>
        <v>0.56091666666666673</v>
      </c>
      <c r="HF46" s="109">
        <f t="shared" si="349"/>
        <v>0.57508064516129032</v>
      </c>
      <c r="HG46" s="109">
        <f t="shared" si="349"/>
        <v>1</v>
      </c>
      <c r="HH46" s="109">
        <f t="shared" si="349"/>
        <v>1</v>
      </c>
      <c r="HI46" s="109">
        <f t="shared" si="349"/>
        <v>1</v>
      </c>
      <c r="HJ46" s="109">
        <f t="shared" si="349"/>
        <v>1</v>
      </c>
      <c r="HK46" s="109">
        <f t="shared" si="349"/>
        <v>0.99146527777777782</v>
      </c>
      <c r="HL46" s="109">
        <f t="shared" si="349"/>
        <v>0.99288773148148146</v>
      </c>
      <c r="HM46" s="109">
        <f t="shared" si="349"/>
        <v>0.9729794973544974</v>
      </c>
      <c r="HN46" s="109">
        <f t="shared" si="349"/>
        <v>0.97083478009259261</v>
      </c>
      <c r="HO46" s="109">
        <f t="shared" si="349"/>
        <v>0.97407536008230455</v>
      </c>
      <c r="HP46" s="109">
        <f t="shared" si="349"/>
        <v>0.97666782407407404</v>
      </c>
      <c r="HQ46" s="109">
        <f t="shared" si="349"/>
        <v>0.97878893097643094</v>
      </c>
      <c r="HR46" s="109">
        <f t="shared" si="349"/>
        <v>0.98055652006172844</v>
      </c>
      <c r="HS46" s="109">
        <f t="shared" si="349"/>
        <v>0.90052439458689459</v>
      </c>
      <c r="HT46" s="109">
        <f t="shared" si="349"/>
        <v>0.8362012235449735</v>
      </c>
      <c r="HU46" s="109">
        <f t="shared" si="349"/>
        <v>0.78045447530864198</v>
      </c>
      <c r="HV46" s="109">
        <f t="shared" si="349"/>
        <v>0.74139756944444435</v>
      </c>
      <c r="HW46" s="109">
        <f t="shared" si="349"/>
        <v>0.75532883986928101</v>
      </c>
      <c r="HX46" s="109">
        <f t="shared" si="349"/>
        <v>0.76892168209876544</v>
      </c>
      <c r="HY46" s="109">
        <f t="shared" si="349"/>
        <v>0.77321454678362578</v>
      </c>
      <c r="HZ46" s="109">
        <f t="shared" si="349"/>
        <v>0.78455381944444447</v>
      </c>
      <c r="IA46" s="109">
        <f t="shared" si="349"/>
        <v>0.79481316137566138</v>
      </c>
      <c r="IB46" s="109">
        <f t="shared" si="349"/>
        <v>0.79846327861952859</v>
      </c>
      <c r="IC46" s="109">
        <f t="shared" si="349"/>
        <v>0.80722574476650566</v>
      </c>
      <c r="ID46" s="109">
        <f t="shared" si="349"/>
        <v>0.66833092206790123</v>
      </c>
      <c r="IE46" s="109">
        <f t="shared" si="349"/>
        <v>0.68159768518518526</v>
      </c>
      <c r="IF46" s="109">
        <f t="shared" si="349"/>
        <v>0.69384392806267803</v>
      </c>
      <c r="IG46" s="109">
        <f t="shared" si="349"/>
        <v>0.70518304183813441</v>
      </c>
      <c r="IH46" s="109">
        <f t="shared" si="349"/>
        <v>0.71196221891534384</v>
      </c>
      <c r="II46" s="109">
        <f t="shared" si="349"/>
        <v>0.72189455619412513</v>
      </c>
      <c r="IJ46" s="109">
        <f t="shared" si="349"/>
        <v>0.731164737654321</v>
      </c>
      <c r="IK46" s="109">
        <f t="shared" si="349"/>
        <v>0.73983684289127838</v>
      </c>
      <c r="IL46" s="109">
        <f t="shared" si="349"/>
        <v>1</v>
      </c>
      <c r="IM46" s="109">
        <f t="shared" si="349"/>
        <v>1</v>
      </c>
      <c r="IN46" s="109">
        <f t="shared" si="349"/>
        <v>1</v>
      </c>
      <c r="IO46" s="109">
        <f t="shared" si="349"/>
        <v>0.97267361111111117</v>
      </c>
      <c r="IP46" s="109">
        <f t="shared" si="349"/>
        <v>0.97813888888888889</v>
      </c>
      <c r="IQ46" s="109">
        <f t="shared" si="349"/>
        <v>0.98178240740740741</v>
      </c>
      <c r="IR46" s="109">
        <f t="shared" ref="IR46:LC46" si="350">IF(OR(IR$13="",IR$17="",IR$14="",IR$15="",IR$16="",IR$18="",IR$19="",IR$20="",IR$21=""),"",1-(IR72/(IR$5)))</f>
        <v>0.84152777777777776</v>
      </c>
      <c r="IS46" s="109">
        <f t="shared" si="350"/>
        <v>0.73633680555555547</v>
      </c>
      <c r="IT46" s="109">
        <f t="shared" si="350"/>
        <v>0.65452160493827161</v>
      </c>
      <c r="IU46" s="109">
        <f t="shared" si="350"/>
        <v>0.66011921296296294</v>
      </c>
      <c r="IV46" s="109">
        <f t="shared" si="350"/>
        <v>0.6910174663299663</v>
      </c>
      <c r="IW46" s="109">
        <f t="shared" si="350"/>
        <v>0.71676601080246916</v>
      </c>
      <c r="IX46" s="109">
        <f t="shared" si="350"/>
        <v>0.73855324074074069</v>
      </c>
      <c r="IY46" s="109">
        <f t="shared" si="350"/>
        <v>0.74640624999999994</v>
      </c>
      <c r="IZ46" s="109">
        <f t="shared" si="350"/>
        <v>0.76331250000000006</v>
      </c>
      <c r="JA46" s="109">
        <f t="shared" si="350"/>
        <v>0.77795138888888893</v>
      </c>
      <c r="JB46" s="109">
        <f t="shared" si="350"/>
        <v>0.7910130718954248</v>
      </c>
      <c r="JC46" s="109">
        <f t="shared" si="350"/>
        <v>0.80245820473251028</v>
      </c>
      <c r="JD46" s="109">
        <f t="shared" si="350"/>
        <v>0.81285514132553605</v>
      </c>
      <c r="JE46" s="109">
        <f t="shared" si="350"/>
        <v>0.82221238425925924</v>
      </c>
      <c r="JF46" s="109">
        <f t="shared" si="350"/>
        <v>0.83067846119929456</v>
      </c>
      <c r="JG46" s="109">
        <f t="shared" si="350"/>
        <v>0.8383748947811448</v>
      </c>
      <c r="JH46" s="109">
        <f t="shared" si="350"/>
        <v>0.83767914653784215</v>
      </c>
      <c r="JI46" s="109">
        <f t="shared" si="350"/>
        <v>0.84442708333333338</v>
      </c>
      <c r="JJ46" s="109">
        <f t="shared" si="350"/>
        <v>0.85065000000000002</v>
      </c>
      <c r="JK46" s="109">
        <f t="shared" si="350"/>
        <v>0.85089521011396008</v>
      </c>
      <c r="JL46" s="109">
        <f t="shared" si="350"/>
        <v>0.84900634430727018</v>
      </c>
      <c r="JM46" s="109">
        <f t="shared" si="350"/>
        <v>0.84926504629629629</v>
      </c>
      <c r="JN46" s="109">
        <f t="shared" si="350"/>
        <v>0.8538593550446999</v>
      </c>
      <c r="JO46" s="109">
        <f t="shared" si="350"/>
        <v>0.85734182098765432</v>
      </c>
      <c r="JP46" s="109">
        <f t="shared" si="350"/>
        <v>0.95833333333333337</v>
      </c>
      <c r="JQ46" s="109">
        <f t="shared" si="350"/>
        <v>0.95437499999999997</v>
      </c>
      <c r="JR46" s="109">
        <f t="shared" si="350"/>
        <v>0.9556944444444444</v>
      </c>
      <c r="JS46" s="109">
        <f t="shared" si="350"/>
        <v>0.8761458333333334</v>
      </c>
      <c r="JT46" s="109">
        <f t="shared" si="350"/>
        <v>0.87550000000000006</v>
      </c>
      <c r="JU46" s="109">
        <f t="shared" si="350"/>
        <v>0.89624999999999999</v>
      </c>
      <c r="JV46" s="109">
        <f t="shared" si="350"/>
        <v>0.9051190476190476</v>
      </c>
      <c r="JW46" s="109">
        <f t="shared" si="350"/>
        <v>0.91697916666666668</v>
      </c>
      <c r="JX46" s="109">
        <f t="shared" si="350"/>
        <v>0.92620370370370375</v>
      </c>
      <c r="JY46" s="109">
        <f t="shared" si="350"/>
        <v>0.93358333333333332</v>
      </c>
      <c r="JZ46" s="109">
        <f t="shared" si="350"/>
        <v>0.93962121212121208</v>
      </c>
      <c r="KA46" s="109">
        <f t="shared" si="350"/>
        <v>0.94465277777777779</v>
      </c>
      <c r="KB46" s="109">
        <f t="shared" si="350"/>
        <v>0.94891025641025639</v>
      </c>
      <c r="KC46" s="109">
        <f t="shared" si="350"/>
        <v>0.9525595238095238</v>
      </c>
      <c r="KD46" s="109">
        <f t="shared" si="350"/>
        <v>0.95572222222222225</v>
      </c>
      <c r="KE46" s="109">
        <f t="shared" si="350"/>
        <v>0.95848958333333334</v>
      </c>
      <c r="KF46" s="109">
        <f t="shared" si="350"/>
        <v>0.96093137254901961</v>
      </c>
      <c r="KG46" s="109">
        <f t="shared" si="350"/>
        <v>0.96310185185185182</v>
      </c>
      <c r="KH46" s="109">
        <f t="shared" si="350"/>
        <v>0.96504385964912287</v>
      </c>
      <c r="KI46" s="109">
        <f t="shared" si="350"/>
        <v>0.96679166666666672</v>
      </c>
      <c r="KJ46" s="109">
        <f t="shared" si="350"/>
        <v>0.96837301587301583</v>
      </c>
      <c r="KK46" s="109">
        <f t="shared" si="350"/>
        <v>0.9698106060606061</v>
      </c>
      <c r="KL46" s="109">
        <f t="shared" si="350"/>
        <v>0.97112318840579714</v>
      </c>
      <c r="KM46" s="109">
        <f t="shared" si="350"/>
        <v>0.97232638888888889</v>
      </c>
      <c r="KN46" s="109">
        <f t="shared" si="350"/>
        <v>0.97343333333333337</v>
      </c>
      <c r="KO46" s="109">
        <f t="shared" si="350"/>
        <v>0.97445512820512825</v>
      </c>
      <c r="KP46" s="109">
        <f t="shared" si="350"/>
        <v>0.97540123456790129</v>
      </c>
      <c r="KQ46" s="109">
        <f t="shared" si="350"/>
        <v>0.97627976190476196</v>
      </c>
      <c r="KR46" s="109">
        <f t="shared" si="350"/>
        <v>0.97709770114942529</v>
      </c>
      <c r="KS46" s="109">
        <f t="shared" si="350"/>
        <v>0.97786111111111107</v>
      </c>
      <c r="KT46" s="109">
        <f t="shared" si="350"/>
        <v>0.97857526881720436</v>
      </c>
      <c r="KU46" s="109" t="str">
        <f t="shared" si="350"/>
        <v/>
      </c>
      <c r="KV46" s="109" t="str">
        <f t="shared" si="350"/>
        <v/>
      </c>
      <c r="KW46" s="109" t="str">
        <f t="shared" si="350"/>
        <v/>
      </c>
      <c r="KX46" s="109" t="str">
        <f t="shared" si="350"/>
        <v/>
      </c>
      <c r="KY46" s="109" t="str">
        <f t="shared" si="350"/>
        <v/>
      </c>
      <c r="KZ46" s="109" t="str">
        <f t="shared" si="350"/>
        <v/>
      </c>
      <c r="LA46" s="109" t="str">
        <f t="shared" si="350"/>
        <v/>
      </c>
      <c r="LB46" s="109" t="str">
        <f t="shared" si="350"/>
        <v/>
      </c>
      <c r="LC46" s="109" t="str">
        <f t="shared" si="350"/>
        <v/>
      </c>
      <c r="LD46" s="109" t="str">
        <f t="shared" ref="LD46:NO46" si="351">IF(OR(LD$13="",LD$17="",LD$14="",LD$15="",LD$16="",LD$18="",LD$19="",LD$20="",LD$21=""),"",1-(LD72/(LD$5)))</f>
        <v/>
      </c>
      <c r="LE46" s="109" t="str">
        <f t="shared" si="351"/>
        <v/>
      </c>
      <c r="LF46" s="109" t="str">
        <f t="shared" si="351"/>
        <v/>
      </c>
      <c r="LG46" s="109" t="str">
        <f t="shared" si="351"/>
        <v/>
      </c>
      <c r="LH46" s="109" t="str">
        <f t="shared" si="351"/>
        <v/>
      </c>
      <c r="LI46" s="109" t="str">
        <f t="shared" si="351"/>
        <v/>
      </c>
      <c r="LJ46" s="109" t="str">
        <f t="shared" si="351"/>
        <v/>
      </c>
      <c r="LK46" s="109" t="str">
        <f t="shared" si="351"/>
        <v/>
      </c>
      <c r="LL46" s="109" t="str">
        <f t="shared" si="351"/>
        <v/>
      </c>
      <c r="LM46" s="109" t="str">
        <f t="shared" si="351"/>
        <v/>
      </c>
      <c r="LN46" s="109" t="str">
        <f t="shared" si="351"/>
        <v/>
      </c>
      <c r="LO46" s="109" t="str">
        <f t="shared" si="351"/>
        <v/>
      </c>
      <c r="LP46" s="109" t="str">
        <f t="shared" si="351"/>
        <v/>
      </c>
      <c r="LQ46" s="109" t="str">
        <f t="shared" si="351"/>
        <v/>
      </c>
      <c r="LR46" s="109" t="str">
        <f t="shared" si="351"/>
        <v/>
      </c>
      <c r="LS46" s="109" t="str">
        <f t="shared" si="351"/>
        <v/>
      </c>
      <c r="LT46" s="109" t="str">
        <f t="shared" si="351"/>
        <v/>
      </c>
      <c r="LU46" s="109" t="str">
        <f t="shared" si="351"/>
        <v/>
      </c>
      <c r="LV46" s="109" t="str">
        <f t="shared" si="351"/>
        <v/>
      </c>
      <c r="LW46" s="109" t="str">
        <f t="shared" si="351"/>
        <v/>
      </c>
      <c r="LX46" s="109" t="str">
        <f t="shared" si="351"/>
        <v/>
      </c>
      <c r="LY46" s="109" t="str">
        <f t="shared" si="351"/>
        <v/>
      </c>
      <c r="LZ46" s="109" t="str">
        <f t="shared" si="351"/>
        <v/>
      </c>
      <c r="MA46" s="109" t="str">
        <f t="shared" si="351"/>
        <v/>
      </c>
      <c r="MB46" s="109" t="str">
        <f t="shared" si="351"/>
        <v/>
      </c>
      <c r="MC46" s="109" t="str">
        <f t="shared" si="351"/>
        <v/>
      </c>
      <c r="MD46" s="109" t="str">
        <f t="shared" si="351"/>
        <v/>
      </c>
      <c r="ME46" s="109" t="str">
        <f t="shared" si="351"/>
        <v/>
      </c>
      <c r="MF46" s="109" t="str">
        <f t="shared" si="351"/>
        <v/>
      </c>
      <c r="MG46" s="109" t="str">
        <f t="shared" si="351"/>
        <v/>
      </c>
      <c r="MH46" s="109" t="str">
        <f t="shared" si="351"/>
        <v/>
      </c>
      <c r="MI46" s="109" t="str">
        <f t="shared" si="351"/>
        <v/>
      </c>
      <c r="MJ46" s="109" t="str">
        <f t="shared" si="351"/>
        <v/>
      </c>
      <c r="MK46" s="109" t="str">
        <f t="shared" si="351"/>
        <v/>
      </c>
      <c r="ML46" s="109" t="str">
        <f t="shared" si="351"/>
        <v/>
      </c>
      <c r="MM46" s="109" t="str">
        <f t="shared" si="351"/>
        <v/>
      </c>
      <c r="MN46" s="109" t="str">
        <f t="shared" si="351"/>
        <v/>
      </c>
      <c r="MO46" s="109" t="str">
        <f t="shared" si="351"/>
        <v/>
      </c>
      <c r="MP46" s="109" t="str">
        <f t="shared" si="351"/>
        <v/>
      </c>
      <c r="MQ46" s="109" t="str">
        <f t="shared" si="351"/>
        <v/>
      </c>
      <c r="MR46" s="109" t="str">
        <f t="shared" si="351"/>
        <v/>
      </c>
      <c r="MS46" s="109" t="str">
        <f t="shared" si="351"/>
        <v/>
      </c>
      <c r="MT46" s="109" t="str">
        <f t="shared" si="351"/>
        <v/>
      </c>
      <c r="MU46" s="109" t="str">
        <f t="shared" si="351"/>
        <v/>
      </c>
      <c r="MV46" s="109" t="str">
        <f t="shared" si="351"/>
        <v/>
      </c>
      <c r="MW46" s="109" t="str">
        <f t="shared" si="351"/>
        <v/>
      </c>
      <c r="MX46" s="109" t="str">
        <f t="shared" si="351"/>
        <v/>
      </c>
      <c r="MY46" s="109" t="str">
        <f t="shared" si="351"/>
        <v/>
      </c>
      <c r="MZ46" s="109" t="str">
        <f t="shared" si="351"/>
        <v/>
      </c>
      <c r="NA46" s="109" t="str">
        <f t="shared" si="351"/>
        <v/>
      </c>
      <c r="NB46" s="109" t="str">
        <f t="shared" si="351"/>
        <v/>
      </c>
      <c r="NC46" s="109" t="str">
        <f t="shared" si="351"/>
        <v/>
      </c>
      <c r="ND46" s="109" t="str">
        <f t="shared" si="351"/>
        <v/>
      </c>
      <c r="NE46" s="109" t="str">
        <f t="shared" si="351"/>
        <v/>
      </c>
      <c r="NF46" s="109" t="str">
        <f t="shared" si="351"/>
        <v/>
      </c>
      <c r="NG46" s="109" t="str">
        <f t="shared" si="351"/>
        <v/>
      </c>
      <c r="NH46" s="109" t="str">
        <f t="shared" si="351"/>
        <v/>
      </c>
      <c r="NI46" s="109" t="str">
        <f t="shared" si="351"/>
        <v/>
      </c>
      <c r="NJ46" s="109" t="str">
        <f t="shared" si="351"/>
        <v/>
      </c>
      <c r="NK46" s="109" t="str">
        <f t="shared" si="351"/>
        <v/>
      </c>
      <c r="NL46" s="109" t="str">
        <f t="shared" si="351"/>
        <v/>
      </c>
      <c r="NM46" s="109" t="str">
        <f t="shared" si="351"/>
        <v/>
      </c>
      <c r="NN46" s="109" t="str">
        <f t="shared" si="351"/>
        <v/>
      </c>
      <c r="NO46" s="109" t="str">
        <f t="shared" si="351"/>
        <v/>
      </c>
      <c r="NP46" s="109" t="str">
        <f t="shared" ref="NP46:QA46" si="352">IF(OR(NP$13="",NP$17="",NP$14="",NP$15="",NP$16="",NP$18="",NP$19="",NP$20="",NP$21=""),"",1-(NP72/(NP$5)))</f>
        <v/>
      </c>
      <c r="NQ46" s="109" t="str">
        <f t="shared" si="352"/>
        <v/>
      </c>
      <c r="NR46" s="109" t="str">
        <f t="shared" si="352"/>
        <v/>
      </c>
      <c r="NS46" s="109" t="str">
        <f t="shared" si="352"/>
        <v/>
      </c>
      <c r="NT46" s="109" t="str">
        <f t="shared" si="352"/>
        <v/>
      </c>
      <c r="NU46" s="109" t="str">
        <f t="shared" si="352"/>
        <v/>
      </c>
      <c r="NV46" s="109" t="str">
        <f t="shared" si="352"/>
        <v/>
      </c>
      <c r="NW46" s="109" t="str">
        <f t="shared" si="352"/>
        <v/>
      </c>
      <c r="NX46" s="109" t="str">
        <f t="shared" si="352"/>
        <v/>
      </c>
      <c r="NY46" s="109" t="str">
        <f t="shared" si="352"/>
        <v/>
      </c>
      <c r="NZ46" s="109" t="str">
        <f t="shared" si="352"/>
        <v/>
      </c>
      <c r="OA46" s="109" t="str">
        <f t="shared" si="352"/>
        <v/>
      </c>
      <c r="OB46" s="109" t="str">
        <f t="shared" si="352"/>
        <v/>
      </c>
      <c r="OC46" s="109" t="str">
        <f t="shared" si="352"/>
        <v/>
      </c>
      <c r="OD46" s="109" t="str">
        <f t="shared" si="352"/>
        <v/>
      </c>
      <c r="OE46" s="109" t="str">
        <f t="shared" si="352"/>
        <v/>
      </c>
      <c r="OF46" s="109" t="str">
        <f t="shared" si="352"/>
        <v/>
      </c>
      <c r="OG46" s="109" t="str">
        <f t="shared" si="352"/>
        <v/>
      </c>
      <c r="OH46" s="109" t="str">
        <f t="shared" si="352"/>
        <v/>
      </c>
      <c r="OI46" s="109" t="str">
        <f t="shared" si="352"/>
        <v/>
      </c>
      <c r="OJ46" s="109" t="str">
        <f t="shared" si="352"/>
        <v/>
      </c>
      <c r="OK46" s="109" t="str">
        <f t="shared" si="352"/>
        <v/>
      </c>
      <c r="OL46" s="109" t="str">
        <f t="shared" si="352"/>
        <v/>
      </c>
      <c r="OM46" s="109" t="str">
        <f t="shared" si="352"/>
        <v/>
      </c>
      <c r="ON46" s="109" t="str">
        <f t="shared" si="352"/>
        <v/>
      </c>
      <c r="OO46" s="109" t="str">
        <f t="shared" si="352"/>
        <v/>
      </c>
      <c r="OP46" s="109" t="str">
        <f t="shared" si="352"/>
        <v/>
      </c>
      <c r="OQ46" s="109" t="str">
        <f t="shared" si="352"/>
        <v/>
      </c>
      <c r="OR46" s="109" t="str">
        <f t="shared" si="352"/>
        <v/>
      </c>
      <c r="OS46" s="109" t="str">
        <f t="shared" si="352"/>
        <v/>
      </c>
      <c r="OT46" s="109" t="str">
        <f t="shared" si="352"/>
        <v/>
      </c>
      <c r="OU46" s="109" t="str">
        <f t="shared" si="352"/>
        <v/>
      </c>
      <c r="OV46" s="109" t="str">
        <f t="shared" si="352"/>
        <v/>
      </c>
      <c r="OW46" s="109" t="str">
        <f t="shared" si="352"/>
        <v/>
      </c>
      <c r="OX46" s="109" t="str">
        <f t="shared" si="352"/>
        <v/>
      </c>
      <c r="OY46" s="109" t="str">
        <f t="shared" si="352"/>
        <v/>
      </c>
      <c r="OZ46" s="109" t="str">
        <f t="shared" si="352"/>
        <v/>
      </c>
      <c r="PA46" s="109" t="str">
        <f t="shared" si="352"/>
        <v/>
      </c>
      <c r="PB46" s="109" t="str">
        <f t="shared" si="352"/>
        <v/>
      </c>
      <c r="PC46" s="109" t="str">
        <f t="shared" si="352"/>
        <v/>
      </c>
      <c r="PD46" s="109" t="str">
        <f t="shared" si="352"/>
        <v/>
      </c>
      <c r="PE46" s="109" t="str">
        <f t="shared" si="352"/>
        <v/>
      </c>
      <c r="PF46" s="109" t="str">
        <f t="shared" si="352"/>
        <v/>
      </c>
      <c r="PG46" s="109" t="str">
        <f t="shared" si="352"/>
        <v/>
      </c>
      <c r="PH46" s="109" t="str">
        <f t="shared" si="352"/>
        <v/>
      </c>
      <c r="PI46" s="109" t="str">
        <f t="shared" si="352"/>
        <v/>
      </c>
      <c r="PJ46" s="109" t="str">
        <f t="shared" si="352"/>
        <v/>
      </c>
      <c r="PK46" s="109" t="str">
        <f t="shared" si="352"/>
        <v/>
      </c>
      <c r="PL46" s="109" t="str">
        <f t="shared" si="352"/>
        <v/>
      </c>
      <c r="PM46" s="109" t="str">
        <f t="shared" si="352"/>
        <v/>
      </c>
      <c r="PN46" s="109" t="str">
        <f t="shared" si="352"/>
        <v/>
      </c>
      <c r="PO46" s="109" t="str">
        <f t="shared" si="352"/>
        <v/>
      </c>
      <c r="PP46" s="109" t="str">
        <f t="shared" si="352"/>
        <v/>
      </c>
      <c r="PQ46" s="109" t="str">
        <f t="shared" si="352"/>
        <v/>
      </c>
      <c r="PR46" s="109" t="str">
        <f t="shared" si="352"/>
        <v/>
      </c>
      <c r="PS46" s="109" t="str">
        <f t="shared" si="352"/>
        <v/>
      </c>
      <c r="PT46" s="109" t="str">
        <f t="shared" si="352"/>
        <v/>
      </c>
      <c r="PU46" s="109" t="str">
        <f t="shared" si="352"/>
        <v/>
      </c>
      <c r="PV46" s="109" t="str">
        <f t="shared" si="352"/>
        <v/>
      </c>
      <c r="PW46" s="109" t="str">
        <f t="shared" si="352"/>
        <v/>
      </c>
      <c r="PX46" s="109" t="str">
        <f t="shared" si="352"/>
        <v/>
      </c>
      <c r="PY46" s="109" t="str">
        <f t="shared" si="352"/>
        <v/>
      </c>
      <c r="PZ46" s="109" t="str">
        <f t="shared" si="352"/>
        <v/>
      </c>
      <c r="QA46" s="109" t="str">
        <f t="shared" si="352"/>
        <v/>
      </c>
      <c r="QB46" s="109" t="str">
        <f t="shared" ref="QB46:SM46" si="353">IF(OR(QB$13="",QB$17="",QB$14="",QB$15="",QB$16="",QB$18="",QB$19="",QB$20="",QB$21=""),"",1-(QB72/(QB$5)))</f>
        <v/>
      </c>
      <c r="QC46" s="109" t="str">
        <f t="shared" si="353"/>
        <v/>
      </c>
      <c r="QD46" s="109" t="str">
        <f t="shared" si="353"/>
        <v/>
      </c>
      <c r="QE46" s="109" t="str">
        <f t="shared" si="353"/>
        <v/>
      </c>
      <c r="QF46" s="109" t="str">
        <f t="shared" si="353"/>
        <v/>
      </c>
      <c r="QG46" s="109" t="str">
        <f t="shared" si="353"/>
        <v/>
      </c>
      <c r="QH46" s="109" t="str">
        <f t="shared" si="353"/>
        <v/>
      </c>
      <c r="QI46" s="109" t="str">
        <f t="shared" si="353"/>
        <v/>
      </c>
      <c r="QJ46" s="109" t="str">
        <f t="shared" si="353"/>
        <v/>
      </c>
      <c r="QK46" s="109" t="str">
        <f t="shared" si="353"/>
        <v/>
      </c>
      <c r="QL46" s="109" t="str">
        <f t="shared" si="353"/>
        <v/>
      </c>
      <c r="QM46" s="109" t="str">
        <f t="shared" si="353"/>
        <v/>
      </c>
      <c r="QN46" s="109" t="str">
        <f t="shared" si="353"/>
        <v/>
      </c>
      <c r="QO46" s="109" t="str">
        <f t="shared" si="353"/>
        <v/>
      </c>
      <c r="QP46" s="109" t="str">
        <f t="shared" si="353"/>
        <v/>
      </c>
      <c r="QQ46" s="109" t="str">
        <f t="shared" si="353"/>
        <v/>
      </c>
      <c r="QR46" s="109" t="str">
        <f t="shared" si="353"/>
        <v/>
      </c>
      <c r="QS46" s="109" t="str">
        <f t="shared" si="353"/>
        <v/>
      </c>
      <c r="QT46" s="109" t="str">
        <f t="shared" si="353"/>
        <v/>
      </c>
      <c r="QU46" s="109" t="str">
        <f t="shared" si="353"/>
        <v/>
      </c>
      <c r="QV46" s="109" t="str">
        <f t="shared" si="353"/>
        <v/>
      </c>
      <c r="QW46" s="109" t="str">
        <f t="shared" si="353"/>
        <v/>
      </c>
      <c r="QX46" s="109" t="str">
        <f t="shared" si="353"/>
        <v/>
      </c>
      <c r="QY46" s="109" t="str">
        <f t="shared" si="353"/>
        <v/>
      </c>
      <c r="QZ46" s="109" t="str">
        <f t="shared" si="353"/>
        <v/>
      </c>
      <c r="RA46" s="109" t="str">
        <f t="shared" si="353"/>
        <v/>
      </c>
      <c r="RB46" s="109" t="str">
        <f t="shared" si="353"/>
        <v/>
      </c>
      <c r="RC46" s="109" t="str">
        <f t="shared" si="353"/>
        <v/>
      </c>
      <c r="RD46" s="109" t="str">
        <f t="shared" si="353"/>
        <v/>
      </c>
      <c r="RE46" s="109" t="str">
        <f t="shared" si="353"/>
        <v/>
      </c>
      <c r="RF46" s="109" t="str">
        <f t="shared" si="353"/>
        <v/>
      </c>
      <c r="RG46" s="109" t="str">
        <f t="shared" si="353"/>
        <v/>
      </c>
      <c r="RH46" s="109" t="str">
        <f t="shared" si="353"/>
        <v/>
      </c>
      <c r="RI46" s="109" t="str">
        <f t="shared" si="353"/>
        <v/>
      </c>
      <c r="RJ46" s="109" t="str">
        <f t="shared" si="353"/>
        <v/>
      </c>
      <c r="RK46" s="109" t="str">
        <f t="shared" si="353"/>
        <v/>
      </c>
      <c r="RL46" s="109" t="str">
        <f t="shared" si="353"/>
        <v/>
      </c>
      <c r="RM46" s="109" t="str">
        <f t="shared" si="353"/>
        <v/>
      </c>
      <c r="RN46" s="109" t="str">
        <f t="shared" si="353"/>
        <v/>
      </c>
      <c r="RO46" s="109" t="str">
        <f t="shared" si="353"/>
        <v/>
      </c>
      <c r="RP46" s="109" t="str">
        <f t="shared" si="353"/>
        <v/>
      </c>
      <c r="RQ46" s="109" t="str">
        <f t="shared" si="353"/>
        <v/>
      </c>
      <c r="RR46" s="109" t="str">
        <f t="shared" si="353"/>
        <v/>
      </c>
      <c r="RS46" s="109" t="str">
        <f t="shared" si="353"/>
        <v/>
      </c>
      <c r="RT46" s="109" t="str">
        <f t="shared" si="353"/>
        <v/>
      </c>
      <c r="RU46" s="109" t="str">
        <f t="shared" si="353"/>
        <v/>
      </c>
      <c r="RV46" s="109" t="str">
        <f t="shared" si="353"/>
        <v/>
      </c>
      <c r="RW46" s="109" t="str">
        <f t="shared" si="353"/>
        <v/>
      </c>
      <c r="RX46" s="109" t="str">
        <f t="shared" si="353"/>
        <v/>
      </c>
      <c r="RY46" s="109" t="str">
        <f t="shared" si="353"/>
        <v/>
      </c>
      <c r="RZ46" s="109" t="str">
        <f t="shared" si="353"/>
        <v/>
      </c>
      <c r="SA46" s="109" t="str">
        <f t="shared" si="353"/>
        <v/>
      </c>
      <c r="SB46" s="109" t="str">
        <f t="shared" si="353"/>
        <v/>
      </c>
      <c r="SC46" s="109" t="str">
        <f t="shared" si="353"/>
        <v/>
      </c>
      <c r="SD46" s="109" t="str">
        <f t="shared" si="353"/>
        <v/>
      </c>
      <c r="SE46" s="109" t="str">
        <f t="shared" si="353"/>
        <v/>
      </c>
      <c r="SF46" s="109" t="str">
        <f t="shared" si="353"/>
        <v/>
      </c>
      <c r="SG46" s="109" t="str">
        <f t="shared" si="353"/>
        <v/>
      </c>
      <c r="SH46" s="109" t="str">
        <f t="shared" si="353"/>
        <v/>
      </c>
      <c r="SI46" s="109" t="str">
        <f t="shared" si="353"/>
        <v/>
      </c>
      <c r="SJ46" s="109" t="str">
        <f t="shared" si="353"/>
        <v/>
      </c>
      <c r="SK46" s="109" t="str">
        <f t="shared" si="353"/>
        <v/>
      </c>
      <c r="SL46" s="109" t="str">
        <f t="shared" si="353"/>
        <v/>
      </c>
      <c r="SM46" s="109" t="str">
        <f t="shared" si="353"/>
        <v/>
      </c>
      <c r="SN46" s="109" t="str">
        <f t="shared" ref="SN46:SW46" si="354">IF(OR(SN$13="",SN$17="",SN$14="",SN$15="",SN$16="",SN$18="",SN$19="",SN$20="",SN$21=""),"",1-(SN72/(SN$5)))</f>
        <v/>
      </c>
      <c r="SO46" s="109" t="str">
        <f t="shared" si="354"/>
        <v/>
      </c>
      <c r="SP46" s="109" t="str">
        <f t="shared" si="354"/>
        <v/>
      </c>
      <c r="SQ46" s="109" t="str">
        <f t="shared" si="354"/>
        <v/>
      </c>
      <c r="SR46" s="109" t="str">
        <f t="shared" si="354"/>
        <v/>
      </c>
      <c r="SS46" s="109" t="str">
        <f t="shared" si="354"/>
        <v/>
      </c>
      <c r="ST46" s="109" t="str">
        <f t="shared" si="354"/>
        <v/>
      </c>
      <c r="SU46" s="109" t="str">
        <f t="shared" si="354"/>
        <v/>
      </c>
      <c r="SV46" s="109" t="str">
        <f t="shared" si="354"/>
        <v/>
      </c>
      <c r="SW46" s="109" t="str">
        <f t="shared" si="354"/>
        <v/>
      </c>
    </row>
    <row r="47" spans="1:517" ht="24.6" customHeight="1" x14ac:dyDescent="0.2">
      <c r="A47" s="94">
        <v>777</v>
      </c>
      <c r="B47" s="117" t="s">
        <v>84</v>
      </c>
      <c r="C47" s="109">
        <f t="shared" ref="C47:AH47" si="355">IF(OR(C$13="",C$17="",C$14="",C$15="",C$16="",C$18="",C$19="",C$20="",C$21=""),"",1-(C73/(C$5)))</f>
        <v>1</v>
      </c>
      <c r="D47" s="109">
        <f t="shared" si="355"/>
        <v>1</v>
      </c>
      <c r="E47" s="109">
        <f t="shared" si="355"/>
        <v>0.94374999999999998</v>
      </c>
      <c r="F47" s="109">
        <f t="shared" si="355"/>
        <v>0.95781249999999996</v>
      </c>
      <c r="G47" s="109">
        <f t="shared" si="355"/>
        <v>0.96624999999999994</v>
      </c>
      <c r="H47" s="109">
        <f t="shared" si="355"/>
        <v>0.94256944444444446</v>
      </c>
      <c r="I47" s="109">
        <f t="shared" si="355"/>
        <v>0.8923214285714286</v>
      </c>
      <c r="J47" s="109">
        <f t="shared" si="355"/>
        <v>0.81125000000000003</v>
      </c>
      <c r="K47" s="109">
        <f t="shared" si="355"/>
        <v>0.8322222222222222</v>
      </c>
      <c r="L47" s="109">
        <f t="shared" si="355"/>
        <v>0.84899999999999998</v>
      </c>
      <c r="M47" s="109">
        <f t="shared" si="355"/>
        <v>0.64329545454545456</v>
      </c>
      <c r="N47" s="109">
        <f t="shared" si="355"/>
        <v>0.6730208333333334</v>
      </c>
      <c r="O47" s="109">
        <f t="shared" si="355"/>
        <v>0.69817307692307695</v>
      </c>
      <c r="P47" s="109">
        <f t="shared" si="355"/>
        <v>0.68616071428571423</v>
      </c>
      <c r="Q47" s="109">
        <f t="shared" si="355"/>
        <v>0.66452777777777783</v>
      </c>
      <c r="R47" s="109">
        <f t="shared" si="355"/>
        <v>0.68549479166666671</v>
      </c>
      <c r="S47" s="109">
        <f t="shared" si="355"/>
        <v>0.70399509803921567</v>
      </c>
      <c r="T47" s="109">
        <f t="shared" si="355"/>
        <v>0.70185185185185184</v>
      </c>
      <c r="U47" s="109">
        <f t="shared" si="355"/>
        <v>0.70043859649122808</v>
      </c>
      <c r="V47" s="109">
        <f t="shared" si="355"/>
        <v>0.70937499999999987</v>
      </c>
      <c r="W47" s="109">
        <f t="shared" si="355"/>
        <v>0.71884920634920624</v>
      </c>
      <c r="X47" s="109">
        <f t="shared" si="355"/>
        <v>0.72969696969696962</v>
      </c>
      <c r="Y47" s="109">
        <f t="shared" si="355"/>
        <v>0.73827898550724635</v>
      </c>
      <c r="Z47" s="109">
        <f t="shared" si="355"/>
        <v>0.74918402777777771</v>
      </c>
      <c r="AA47" s="109">
        <f t="shared" si="355"/>
        <v>0.75921666666666665</v>
      </c>
      <c r="AB47" s="109">
        <f t="shared" si="355"/>
        <v>0.76847756410256407</v>
      </c>
      <c r="AC47" s="109">
        <f t="shared" si="355"/>
        <v>0.77705246913580239</v>
      </c>
      <c r="AD47" s="109">
        <f t="shared" si="355"/>
        <v>0.78501488095238092</v>
      </c>
      <c r="AE47" s="109">
        <f t="shared" si="355"/>
        <v>0.79242816091954016</v>
      </c>
      <c r="AF47" s="109">
        <f t="shared" si="355"/>
        <v>0.79934722222222221</v>
      </c>
      <c r="AG47" s="109">
        <f t="shared" si="355"/>
        <v>0.80408602150537634</v>
      </c>
      <c r="AH47" s="109">
        <f t="shared" si="355"/>
        <v>0.73416666666666663</v>
      </c>
      <c r="AI47" s="109">
        <f t="shared" ref="AI47:BN47" si="356">IF(OR(AI$13="",AI$17="",AI$14="",AI$15="",AI$16="",AI$18="",AI$19="",AI$20="",AI$21=""),"",1-(AI73/(AI$5)))</f>
        <v>0.86708333333333332</v>
      </c>
      <c r="AJ47" s="109">
        <f t="shared" si="356"/>
        <v>0.91138888888888892</v>
      </c>
      <c r="AK47" s="109">
        <f t="shared" si="356"/>
        <v>0.93354166666666671</v>
      </c>
      <c r="AL47" s="109">
        <f t="shared" si="356"/>
        <v>0.9468333333333333</v>
      </c>
      <c r="AM47" s="109">
        <f t="shared" si="356"/>
        <v>0.9556944444444444</v>
      </c>
      <c r="AN47" s="109">
        <f t="shared" si="356"/>
        <v>0.95107142857142857</v>
      </c>
      <c r="AO47" s="109">
        <f t="shared" si="356"/>
        <v>0.95718749999999997</v>
      </c>
      <c r="AP47" s="109">
        <f t="shared" si="356"/>
        <v>0.96194444444444449</v>
      </c>
      <c r="AQ47" s="109">
        <f t="shared" si="356"/>
        <v>0.95858333333333334</v>
      </c>
      <c r="AR47" s="109">
        <f t="shared" si="356"/>
        <v>0.9623484848484849</v>
      </c>
      <c r="AS47" s="109">
        <f t="shared" si="356"/>
        <v>0.96548611111111116</v>
      </c>
      <c r="AT47" s="109">
        <f t="shared" si="356"/>
        <v>0.96814102564102567</v>
      </c>
      <c r="AU47" s="109">
        <f t="shared" si="356"/>
        <v>0.97041666666666671</v>
      </c>
      <c r="AV47" s="109">
        <f t="shared" si="356"/>
        <v>0.97238888888888886</v>
      </c>
      <c r="AW47" s="109">
        <f t="shared" si="356"/>
        <v>0.97411458333333334</v>
      </c>
      <c r="AX47" s="109">
        <f t="shared" si="356"/>
        <v>0.97563725490196074</v>
      </c>
      <c r="AY47" s="109">
        <f t="shared" si="356"/>
        <v>0.97699074074074077</v>
      </c>
      <c r="AZ47" s="109">
        <f t="shared" si="356"/>
        <v>0.97820175438596491</v>
      </c>
      <c r="BA47" s="109">
        <f t="shared" si="356"/>
        <v>0.95658333333333334</v>
      </c>
      <c r="BB47" s="109">
        <f t="shared" si="356"/>
        <v>0.95865079365079364</v>
      </c>
      <c r="BC47" s="109">
        <f t="shared" si="356"/>
        <v>0.96053030303030307</v>
      </c>
      <c r="BD47" s="109">
        <f t="shared" si="356"/>
        <v>0.95451086956521736</v>
      </c>
      <c r="BE47" s="109">
        <f t="shared" si="356"/>
        <v>0.95640625000000001</v>
      </c>
      <c r="BF47" s="109">
        <f t="shared" si="356"/>
        <v>0.95815000000000006</v>
      </c>
      <c r="BG47" s="109">
        <f t="shared" si="356"/>
        <v>0.95975961538461541</v>
      </c>
      <c r="BH47" s="109">
        <f t="shared" si="356"/>
        <v>0.96125000000000005</v>
      </c>
      <c r="BI47" s="109">
        <f t="shared" si="356"/>
        <v>0.9626339285714286</v>
      </c>
      <c r="BJ47" s="109">
        <f t="shared" si="356"/>
        <v>0.72499999999999998</v>
      </c>
      <c r="BK47" s="109">
        <f t="shared" si="356"/>
        <v>0.86250000000000004</v>
      </c>
      <c r="BL47" s="109">
        <f t="shared" si="356"/>
        <v>0.89333333333333331</v>
      </c>
      <c r="BM47" s="109">
        <f t="shared" si="356"/>
        <v>0.86927083333333333</v>
      </c>
      <c r="BN47" s="109">
        <f t="shared" si="356"/>
        <v>0.89541666666666664</v>
      </c>
      <c r="BO47" s="109">
        <f t="shared" ref="BO47:CT47" si="357">IF(OR(BO$13="",BO$17="",BO$14="",BO$15="",BO$16="",BO$18="",BO$19="",BO$20="",BO$21=""),"",1-(BO73/(BO$5)))</f>
        <v>0.87902777777777774</v>
      </c>
      <c r="BP47" s="109">
        <f t="shared" si="357"/>
        <v>0.86136904761904765</v>
      </c>
      <c r="BQ47" s="109">
        <f t="shared" si="357"/>
        <v>0.87869791666666663</v>
      </c>
      <c r="BR47" s="109">
        <f t="shared" si="357"/>
        <v>0.89217592592592587</v>
      </c>
      <c r="BS47" s="109">
        <f t="shared" si="357"/>
        <v>0.89649999999999996</v>
      </c>
      <c r="BT47" s="109">
        <f t="shared" si="357"/>
        <v>0.83155303030303029</v>
      </c>
      <c r="BU47" s="109">
        <f t="shared" si="357"/>
        <v>0.84559027777777773</v>
      </c>
      <c r="BV47" s="109">
        <f t="shared" si="357"/>
        <v>0.85746794871794874</v>
      </c>
      <c r="BW47" s="109">
        <f t="shared" si="357"/>
        <v>0.86764880952380952</v>
      </c>
      <c r="BX47" s="109">
        <f t="shared" si="357"/>
        <v>0.87647222222222221</v>
      </c>
      <c r="BY47" s="109">
        <f t="shared" si="357"/>
        <v>0.8841927083333333</v>
      </c>
      <c r="BZ47" s="109">
        <f t="shared" si="357"/>
        <v>0.8910049019607843</v>
      </c>
      <c r="CA47" s="109">
        <f t="shared" si="357"/>
        <v>0.89706018518518515</v>
      </c>
      <c r="CB47" s="109">
        <f t="shared" si="357"/>
        <v>0.90247807017543857</v>
      </c>
      <c r="CC47" s="109">
        <f t="shared" si="357"/>
        <v>0.90735416666666668</v>
      </c>
      <c r="CD47" s="109">
        <f t="shared" si="357"/>
        <v>0.91176587301587297</v>
      </c>
      <c r="CE47" s="109">
        <f t="shared" si="357"/>
        <v>0.91577651515151515</v>
      </c>
      <c r="CF47" s="109">
        <f t="shared" si="357"/>
        <v>0.91182971014492753</v>
      </c>
      <c r="CG47" s="109">
        <f t="shared" si="357"/>
        <v>0.91550347222222217</v>
      </c>
      <c r="CH47" s="109">
        <f t="shared" si="357"/>
        <v>0.91888333333333327</v>
      </c>
      <c r="CI47" s="109">
        <f t="shared" si="357"/>
        <v>0.92200320512820511</v>
      </c>
      <c r="CJ47" s="109">
        <f t="shared" si="357"/>
        <v>0.92489197530864198</v>
      </c>
      <c r="CK47" s="109">
        <f t="shared" si="357"/>
        <v>0.92608630952380955</v>
      </c>
      <c r="CL47" s="109">
        <f t="shared" si="357"/>
        <v>0.9286350574712644</v>
      </c>
      <c r="CM47" s="109">
        <f t="shared" si="357"/>
        <v>0.93101388888888892</v>
      </c>
      <c r="CN47" s="109">
        <f t="shared" si="357"/>
        <v>0.93323924731182795</v>
      </c>
      <c r="CO47" s="109">
        <f t="shared" si="357"/>
        <v>1</v>
      </c>
      <c r="CP47" s="109">
        <f t="shared" si="357"/>
        <v>0.98333333333333328</v>
      </c>
      <c r="CQ47" s="109">
        <f t="shared" si="357"/>
        <v>0.96250000000000002</v>
      </c>
      <c r="CR47" s="109">
        <f t="shared" si="357"/>
        <v>0.97187500000000004</v>
      </c>
      <c r="CS47" s="109">
        <f t="shared" si="357"/>
        <v>0.97750000000000004</v>
      </c>
      <c r="CT47" s="109">
        <f t="shared" si="357"/>
        <v>0.95472222222222225</v>
      </c>
      <c r="CU47" s="109">
        <f t="shared" ref="CU47:DS47" si="358">IF(OR(CU$13="",CU$17="",CU$14="",CU$15="",CU$16="",CU$18="",CU$19="",CU$20="",CU$21=""),"",1-(CU73/(CU$5)))</f>
        <v>0.96119047619047615</v>
      </c>
      <c r="CV47" s="109">
        <f t="shared" si="358"/>
        <v>0.94390624999999995</v>
      </c>
      <c r="CW47" s="109">
        <f t="shared" si="358"/>
        <v>0.94319444444444445</v>
      </c>
      <c r="CX47" s="109">
        <f t="shared" si="358"/>
        <v>0.94887500000000002</v>
      </c>
      <c r="CY47" s="109">
        <f t="shared" si="358"/>
        <v>0.95352272727272724</v>
      </c>
      <c r="CZ47" s="109">
        <f t="shared" si="358"/>
        <v>0.95739583333333333</v>
      </c>
      <c r="DA47" s="109">
        <f t="shared" si="358"/>
        <v>0.96067307692307691</v>
      </c>
      <c r="DB47" s="109">
        <f t="shared" si="358"/>
        <v>0.96348214285714284</v>
      </c>
      <c r="DC47" s="109">
        <f t="shared" si="358"/>
        <v>0.96591666666666665</v>
      </c>
      <c r="DD47" s="109">
        <f t="shared" si="358"/>
        <v>0.96054687500000002</v>
      </c>
      <c r="DE47" s="109">
        <f t="shared" si="358"/>
        <v>0.91085784313725493</v>
      </c>
      <c r="DF47" s="109">
        <f t="shared" si="358"/>
        <v>0.84717592592592594</v>
      </c>
      <c r="DG47" s="109">
        <f t="shared" si="358"/>
        <v>0.85521929824561405</v>
      </c>
      <c r="DH47" s="109">
        <f t="shared" si="358"/>
        <v>0.86245833333333333</v>
      </c>
      <c r="DI47" s="109">
        <f t="shared" si="358"/>
        <v>0.86821428571428572</v>
      </c>
      <c r="DJ47" s="109">
        <f t="shared" si="358"/>
        <v>0.85659090909090907</v>
      </c>
      <c r="DK47" s="109">
        <f t="shared" si="358"/>
        <v>0.86282608695652174</v>
      </c>
      <c r="DL47" s="109">
        <f t="shared" si="358"/>
        <v>0.86854166666666666</v>
      </c>
      <c r="DM47" s="109">
        <f t="shared" si="358"/>
        <v>0.87380000000000002</v>
      </c>
      <c r="DN47" s="109">
        <f t="shared" si="358"/>
        <v>0.87179487179487181</v>
      </c>
      <c r="DO47" s="109">
        <f t="shared" si="358"/>
        <v>0.87654320987654322</v>
      </c>
      <c r="DP47" s="109">
        <f t="shared" si="358"/>
        <v>0.87934523809523812</v>
      </c>
      <c r="DQ47" s="109">
        <f t="shared" si="358"/>
        <v>0.88030172413793106</v>
      </c>
      <c r="DR47" s="109">
        <f t="shared" si="358"/>
        <v>0.88377777777777777</v>
      </c>
      <c r="DS47" s="109">
        <f t="shared" si="358"/>
        <v>0.94708333333333328</v>
      </c>
      <c r="DT47" s="109">
        <f t="shared" ref="DT47:GE47" si="359">IF(OR(DT$13="",DT$17="",DT$14="",DT$15="",DT$16="",DT$18="",DT$19="",DT$20="",DT$21=""),"",1-(DT73/(DT$5)))</f>
        <v>0.97354166666666664</v>
      </c>
      <c r="DU47" s="109">
        <f t="shared" si="359"/>
        <v>0.90041666666666664</v>
      </c>
      <c r="DV47" s="109">
        <f t="shared" si="359"/>
        <v>0.91187499999999999</v>
      </c>
      <c r="DW47" s="109">
        <f t="shared" si="359"/>
        <v>0.92949999999999999</v>
      </c>
      <c r="DX47" s="109">
        <f t="shared" si="359"/>
        <v>0.94125000000000003</v>
      </c>
      <c r="DY47" s="109">
        <f t="shared" si="359"/>
        <v>0.94964285714285712</v>
      </c>
      <c r="DZ47" s="109">
        <f t="shared" si="359"/>
        <v>0.9559375</v>
      </c>
      <c r="EA47" s="109">
        <f t="shared" si="359"/>
        <v>0.96083333333333332</v>
      </c>
      <c r="EB47" s="109">
        <f t="shared" si="359"/>
        <v>0.94133333333333336</v>
      </c>
      <c r="EC47" s="109">
        <f t="shared" si="359"/>
        <v>0.94666666666666666</v>
      </c>
      <c r="ED47" s="109">
        <f t="shared" si="359"/>
        <v>0.95111111111111113</v>
      </c>
      <c r="EE47" s="109">
        <f t="shared" si="359"/>
        <v>0.95487179487179485</v>
      </c>
      <c r="EF47" s="109">
        <f t="shared" si="359"/>
        <v>0.93726190476190474</v>
      </c>
      <c r="EG47" s="109">
        <f t="shared" si="359"/>
        <v>0.87938888888888889</v>
      </c>
      <c r="EH47" s="109">
        <f t="shared" si="359"/>
        <v>0.86046875</v>
      </c>
      <c r="EI47" s="109">
        <f t="shared" si="359"/>
        <v>0.82438725490196074</v>
      </c>
      <c r="EJ47" s="109">
        <f t="shared" si="359"/>
        <v>0.83414351851851853</v>
      </c>
      <c r="EK47" s="109">
        <f t="shared" si="359"/>
        <v>0.84287280701754386</v>
      </c>
      <c r="EL47" s="109">
        <f t="shared" si="359"/>
        <v>0.80072916666666671</v>
      </c>
      <c r="EM47" s="109">
        <f t="shared" si="359"/>
        <v>0.7625992063492063</v>
      </c>
      <c r="EN47" s="109">
        <f t="shared" si="359"/>
        <v>0.72793560606060603</v>
      </c>
      <c r="EO47" s="109">
        <f t="shared" si="359"/>
        <v>0.71802536231884062</v>
      </c>
      <c r="EP47" s="109">
        <f t="shared" si="359"/>
        <v>0.72977430555555556</v>
      </c>
      <c r="EQ47" s="109">
        <f t="shared" si="359"/>
        <v>0.74058333333333337</v>
      </c>
      <c r="ER47" s="109">
        <f t="shared" si="359"/>
        <v>0.75056089743589749</v>
      </c>
      <c r="ES47" s="109">
        <f t="shared" si="359"/>
        <v>0.75087962962962962</v>
      </c>
      <c r="ET47" s="109">
        <f t="shared" si="359"/>
        <v>0.74683035714285717</v>
      </c>
      <c r="EU47" s="109">
        <f t="shared" si="359"/>
        <v>0.75556034482758627</v>
      </c>
      <c r="EV47" s="109">
        <f t="shared" si="359"/>
        <v>0.76370833333333332</v>
      </c>
      <c r="EW47" s="109">
        <f t="shared" si="359"/>
        <v>0.77133064516129035</v>
      </c>
      <c r="EX47" s="109">
        <f t="shared" si="359"/>
        <v>1</v>
      </c>
      <c r="EY47" s="109">
        <f t="shared" si="359"/>
        <v>1</v>
      </c>
      <c r="EZ47" s="109">
        <f t="shared" si="359"/>
        <v>1</v>
      </c>
      <c r="FA47" s="109">
        <f t="shared" si="359"/>
        <v>1</v>
      </c>
      <c r="FB47" s="109">
        <f t="shared" si="359"/>
        <v>1</v>
      </c>
      <c r="FC47" s="109">
        <f t="shared" si="359"/>
        <v>1</v>
      </c>
      <c r="FD47" s="109">
        <f t="shared" si="359"/>
        <v>0.94595238095238099</v>
      </c>
      <c r="FE47" s="109">
        <f t="shared" si="359"/>
        <v>0.87640625000000005</v>
      </c>
      <c r="FF47" s="109">
        <f t="shared" si="359"/>
        <v>0.89013888888888892</v>
      </c>
      <c r="FG47" s="109">
        <f t="shared" si="359"/>
        <v>0.90112499999999995</v>
      </c>
      <c r="FH47" s="109">
        <f t="shared" si="359"/>
        <v>0.9101136363636364</v>
      </c>
      <c r="FI47" s="109">
        <f t="shared" si="359"/>
        <v>0.91760416666666667</v>
      </c>
      <c r="FJ47" s="109">
        <f t="shared" si="359"/>
        <v>0.91544871794871796</v>
      </c>
      <c r="FK47" s="109">
        <f t="shared" si="359"/>
        <v>0.92148809523809527</v>
      </c>
      <c r="FL47" s="109">
        <f t="shared" si="359"/>
        <v>0.92672222222222222</v>
      </c>
      <c r="FM47" s="109">
        <f t="shared" si="359"/>
        <v>0.93130208333333331</v>
      </c>
      <c r="FN47" s="109">
        <f t="shared" si="359"/>
        <v>0.93534313725490192</v>
      </c>
      <c r="FO47" s="109">
        <f t="shared" si="359"/>
        <v>0.92962962962962958</v>
      </c>
      <c r="FP47" s="109">
        <f t="shared" si="359"/>
        <v>0.93333333333333335</v>
      </c>
      <c r="FQ47" s="109">
        <f t="shared" si="359"/>
        <v>0.93666666666666665</v>
      </c>
      <c r="FR47" s="109">
        <f t="shared" si="359"/>
        <v>0.93968253968253967</v>
      </c>
      <c r="FS47" s="109">
        <f t="shared" si="359"/>
        <v>0.90814393939393945</v>
      </c>
      <c r="FT47" s="109">
        <f t="shared" si="359"/>
        <v>0.89007246376811588</v>
      </c>
      <c r="FU47" s="109">
        <f t="shared" si="359"/>
        <v>0.89465277777777774</v>
      </c>
      <c r="FV47" s="109">
        <f t="shared" si="359"/>
        <v>0.89031666666666665</v>
      </c>
      <c r="FW47" s="109">
        <f t="shared" si="359"/>
        <v>0.88272435897435897</v>
      </c>
      <c r="FX47" s="109">
        <f t="shared" si="359"/>
        <v>0.88706790123456791</v>
      </c>
      <c r="FY47" s="109">
        <f t="shared" si="359"/>
        <v>0.89110119047619052</v>
      </c>
      <c r="FZ47" s="109">
        <f t="shared" si="359"/>
        <v>0.89485632183908048</v>
      </c>
      <c r="GA47" s="109">
        <f t="shared" si="282"/>
        <v>0.89836111111111105</v>
      </c>
      <c r="GB47" s="109">
        <f t="shared" si="282"/>
        <v>1</v>
      </c>
      <c r="GC47" s="109">
        <f t="shared" si="359"/>
        <v>1</v>
      </c>
      <c r="GD47" s="109">
        <f t="shared" si="359"/>
        <v>1</v>
      </c>
      <c r="GE47" s="109">
        <f t="shared" si="359"/>
        <v>1</v>
      </c>
      <c r="GF47" s="109">
        <f t="shared" ref="GF47:IQ47" si="360">IF(OR(GF$13="",GF$17="",GF$14="",GF$15="",GF$16="",GF$18="",GF$19="",GF$20="",GF$21=""),"",1-(GF73/(GF$5)))</f>
        <v>1</v>
      </c>
      <c r="GG47" s="109">
        <f t="shared" si="360"/>
        <v>1</v>
      </c>
      <c r="GH47" s="109">
        <f t="shared" si="360"/>
        <v>1</v>
      </c>
      <c r="GI47" s="109">
        <f t="shared" si="360"/>
        <v>1</v>
      </c>
      <c r="GJ47" s="109">
        <f t="shared" si="360"/>
        <v>1</v>
      </c>
      <c r="GK47" s="109">
        <f t="shared" si="360"/>
        <v>0.97366666666666668</v>
      </c>
      <c r="GL47" s="109">
        <f t="shared" si="360"/>
        <v>0.97606060606060607</v>
      </c>
      <c r="GM47" s="109">
        <f t="shared" si="360"/>
        <v>0.97805555555555557</v>
      </c>
      <c r="GN47" s="109">
        <f t="shared" si="360"/>
        <v>0.97974358974358977</v>
      </c>
      <c r="GO47" s="109">
        <f t="shared" si="360"/>
        <v>0.98119047619047617</v>
      </c>
      <c r="GP47" s="109">
        <f t="shared" si="360"/>
        <v>0.98244444444444445</v>
      </c>
      <c r="GQ47" s="109">
        <f t="shared" si="360"/>
        <v>0.98354166666666665</v>
      </c>
      <c r="GR47" s="109">
        <f t="shared" si="360"/>
        <v>0.98450980392156862</v>
      </c>
      <c r="GS47" s="109">
        <f t="shared" si="360"/>
        <v>0.98537037037037034</v>
      </c>
      <c r="GT47" s="109">
        <f t="shared" si="360"/>
        <v>0.98614035087719298</v>
      </c>
      <c r="GU47" s="109">
        <f t="shared" si="360"/>
        <v>0.98683333333333334</v>
      </c>
      <c r="GV47" s="109">
        <f t="shared" si="360"/>
        <v>0.98746031746031748</v>
      </c>
      <c r="GW47" s="109">
        <f t="shared" si="360"/>
        <v>0.98803030303030304</v>
      </c>
      <c r="GX47" s="109">
        <f t="shared" si="360"/>
        <v>0.98855072463768112</v>
      </c>
      <c r="GY47" s="109">
        <f t="shared" si="360"/>
        <v>0.98902777777777773</v>
      </c>
      <c r="GZ47" s="109">
        <f t="shared" si="360"/>
        <v>0.98946666666666672</v>
      </c>
      <c r="HA47" s="109">
        <f t="shared" si="360"/>
        <v>0.98987179487179489</v>
      </c>
      <c r="HB47" s="109">
        <f t="shared" si="360"/>
        <v>0.99024691358024697</v>
      </c>
      <c r="HC47" s="109">
        <f t="shared" si="360"/>
        <v>0.99059523809523808</v>
      </c>
      <c r="HD47" s="109">
        <f t="shared" si="360"/>
        <v>0.99091954022988504</v>
      </c>
      <c r="HE47" s="109">
        <f t="shared" si="360"/>
        <v>0.99122222222222223</v>
      </c>
      <c r="HF47" s="109">
        <f t="shared" si="360"/>
        <v>0.99150537634408598</v>
      </c>
      <c r="HG47" s="109">
        <f t="shared" si="360"/>
        <v>1</v>
      </c>
      <c r="HH47" s="109">
        <f t="shared" si="360"/>
        <v>1</v>
      </c>
      <c r="HI47" s="109">
        <f t="shared" si="360"/>
        <v>1</v>
      </c>
      <c r="HJ47" s="109">
        <f t="shared" si="360"/>
        <v>1</v>
      </c>
      <c r="HK47" s="109">
        <f t="shared" si="360"/>
        <v>1</v>
      </c>
      <c r="HL47" s="109">
        <f t="shared" si="360"/>
        <v>1</v>
      </c>
      <c r="HM47" s="109">
        <f t="shared" si="360"/>
        <v>0.97467427248677252</v>
      </c>
      <c r="HN47" s="109">
        <f t="shared" si="360"/>
        <v>0.9778399884259259</v>
      </c>
      <c r="HO47" s="109">
        <f t="shared" si="360"/>
        <v>0.98030221193415634</v>
      </c>
      <c r="HP47" s="109">
        <f t="shared" si="360"/>
        <v>0.98227199074074079</v>
      </c>
      <c r="HQ47" s="109">
        <f t="shared" si="360"/>
        <v>0.98388362794612794</v>
      </c>
      <c r="HR47" s="109">
        <f t="shared" si="360"/>
        <v>0.98522665895061734</v>
      </c>
      <c r="HS47" s="109">
        <f t="shared" si="360"/>
        <v>0.98636306980056976</v>
      </c>
      <c r="HT47" s="109">
        <f t="shared" si="360"/>
        <v>0.98733713624338626</v>
      </c>
      <c r="HU47" s="109">
        <f t="shared" si="360"/>
        <v>0.98818132716049378</v>
      </c>
      <c r="HV47" s="109">
        <f t="shared" si="360"/>
        <v>0.98308232060185186</v>
      </c>
      <c r="HW47" s="109">
        <f t="shared" si="360"/>
        <v>0.98303513071895421</v>
      </c>
      <c r="HX47" s="109">
        <f t="shared" si="360"/>
        <v>0.94230838477366252</v>
      </c>
      <c r="HY47" s="109">
        <f t="shared" si="360"/>
        <v>0.89271320662768028</v>
      </c>
      <c r="HZ47" s="109">
        <f t="shared" si="360"/>
        <v>0.89224363425925923</v>
      </c>
      <c r="IA47" s="109">
        <f t="shared" si="360"/>
        <v>0.89737488977072311</v>
      </c>
      <c r="IB47" s="109">
        <f t="shared" si="360"/>
        <v>0.90203966750841746</v>
      </c>
      <c r="IC47" s="109">
        <f t="shared" si="360"/>
        <v>0.90629881239935584</v>
      </c>
      <c r="ID47" s="109">
        <f t="shared" si="360"/>
        <v>0.90851900077160497</v>
      </c>
      <c r="IE47" s="109">
        <f t="shared" si="360"/>
        <v>0.88176157407407407</v>
      </c>
      <c r="IF47" s="109">
        <f t="shared" si="360"/>
        <v>0.8863092058404558</v>
      </c>
      <c r="IG47" s="109">
        <f t="shared" si="360"/>
        <v>0.89051997599451305</v>
      </c>
      <c r="IH47" s="109">
        <f t="shared" si="360"/>
        <v>0.89442997685185188</v>
      </c>
      <c r="II47" s="109">
        <f t="shared" si="360"/>
        <v>0.89807032247765006</v>
      </c>
      <c r="IJ47" s="109">
        <f t="shared" si="360"/>
        <v>0.87406520061728399</v>
      </c>
      <c r="IK47" s="109">
        <f t="shared" si="360"/>
        <v>0.87559177120669052</v>
      </c>
      <c r="IL47" s="109">
        <f t="shared" si="360"/>
        <v>0.60938657407407404</v>
      </c>
      <c r="IM47" s="109">
        <f t="shared" si="360"/>
        <v>0.76793402777777775</v>
      </c>
      <c r="IN47" s="109">
        <f t="shared" si="360"/>
        <v>0.84528935185185183</v>
      </c>
      <c r="IO47" s="109">
        <f t="shared" si="360"/>
        <v>0.77855034722222216</v>
      </c>
      <c r="IP47" s="109">
        <f t="shared" si="360"/>
        <v>0.76599074074074069</v>
      </c>
      <c r="IQ47" s="109">
        <f t="shared" si="360"/>
        <v>0.67387152777777781</v>
      </c>
      <c r="IR47" s="109">
        <f t="shared" ref="IR47:LC47" si="361">IF(OR(IR$13="",IR$17="",IR$14="",IR$15="",IR$16="",IR$18="",IR$19="",IR$20="",IR$21=""),"",1-(IR73/(IR$5)))</f>
        <v>0.72046130952380949</v>
      </c>
      <c r="IS47" s="109">
        <f t="shared" si="361"/>
        <v>0.6879181134259259</v>
      </c>
      <c r="IT47" s="109">
        <f t="shared" si="361"/>
        <v>0.63880015432098769</v>
      </c>
      <c r="IU47" s="109">
        <f t="shared" si="361"/>
        <v>0.58516666666666661</v>
      </c>
      <c r="IV47" s="109">
        <f t="shared" si="361"/>
        <v>0.6100126262626262</v>
      </c>
      <c r="IW47" s="109">
        <f t="shared" si="361"/>
        <v>0.64251157407407411</v>
      </c>
      <c r="IX47" s="109">
        <f t="shared" si="361"/>
        <v>0.65857727920227926</v>
      </c>
      <c r="IY47" s="109">
        <f t="shared" si="361"/>
        <v>0.68296461640211636</v>
      </c>
      <c r="IZ47" s="109">
        <f t="shared" si="361"/>
        <v>0.70410030864197526</v>
      </c>
      <c r="JA47" s="109">
        <f t="shared" si="361"/>
        <v>0.72259403935185185</v>
      </c>
      <c r="JB47" s="109">
        <f t="shared" si="361"/>
        <v>0.73891203703703701</v>
      </c>
      <c r="JC47" s="109">
        <f t="shared" si="361"/>
        <v>0.75094135802469131</v>
      </c>
      <c r="JD47" s="109">
        <f t="shared" si="361"/>
        <v>0.76362329434697851</v>
      </c>
      <c r="JE47" s="109">
        <f t="shared" si="361"/>
        <v>0.77544212962962966</v>
      </c>
      <c r="JF47" s="109">
        <f t="shared" si="361"/>
        <v>0.78613536155202823</v>
      </c>
      <c r="JG47" s="109">
        <f t="shared" si="361"/>
        <v>0.79103851010101012</v>
      </c>
      <c r="JH47" s="109">
        <f t="shared" si="361"/>
        <v>0.78916465378421896</v>
      </c>
      <c r="JI47" s="109">
        <f t="shared" si="361"/>
        <v>0.79735146604938267</v>
      </c>
      <c r="JJ47" s="109">
        <f t="shared" si="361"/>
        <v>0.80056805555555555</v>
      </c>
      <c r="JK47" s="109">
        <f t="shared" si="361"/>
        <v>0.80823851495726495</v>
      </c>
      <c r="JL47" s="109">
        <f t="shared" si="361"/>
        <v>0.81525548696844996</v>
      </c>
      <c r="JM47" s="109">
        <f t="shared" si="361"/>
        <v>0.81369295634920635</v>
      </c>
      <c r="JN47" s="109">
        <f t="shared" si="361"/>
        <v>0.79822078544061303</v>
      </c>
      <c r="JO47" s="109">
        <f t="shared" si="361"/>
        <v>0.80355787037037041</v>
      </c>
      <c r="JP47" s="109">
        <f t="shared" si="361"/>
        <v>0.95833333333333337</v>
      </c>
      <c r="JQ47" s="109">
        <f t="shared" si="361"/>
        <v>0.95833333333333337</v>
      </c>
      <c r="JR47" s="109">
        <f t="shared" si="361"/>
        <v>0.95833333333333337</v>
      </c>
      <c r="JS47" s="109">
        <f t="shared" si="361"/>
        <v>0.95833333333333337</v>
      </c>
      <c r="JT47" s="109">
        <f t="shared" si="361"/>
        <v>0.93374999999999997</v>
      </c>
      <c r="JU47" s="109">
        <f t="shared" si="361"/>
        <v>0.94388888888888889</v>
      </c>
      <c r="JV47" s="109">
        <f t="shared" si="361"/>
        <v>0.94595238095238099</v>
      </c>
      <c r="JW47" s="109">
        <f t="shared" si="361"/>
        <v>0.95270833333333338</v>
      </c>
      <c r="JX47" s="109">
        <f t="shared" si="361"/>
        <v>0.95796296296296291</v>
      </c>
      <c r="JY47" s="109">
        <f t="shared" si="361"/>
        <v>0.96216666666666661</v>
      </c>
      <c r="JZ47" s="109">
        <f t="shared" si="361"/>
        <v>0.96560606060606058</v>
      </c>
      <c r="KA47" s="109">
        <f t="shared" si="361"/>
        <v>0.96847222222222218</v>
      </c>
      <c r="KB47" s="109">
        <f t="shared" si="361"/>
        <v>0.97089743589743593</v>
      </c>
      <c r="KC47" s="109">
        <f t="shared" si="361"/>
        <v>0.97297619047619044</v>
      </c>
      <c r="KD47" s="109">
        <f t="shared" si="361"/>
        <v>0.97477777777777774</v>
      </c>
      <c r="KE47" s="109">
        <f t="shared" si="361"/>
        <v>0.97635416666666663</v>
      </c>
      <c r="KF47" s="109">
        <f t="shared" si="361"/>
        <v>0.97774509803921572</v>
      </c>
      <c r="KG47" s="109">
        <f t="shared" si="361"/>
        <v>0.97898148148148145</v>
      </c>
      <c r="KH47" s="109">
        <f t="shared" si="361"/>
        <v>0.98008771929824556</v>
      </c>
      <c r="KI47" s="109">
        <f t="shared" si="361"/>
        <v>0.98108333333333331</v>
      </c>
      <c r="KJ47" s="109">
        <f t="shared" si="361"/>
        <v>0.98198412698412696</v>
      </c>
      <c r="KK47" s="109">
        <f t="shared" si="361"/>
        <v>0.98280303030303029</v>
      </c>
      <c r="KL47" s="109">
        <f t="shared" si="361"/>
        <v>0.98355072463768112</v>
      </c>
      <c r="KM47" s="109">
        <f t="shared" si="361"/>
        <v>0.98423611111111109</v>
      </c>
      <c r="KN47" s="109">
        <f t="shared" si="361"/>
        <v>0.98486666666666667</v>
      </c>
      <c r="KO47" s="109">
        <f t="shared" si="361"/>
        <v>0.98544871794871791</v>
      </c>
      <c r="KP47" s="109">
        <f t="shared" si="361"/>
        <v>0.98598765432098767</v>
      </c>
      <c r="KQ47" s="109">
        <f t="shared" si="361"/>
        <v>0.98648809523809522</v>
      </c>
      <c r="KR47" s="109">
        <f t="shared" si="361"/>
        <v>0.98695402298850576</v>
      </c>
      <c r="KS47" s="109">
        <f t="shared" si="361"/>
        <v>0.98738888888888887</v>
      </c>
      <c r="KT47" s="109">
        <f t="shared" si="361"/>
        <v>0.98779569892473118</v>
      </c>
      <c r="KU47" s="109" t="str">
        <f t="shared" si="361"/>
        <v/>
      </c>
      <c r="KV47" s="109" t="str">
        <f t="shared" si="361"/>
        <v/>
      </c>
      <c r="KW47" s="109" t="str">
        <f t="shared" si="361"/>
        <v/>
      </c>
      <c r="KX47" s="109" t="str">
        <f t="shared" si="361"/>
        <v/>
      </c>
      <c r="KY47" s="109" t="str">
        <f t="shared" si="361"/>
        <v/>
      </c>
      <c r="KZ47" s="109" t="str">
        <f t="shared" si="361"/>
        <v/>
      </c>
      <c r="LA47" s="109" t="str">
        <f t="shared" si="361"/>
        <v/>
      </c>
      <c r="LB47" s="109" t="str">
        <f t="shared" si="361"/>
        <v/>
      </c>
      <c r="LC47" s="109" t="str">
        <f t="shared" si="361"/>
        <v/>
      </c>
      <c r="LD47" s="109" t="str">
        <f t="shared" ref="LD47:NO47" si="362">IF(OR(LD$13="",LD$17="",LD$14="",LD$15="",LD$16="",LD$18="",LD$19="",LD$20="",LD$21=""),"",1-(LD73/(LD$5)))</f>
        <v/>
      </c>
      <c r="LE47" s="109" t="str">
        <f t="shared" si="362"/>
        <v/>
      </c>
      <c r="LF47" s="109" t="str">
        <f t="shared" si="362"/>
        <v/>
      </c>
      <c r="LG47" s="109" t="str">
        <f t="shared" si="362"/>
        <v/>
      </c>
      <c r="LH47" s="109" t="str">
        <f t="shared" si="362"/>
        <v/>
      </c>
      <c r="LI47" s="109" t="str">
        <f t="shared" si="362"/>
        <v/>
      </c>
      <c r="LJ47" s="109" t="str">
        <f t="shared" si="362"/>
        <v/>
      </c>
      <c r="LK47" s="109" t="str">
        <f t="shared" si="362"/>
        <v/>
      </c>
      <c r="LL47" s="109" t="str">
        <f t="shared" si="362"/>
        <v/>
      </c>
      <c r="LM47" s="109" t="str">
        <f t="shared" si="362"/>
        <v/>
      </c>
      <c r="LN47" s="109" t="str">
        <f t="shared" si="362"/>
        <v/>
      </c>
      <c r="LO47" s="109" t="str">
        <f t="shared" si="362"/>
        <v/>
      </c>
      <c r="LP47" s="109" t="str">
        <f t="shared" si="362"/>
        <v/>
      </c>
      <c r="LQ47" s="109" t="str">
        <f t="shared" si="362"/>
        <v/>
      </c>
      <c r="LR47" s="109" t="str">
        <f t="shared" si="362"/>
        <v/>
      </c>
      <c r="LS47" s="109" t="str">
        <f t="shared" si="362"/>
        <v/>
      </c>
      <c r="LT47" s="109" t="str">
        <f t="shared" si="362"/>
        <v/>
      </c>
      <c r="LU47" s="109" t="str">
        <f t="shared" si="362"/>
        <v/>
      </c>
      <c r="LV47" s="109" t="str">
        <f t="shared" si="362"/>
        <v/>
      </c>
      <c r="LW47" s="109" t="str">
        <f t="shared" si="362"/>
        <v/>
      </c>
      <c r="LX47" s="109" t="str">
        <f t="shared" si="362"/>
        <v/>
      </c>
      <c r="LY47" s="109" t="str">
        <f t="shared" si="362"/>
        <v/>
      </c>
      <c r="LZ47" s="109" t="str">
        <f t="shared" si="362"/>
        <v/>
      </c>
      <c r="MA47" s="109" t="str">
        <f t="shared" si="362"/>
        <v/>
      </c>
      <c r="MB47" s="109" t="str">
        <f t="shared" si="362"/>
        <v/>
      </c>
      <c r="MC47" s="109" t="str">
        <f t="shared" si="362"/>
        <v/>
      </c>
      <c r="MD47" s="109" t="str">
        <f t="shared" si="362"/>
        <v/>
      </c>
      <c r="ME47" s="109" t="str">
        <f t="shared" si="362"/>
        <v/>
      </c>
      <c r="MF47" s="109" t="str">
        <f t="shared" si="362"/>
        <v/>
      </c>
      <c r="MG47" s="109" t="str">
        <f t="shared" si="362"/>
        <v/>
      </c>
      <c r="MH47" s="109" t="str">
        <f t="shared" si="362"/>
        <v/>
      </c>
      <c r="MI47" s="109" t="str">
        <f t="shared" si="362"/>
        <v/>
      </c>
      <c r="MJ47" s="109" t="str">
        <f t="shared" si="362"/>
        <v/>
      </c>
      <c r="MK47" s="109" t="str">
        <f t="shared" si="362"/>
        <v/>
      </c>
      <c r="ML47" s="109" t="str">
        <f t="shared" si="362"/>
        <v/>
      </c>
      <c r="MM47" s="109" t="str">
        <f t="shared" si="362"/>
        <v/>
      </c>
      <c r="MN47" s="109" t="str">
        <f t="shared" si="362"/>
        <v/>
      </c>
      <c r="MO47" s="109" t="str">
        <f t="shared" si="362"/>
        <v/>
      </c>
      <c r="MP47" s="109" t="str">
        <f t="shared" si="362"/>
        <v/>
      </c>
      <c r="MQ47" s="109" t="str">
        <f t="shared" si="362"/>
        <v/>
      </c>
      <c r="MR47" s="109" t="str">
        <f t="shared" si="362"/>
        <v/>
      </c>
      <c r="MS47" s="109" t="str">
        <f t="shared" si="362"/>
        <v/>
      </c>
      <c r="MT47" s="109" t="str">
        <f t="shared" si="362"/>
        <v/>
      </c>
      <c r="MU47" s="109" t="str">
        <f t="shared" si="362"/>
        <v/>
      </c>
      <c r="MV47" s="109" t="str">
        <f t="shared" si="362"/>
        <v/>
      </c>
      <c r="MW47" s="109" t="str">
        <f t="shared" si="362"/>
        <v/>
      </c>
      <c r="MX47" s="109" t="str">
        <f t="shared" si="362"/>
        <v/>
      </c>
      <c r="MY47" s="109" t="str">
        <f t="shared" si="362"/>
        <v/>
      </c>
      <c r="MZ47" s="109" t="str">
        <f t="shared" si="362"/>
        <v/>
      </c>
      <c r="NA47" s="109" t="str">
        <f t="shared" si="362"/>
        <v/>
      </c>
      <c r="NB47" s="109" t="str">
        <f t="shared" si="362"/>
        <v/>
      </c>
      <c r="NC47" s="109" t="str">
        <f t="shared" si="362"/>
        <v/>
      </c>
      <c r="ND47" s="109" t="str">
        <f t="shared" si="362"/>
        <v/>
      </c>
      <c r="NE47" s="109" t="str">
        <f t="shared" si="362"/>
        <v/>
      </c>
      <c r="NF47" s="109" t="str">
        <f t="shared" si="362"/>
        <v/>
      </c>
      <c r="NG47" s="109" t="str">
        <f t="shared" si="362"/>
        <v/>
      </c>
      <c r="NH47" s="109" t="str">
        <f t="shared" si="362"/>
        <v/>
      </c>
      <c r="NI47" s="109" t="str">
        <f t="shared" si="362"/>
        <v/>
      </c>
      <c r="NJ47" s="109" t="str">
        <f t="shared" si="362"/>
        <v/>
      </c>
      <c r="NK47" s="109" t="str">
        <f t="shared" si="362"/>
        <v/>
      </c>
      <c r="NL47" s="109" t="str">
        <f t="shared" si="362"/>
        <v/>
      </c>
      <c r="NM47" s="109" t="str">
        <f t="shared" si="362"/>
        <v/>
      </c>
      <c r="NN47" s="109" t="str">
        <f t="shared" si="362"/>
        <v/>
      </c>
      <c r="NO47" s="109" t="str">
        <f t="shared" si="362"/>
        <v/>
      </c>
      <c r="NP47" s="109" t="str">
        <f t="shared" ref="NP47:QA47" si="363">IF(OR(NP$13="",NP$17="",NP$14="",NP$15="",NP$16="",NP$18="",NP$19="",NP$20="",NP$21=""),"",1-(NP73/(NP$5)))</f>
        <v/>
      </c>
      <c r="NQ47" s="109" t="str">
        <f t="shared" si="363"/>
        <v/>
      </c>
      <c r="NR47" s="109" t="str">
        <f t="shared" si="363"/>
        <v/>
      </c>
      <c r="NS47" s="109" t="str">
        <f t="shared" si="363"/>
        <v/>
      </c>
      <c r="NT47" s="109" t="str">
        <f t="shared" si="363"/>
        <v/>
      </c>
      <c r="NU47" s="109" t="str">
        <f t="shared" si="363"/>
        <v/>
      </c>
      <c r="NV47" s="109" t="str">
        <f t="shared" si="363"/>
        <v/>
      </c>
      <c r="NW47" s="109" t="str">
        <f t="shared" si="363"/>
        <v/>
      </c>
      <c r="NX47" s="109" t="str">
        <f t="shared" si="363"/>
        <v/>
      </c>
      <c r="NY47" s="109" t="str">
        <f t="shared" si="363"/>
        <v/>
      </c>
      <c r="NZ47" s="109" t="str">
        <f t="shared" si="363"/>
        <v/>
      </c>
      <c r="OA47" s="109" t="str">
        <f t="shared" si="363"/>
        <v/>
      </c>
      <c r="OB47" s="109" t="str">
        <f t="shared" si="363"/>
        <v/>
      </c>
      <c r="OC47" s="109" t="str">
        <f t="shared" si="363"/>
        <v/>
      </c>
      <c r="OD47" s="109" t="str">
        <f t="shared" si="363"/>
        <v/>
      </c>
      <c r="OE47" s="109" t="str">
        <f t="shared" si="363"/>
        <v/>
      </c>
      <c r="OF47" s="109" t="str">
        <f t="shared" si="363"/>
        <v/>
      </c>
      <c r="OG47" s="109" t="str">
        <f t="shared" si="363"/>
        <v/>
      </c>
      <c r="OH47" s="109" t="str">
        <f t="shared" si="363"/>
        <v/>
      </c>
      <c r="OI47" s="109" t="str">
        <f t="shared" si="363"/>
        <v/>
      </c>
      <c r="OJ47" s="109" t="str">
        <f t="shared" si="363"/>
        <v/>
      </c>
      <c r="OK47" s="109" t="str">
        <f t="shared" si="363"/>
        <v/>
      </c>
      <c r="OL47" s="109" t="str">
        <f t="shared" si="363"/>
        <v/>
      </c>
      <c r="OM47" s="109" t="str">
        <f t="shared" si="363"/>
        <v/>
      </c>
      <c r="ON47" s="109" t="str">
        <f t="shared" si="363"/>
        <v/>
      </c>
      <c r="OO47" s="109" t="str">
        <f t="shared" si="363"/>
        <v/>
      </c>
      <c r="OP47" s="109" t="str">
        <f t="shared" si="363"/>
        <v/>
      </c>
      <c r="OQ47" s="109" t="str">
        <f t="shared" si="363"/>
        <v/>
      </c>
      <c r="OR47" s="109" t="str">
        <f t="shared" si="363"/>
        <v/>
      </c>
      <c r="OS47" s="109" t="str">
        <f t="shared" si="363"/>
        <v/>
      </c>
      <c r="OT47" s="109" t="str">
        <f t="shared" si="363"/>
        <v/>
      </c>
      <c r="OU47" s="109" t="str">
        <f t="shared" si="363"/>
        <v/>
      </c>
      <c r="OV47" s="109" t="str">
        <f t="shared" si="363"/>
        <v/>
      </c>
      <c r="OW47" s="109" t="str">
        <f t="shared" si="363"/>
        <v/>
      </c>
      <c r="OX47" s="109" t="str">
        <f t="shared" si="363"/>
        <v/>
      </c>
      <c r="OY47" s="109" t="str">
        <f t="shared" si="363"/>
        <v/>
      </c>
      <c r="OZ47" s="109" t="str">
        <f t="shared" si="363"/>
        <v/>
      </c>
      <c r="PA47" s="109" t="str">
        <f t="shared" si="363"/>
        <v/>
      </c>
      <c r="PB47" s="109" t="str">
        <f t="shared" si="363"/>
        <v/>
      </c>
      <c r="PC47" s="109" t="str">
        <f t="shared" si="363"/>
        <v/>
      </c>
      <c r="PD47" s="109" t="str">
        <f t="shared" si="363"/>
        <v/>
      </c>
      <c r="PE47" s="109" t="str">
        <f t="shared" si="363"/>
        <v/>
      </c>
      <c r="PF47" s="109" t="str">
        <f t="shared" si="363"/>
        <v/>
      </c>
      <c r="PG47" s="109" t="str">
        <f t="shared" si="363"/>
        <v/>
      </c>
      <c r="PH47" s="109" t="str">
        <f t="shared" si="363"/>
        <v/>
      </c>
      <c r="PI47" s="109" t="str">
        <f t="shared" si="363"/>
        <v/>
      </c>
      <c r="PJ47" s="109" t="str">
        <f t="shared" si="363"/>
        <v/>
      </c>
      <c r="PK47" s="109" t="str">
        <f t="shared" si="363"/>
        <v/>
      </c>
      <c r="PL47" s="109" t="str">
        <f t="shared" si="363"/>
        <v/>
      </c>
      <c r="PM47" s="109" t="str">
        <f t="shared" si="363"/>
        <v/>
      </c>
      <c r="PN47" s="109" t="str">
        <f t="shared" si="363"/>
        <v/>
      </c>
      <c r="PO47" s="109" t="str">
        <f t="shared" si="363"/>
        <v/>
      </c>
      <c r="PP47" s="109" t="str">
        <f t="shared" si="363"/>
        <v/>
      </c>
      <c r="PQ47" s="109" t="str">
        <f t="shared" si="363"/>
        <v/>
      </c>
      <c r="PR47" s="109" t="str">
        <f t="shared" si="363"/>
        <v/>
      </c>
      <c r="PS47" s="109" t="str">
        <f t="shared" si="363"/>
        <v/>
      </c>
      <c r="PT47" s="109" t="str">
        <f t="shared" si="363"/>
        <v/>
      </c>
      <c r="PU47" s="109" t="str">
        <f t="shared" si="363"/>
        <v/>
      </c>
      <c r="PV47" s="109" t="str">
        <f t="shared" si="363"/>
        <v/>
      </c>
      <c r="PW47" s="109" t="str">
        <f t="shared" si="363"/>
        <v/>
      </c>
      <c r="PX47" s="109" t="str">
        <f t="shared" si="363"/>
        <v/>
      </c>
      <c r="PY47" s="109" t="str">
        <f t="shared" si="363"/>
        <v/>
      </c>
      <c r="PZ47" s="109" t="str">
        <f t="shared" si="363"/>
        <v/>
      </c>
      <c r="QA47" s="109" t="str">
        <f t="shared" si="363"/>
        <v/>
      </c>
      <c r="QB47" s="109" t="str">
        <f t="shared" ref="QB47:SM47" si="364">IF(OR(QB$13="",QB$17="",QB$14="",QB$15="",QB$16="",QB$18="",QB$19="",QB$20="",QB$21=""),"",1-(QB73/(QB$5)))</f>
        <v/>
      </c>
      <c r="QC47" s="109" t="str">
        <f t="shared" si="364"/>
        <v/>
      </c>
      <c r="QD47" s="109" t="str">
        <f t="shared" si="364"/>
        <v/>
      </c>
      <c r="QE47" s="109" t="str">
        <f t="shared" si="364"/>
        <v/>
      </c>
      <c r="QF47" s="109" t="str">
        <f t="shared" si="364"/>
        <v/>
      </c>
      <c r="QG47" s="109" t="str">
        <f t="shared" si="364"/>
        <v/>
      </c>
      <c r="QH47" s="109" t="str">
        <f t="shared" si="364"/>
        <v/>
      </c>
      <c r="QI47" s="109" t="str">
        <f t="shared" si="364"/>
        <v/>
      </c>
      <c r="QJ47" s="109" t="str">
        <f t="shared" si="364"/>
        <v/>
      </c>
      <c r="QK47" s="109" t="str">
        <f t="shared" si="364"/>
        <v/>
      </c>
      <c r="QL47" s="109" t="str">
        <f t="shared" si="364"/>
        <v/>
      </c>
      <c r="QM47" s="109" t="str">
        <f t="shared" si="364"/>
        <v/>
      </c>
      <c r="QN47" s="109" t="str">
        <f t="shared" si="364"/>
        <v/>
      </c>
      <c r="QO47" s="109" t="str">
        <f t="shared" si="364"/>
        <v/>
      </c>
      <c r="QP47" s="109" t="str">
        <f t="shared" si="364"/>
        <v/>
      </c>
      <c r="QQ47" s="109" t="str">
        <f t="shared" si="364"/>
        <v/>
      </c>
      <c r="QR47" s="109" t="str">
        <f t="shared" si="364"/>
        <v/>
      </c>
      <c r="QS47" s="109" t="str">
        <f t="shared" si="364"/>
        <v/>
      </c>
      <c r="QT47" s="109" t="str">
        <f t="shared" si="364"/>
        <v/>
      </c>
      <c r="QU47" s="109" t="str">
        <f t="shared" si="364"/>
        <v/>
      </c>
      <c r="QV47" s="109" t="str">
        <f t="shared" si="364"/>
        <v/>
      </c>
      <c r="QW47" s="109" t="str">
        <f t="shared" si="364"/>
        <v/>
      </c>
      <c r="QX47" s="109" t="str">
        <f t="shared" si="364"/>
        <v/>
      </c>
      <c r="QY47" s="109" t="str">
        <f t="shared" si="364"/>
        <v/>
      </c>
      <c r="QZ47" s="109" t="str">
        <f t="shared" si="364"/>
        <v/>
      </c>
      <c r="RA47" s="109" t="str">
        <f t="shared" si="364"/>
        <v/>
      </c>
      <c r="RB47" s="109" t="str">
        <f t="shared" si="364"/>
        <v/>
      </c>
      <c r="RC47" s="109" t="str">
        <f t="shared" si="364"/>
        <v/>
      </c>
      <c r="RD47" s="109" t="str">
        <f t="shared" si="364"/>
        <v/>
      </c>
      <c r="RE47" s="109" t="str">
        <f t="shared" si="364"/>
        <v/>
      </c>
      <c r="RF47" s="109" t="str">
        <f t="shared" si="364"/>
        <v/>
      </c>
      <c r="RG47" s="109" t="str">
        <f t="shared" si="364"/>
        <v/>
      </c>
      <c r="RH47" s="109" t="str">
        <f t="shared" si="364"/>
        <v/>
      </c>
      <c r="RI47" s="109" t="str">
        <f t="shared" si="364"/>
        <v/>
      </c>
      <c r="RJ47" s="109" t="str">
        <f t="shared" si="364"/>
        <v/>
      </c>
      <c r="RK47" s="109" t="str">
        <f t="shared" si="364"/>
        <v/>
      </c>
      <c r="RL47" s="109" t="str">
        <f t="shared" si="364"/>
        <v/>
      </c>
      <c r="RM47" s="109" t="str">
        <f t="shared" si="364"/>
        <v/>
      </c>
      <c r="RN47" s="109" t="str">
        <f t="shared" si="364"/>
        <v/>
      </c>
      <c r="RO47" s="109" t="str">
        <f t="shared" si="364"/>
        <v/>
      </c>
      <c r="RP47" s="109" t="str">
        <f t="shared" si="364"/>
        <v/>
      </c>
      <c r="RQ47" s="109" t="str">
        <f t="shared" si="364"/>
        <v/>
      </c>
      <c r="RR47" s="109" t="str">
        <f t="shared" si="364"/>
        <v/>
      </c>
      <c r="RS47" s="109" t="str">
        <f t="shared" si="364"/>
        <v/>
      </c>
      <c r="RT47" s="109" t="str">
        <f t="shared" si="364"/>
        <v/>
      </c>
      <c r="RU47" s="109" t="str">
        <f t="shared" si="364"/>
        <v/>
      </c>
      <c r="RV47" s="109" t="str">
        <f t="shared" si="364"/>
        <v/>
      </c>
      <c r="RW47" s="109" t="str">
        <f t="shared" si="364"/>
        <v/>
      </c>
      <c r="RX47" s="109" t="str">
        <f t="shared" si="364"/>
        <v/>
      </c>
      <c r="RY47" s="109" t="str">
        <f t="shared" si="364"/>
        <v/>
      </c>
      <c r="RZ47" s="109" t="str">
        <f t="shared" si="364"/>
        <v/>
      </c>
      <c r="SA47" s="109" t="str">
        <f t="shared" si="364"/>
        <v/>
      </c>
      <c r="SB47" s="109" t="str">
        <f t="shared" si="364"/>
        <v/>
      </c>
      <c r="SC47" s="109" t="str">
        <f t="shared" si="364"/>
        <v/>
      </c>
      <c r="SD47" s="109" t="str">
        <f t="shared" si="364"/>
        <v/>
      </c>
      <c r="SE47" s="109" t="str">
        <f t="shared" si="364"/>
        <v/>
      </c>
      <c r="SF47" s="109" t="str">
        <f t="shared" si="364"/>
        <v/>
      </c>
      <c r="SG47" s="109" t="str">
        <f t="shared" si="364"/>
        <v/>
      </c>
      <c r="SH47" s="109" t="str">
        <f t="shared" si="364"/>
        <v/>
      </c>
      <c r="SI47" s="109" t="str">
        <f t="shared" si="364"/>
        <v/>
      </c>
      <c r="SJ47" s="109" t="str">
        <f t="shared" si="364"/>
        <v/>
      </c>
      <c r="SK47" s="109" t="str">
        <f t="shared" si="364"/>
        <v/>
      </c>
      <c r="SL47" s="109" t="str">
        <f t="shared" si="364"/>
        <v/>
      </c>
      <c r="SM47" s="109" t="str">
        <f t="shared" si="364"/>
        <v/>
      </c>
      <c r="SN47" s="109" t="str">
        <f t="shared" ref="SN47:SW47" si="365">IF(OR(SN$13="",SN$17="",SN$14="",SN$15="",SN$16="",SN$18="",SN$19="",SN$20="",SN$21=""),"",1-(SN73/(SN$5)))</f>
        <v/>
      </c>
      <c r="SO47" s="109" t="str">
        <f t="shared" si="365"/>
        <v/>
      </c>
      <c r="SP47" s="109" t="str">
        <f t="shared" si="365"/>
        <v/>
      </c>
      <c r="SQ47" s="109" t="str">
        <f t="shared" si="365"/>
        <v/>
      </c>
      <c r="SR47" s="109" t="str">
        <f t="shared" si="365"/>
        <v/>
      </c>
      <c r="SS47" s="109" t="str">
        <f t="shared" si="365"/>
        <v/>
      </c>
      <c r="ST47" s="109" t="str">
        <f t="shared" si="365"/>
        <v/>
      </c>
      <c r="SU47" s="109" t="str">
        <f t="shared" si="365"/>
        <v/>
      </c>
      <c r="SV47" s="109" t="str">
        <f t="shared" si="365"/>
        <v/>
      </c>
      <c r="SW47" s="109" t="str">
        <f t="shared" si="365"/>
        <v/>
      </c>
    </row>
    <row r="48" spans="1:517" ht="24.6" customHeight="1" x14ac:dyDescent="0.2">
      <c r="A48" s="94">
        <v>777</v>
      </c>
      <c r="B48" s="117" t="s">
        <v>85</v>
      </c>
      <c r="C48" s="109">
        <f t="shared" ref="C48:AH48" si="366">IF(OR(C$13="",C$17="",C$14="",C$15="",C$16="",C$18="",C$19="",C$20="",C$21=""),"",1-(C74/(C$5)))</f>
        <v>1</v>
      </c>
      <c r="D48" s="109">
        <f t="shared" si="366"/>
        <v>1</v>
      </c>
      <c r="E48" s="109">
        <f t="shared" si="366"/>
        <v>1</v>
      </c>
      <c r="F48" s="109">
        <f t="shared" si="366"/>
        <v>1</v>
      </c>
      <c r="G48" s="109">
        <f t="shared" si="366"/>
        <v>1</v>
      </c>
      <c r="H48" s="109">
        <f t="shared" si="366"/>
        <v>1</v>
      </c>
      <c r="I48" s="109">
        <f t="shared" si="366"/>
        <v>1</v>
      </c>
      <c r="J48" s="109">
        <f t="shared" si="366"/>
        <v>1</v>
      </c>
      <c r="K48" s="109">
        <f t="shared" si="366"/>
        <v>1</v>
      </c>
      <c r="L48" s="109">
        <f t="shared" si="366"/>
        <v>1</v>
      </c>
      <c r="M48" s="109">
        <f t="shared" si="366"/>
        <v>1</v>
      </c>
      <c r="N48" s="109">
        <f t="shared" si="366"/>
        <v>0.99652777777777779</v>
      </c>
      <c r="O48" s="109">
        <f t="shared" si="366"/>
        <v>0.99679487179487181</v>
      </c>
      <c r="P48" s="109">
        <f t="shared" si="366"/>
        <v>0.96523809523809523</v>
      </c>
      <c r="Q48" s="109">
        <f t="shared" si="366"/>
        <v>0.9675555555555555</v>
      </c>
      <c r="R48" s="109">
        <f t="shared" si="366"/>
        <v>0.96958333333333335</v>
      </c>
      <c r="S48" s="109">
        <f t="shared" si="366"/>
        <v>0.9713725490196079</v>
      </c>
      <c r="T48" s="109">
        <f t="shared" si="366"/>
        <v>0.97296296296296292</v>
      </c>
      <c r="U48" s="109">
        <f t="shared" si="366"/>
        <v>0.97438596491228069</v>
      </c>
      <c r="V48" s="109">
        <f t="shared" si="366"/>
        <v>0.97566666666666668</v>
      </c>
      <c r="W48" s="109">
        <f t="shared" si="366"/>
        <v>0.97682539682539682</v>
      </c>
      <c r="X48" s="109">
        <f t="shared" si="366"/>
        <v>0.9778787878787879</v>
      </c>
      <c r="Y48" s="109">
        <f t="shared" si="366"/>
        <v>0.97884057971014493</v>
      </c>
      <c r="Z48" s="109">
        <f t="shared" si="366"/>
        <v>0.97972222222222227</v>
      </c>
      <c r="AA48" s="109">
        <f t="shared" si="366"/>
        <v>0.94278333333333331</v>
      </c>
      <c r="AB48" s="109">
        <f t="shared" si="366"/>
        <v>0.94498397435897441</v>
      </c>
      <c r="AC48" s="109">
        <f t="shared" si="366"/>
        <v>0.94702160493827159</v>
      </c>
      <c r="AD48" s="109">
        <f t="shared" si="366"/>
        <v>0.94891369047619045</v>
      </c>
      <c r="AE48" s="109">
        <f t="shared" si="366"/>
        <v>0.94708333333333328</v>
      </c>
      <c r="AF48" s="109">
        <f t="shared" si="366"/>
        <v>0.94884722222222218</v>
      </c>
      <c r="AG48" s="109">
        <f t="shared" si="366"/>
        <v>0.95049731182795694</v>
      </c>
      <c r="AH48" s="109">
        <f t="shared" si="366"/>
        <v>1</v>
      </c>
      <c r="AI48" s="109">
        <f t="shared" ref="AI48:BN48" si="367">IF(OR(AI$13="",AI$17="",AI$14="",AI$15="",AI$16="",AI$18="",AI$19="",AI$20="",AI$21=""),"",1-(AI74/(AI$5)))</f>
        <v>0.96645833333333331</v>
      </c>
      <c r="AJ48" s="109">
        <f t="shared" si="367"/>
        <v>0.97763888888888884</v>
      </c>
      <c r="AK48" s="109">
        <f t="shared" si="367"/>
        <v>0.98322916666666671</v>
      </c>
      <c r="AL48" s="109">
        <f t="shared" si="367"/>
        <v>0.98658333333333337</v>
      </c>
      <c r="AM48" s="109">
        <f t="shared" si="367"/>
        <v>0.98187500000000005</v>
      </c>
      <c r="AN48" s="109">
        <f t="shared" si="367"/>
        <v>0.98446428571428568</v>
      </c>
      <c r="AO48" s="109">
        <f t="shared" si="367"/>
        <v>0.98640625000000004</v>
      </c>
      <c r="AP48" s="109">
        <f t="shared" si="367"/>
        <v>0.98791666666666667</v>
      </c>
      <c r="AQ48" s="109">
        <f t="shared" si="367"/>
        <v>0.97899999999999998</v>
      </c>
      <c r="AR48" s="109">
        <f t="shared" si="367"/>
        <v>0.98090909090909095</v>
      </c>
      <c r="AS48" s="109">
        <f t="shared" si="367"/>
        <v>0.98250000000000004</v>
      </c>
      <c r="AT48" s="109">
        <f t="shared" si="367"/>
        <v>0.95333333333333337</v>
      </c>
      <c r="AU48" s="109">
        <f t="shared" si="367"/>
        <v>0.95666666666666667</v>
      </c>
      <c r="AV48" s="109">
        <f t="shared" si="367"/>
        <v>0.95955555555555561</v>
      </c>
      <c r="AW48" s="109">
        <f t="shared" si="367"/>
        <v>0.96208333333333329</v>
      </c>
      <c r="AX48" s="109">
        <f t="shared" si="367"/>
        <v>0.96431372549019612</v>
      </c>
      <c r="AY48" s="109">
        <f t="shared" si="367"/>
        <v>0.96629629629629632</v>
      </c>
      <c r="AZ48" s="109">
        <f t="shared" si="367"/>
        <v>0.9654385964912281</v>
      </c>
      <c r="BA48" s="109">
        <f t="shared" si="367"/>
        <v>0.96716666666666662</v>
      </c>
      <c r="BB48" s="109">
        <f t="shared" si="367"/>
        <v>0.96873015873015877</v>
      </c>
      <c r="BC48" s="109">
        <f t="shared" si="367"/>
        <v>0.97015151515151521</v>
      </c>
      <c r="BD48" s="109">
        <f t="shared" si="367"/>
        <v>0.97144927536231884</v>
      </c>
      <c r="BE48" s="109">
        <f t="shared" si="367"/>
        <v>0.97263888888888894</v>
      </c>
      <c r="BF48" s="109">
        <f t="shared" si="367"/>
        <v>0.94551666666666667</v>
      </c>
      <c r="BG48" s="109">
        <f t="shared" si="367"/>
        <v>0.94761217948717946</v>
      </c>
      <c r="BH48" s="109">
        <f t="shared" si="367"/>
        <v>0.94955246913580249</v>
      </c>
      <c r="BI48" s="109">
        <f t="shared" si="367"/>
        <v>0.95135416666666672</v>
      </c>
      <c r="BJ48" s="109">
        <f t="shared" si="367"/>
        <v>1</v>
      </c>
      <c r="BK48" s="109">
        <f t="shared" si="367"/>
        <v>1</v>
      </c>
      <c r="BL48" s="109">
        <f t="shared" si="367"/>
        <v>1</v>
      </c>
      <c r="BM48" s="109">
        <f t="shared" si="367"/>
        <v>1</v>
      </c>
      <c r="BN48" s="109">
        <f t="shared" si="367"/>
        <v>0.99850000000000005</v>
      </c>
      <c r="BO48" s="109">
        <f t="shared" ref="BO48:CT48" si="368">IF(OR(BO$13="",BO$17="",BO$14="",BO$15="",BO$16="",BO$18="",BO$19="",BO$20="",BO$21=""),"",1-(BO74/(BO$5)))</f>
        <v>0.99875000000000003</v>
      </c>
      <c r="BP48" s="109">
        <f t="shared" si="368"/>
        <v>0.91874999999999996</v>
      </c>
      <c r="BQ48" s="109">
        <f t="shared" si="368"/>
        <v>0.92890625000000004</v>
      </c>
      <c r="BR48" s="109">
        <f t="shared" si="368"/>
        <v>0.89143518518518516</v>
      </c>
      <c r="BS48" s="109">
        <f t="shared" si="368"/>
        <v>0.89787499999999998</v>
      </c>
      <c r="BT48" s="109">
        <f t="shared" si="368"/>
        <v>0.90715909090909097</v>
      </c>
      <c r="BU48" s="109">
        <f t="shared" si="368"/>
        <v>0.91489583333333335</v>
      </c>
      <c r="BV48" s="109">
        <f t="shared" si="368"/>
        <v>0.92144230769230773</v>
      </c>
      <c r="BW48" s="109">
        <f t="shared" si="368"/>
        <v>0.92705357142857148</v>
      </c>
      <c r="BX48" s="109">
        <f t="shared" si="368"/>
        <v>0.93191666666666673</v>
      </c>
      <c r="BY48" s="109">
        <f t="shared" si="368"/>
        <v>0.93617187499999999</v>
      </c>
      <c r="BZ48" s="109">
        <f t="shared" si="368"/>
        <v>0.93992647058823531</v>
      </c>
      <c r="CA48" s="109">
        <f t="shared" si="368"/>
        <v>0.94263888888888892</v>
      </c>
      <c r="CB48" s="109">
        <f t="shared" si="368"/>
        <v>0.94565789473684214</v>
      </c>
      <c r="CC48" s="109">
        <f t="shared" si="368"/>
        <v>0.92416666666666669</v>
      </c>
      <c r="CD48" s="109">
        <f t="shared" si="368"/>
        <v>0.92777777777777781</v>
      </c>
      <c r="CE48" s="109">
        <f t="shared" si="368"/>
        <v>0.93106060606060603</v>
      </c>
      <c r="CF48" s="109">
        <f t="shared" si="368"/>
        <v>0.93405797101449273</v>
      </c>
      <c r="CG48" s="109">
        <f t="shared" si="368"/>
        <v>0.93680555555555556</v>
      </c>
      <c r="CH48" s="109">
        <f t="shared" si="368"/>
        <v>0.93933333333333335</v>
      </c>
      <c r="CI48" s="109">
        <f t="shared" si="368"/>
        <v>0.94166666666666665</v>
      </c>
      <c r="CJ48" s="109">
        <f t="shared" si="368"/>
        <v>0.92013888888888884</v>
      </c>
      <c r="CK48" s="109">
        <f t="shared" si="368"/>
        <v>0.9229910714285714</v>
      </c>
      <c r="CL48" s="109">
        <f t="shared" si="368"/>
        <v>0.9256465517241379</v>
      </c>
      <c r="CM48" s="109">
        <f t="shared" si="368"/>
        <v>0.92812499999999998</v>
      </c>
      <c r="CN48" s="109">
        <f t="shared" si="368"/>
        <v>0.93044354838709675</v>
      </c>
      <c r="CO48" s="109">
        <f t="shared" si="368"/>
        <v>1</v>
      </c>
      <c r="CP48" s="109">
        <f t="shared" si="368"/>
        <v>1</v>
      </c>
      <c r="CQ48" s="109">
        <f t="shared" si="368"/>
        <v>1</v>
      </c>
      <c r="CR48" s="109">
        <f t="shared" si="368"/>
        <v>1</v>
      </c>
      <c r="CS48" s="109">
        <f t="shared" si="368"/>
        <v>1</v>
      </c>
      <c r="CT48" s="109">
        <f t="shared" si="368"/>
        <v>1</v>
      </c>
      <c r="CU48" s="109">
        <f t="shared" ref="CU48:DS48" si="369">IF(OR(CU$13="",CU$17="",CU$14="",CU$15="",CU$16="",CU$18="",CU$19="",CU$20="",CU$21=""),"",1-(CU74/(CU$5)))</f>
        <v>1</v>
      </c>
      <c r="CV48" s="109">
        <f t="shared" si="369"/>
        <v>1</v>
      </c>
      <c r="CW48" s="109">
        <f t="shared" si="369"/>
        <v>1</v>
      </c>
      <c r="CX48" s="109">
        <f t="shared" si="369"/>
        <v>1</v>
      </c>
      <c r="CY48" s="109">
        <f t="shared" si="369"/>
        <v>1</v>
      </c>
      <c r="CZ48" s="109">
        <f t="shared" si="369"/>
        <v>1</v>
      </c>
      <c r="DA48" s="109">
        <f t="shared" si="369"/>
        <v>0.9983012820512821</v>
      </c>
      <c r="DB48" s="109">
        <f t="shared" si="369"/>
        <v>0.99842261904761909</v>
      </c>
      <c r="DC48" s="109">
        <f t="shared" si="369"/>
        <v>0.97375</v>
      </c>
      <c r="DD48" s="109">
        <f t="shared" si="369"/>
        <v>0.97539062499999996</v>
      </c>
      <c r="DE48" s="109">
        <f t="shared" si="369"/>
        <v>0.97683823529411762</v>
      </c>
      <c r="DF48" s="109">
        <f t="shared" si="369"/>
        <v>0.97812500000000002</v>
      </c>
      <c r="DG48" s="109">
        <f t="shared" si="369"/>
        <v>0.97927631578947372</v>
      </c>
      <c r="DH48" s="109">
        <f t="shared" si="369"/>
        <v>0.98031250000000003</v>
      </c>
      <c r="DI48" s="109">
        <f t="shared" si="369"/>
        <v>0.98124999999999996</v>
      </c>
      <c r="DJ48" s="109">
        <f t="shared" si="369"/>
        <v>0.98210227272727268</v>
      </c>
      <c r="DK48" s="109">
        <f t="shared" si="369"/>
        <v>0.98288043478260867</v>
      </c>
      <c r="DL48" s="109">
        <f t="shared" si="369"/>
        <v>0.98124999999999996</v>
      </c>
      <c r="DM48" s="109">
        <f t="shared" si="369"/>
        <v>0.96861666666666668</v>
      </c>
      <c r="DN48" s="109">
        <f t="shared" si="369"/>
        <v>0.96982371794871791</v>
      </c>
      <c r="DO48" s="109">
        <f t="shared" si="369"/>
        <v>0.97094135802469139</v>
      </c>
      <c r="DP48" s="109">
        <f t="shared" si="369"/>
        <v>0.97197916666666662</v>
      </c>
      <c r="DQ48" s="109">
        <f t="shared" si="369"/>
        <v>0.97294540229885063</v>
      </c>
      <c r="DR48" s="109">
        <f t="shared" si="369"/>
        <v>0.9738472222222222</v>
      </c>
      <c r="DS48" s="109">
        <f t="shared" si="369"/>
        <v>1</v>
      </c>
      <c r="DT48" s="109">
        <f t="shared" ref="DT48:GE48" si="370">IF(OR(DT$13="",DT$17="",DT$14="",DT$15="",DT$16="",DT$18="",DT$19="",DT$20="",DT$21=""),"",1-(DT74/(DT$5)))</f>
        <v>1</v>
      </c>
      <c r="DU48" s="109">
        <f t="shared" si="370"/>
        <v>1</v>
      </c>
      <c r="DV48" s="109">
        <f t="shared" si="370"/>
        <v>0.92760416666666667</v>
      </c>
      <c r="DW48" s="109">
        <f t="shared" si="370"/>
        <v>0.92866666666666664</v>
      </c>
      <c r="DX48" s="109">
        <f t="shared" si="370"/>
        <v>0.94055555555555559</v>
      </c>
      <c r="DY48" s="109">
        <f t="shared" si="370"/>
        <v>0.94904761904761903</v>
      </c>
      <c r="DZ48" s="109">
        <f t="shared" si="370"/>
        <v>0.9</v>
      </c>
      <c r="EA48" s="109">
        <f t="shared" si="370"/>
        <v>0.89314814814814814</v>
      </c>
      <c r="EB48" s="109">
        <f t="shared" si="370"/>
        <v>0.90383333333333327</v>
      </c>
      <c r="EC48" s="109">
        <f t="shared" si="370"/>
        <v>0.86636363636363634</v>
      </c>
      <c r="ED48" s="109">
        <f t="shared" si="370"/>
        <v>0.87749999999999995</v>
      </c>
      <c r="EE48" s="109">
        <f t="shared" si="370"/>
        <v>0.88692307692307693</v>
      </c>
      <c r="EF48" s="109">
        <f t="shared" si="370"/>
        <v>0.89500000000000002</v>
      </c>
      <c r="EG48" s="109">
        <f t="shared" si="370"/>
        <v>0.90200000000000002</v>
      </c>
      <c r="EH48" s="109">
        <f t="shared" si="370"/>
        <v>0.90812499999999996</v>
      </c>
      <c r="EI48" s="109">
        <f t="shared" si="370"/>
        <v>0.91352941176470592</v>
      </c>
      <c r="EJ48" s="109">
        <f t="shared" si="370"/>
        <v>0.91833333333333333</v>
      </c>
      <c r="EK48" s="109">
        <f t="shared" si="370"/>
        <v>0.92263157894736847</v>
      </c>
      <c r="EL48" s="109">
        <f t="shared" si="370"/>
        <v>0.92649999999999999</v>
      </c>
      <c r="EM48" s="109">
        <f t="shared" si="370"/>
        <v>0.92999999999999994</v>
      </c>
      <c r="EN48" s="109">
        <f t="shared" si="370"/>
        <v>0.91708333333333336</v>
      </c>
      <c r="EO48" s="109">
        <f t="shared" si="370"/>
        <v>0.9177898550724638</v>
      </c>
      <c r="EP48" s="109">
        <f t="shared" si="370"/>
        <v>0.92121527777777779</v>
      </c>
      <c r="EQ48" s="109">
        <f t="shared" si="370"/>
        <v>0.91591666666666671</v>
      </c>
      <c r="ER48" s="109">
        <f t="shared" si="370"/>
        <v>0.91915064102564104</v>
      </c>
      <c r="ES48" s="109">
        <f t="shared" si="370"/>
        <v>0.90388888888888885</v>
      </c>
      <c r="ET48" s="109">
        <f t="shared" si="370"/>
        <v>0.8940029761904762</v>
      </c>
      <c r="EU48" s="109">
        <f t="shared" si="370"/>
        <v>0.89765804597701149</v>
      </c>
      <c r="EV48" s="109">
        <f t="shared" si="370"/>
        <v>0.90106944444444448</v>
      </c>
      <c r="EW48" s="109">
        <f t="shared" si="370"/>
        <v>0.90426075268817208</v>
      </c>
      <c r="EX48" s="109">
        <f t="shared" si="370"/>
        <v>1</v>
      </c>
      <c r="EY48" s="109">
        <f t="shared" si="370"/>
        <v>1</v>
      </c>
      <c r="EZ48" s="109">
        <f t="shared" si="370"/>
        <v>1</v>
      </c>
      <c r="FA48" s="109">
        <f t="shared" si="370"/>
        <v>1</v>
      </c>
      <c r="FB48" s="109">
        <f t="shared" si="370"/>
        <v>1</v>
      </c>
      <c r="FC48" s="109">
        <f t="shared" si="370"/>
        <v>1</v>
      </c>
      <c r="FD48" s="109">
        <f t="shared" si="370"/>
        <v>0.95345238095238094</v>
      </c>
      <c r="FE48" s="109">
        <f t="shared" si="370"/>
        <v>0.92906250000000001</v>
      </c>
      <c r="FF48" s="109">
        <f t="shared" si="370"/>
        <v>0.93694444444444447</v>
      </c>
      <c r="FG48" s="109">
        <f t="shared" si="370"/>
        <v>0.93495833333333334</v>
      </c>
      <c r="FH48" s="109">
        <f t="shared" si="370"/>
        <v>0.94087121212121216</v>
      </c>
      <c r="FI48" s="109">
        <f t="shared" si="370"/>
        <v>0.94579861111111108</v>
      </c>
      <c r="FJ48" s="109">
        <f t="shared" si="370"/>
        <v>0.94996794871794876</v>
      </c>
      <c r="FK48" s="109">
        <f t="shared" si="370"/>
        <v>0.95354166666666662</v>
      </c>
      <c r="FL48" s="109">
        <f t="shared" si="370"/>
        <v>0.95663888888888893</v>
      </c>
      <c r="FM48" s="109">
        <f t="shared" si="370"/>
        <v>0.92098958333333336</v>
      </c>
      <c r="FN48" s="109">
        <f t="shared" si="370"/>
        <v>0.9256372549019608</v>
      </c>
      <c r="FO48" s="109">
        <f t="shared" si="370"/>
        <v>0.92976851851851849</v>
      </c>
      <c r="FP48" s="109">
        <f t="shared" si="370"/>
        <v>0.93346491228070172</v>
      </c>
      <c r="FQ48" s="109">
        <f t="shared" si="370"/>
        <v>0.93525000000000003</v>
      </c>
      <c r="FR48" s="109">
        <f t="shared" si="370"/>
        <v>0.93833333333333335</v>
      </c>
      <c r="FS48" s="109">
        <f t="shared" si="370"/>
        <v>0.94113636363636366</v>
      </c>
      <c r="FT48" s="109">
        <f t="shared" si="370"/>
        <v>0.93771739130434784</v>
      </c>
      <c r="FU48" s="109">
        <f t="shared" si="370"/>
        <v>0.9403125</v>
      </c>
      <c r="FV48" s="109">
        <f t="shared" si="370"/>
        <v>0.94269999999999998</v>
      </c>
      <c r="FW48" s="109">
        <f t="shared" si="370"/>
        <v>0.94490384615384615</v>
      </c>
      <c r="FX48" s="109">
        <f t="shared" si="370"/>
        <v>0.94694444444444448</v>
      </c>
      <c r="FY48" s="109">
        <f t="shared" si="370"/>
        <v>0.94883928571428566</v>
      </c>
      <c r="FZ48" s="109">
        <f t="shared" si="370"/>
        <v>0.95060344827586207</v>
      </c>
      <c r="GA48" s="109">
        <f t="shared" si="282"/>
        <v>0.89558333333333329</v>
      </c>
      <c r="GB48" s="109">
        <f t="shared" si="282"/>
        <v>0.23749999999999993</v>
      </c>
      <c r="GC48" s="109">
        <f t="shared" si="370"/>
        <v>0.61874999999999991</v>
      </c>
      <c r="GD48" s="109">
        <f t="shared" si="370"/>
        <v>0.74583333333333335</v>
      </c>
      <c r="GE48" s="109">
        <f t="shared" si="370"/>
        <v>0.80333333333333334</v>
      </c>
      <c r="GF48" s="109">
        <f t="shared" ref="GF48:IQ48" si="371">IF(OR(GF$13="",GF$17="",GF$14="",GF$15="",GF$16="",GF$18="",GF$19="",GF$20="",GF$21=""),"",1-(GF74/(GF$5)))</f>
        <v>0.84266666666666667</v>
      </c>
      <c r="GG48" s="109">
        <f t="shared" si="371"/>
        <v>0.86888888888888893</v>
      </c>
      <c r="GH48" s="109">
        <f t="shared" si="371"/>
        <v>0.88761904761904764</v>
      </c>
      <c r="GI48" s="109">
        <f t="shared" si="371"/>
        <v>0.8744270833333333</v>
      </c>
      <c r="GJ48" s="109">
        <f t="shared" si="371"/>
        <v>0.88837962962962957</v>
      </c>
      <c r="GK48" s="109">
        <f t="shared" si="371"/>
        <v>0.89954166666666668</v>
      </c>
      <c r="GL48" s="109">
        <f t="shared" si="371"/>
        <v>0.90867424242424244</v>
      </c>
      <c r="GM48" s="109">
        <f t="shared" si="371"/>
        <v>0.91628472222222224</v>
      </c>
      <c r="GN48" s="109">
        <f t="shared" si="371"/>
        <v>0.922724358974359</v>
      </c>
      <c r="GO48" s="109">
        <f t="shared" si="371"/>
        <v>0.92824404761904766</v>
      </c>
      <c r="GP48" s="109">
        <f t="shared" si="371"/>
        <v>0.93302777777777779</v>
      </c>
      <c r="GQ48" s="109">
        <f t="shared" si="371"/>
        <v>0.93505208333333334</v>
      </c>
      <c r="GR48" s="109">
        <f t="shared" si="371"/>
        <v>0.93887254901960782</v>
      </c>
      <c r="GS48" s="109">
        <f t="shared" si="371"/>
        <v>0.94226851851851856</v>
      </c>
      <c r="GT48" s="109">
        <f t="shared" si="371"/>
        <v>0.9453070175438596</v>
      </c>
      <c r="GU48" s="109">
        <f t="shared" si="371"/>
        <v>0.94804166666666667</v>
      </c>
      <c r="GV48" s="109">
        <f t="shared" si="371"/>
        <v>0.95051587301587304</v>
      </c>
      <c r="GW48" s="109">
        <f t="shared" si="371"/>
        <v>0.95276515151515151</v>
      </c>
      <c r="GX48" s="109">
        <f t="shared" si="371"/>
        <v>0.95481884057971012</v>
      </c>
      <c r="GY48" s="109">
        <f t="shared" si="371"/>
        <v>0.95670138888888889</v>
      </c>
      <c r="GZ48" s="109">
        <f t="shared" si="371"/>
        <v>0.95843333333333336</v>
      </c>
      <c r="HA48" s="109">
        <f t="shared" si="371"/>
        <v>0.96003205128205127</v>
      </c>
      <c r="HB48" s="109">
        <f t="shared" si="371"/>
        <v>0.96151234567901234</v>
      </c>
      <c r="HC48" s="109">
        <f t="shared" si="371"/>
        <v>0.96288690476190475</v>
      </c>
      <c r="HD48" s="109">
        <f t="shared" si="371"/>
        <v>0.96416666666666662</v>
      </c>
      <c r="HE48" s="109">
        <f t="shared" si="371"/>
        <v>0.96536111111111111</v>
      </c>
      <c r="HF48" s="109">
        <f t="shared" si="371"/>
        <v>0.96647849462365587</v>
      </c>
      <c r="HG48" s="109">
        <f t="shared" si="371"/>
        <v>1</v>
      </c>
      <c r="HH48" s="109">
        <f t="shared" si="371"/>
        <v>1</v>
      </c>
      <c r="HI48" s="109">
        <f t="shared" si="371"/>
        <v>1</v>
      </c>
      <c r="HJ48" s="109">
        <f t="shared" si="371"/>
        <v>0.9993171296296296</v>
      </c>
      <c r="HK48" s="109">
        <f t="shared" si="371"/>
        <v>0.99945370370370368</v>
      </c>
      <c r="HL48" s="109">
        <f t="shared" si="371"/>
        <v>0.99954475308641977</v>
      </c>
      <c r="HM48" s="109">
        <f t="shared" si="371"/>
        <v>0.99960978835978831</v>
      </c>
      <c r="HN48" s="109">
        <f t="shared" si="371"/>
        <v>0.99564959490740745</v>
      </c>
      <c r="HO48" s="109">
        <f t="shared" si="371"/>
        <v>0.99613297325102879</v>
      </c>
      <c r="HP48" s="109">
        <f t="shared" si="371"/>
        <v>0.99651967592592594</v>
      </c>
      <c r="HQ48" s="109">
        <f t="shared" si="371"/>
        <v>0.98155829124579119</v>
      </c>
      <c r="HR48" s="109">
        <f t="shared" si="371"/>
        <v>0.983095100308642</v>
      </c>
      <c r="HS48" s="109">
        <f t="shared" si="371"/>
        <v>0.95965900997150999</v>
      </c>
      <c r="HT48" s="109">
        <f t="shared" si="371"/>
        <v>0.96254050925925927</v>
      </c>
      <c r="HU48" s="109">
        <f t="shared" si="371"/>
        <v>0.9650378086419753</v>
      </c>
      <c r="HV48" s="109">
        <f t="shared" si="371"/>
        <v>0.96722294560185185</v>
      </c>
      <c r="HW48" s="109">
        <f t="shared" si="371"/>
        <v>0.96915100762527229</v>
      </c>
      <c r="HX48" s="109">
        <f t="shared" si="371"/>
        <v>0.97086484053497946</v>
      </c>
      <c r="HY48" s="109">
        <f t="shared" si="371"/>
        <v>0.97239826998050682</v>
      </c>
      <c r="HZ48" s="109">
        <f t="shared" si="371"/>
        <v>0.97377835648148148</v>
      </c>
      <c r="IA48" s="109">
        <f t="shared" si="371"/>
        <v>0.97502700617283955</v>
      </c>
      <c r="IB48" s="109">
        <f t="shared" si="371"/>
        <v>0.97616214225589226</v>
      </c>
      <c r="IC48" s="109">
        <f t="shared" si="371"/>
        <v>0.97719857085346218</v>
      </c>
      <c r="ID48" s="109">
        <f t="shared" si="371"/>
        <v>0.97814863040123456</v>
      </c>
      <c r="IE48" s="109">
        <f t="shared" si="371"/>
        <v>0.97338935185185183</v>
      </c>
      <c r="IF48" s="109">
        <f t="shared" si="371"/>
        <v>0.97441283831908831</v>
      </c>
      <c r="IG48" s="109">
        <f t="shared" si="371"/>
        <v>0.97471236282578877</v>
      </c>
      <c r="IH48" s="109">
        <f t="shared" si="371"/>
        <v>0.97561549272486769</v>
      </c>
      <c r="II48" s="109">
        <f t="shared" si="371"/>
        <v>0.97645633780332053</v>
      </c>
      <c r="IJ48" s="109">
        <f t="shared" si="371"/>
        <v>0.97724112654320983</v>
      </c>
      <c r="IK48" s="109">
        <f t="shared" si="371"/>
        <v>0.97797528375149345</v>
      </c>
      <c r="IL48" s="109">
        <f t="shared" si="371"/>
        <v>0.46184027777777781</v>
      </c>
      <c r="IM48" s="109">
        <f t="shared" si="371"/>
        <v>0.23092013888888896</v>
      </c>
      <c r="IN48" s="109">
        <f t="shared" si="371"/>
        <v>0.15394675925925927</v>
      </c>
      <c r="IO48" s="109">
        <f t="shared" si="371"/>
        <v>0.11546006944444454</v>
      </c>
      <c r="IP48" s="109">
        <f t="shared" si="371"/>
        <v>9.2368055555555606E-2</v>
      </c>
      <c r="IQ48" s="109">
        <f t="shared" si="371"/>
        <v>0.21255787037037044</v>
      </c>
      <c r="IR48" s="109">
        <f t="shared" ref="IR48:LC48" si="372">IF(OR(IR$13="",IR$17="",IR$14="",IR$15="",IR$16="",IR$18="",IR$19="",IR$20="",IR$21=""),"",1-(IR74/(IR$5)))</f>
        <v>0.20014880952380953</v>
      </c>
      <c r="IS48" s="109">
        <f t="shared" si="372"/>
        <v>0.17387442129629627</v>
      </c>
      <c r="IT48" s="109">
        <f t="shared" si="372"/>
        <v>0.16476466049382721</v>
      </c>
      <c r="IU48" s="109">
        <f t="shared" si="372"/>
        <v>0.2219606481481482</v>
      </c>
      <c r="IV48" s="109">
        <f t="shared" si="372"/>
        <v>0.29269149831649843</v>
      </c>
      <c r="IW48" s="109">
        <f t="shared" si="372"/>
        <v>0.35149498456790129</v>
      </c>
      <c r="IX48" s="109">
        <f t="shared" si="372"/>
        <v>0.40137998575498579</v>
      </c>
      <c r="IY48" s="109">
        <f t="shared" si="372"/>
        <v>0.4284540343915344</v>
      </c>
      <c r="IZ48" s="109">
        <f t="shared" si="372"/>
        <v>0.46579089506172844</v>
      </c>
      <c r="JA48" s="109">
        <f t="shared" si="372"/>
        <v>0.49917896412037044</v>
      </c>
      <c r="JB48" s="109">
        <f t="shared" si="372"/>
        <v>0.52863902505446625</v>
      </c>
      <c r="JC48" s="109">
        <f t="shared" si="372"/>
        <v>0.54667181069958848</v>
      </c>
      <c r="JD48" s="109">
        <f t="shared" si="372"/>
        <v>0.53782468323586752</v>
      </c>
      <c r="JE48" s="109">
        <f t="shared" si="372"/>
        <v>0.5475758101851852</v>
      </c>
      <c r="JF48" s="109">
        <f t="shared" si="372"/>
        <v>0.56466214726631403</v>
      </c>
      <c r="JG48" s="109">
        <f t="shared" si="372"/>
        <v>0.58323337542087539</v>
      </c>
      <c r="JH48" s="109">
        <f t="shared" si="372"/>
        <v>0.60135366344605479</v>
      </c>
      <c r="JI48" s="109">
        <f t="shared" si="372"/>
        <v>0.61796392746913575</v>
      </c>
      <c r="JJ48" s="109">
        <f t="shared" si="372"/>
        <v>0.63324537037037043</v>
      </c>
      <c r="JK48" s="109">
        <f t="shared" si="372"/>
        <v>0.64047097578347578</v>
      </c>
      <c r="JL48" s="109">
        <f t="shared" si="372"/>
        <v>0.64376543209876547</v>
      </c>
      <c r="JM48" s="109">
        <f t="shared" si="372"/>
        <v>0.65593625992063498</v>
      </c>
      <c r="JN48" s="109">
        <f t="shared" si="372"/>
        <v>0.66636374521072805</v>
      </c>
      <c r="JO48" s="109">
        <f t="shared" si="372"/>
        <v>0.67609606481481488</v>
      </c>
      <c r="JP48" s="109">
        <f t="shared" si="372"/>
        <v>0.78874999999999995</v>
      </c>
      <c r="JQ48" s="109">
        <f t="shared" si="372"/>
        <v>0.87354166666666666</v>
      </c>
      <c r="JR48" s="109">
        <f t="shared" si="372"/>
        <v>0.90972222222222221</v>
      </c>
      <c r="JS48" s="109">
        <f t="shared" si="372"/>
        <v>0.921875</v>
      </c>
      <c r="JT48" s="109">
        <f t="shared" si="372"/>
        <v>0.93399999999999994</v>
      </c>
      <c r="JU48" s="109">
        <f t="shared" si="372"/>
        <v>0.85472222222222216</v>
      </c>
      <c r="JV48" s="109">
        <f t="shared" si="372"/>
        <v>0.86952380952380948</v>
      </c>
      <c r="JW48" s="109">
        <f t="shared" si="372"/>
        <v>0.88583333333333336</v>
      </c>
      <c r="JX48" s="109">
        <f t="shared" si="372"/>
        <v>0.89851851851851849</v>
      </c>
      <c r="JY48" s="109">
        <f t="shared" si="372"/>
        <v>0.90866666666666662</v>
      </c>
      <c r="JZ48" s="109">
        <f t="shared" si="372"/>
        <v>0.91696969696969699</v>
      </c>
      <c r="KA48" s="109">
        <f t="shared" si="372"/>
        <v>0.92388888888888887</v>
      </c>
      <c r="KB48" s="109">
        <f t="shared" si="372"/>
        <v>0.92974358974358973</v>
      </c>
      <c r="KC48" s="109">
        <f t="shared" si="372"/>
        <v>0.93476190476190479</v>
      </c>
      <c r="KD48" s="109">
        <f t="shared" si="372"/>
        <v>0.93911111111111112</v>
      </c>
      <c r="KE48" s="109">
        <f t="shared" si="372"/>
        <v>0.94291666666666663</v>
      </c>
      <c r="KF48" s="109">
        <f t="shared" si="372"/>
        <v>0.94627450980392158</v>
      </c>
      <c r="KG48" s="109">
        <f t="shared" si="372"/>
        <v>0.94925925925925925</v>
      </c>
      <c r="KH48" s="109">
        <f t="shared" si="372"/>
        <v>0.95192982456140351</v>
      </c>
      <c r="KI48" s="109">
        <f t="shared" si="372"/>
        <v>0.95433333333333337</v>
      </c>
      <c r="KJ48" s="109">
        <f t="shared" si="372"/>
        <v>0.95650793650793653</v>
      </c>
      <c r="KK48" s="109">
        <f t="shared" si="372"/>
        <v>0.9584848484848485</v>
      </c>
      <c r="KL48" s="109">
        <f t="shared" si="372"/>
        <v>0.96028985507246378</v>
      </c>
      <c r="KM48" s="109">
        <f t="shared" si="372"/>
        <v>0.96194444444444449</v>
      </c>
      <c r="KN48" s="109">
        <f t="shared" si="372"/>
        <v>0.96346666666666669</v>
      </c>
      <c r="KO48" s="109">
        <f t="shared" si="372"/>
        <v>0.96487179487179486</v>
      </c>
      <c r="KP48" s="109">
        <f t="shared" si="372"/>
        <v>0.96617283950617283</v>
      </c>
      <c r="KQ48" s="109">
        <f t="shared" si="372"/>
        <v>0.96738095238095234</v>
      </c>
      <c r="KR48" s="109">
        <f t="shared" si="372"/>
        <v>0.96850574712643678</v>
      </c>
      <c r="KS48" s="109">
        <f t="shared" si="372"/>
        <v>0.9695555555555555</v>
      </c>
      <c r="KT48" s="109">
        <f t="shared" si="372"/>
        <v>0.97053763440860219</v>
      </c>
      <c r="KU48" s="109" t="str">
        <f t="shared" si="372"/>
        <v/>
      </c>
      <c r="KV48" s="109" t="str">
        <f t="shared" si="372"/>
        <v/>
      </c>
      <c r="KW48" s="109" t="str">
        <f t="shared" si="372"/>
        <v/>
      </c>
      <c r="KX48" s="109" t="str">
        <f t="shared" si="372"/>
        <v/>
      </c>
      <c r="KY48" s="109" t="str">
        <f t="shared" si="372"/>
        <v/>
      </c>
      <c r="KZ48" s="109" t="str">
        <f t="shared" si="372"/>
        <v/>
      </c>
      <c r="LA48" s="109" t="str">
        <f t="shared" si="372"/>
        <v/>
      </c>
      <c r="LB48" s="109" t="str">
        <f t="shared" si="372"/>
        <v/>
      </c>
      <c r="LC48" s="109" t="str">
        <f t="shared" si="372"/>
        <v/>
      </c>
      <c r="LD48" s="109" t="str">
        <f t="shared" ref="LD48:NO48" si="373">IF(OR(LD$13="",LD$17="",LD$14="",LD$15="",LD$16="",LD$18="",LD$19="",LD$20="",LD$21=""),"",1-(LD74/(LD$5)))</f>
        <v/>
      </c>
      <c r="LE48" s="109" t="str">
        <f t="shared" si="373"/>
        <v/>
      </c>
      <c r="LF48" s="109" t="str">
        <f t="shared" si="373"/>
        <v/>
      </c>
      <c r="LG48" s="109" t="str">
        <f t="shared" si="373"/>
        <v/>
      </c>
      <c r="LH48" s="109" t="str">
        <f t="shared" si="373"/>
        <v/>
      </c>
      <c r="LI48" s="109" t="str">
        <f t="shared" si="373"/>
        <v/>
      </c>
      <c r="LJ48" s="109" t="str">
        <f t="shared" si="373"/>
        <v/>
      </c>
      <c r="LK48" s="109" t="str">
        <f t="shared" si="373"/>
        <v/>
      </c>
      <c r="LL48" s="109" t="str">
        <f t="shared" si="373"/>
        <v/>
      </c>
      <c r="LM48" s="109" t="str">
        <f t="shared" si="373"/>
        <v/>
      </c>
      <c r="LN48" s="109" t="str">
        <f t="shared" si="373"/>
        <v/>
      </c>
      <c r="LO48" s="109" t="str">
        <f t="shared" si="373"/>
        <v/>
      </c>
      <c r="LP48" s="109" t="str">
        <f t="shared" si="373"/>
        <v/>
      </c>
      <c r="LQ48" s="109" t="str">
        <f t="shared" si="373"/>
        <v/>
      </c>
      <c r="LR48" s="109" t="str">
        <f t="shared" si="373"/>
        <v/>
      </c>
      <c r="LS48" s="109" t="str">
        <f t="shared" si="373"/>
        <v/>
      </c>
      <c r="LT48" s="109" t="str">
        <f t="shared" si="373"/>
        <v/>
      </c>
      <c r="LU48" s="109" t="str">
        <f t="shared" si="373"/>
        <v/>
      </c>
      <c r="LV48" s="109" t="str">
        <f t="shared" si="373"/>
        <v/>
      </c>
      <c r="LW48" s="109" t="str">
        <f t="shared" si="373"/>
        <v/>
      </c>
      <c r="LX48" s="109" t="str">
        <f t="shared" si="373"/>
        <v/>
      </c>
      <c r="LY48" s="109" t="str">
        <f t="shared" si="373"/>
        <v/>
      </c>
      <c r="LZ48" s="109" t="str">
        <f t="shared" si="373"/>
        <v/>
      </c>
      <c r="MA48" s="109" t="str">
        <f t="shared" si="373"/>
        <v/>
      </c>
      <c r="MB48" s="109" t="str">
        <f t="shared" si="373"/>
        <v/>
      </c>
      <c r="MC48" s="109" t="str">
        <f t="shared" si="373"/>
        <v/>
      </c>
      <c r="MD48" s="109" t="str">
        <f t="shared" si="373"/>
        <v/>
      </c>
      <c r="ME48" s="109" t="str">
        <f t="shared" si="373"/>
        <v/>
      </c>
      <c r="MF48" s="109" t="str">
        <f t="shared" si="373"/>
        <v/>
      </c>
      <c r="MG48" s="109" t="str">
        <f t="shared" si="373"/>
        <v/>
      </c>
      <c r="MH48" s="109" t="str">
        <f t="shared" si="373"/>
        <v/>
      </c>
      <c r="MI48" s="109" t="str">
        <f t="shared" si="373"/>
        <v/>
      </c>
      <c r="MJ48" s="109" t="str">
        <f t="shared" si="373"/>
        <v/>
      </c>
      <c r="MK48" s="109" t="str">
        <f t="shared" si="373"/>
        <v/>
      </c>
      <c r="ML48" s="109" t="str">
        <f t="shared" si="373"/>
        <v/>
      </c>
      <c r="MM48" s="109" t="str">
        <f t="shared" si="373"/>
        <v/>
      </c>
      <c r="MN48" s="109" t="str">
        <f t="shared" si="373"/>
        <v/>
      </c>
      <c r="MO48" s="109" t="str">
        <f t="shared" si="373"/>
        <v/>
      </c>
      <c r="MP48" s="109" t="str">
        <f t="shared" si="373"/>
        <v/>
      </c>
      <c r="MQ48" s="109" t="str">
        <f t="shared" si="373"/>
        <v/>
      </c>
      <c r="MR48" s="109" t="str">
        <f t="shared" si="373"/>
        <v/>
      </c>
      <c r="MS48" s="109" t="str">
        <f t="shared" si="373"/>
        <v/>
      </c>
      <c r="MT48" s="109" t="str">
        <f t="shared" si="373"/>
        <v/>
      </c>
      <c r="MU48" s="109" t="str">
        <f t="shared" si="373"/>
        <v/>
      </c>
      <c r="MV48" s="109" t="str">
        <f t="shared" si="373"/>
        <v/>
      </c>
      <c r="MW48" s="109" t="str">
        <f t="shared" si="373"/>
        <v/>
      </c>
      <c r="MX48" s="109" t="str">
        <f t="shared" si="373"/>
        <v/>
      </c>
      <c r="MY48" s="109" t="str">
        <f t="shared" si="373"/>
        <v/>
      </c>
      <c r="MZ48" s="109" t="str">
        <f t="shared" si="373"/>
        <v/>
      </c>
      <c r="NA48" s="109" t="str">
        <f t="shared" si="373"/>
        <v/>
      </c>
      <c r="NB48" s="109" t="str">
        <f t="shared" si="373"/>
        <v/>
      </c>
      <c r="NC48" s="109" t="str">
        <f t="shared" si="373"/>
        <v/>
      </c>
      <c r="ND48" s="109" t="str">
        <f t="shared" si="373"/>
        <v/>
      </c>
      <c r="NE48" s="109" t="str">
        <f t="shared" si="373"/>
        <v/>
      </c>
      <c r="NF48" s="109" t="str">
        <f t="shared" si="373"/>
        <v/>
      </c>
      <c r="NG48" s="109" t="str">
        <f t="shared" si="373"/>
        <v/>
      </c>
      <c r="NH48" s="109" t="str">
        <f t="shared" si="373"/>
        <v/>
      </c>
      <c r="NI48" s="109" t="str">
        <f t="shared" si="373"/>
        <v/>
      </c>
      <c r="NJ48" s="109" t="str">
        <f t="shared" si="373"/>
        <v/>
      </c>
      <c r="NK48" s="109" t="str">
        <f t="shared" si="373"/>
        <v/>
      </c>
      <c r="NL48" s="109" t="str">
        <f t="shared" si="373"/>
        <v/>
      </c>
      <c r="NM48" s="109" t="str">
        <f t="shared" si="373"/>
        <v/>
      </c>
      <c r="NN48" s="109" t="str">
        <f t="shared" si="373"/>
        <v/>
      </c>
      <c r="NO48" s="109" t="str">
        <f t="shared" si="373"/>
        <v/>
      </c>
      <c r="NP48" s="109" t="str">
        <f t="shared" ref="NP48:QA48" si="374">IF(OR(NP$13="",NP$17="",NP$14="",NP$15="",NP$16="",NP$18="",NP$19="",NP$20="",NP$21=""),"",1-(NP74/(NP$5)))</f>
        <v/>
      </c>
      <c r="NQ48" s="109" t="str">
        <f t="shared" si="374"/>
        <v/>
      </c>
      <c r="NR48" s="109" t="str">
        <f t="shared" si="374"/>
        <v/>
      </c>
      <c r="NS48" s="109" t="str">
        <f t="shared" si="374"/>
        <v/>
      </c>
      <c r="NT48" s="109" t="str">
        <f t="shared" si="374"/>
        <v/>
      </c>
      <c r="NU48" s="109" t="str">
        <f t="shared" si="374"/>
        <v/>
      </c>
      <c r="NV48" s="109" t="str">
        <f t="shared" si="374"/>
        <v/>
      </c>
      <c r="NW48" s="109" t="str">
        <f t="shared" si="374"/>
        <v/>
      </c>
      <c r="NX48" s="109" t="str">
        <f t="shared" si="374"/>
        <v/>
      </c>
      <c r="NY48" s="109" t="str">
        <f t="shared" si="374"/>
        <v/>
      </c>
      <c r="NZ48" s="109" t="str">
        <f t="shared" si="374"/>
        <v/>
      </c>
      <c r="OA48" s="109" t="str">
        <f t="shared" si="374"/>
        <v/>
      </c>
      <c r="OB48" s="109" t="str">
        <f t="shared" si="374"/>
        <v/>
      </c>
      <c r="OC48" s="109" t="str">
        <f t="shared" si="374"/>
        <v/>
      </c>
      <c r="OD48" s="109" t="str">
        <f t="shared" si="374"/>
        <v/>
      </c>
      <c r="OE48" s="109" t="str">
        <f t="shared" si="374"/>
        <v/>
      </c>
      <c r="OF48" s="109" t="str">
        <f t="shared" si="374"/>
        <v/>
      </c>
      <c r="OG48" s="109" t="str">
        <f t="shared" si="374"/>
        <v/>
      </c>
      <c r="OH48" s="109" t="str">
        <f t="shared" si="374"/>
        <v/>
      </c>
      <c r="OI48" s="109" t="str">
        <f t="shared" si="374"/>
        <v/>
      </c>
      <c r="OJ48" s="109" t="str">
        <f t="shared" si="374"/>
        <v/>
      </c>
      <c r="OK48" s="109" t="str">
        <f t="shared" si="374"/>
        <v/>
      </c>
      <c r="OL48" s="109" t="str">
        <f t="shared" si="374"/>
        <v/>
      </c>
      <c r="OM48" s="109" t="str">
        <f t="shared" si="374"/>
        <v/>
      </c>
      <c r="ON48" s="109" t="str">
        <f t="shared" si="374"/>
        <v/>
      </c>
      <c r="OO48" s="109" t="str">
        <f t="shared" si="374"/>
        <v/>
      </c>
      <c r="OP48" s="109" t="str">
        <f t="shared" si="374"/>
        <v/>
      </c>
      <c r="OQ48" s="109" t="str">
        <f t="shared" si="374"/>
        <v/>
      </c>
      <c r="OR48" s="109" t="str">
        <f t="shared" si="374"/>
        <v/>
      </c>
      <c r="OS48" s="109" t="str">
        <f t="shared" si="374"/>
        <v/>
      </c>
      <c r="OT48" s="109" t="str">
        <f t="shared" si="374"/>
        <v/>
      </c>
      <c r="OU48" s="109" t="str">
        <f t="shared" si="374"/>
        <v/>
      </c>
      <c r="OV48" s="109" t="str">
        <f t="shared" si="374"/>
        <v/>
      </c>
      <c r="OW48" s="109" t="str">
        <f t="shared" si="374"/>
        <v/>
      </c>
      <c r="OX48" s="109" t="str">
        <f t="shared" si="374"/>
        <v/>
      </c>
      <c r="OY48" s="109" t="str">
        <f t="shared" si="374"/>
        <v/>
      </c>
      <c r="OZ48" s="109" t="str">
        <f t="shared" si="374"/>
        <v/>
      </c>
      <c r="PA48" s="109" t="str">
        <f t="shared" si="374"/>
        <v/>
      </c>
      <c r="PB48" s="109" t="str">
        <f t="shared" si="374"/>
        <v/>
      </c>
      <c r="PC48" s="109" t="str">
        <f t="shared" si="374"/>
        <v/>
      </c>
      <c r="PD48" s="109" t="str">
        <f t="shared" si="374"/>
        <v/>
      </c>
      <c r="PE48" s="109" t="str">
        <f t="shared" si="374"/>
        <v/>
      </c>
      <c r="PF48" s="109" t="str">
        <f t="shared" si="374"/>
        <v/>
      </c>
      <c r="PG48" s="109" t="str">
        <f t="shared" si="374"/>
        <v/>
      </c>
      <c r="PH48" s="109" t="str">
        <f t="shared" si="374"/>
        <v/>
      </c>
      <c r="PI48" s="109" t="str">
        <f t="shared" si="374"/>
        <v/>
      </c>
      <c r="PJ48" s="109" t="str">
        <f t="shared" si="374"/>
        <v/>
      </c>
      <c r="PK48" s="109" t="str">
        <f t="shared" si="374"/>
        <v/>
      </c>
      <c r="PL48" s="109" t="str">
        <f t="shared" si="374"/>
        <v/>
      </c>
      <c r="PM48" s="109" t="str">
        <f t="shared" si="374"/>
        <v/>
      </c>
      <c r="PN48" s="109" t="str">
        <f t="shared" si="374"/>
        <v/>
      </c>
      <c r="PO48" s="109" t="str">
        <f t="shared" si="374"/>
        <v/>
      </c>
      <c r="PP48" s="109" t="str">
        <f t="shared" si="374"/>
        <v/>
      </c>
      <c r="PQ48" s="109" t="str">
        <f t="shared" si="374"/>
        <v/>
      </c>
      <c r="PR48" s="109" t="str">
        <f t="shared" si="374"/>
        <v/>
      </c>
      <c r="PS48" s="109" t="str">
        <f t="shared" si="374"/>
        <v/>
      </c>
      <c r="PT48" s="109" t="str">
        <f t="shared" si="374"/>
        <v/>
      </c>
      <c r="PU48" s="109" t="str">
        <f t="shared" si="374"/>
        <v/>
      </c>
      <c r="PV48" s="109" t="str">
        <f t="shared" si="374"/>
        <v/>
      </c>
      <c r="PW48" s="109" t="str">
        <f t="shared" si="374"/>
        <v/>
      </c>
      <c r="PX48" s="109" t="str">
        <f t="shared" si="374"/>
        <v/>
      </c>
      <c r="PY48" s="109" t="str">
        <f t="shared" si="374"/>
        <v/>
      </c>
      <c r="PZ48" s="109" t="str">
        <f t="shared" si="374"/>
        <v/>
      </c>
      <c r="QA48" s="109" t="str">
        <f t="shared" si="374"/>
        <v/>
      </c>
      <c r="QB48" s="109" t="str">
        <f t="shared" ref="QB48:SM48" si="375">IF(OR(QB$13="",QB$17="",QB$14="",QB$15="",QB$16="",QB$18="",QB$19="",QB$20="",QB$21=""),"",1-(QB74/(QB$5)))</f>
        <v/>
      </c>
      <c r="QC48" s="109" t="str">
        <f t="shared" si="375"/>
        <v/>
      </c>
      <c r="QD48" s="109" t="str">
        <f t="shared" si="375"/>
        <v/>
      </c>
      <c r="QE48" s="109" t="str">
        <f t="shared" si="375"/>
        <v/>
      </c>
      <c r="QF48" s="109" t="str">
        <f t="shared" si="375"/>
        <v/>
      </c>
      <c r="QG48" s="109" t="str">
        <f t="shared" si="375"/>
        <v/>
      </c>
      <c r="QH48" s="109" t="str">
        <f t="shared" si="375"/>
        <v/>
      </c>
      <c r="QI48" s="109" t="str">
        <f t="shared" si="375"/>
        <v/>
      </c>
      <c r="QJ48" s="109" t="str">
        <f t="shared" si="375"/>
        <v/>
      </c>
      <c r="QK48" s="109" t="str">
        <f t="shared" si="375"/>
        <v/>
      </c>
      <c r="QL48" s="109" t="str">
        <f t="shared" si="375"/>
        <v/>
      </c>
      <c r="QM48" s="109" t="str">
        <f t="shared" si="375"/>
        <v/>
      </c>
      <c r="QN48" s="109" t="str">
        <f t="shared" si="375"/>
        <v/>
      </c>
      <c r="QO48" s="109" t="str">
        <f t="shared" si="375"/>
        <v/>
      </c>
      <c r="QP48" s="109" t="str">
        <f t="shared" si="375"/>
        <v/>
      </c>
      <c r="QQ48" s="109" t="str">
        <f t="shared" si="375"/>
        <v/>
      </c>
      <c r="QR48" s="109" t="str">
        <f t="shared" si="375"/>
        <v/>
      </c>
      <c r="QS48" s="109" t="str">
        <f t="shared" si="375"/>
        <v/>
      </c>
      <c r="QT48" s="109" t="str">
        <f t="shared" si="375"/>
        <v/>
      </c>
      <c r="QU48" s="109" t="str">
        <f t="shared" si="375"/>
        <v/>
      </c>
      <c r="QV48" s="109" t="str">
        <f t="shared" si="375"/>
        <v/>
      </c>
      <c r="QW48" s="109" t="str">
        <f t="shared" si="375"/>
        <v/>
      </c>
      <c r="QX48" s="109" t="str">
        <f t="shared" si="375"/>
        <v/>
      </c>
      <c r="QY48" s="109" t="str">
        <f t="shared" si="375"/>
        <v/>
      </c>
      <c r="QZ48" s="109" t="str">
        <f t="shared" si="375"/>
        <v/>
      </c>
      <c r="RA48" s="109" t="str">
        <f t="shared" si="375"/>
        <v/>
      </c>
      <c r="RB48" s="109" t="str">
        <f t="shared" si="375"/>
        <v/>
      </c>
      <c r="RC48" s="109" t="str">
        <f t="shared" si="375"/>
        <v/>
      </c>
      <c r="RD48" s="109" t="str">
        <f t="shared" si="375"/>
        <v/>
      </c>
      <c r="RE48" s="109" t="str">
        <f t="shared" si="375"/>
        <v/>
      </c>
      <c r="RF48" s="109" t="str">
        <f t="shared" si="375"/>
        <v/>
      </c>
      <c r="RG48" s="109" t="str">
        <f t="shared" si="375"/>
        <v/>
      </c>
      <c r="RH48" s="109" t="str">
        <f t="shared" si="375"/>
        <v/>
      </c>
      <c r="RI48" s="109" t="str">
        <f t="shared" si="375"/>
        <v/>
      </c>
      <c r="RJ48" s="109" t="str">
        <f t="shared" si="375"/>
        <v/>
      </c>
      <c r="RK48" s="109" t="str">
        <f t="shared" si="375"/>
        <v/>
      </c>
      <c r="RL48" s="109" t="str">
        <f t="shared" si="375"/>
        <v/>
      </c>
      <c r="RM48" s="109" t="str">
        <f t="shared" si="375"/>
        <v/>
      </c>
      <c r="RN48" s="109" t="str">
        <f t="shared" si="375"/>
        <v/>
      </c>
      <c r="RO48" s="109" t="str">
        <f t="shared" si="375"/>
        <v/>
      </c>
      <c r="RP48" s="109" t="str">
        <f t="shared" si="375"/>
        <v/>
      </c>
      <c r="RQ48" s="109" t="str">
        <f t="shared" si="375"/>
        <v/>
      </c>
      <c r="RR48" s="109" t="str">
        <f t="shared" si="375"/>
        <v/>
      </c>
      <c r="RS48" s="109" t="str">
        <f t="shared" si="375"/>
        <v/>
      </c>
      <c r="RT48" s="109" t="str">
        <f t="shared" si="375"/>
        <v/>
      </c>
      <c r="RU48" s="109" t="str">
        <f t="shared" si="375"/>
        <v/>
      </c>
      <c r="RV48" s="109" t="str">
        <f t="shared" si="375"/>
        <v/>
      </c>
      <c r="RW48" s="109" t="str">
        <f t="shared" si="375"/>
        <v/>
      </c>
      <c r="RX48" s="109" t="str">
        <f t="shared" si="375"/>
        <v/>
      </c>
      <c r="RY48" s="109" t="str">
        <f t="shared" si="375"/>
        <v/>
      </c>
      <c r="RZ48" s="109" t="str">
        <f t="shared" si="375"/>
        <v/>
      </c>
      <c r="SA48" s="109" t="str">
        <f t="shared" si="375"/>
        <v/>
      </c>
      <c r="SB48" s="109" t="str">
        <f t="shared" si="375"/>
        <v/>
      </c>
      <c r="SC48" s="109" t="str">
        <f t="shared" si="375"/>
        <v/>
      </c>
      <c r="SD48" s="109" t="str">
        <f t="shared" si="375"/>
        <v/>
      </c>
      <c r="SE48" s="109" t="str">
        <f t="shared" si="375"/>
        <v/>
      </c>
      <c r="SF48" s="109" t="str">
        <f t="shared" si="375"/>
        <v/>
      </c>
      <c r="SG48" s="109" t="str">
        <f t="shared" si="375"/>
        <v/>
      </c>
      <c r="SH48" s="109" t="str">
        <f t="shared" si="375"/>
        <v/>
      </c>
      <c r="SI48" s="109" t="str">
        <f t="shared" si="375"/>
        <v/>
      </c>
      <c r="SJ48" s="109" t="str">
        <f t="shared" si="375"/>
        <v/>
      </c>
      <c r="SK48" s="109" t="str">
        <f t="shared" si="375"/>
        <v/>
      </c>
      <c r="SL48" s="109" t="str">
        <f t="shared" si="375"/>
        <v/>
      </c>
      <c r="SM48" s="109" t="str">
        <f t="shared" si="375"/>
        <v/>
      </c>
      <c r="SN48" s="109" t="str">
        <f t="shared" ref="SN48:SW48" si="376">IF(OR(SN$13="",SN$17="",SN$14="",SN$15="",SN$16="",SN$18="",SN$19="",SN$20="",SN$21=""),"",1-(SN74/(SN$5)))</f>
        <v/>
      </c>
      <c r="SO48" s="109" t="str">
        <f t="shared" si="376"/>
        <v/>
      </c>
      <c r="SP48" s="109" t="str">
        <f t="shared" si="376"/>
        <v/>
      </c>
      <c r="SQ48" s="109" t="str">
        <f t="shared" si="376"/>
        <v/>
      </c>
      <c r="SR48" s="109" t="str">
        <f t="shared" si="376"/>
        <v/>
      </c>
      <c r="SS48" s="109" t="str">
        <f t="shared" si="376"/>
        <v/>
      </c>
      <c r="ST48" s="109" t="str">
        <f t="shared" si="376"/>
        <v/>
      </c>
      <c r="SU48" s="109" t="str">
        <f t="shared" si="376"/>
        <v/>
      </c>
      <c r="SV48" s="109" t="str">
        <f t="shared" si="376"/>
        <v/>
      </c>
      <c r="SW48" s="109" t="str">
        <f t="shared" si="376"/>
        <v/>
      </c>
    </row>
    <row r="49" spans="1:517" ht="24.6" customHeight="1" x14ac:dyDescent="0.2">
      <c r="A49" s="94">
        <f>COUNTIF(A40:A48,B49)</f>
        <v>5</v>
      </c>
      <c r="B49" s="115" t="s">
        <v>86</v>
      </c>
      <c r="C49" s="118">
        <f t="shared" ref="C49:L50" si="377">IF(OR(C$13="",C$17="",C$14="",C$15="",C$16="",C$18="",C$19="",C$20="",C$21=""),"",1-(SUMIFS(C$66:C$74,$A$66:$A$74,$B49)/(COUNTIFS($A$40:$A$48,$B49)*C$5)))</f>
        <v>1</v>
      </c>
      <c r="D49" s="118">
        <f t="shared" si="377"/>
        <v>1</v>
      </c>
      <c r="E49" s="118">
        <f t="shared" si="377"/>
        <v>0.99333333333333329</v>
      </c>
      <c r="F49" s="118">
        <f t="shared" si="377"/>
        <v>0.995</v>
      </c>
      <c r="G49" s="118">
        <f t="shared" si="377"/>
        <v>0.996</v>
      </c>
      <c r="H49" s="118">
        <f t="shared" si="377"/>
        <v>0.98663888888888884</v>
      </c>
      <c r="I49" s="118">
        <f t="shared" si="377"/>
        <v>0.98679761904761909</v>
      </c>
      <c r="J49" s="118">
        <f t="shared" si="377"/>
        <v>0.96084375</v>
      </c>
      <c r="K49" s="118">
        <f t="shared" si="377"/>
        <v>0.96403703703703703</v>
      </c>
      <c r="L49" s="118">
        <f t="shared" si="377"/>
        <v>0.96077500000000005</v>
      </c>
      <c r="M49" s="118">
        <f t="shared" ref="M49:V50" si="378">IF(OR(M$13="",M$17="",M$14="",M$15="",M$16="",M$18="",M$19="",M$20="",M$21=""),"",1-(SUMIFS(M$66:M$74,$A$66:$A$74,$B49)/(COUNTIFS($A$40:$A$48,$B49)*M$5)))</f>
        <v>0.93678787878787873</v>
      </c>
      <c r="N49" s="118">
        <f t="shared" si="378"/>
        <v>0.93608333333333338</v>
      </c>
      <c r="O49" s="118">
        <f t="shared" si="378"/>
        <v>0.913551282051282</v>
      </c>
      <c r="P49" s="118">
        <f t="shared" si="378"/>
        <v>0.91972619047619042</v>
      </c>
      <c r="Q49" s="118">
        <f t="shared" si="378"/>
        <v>0.92149444444444439</v>
      </c>
      <c r="R49" s="118">
        <f t="shared" si="378"/>
        <v>0.91071875000000002</v>
      </c>
      <c r="S49" s="118">
        <f t="shared" si="378"/>
        <v>0.91547058823529415</v>
      </c>
      <c r="T49" s="118">
        <f t="shared" si="378"/>
        <v>0.91765277777777776</v>
      </c>
      <c r="U49" s="118">
        <f t="shared" si="378"/>
        <v>0.9205526315789474</v>
      </c>
      <c r="V49" s="118">
        <f t="shared" si="378"/>
        <v>0.91878749999999998</v>
      </c>
      <c r="W49" s="118">
        <f t="shared" ref="W49:AF50" si="379">IF(OR(W$13="",W$17="",W$14="",W$15="",W$16="",W$18="",W$19="",W$20="",W$21=""),"",1-(SUMIFS(W$66:W$74,$A$66:$A$74,$B49)/(COUNTIFS($A$40:$A$48,$B49)*W$5)))</f>
        <v>0.92256746031746029</v>
      </c>
      <c r="X49" s="118">
        <f t="shared" si="379"/>
        <v>0.91625378787878786</v>
      </c>
      <c r="Y49" s="118">
        <f t="shared" si="379"/>
        <v>0.89976811594202899</v>
      </c>
      <c r="Z49" s="118">
        <f t="shared" si="379"/>
        <v>0.9006805555555556</v>
      </c>
      <c r="AA49" s="118">
        <f t="shared" si="379"/>
        <v>0.90347</v>
      </c>
      <c r="AB49" s="118">
        <f t="shared" si="379"/>
        <v>0.90718269230769233</v>
      </c>
      <c r="AC49" s="118">
        <f t="shared" si="379"/>
        <v>0.91026234567901232</v>
      </c>
      <c r="AD49" s="118">
        <f t="shared" si="379"/>
        <v>0.90081845238095237</v>
      </c>
      <c r="AE49" s="118">
        <f t="shared" si="379"/>
        <v>0.9042385057471265</v>
      </c>
      <c r="AF49" s="118">
        <f t="shared" si="379"/>
        <v>0.9032</v>
      </c>
      <c r="AG49" s="118">
        <f t="shared" ref="AG49:AP50" si="380">IF(OR(AG$13="",AG$17="",AG$14="",AG$15="",AG$16="",AG$18="",AG$19="",AG$20="",AG$21=""),"",1-(SUMIFS(AG$66:AG$74,$A$66:$A$74,$B49)/(COUNTIFS($A$40:$A$48,$B49)*AG$5)))</f>
        <v>0.90471505376344086</v>
      </c>
      <c r="AH49" s="118">
        <f t="shared" si="380"/>
        <v>0.98358333333333337</v>
      </c>
      <c r="AI49" s="118">
        <f t="shared" si="380"/>
        <v>0.89683333333333337</v>
      </c>
      <c r="AJ49" s="118">
        <f t="shared" si="380"/>
        <v>0.91449999999999998</v>
      </c>
      <c r="AK49" s="118">
        <f t="shared" si="380"/>
        <v>0.91947916666666663</v>
      </c>
      <c r="AL49" s="118">
        <f t="shared" si="380"/>
        <v>0.92466666666666664</v>
      </c>
      <c r="AM49" s="118">
        <f t="shared" si="380"/>
        <v>0.90672222222222221</v>
      </c>
      <c r="AN49" s="118">
        <f t="shared" si="380"/>
        <v>0.91414285714285715</v>
      </c>
      <c r="AO49" s="118">
        <f t="shared" si="380"/>
        <v>0.91008333333333336</v>
      </c>
      <c r="AP49" s="118">
        <f t="shared" si="380"/>
        <v>0.90369444444444447</v>
      </c>
      <c r="AQ49" s="118">
        <f t="shared" ref="AQ49:AZ50" si="381">IF(OR(AQ$13="",AQ$17="",AQ$14="",AQ$15="",AQ$16="",AQ$18="",AQ$19="",AQ$20="",AQ$21=""),"",1-(SUMIFS(AQ$66:AQ$74,$A$66:$A$74,$B49)/(COUNTIFS($A$40:$A$48,$B49)*AQ$5)))</f>
        <v>0.89798333333333336</v>
      </c>
      <c r="AR49" s="118">
        <f t="shared" si="381"/>
        <v>0.89467424242424243</v>
      </c>
      <c r="AS49" s="118">
        <f t="shared" si="381"/>
        <v>0.89015277777777779</v>
      </c>
      <c r="AT49" s="118">
        <f t="shared" si="381"/>
        <v>0.89680128205128207</v>
      </c>
      <c r="AU49" s="118">
        <f t="shared" si="381"/>
        <v>0.8920178571428572</v>
      </c>
      <c r="AV49" s="118">
        <f t="shared" si="381"/>
        <v>0.88337222222222223</v>
      </c>
      <c r="AW49" s="118">
        <f t="shared" si="381"/>
        <v>0.88355208333333335</v>
      </c>
      <c r="AX49" s="118">
        <f t="shared" si="381"/>
        <v>0.88883823529411765</v>
      </c>
      <c r="AY49" s="118">
        <f t="shared" si="381"/>
        <v>0.87897222222222227</v>
      </c>
      <c r="AZ49" s="118">
        <f t="shared" si="381"/>
        <v>0.87486403508771926</v>
      </c>
      <c r="BA49" s="118">
        <f t="shared" ref="BA49:BJ50" si="382">IF(OR(BA$13="",BA$17="",BA$14="",BA$15="",BA$16="",BA$18="",BA$19="",BA$20="",BA$21=""),"",1-(SUMIFS(BA$66:BA$74,$A$66:$A$74,$B49)/(COUNTIFS($A$40:$A$48,$B49)*BA$5)))</f>
        <v>0.87001250000000008</v>
      </c>
      <c r="BB49" s="118">
        <f t="shared" si="382"/>
        <v>0.87509920634920635</v>
      </c>
      <c r="BC49" s="118">
        <f t="shared" si="382"/>
        <v>0.87635984848484849</v>
      </c>
      <c r="BD49" s="118">
        <f t="shared" si="382"/>
        <v>0.88055072463768114</v>
      </c>
      <c r="BE49" s="118">
        <f t="shared" si="382"/>
        <v>0.88389236111111114</v>
      </c>
      <c r="BF49" s="118">
        <f t="shared" si="382"/>
        <v>0.88722999999999996</v>
      </c>
      <c r="BG49" s="118">
        <f t="shared" si="382"/>
        <v>0.89001923076923073</v>
      </c>
      <c r="BH49" s="118">
        <f t="shared" si="382"/>
        <v>0.89291975308641969</v>
      </c>
      <c r="BI49" s="118">
        <f t="shared" si="382"/>
        <v>0.89414583333333331</v>
      </c>
      <c r="BJ49" s="118">
        <f t="shared" si="382"/>
        <v>0.74058333333333337</v>
      </c>
      <c r="BK49" s="118">
        <f t="shared" ref="BK49:BT50" si="383">IF(OR(BK$13="",BK$17="",BK$14="",BK$15="",BK$16="",BK$18="",BK$19="",BK$20="",BK$21=""),"",1-(SUMIFS(BK$66:BK$74,$A$66:$A$74,$B49)/(COUNTIFS($A$40:$A$48,$B49)*BK$5)))</f>
        <v>0.75108333333333333</v>
      </c>
      <c r="BL49" s="118">
        <f t="shared" si="383"/>
        <v>0.71447222222222218</v>
      </c>
      <c r="BM49" s="118">
        <f t="shared" si="383"/>
        <v>0.78585416666666674</v>
      </c>
      <c r="BN49" s="118">
        <f t="shared" si="383"/>
        <v>0.78751666666666664</v>
      </c>
      <c r="BO49" s="118">
        <f t="shared" si="383"/>
        <v>0.78888888888888886</v>
      </c>
      <c r="BP49" s="118">
        <f t="shared" si="383"/>
        <v>0.81423809523809521</v>
      </c>
      <c r="BQ49" s="118">
        <f t="shared" si="383"/>
        <v>0.83121875000000001</v>
      </c>
      <c r="BR49" s="118">
        <f t="shared" si="383"/>
        <v>0.83253703703703708</v>
      </c>
      <c r="BS49" s="118">
        <f t="shared" si="383"/>
        <v>0.8302166666666666</v>
      </c>
      <c r="BT49" s="118">
        <f t="shared" si="383"/>
        <v>0.84097727272727274</v>
      </c>
      <c r="BU49" s="118">
        <f t="shared" ref="BU49:CD50" si="384">IF(OR(BU$13="",BU$17="",BU$14="",BU$15="",BU$16="",BU$18="",BU$19="",BU$20="",BU$21=""),"",1-(SUMIFS(BU$66:BU$74,$A$66:$A$74,$B49)/(COUNTIFS($A$40:$A$48,$B49)*BU$5)))</f>
        <v>0.85021527777777783</v>
      </c>
      <c r="BV49" s="118">
        <f t="shared" si="384"/>
        <v>0.85019230769230769</v>
      </c>
      <c r="BW49" s="118">
        <f t="shared" si="384"/>
        <v>0.85363095238095243</v>
      </c>
      <c r="BX49" s="118">
        <f t="shared" si="384"/>
        <v>0.86198888888888892</v>
      </c>
      <c r="BY49" s="118">
        <f t="shared" si="384"/>
        <v>0.86790624999999999</v>
      </c>
      <c r="BZ49" s="118">
        <f t="shared" si="384"/>
        <v>0.87394607843137262</v>
      </c>
      <c r="CA49" s="118">
        <f t="shared" si="384"/>
        <v>0.87498611111111113</v>
      </c>
      <c r="CB49" s="118">
        <f t="shared" si="384"/>
        <v>0.85416666666666663</v>
      </c>
      <c r="CC49" s="118">
        <f t="shared" si="384"/>
        <v>0.84079583333333341</v>
      </c>
      <c r="CD49" s="118">
        <f t="shared" si="384"/>
        <v>0.84528571428571431</v>
      </c>
      <c r="CE49" s="118">
        <f t="shared" ref="CE49:CN50" si="385">IF(OR(CE$13="",CE$17="",CE$14="",CE$15="",CE$16="",CE$18="",CE$19="",CE$20="",CE$21=""),"",1-(SUMIFS(CE$66:CE$74,$A$66:$A$74,$B49)/(COUNTIFS($A$40:$A$48,$B49)*CE$5)))</f>
        <v>0.85231818181818175</v>
      </c>
      <c r="CF49" s="118">
        <f t="shared" si="385"/>
        <v>0.85234057971014487</v>
      </c>
      <c r="CG49" s="118">
        <f t="shared" si="385"/>
        <v>0.85838194444444449</v>
      </c>
      <c r="CH49" s="118">
        <f t="shared" si="385"/>
        <v>0.86241333333333337</v>
      </c>
      <c r="CI49" s="118">
        <f t="shared" si="385"/>
        <v>0.86397115384615386</v>
      </c>
      <c r="CJ49" s="118">
        <f t="shared" si="385"/>
        <v>0.86584259259259255</v>
      </c>
      <c r="CK49" s="118">
        <f t="shared" si="385"/>
        <v>0.87063392857142863</v>
      </c>
      <c r="CL49" s="118">
        <f t="shared" si="385"/>
        <v>0.87449712643678157</v>
      </c>
      <c r="CM49" s="118">
        <f t="shared" si="385"/>
        <v>0.87078888888888883</v>
      </c>
      <c r="CN49" s="118">
        <f t="shared" si="385"/>
        <v>0.87206720430107532</v>
      </c>
      <c r="CO49" s="118">
        <f t="shared" ref="CO49:CX50" si="386">IF(OR(CO$13="",CO$17="",CO$14="",CO$15="",CO$16="",CO$18="",CO$19="",CO$20="",CO$21=""),"",1-(SUMIFS(CO$66:CO$74,$A$66:$A$74,$B49)/(COUNTIFS($A$40:$A$48,$B49)*CO$5)))</f>
        <v>0.70866666666666667</v>
      </c>
      <c r="CP49" s="118">
        <f t="shared" si="386"/>
        <v>0.80908333333333338</v>
      </c>
      <c r="CQ49" s="118">
        <f t="shared" si="386"/>
        <v>0.82350000000000001</v>
      </c>
      <c r="CR49" s="118">
        <f t="shared" si="386"/>
        <v>0.79891666666666661</v>
      </c>
      <c r="CS49" s="118">
        <f t="shared" si="386"/>
        <v>0.78716666666666668</v>
      </c>
      <c r="CT49" s="118">
        <f t="shared" si="386"/>
        <v>0.7976388888888889</v>
      </c>
      <c r="CU49" s="118">
        <f t="shared" si="386"/>
        <v>0.81408333333333338</v>
      </c>
      <c r="CV49" s="118">
        <f t="shared" si="386"/>
        <v>0.83583333333333332</v>
      </c>
      <c r="CW49" s="118">
        <f t="shared" si="386"/>
        <v>0.8540740740740741</v>
      </c>
      <c r="CX49" s="118">
        <f t="shared" si="386"/>
        <v>0.8686666666666667</v>
      </c>
      <c r="CY49" s="118">
        <f t="shared" ref="CY49:DH50" si="387">IF(OR(CY$13="",CY$17="",CY$14="",CY$15="",CY$16="",CY$18="",CY$19="",CY$20="",CY$21=""),"",1-(SUMIFS(CY$66:CY$74,$A$66:$A$74,$B49)/(COUNTIFS($A$40:$A$48,$B49)*CY$5)))</f>
        <v>0.86778030303030307</v>
      </c>
      <c r="CZ49" s="118">
        <f t="shared" si="387"/>
        <v>0.87879861111111113</v>
      </c>
      <c r="DA49" s="118">
        <f t="shared" si="387"/>
        <v>0.87697435897435894</v>
      </c>
      <c r="DB49" s="118">
        <f t="shared" si="387"/>
        <v>0.88315476190476194</v>
      </c>
      <c r="DC49" s="118">
        <f t="shared" si="387"/>
        <v>0.89094444444444443</v>
      </c>
      <c r="DD49" s="118">
        <f t="shared" si="387"/>
        <v>0.89056770833333332</v>
      </c>
      <c r="DE49" s="118">
        <f t="shared" si="387"/>
        <v>0.89126960784313725</v>
      </c>
      <c r="DF49" s="118">
        <f t="shared" si="387"/>
        <v>0.89638425925925924</v>
      </c>
      <c r="DG49" s="118">
        <f t="shared" si="387"/>
        <v>0.89514912280701753</v>
      </c>
      <c r="DH49" s="118">
        <f t="shared" si="387"/>
        <v>0.88175000000000003</v>
      </c>
      <c r="DI49" s="118">
        <f t="shared" ref="DI49:DR50" si="388">IF(OR(DI$13="",DI$17="",DI$14="",DI$15="",DI$16="",DI$18="",DI$19="",DI$20="",DI$21=""),"",1-(SUMIFS(DI$66:DI$74,$A$66:$A$74,$B49)/(COUNTIFS($A$40:$A$48,$B49)*DI$5)))</f>
        <v>0.88665079365079369</v>
      </c>
      <c r="DJ49" s="118">
        <f t="shared" si="388"/>
        <v>0.88943181818181816</v>
      </c>
      <c r="DK49" s="118">
        <f t="shared" si="388"/>
        <v>0.8929021739130435</v>
      </c>
      <c r="DL49" s="118">
        <f t="shared" si="388"/>
        <v>0.89610763888888889</v>
      </c>
      <c r="DM49" s="118">
        <f t="shared" si="388"/>
        <v>0.9002633333333333</v>
      </c>
      <c r="DN49" s="118">
        <f t="shared" si="388"/>
        <v>0.904099358974359</v>
      </c>
      <c r="DO49" s="118">
        <f t="shared" si="388"/>
        <v>0.90495061728395065</v>
      </c>
      <c r="DP49" s="118">
        <f t="shared" si="388"/>
        <v>0.90593452380952377</v>
      </c>
      <c r="DQ49" s="118">
        <f t="shared" si="388"/>
        <v>0.90885344827586212</v>
      </c>
      <c r="DR49" s="118">
        <f t="shared" si="388"/>
        <v>0.90188611111111106</v>
      </c>
      <c r="DS49" s="118">
        <f t="shared" ref="DS49:EB50" si="389">IF(OR(DS$13="",DS$17="",DS$14="",DS$15="",DS$16="",DS$18="",DS$19="",DS$20="",DS$21=""),"",1-(SUMIFS(DS$66:DS$74,$A$66:$A$74,$B49)/(COUNTIFS($A$40:$A$48,$B49)*DS$5)))</f>
        <v>0.86349999999999993</v>
      </c>
      <c r="DT49" s="118">
        <f t="shared" si="389"/>
        <v>0.91108333333333336</v>
      </c>
      <c r="DU49" s="118">
        <f t="shared" si="389"/>
        <v>0.84086111111111106</v>
      </c>
      <c r="DV49" s="118">
        <f t="shared" si="389"/>
        <v>0.86845833333333333</v>
      </c>
      <c r="DW49" s="118">
        <f t="shared" si="389"/>
        <v>0.89264999999999994</v>
      </c>
      <c r="DX49" s="118">
        <f t="shared" si="389"/>
        <v>0.89102777777777775</v>
      </c>
      <c r="DY49" s="118">
        <f t="shared" si="389"/>
        <v>0.90113095238095231</v>
      </c>
      <c r="DZ49" s="118">
        <f t="shared" si="389"/>
        <v>0.89283333333333337</v>
      </c>
      <c r="EA49" s="118">
        <f t="shared" si="389"/>
        <v>0.90474074074074073</v>
      </c>
      <c r="EB49" s="118">
        <f t="shared" si="389"/>
        <v>0.90760833333333335</v>
      </c>
      <c r="EC49" s="118">
        <f t="shared" ref="EC49:EL50" si="390">IF(OR(EC$13="",EC$17="",EC$14="",EC$15="",EC$16="",EC$18="",EC$19="",EC$20="",EC$21=""),"",1-(SUMIFS(EC$66:EC$74,$A$66:$A$74,$B49)/(COUNTIFS($A$40:$A$48,$B49)*EC$5)))</f>
        <v>0.88370454545454546</v>
      </c>
      <c r="ED49" s="118">
        <f t="shared" si="390"/>
        <v>0.88360416666666663</v>
      </c>
      <c r="EE49" s="118">
        <f t="shared" si="390"/>
        <v>0.86228205128205127</v>
      </c>
      <c r="EF49" s="118">
        <f t="shared" si="390"/>
        <v>0.87211904761904768</v>
      </c>
      <c r="EG49" s="118">
        <f t="shared" si="390"/>
        <v>0.85846666666666671</v>
      </c>
      <c r="EH49" s="118">
        <f t="shared" si="390"/>
        <v>0.86711979166666664</v>
      </c>
      <c r="EI49" s="118">
        <f t="shared" si="390"/>
        <v>0.86077941176470585</v>
      </c>
      <c r="EJ49" s="118">
        <f t="shared" si="390"/>
        <v>0.86228240740740736</v>
      </c>
      <c r="EK49" s="118">
        <f t="shared" si="390"/>
        <v>0.86606578947368418</v>
      </c>
      <c r="EL49" s="118">
        <f t="shared" si="390"/>
        <v>0.86228333333333329</v>
      </c>
      <c r="EM49" s="118">
        <f t="shared" ref="EM49:EV50" si="391">IF(OR(EM$13="",EM$17="",EM$14="",EM$15="",EM$16="",EM$18="",EM$19="",EM$20="",EM$21=""),"",1-(SUMIFS(EM$66:EM$74,$A$66:$A$74,$B49)/(COUNTIFS($A$40:$A$48,$B49)*EM$5)))</f>
        <v>0.86464682539682536</v>
      </c>
      <c r="EN49" s="118">
        <f t="shared" si="391"/>
        <v>0.87000378787878785</v>
      </c>
      <c r="EO49" s="118">
        <f t="shared" si="391"/>
        <v>0.86553623188405804</v>
      </c>
      <c r="EP49" s="118">
        <f t="shared" si="391"/>
        <v>0.85903125000000002</v>
      </c>
      <c r="EQ49" s="118">
        <f t="shared" si="391"/>
        <v>0.86354333333333333</v>
      </c>
      <c r="ER49" s="118">
        <f t="shared" si="391"/>
        <v>0.86577884615384615</v>
      </c>
      <c r="ES49" s="118">
        <f t="shared" si="391"/>
        <v>0.86835802469135803</v>
      </c>
      <c r="ET49" s="118">
        <f t="shared" si="391"/>
        <v>0.87111607142857139</v>
      </c>
      <c r="EU49" s="118">
        <f t="shared" si="391"/>
        <v>0.87556034482758616</v>
      </c>
      <c r="EV49" s="118">
        <f t="shared" si="391"/>
        <v>0.87970833333333331</v>
      </c>
      <c r="EW49" s="118">
        <f t="shared" ref="EW49:FF50" si="392">IF(OR(EW$13="",EW$17="",EW$14="",EW$15="",EW$16="",EW$18="",EW$19="",EW$20="",EW$21=""),"",1-(SUMIFS(EW$66:EW$74,$A$66:$A$74,$B49)/(COUNTIFS($A$40:$A$48,$B49)*EW$5)))</f>
        <v>0.88358870967741932</v>
      </c>
      <c r="EX49" s="118">
        <f t="shared" si="392"/>
        <v>1</v>
      </c>
      <c r="EY49" s="118">
        <f t="shared" si="392"/>
        <v>1</v>
      </c>
      <c r="EZ49" s="118">
        <f t="shared" si="392"/>
        <v>1</v>
      </c>
      <c r="FA49" s="118">
        <f t="shared" si="392"/>
        <v>1</v>
      </c>
      <c r="FB49" s="118">
        <f t="shared" si="392"/>
        <v>1</v>
      </c>
      <c r="FC49" s="118">
        <f t="shared" si="392"/>
        <v>1</v>
      </c>
      <c r="FD49" s="118">
        <f t="shared" si="392"/>
        <v>0.99458333333333337</v>
      </c>
      <c r="FE49" s="118">
        <f t="shared" si="392"/>
        <v>0.96699999999999997</v>
      </c>
      <c r="FF49" s="118">
        <f t="shared" si="392"/>
        <v>0.96002777777777781</v>
      </c>
      <c r="FG49" s="118">
        <f t="shared" ref="FG49:FP50" si="393">IF(OR(FG$13="",FG$17="",FG$14="",FG$15="",FG$16="",FG$18="",FG$19="",FG$20="",FG$21=""),"",1-(SUMIFS(FG$66:FG$74,$A$66:$A$74,$B49)/(COUNTIFS($A$40:$A$48,$B49)*FG$5)))</f>
        <v>0.94350000000000001</v>
      </c>
      <c r="FH49" s="118">
        <f t="shared" si="393"/>
        <v>0.93988636363636369</v>
      </c>
      <c r="FI49" s="118">
        <f t="shared" si="393"/>
        <v>0.9291180555555556</v>
      </c>
      <c r="FJ49" s="118">
        <f t="shared" si="393"/>
        <v>0.93009615384615385</v>
      </c>
      <c r="FK49" s="118">
        <f t="shared" si="393"/>
        <v>0.92149999999999999</v>
      </c>
      <c r="FL49" s="118">
        <f t="shared" si="393"/>
        <v>0.92495555555555553</v>
      </c>
      <c r="FM49" s="118">
        <f t="shared" si="393"/>
        <v>0.92697916666666669</v>
      </c>
      <c r="FN49" s="118">
        <f t="shared" si="393"/>
        <v>0.93127450980392157</v>
      </c>
      <c r="FO49" s="118">
        <f t="shared" si="393"/>
        <v>0.92043518518518519</v>
      </c>
      <c r="FP49" s="118">
        <f t="shared" si="393"/>
        <v>0.89635964912280708</v>
      </c>
      <c r="FQ49" s="118">
        <f t="shared" ref="FQ49:FZ50" si="394">IF(OR(FQ$13="",FQ$17="",FQ$14="",FQ$15="",FQ$16="",FQ$18="",FQ$19="",FQ$20="",FQ$21=""),"",1-(SUMIFS(FQ$66:FQ$74,$A$66:$A$74,$B49)/(COUNTIFS($A$40:$A$48,$B49)*FQ$5)))</f>
        <v>0.89769583333333336</v>
      </c>
      <c r="FR49" s="118">
        <f t="shared" si="394"/>
        <v>0.84144841269841275</v>
      </c>
      <c r="FS49" s="118">
        <f t="shared" si="394"/>
        <v>0.84317424242424244</v>
      </c>
      <c r="FT49" s="118">
        <f t="shared" si="394"/>
        <v>0.84028985507246379</v>
      </c>
      <c r="FU49" s="118">
        <f t="shared" si="394"/>
        <v>0.8393680555555556</v>
      </c>
      <c r="FV49" s="118">
        <f t="shared" si="394"/>
        <v>0.83875666666666659</v>
      </c>
      <c r="FW49" s="118">
        <f t="shared" si="394"/>
        <v>0.8384807692307692</v>
      </c>
      <c r="FX49" s="118">
        <f t="shared" si="394"/>
        <v>0.83875</v>
      </c>
      <c r="FY49" s="118">
        <f t="shared" si="394"/>
        <v>0.76196130952380958</v>
      </c>
      <c r="FZ49" s="118">
        <f t="shared" si="394"/>
        <v>0.76685919540229885</v>
      </c>
      <c r="GA49" s="118">
        <f>IF(OR(GA$13="",GA$17="",GA$14="",GA$15="",GA$16="",GA$18="",GA$19="",GA$20="",GA$21=""),"",1-(SUMIFS(GA$66:GA$74,$A$66:$A$74,$B49)/(COUNTIFS($A$40:$A$48,$B49)*GA$5)))</f>
        <v>0.77426944444444445</v>
      </c>
      <c r="GB49" s="118">
        <f>IF(OR(GB$13="",GB$17="",GB$14="",GB$15="",GB$16="",GB$18="",GB$19="",GB$20="",GB$21=""),"",1-(SUMIFS(GB$66:GB$74,$A$66:$A$74,$B49)/(COUNTIFS($A$40:$A$48,$B49)*GB$5)))</f>
        <v>0.4654166666666667</v>
      </c>
      <c r="GC49" s="118">
        <f t="shared" ref="GC49:GJ50" si="395">IF(OR(GC$13="",GC$17="",GC$14="",GC$15="",GC$16="",GC$18="",GC$19="",GC$20="",GC$21=""),"",1-(SUMIFS(GC$66:GC$74,$A$66:$A$74,$B49)/(COUNTIFS($A$40:$A$48,$B49)*GC$5)))</f>
        <v>0.67074999999999996</v>
      </c>
      <c r="GD49" s="118">
        <f t="shared" si="395"/>
        <v>0.71313888888888888</v>
      </c>
      <c r="GE49" s="118">
        <f t="shared" si="395"/>
        <v>0.71068750000000003</v>
      </c>
      <c r="GF49" s="118">
        <f t="shared" si="395"/>
        <v>0.75246666666666673</v>
      </c>
      <c r="GG49" s="118">
        <f t="shared" si="395"/>
        <v>0.66705555555555562</v>
      </c>
      <c r="GH49" s="118">
        <f t="shared" si="395"/>
        <v>0.68664285714285711</v>
      </c>
      <c r="GI49" s="118">
        <f t="shared" si="395"/>
        <v>0.71912500000000001</v>
      </c>
      <c r="GJ49" s="118">
        <f t="shared" si="395"/>
        <v>0.74441666666666673</v>
      </c>
      <c r="GK49" s="118">
        <f t="shared" ref="GK49:GT50" si="396">IF(OR(GK$13="",GK$17="",GK$14="",GK$15="",GK$16="",GK$18="",GK$19="",GK$20="",GK$21=""),"",1-(SUMIFS(GK$66:GK$74,$A$66:$A$74,$B49)/(COUNTIFS($A$40:$A$48,$B49)*GK$5)))</f>
        <v>0.76997500000000008</v>
      </c>
      <c r="GL49" s="118">
        <f t="shared" si="396"/>
        <v>0.64628030303030304</v>
      </c>
      <c r="GM49" s="118">
        <f t="shared" si="396"/>
        <v>0.66679166666666667</v>
      </c>
      <c r="GN49" s="118">
        <f t="shared" si="396"/>
        <v>0.69242307692307692</v>
      </c>
      <c r="GO49" s="118">
        <f t="shared" si="396"/>
        <v>0.71439285714285716</v>
      </c>
      <c r="GP49" s="118">
        <f t="shared" si="396"/>
        <v>0.73343333333333338</v>
      </c>
      <c r="GQ49" s="118">
        <f t="shared" si="396"/>
        <v>0.75009375</v>
      </c>
      <c r="GR49" s="118">
        <f t="shared" si="396"/>
        <v>0.74130392156862746</v>
      </c>
      <c r="GS49" s="118">
        <f t="shared" si="396"/>
        <v>0.75567592592592592</v>
      </c>
      <c r="GT49" s="118">
        <f t="shared" si="396"/>
        <v>0.76345614035087717</v>
      </c>
      <c r="GU49" s="118">
        <f t="shared" ref="GU49:HD50" si="397">IF(OR(GU$13="",GU$17="",GU$14="",GU$15="",GU$16="",GU$18="",GU$19="",GU$20="",GU$21=""),"",1-(SUMIFS(GU$66:GU$74,$A$66:$A$74,$B49)/(COUNTIFS($A$40:$A$48,$B49)*GU$5)))</f>
        <v>0.75535833333333335</v>
      </c>
      <c r="GV49" s="118">
        <f t="shared" si="397"/>
        <v>0.76700793650793653</v>
      </c>
      <c r="GW49" s="118">
        <f t="shared" si="397"/>
        <v>0.76109090909090915</v>
      </c>
      <c r="GX49" s="118">
        <f t="shared" si="397"/>
        <v>0.77147826086956528</v>
      </c>
      <c r="GY49" s="118">
        <f t="shared" si="397"/>
        <v>0.78100000000000003</v>
      </c>
      <c r="GZ49" s="118">
        <f t="shared" si="397"/>
        <v>0.78976000000000002</v>
      </c>
      <c r="HA49" s="118">
        <f t="shared" si="397"/>
        <v>0.79784615384615387</v>
      </c>
      <c r="HB49" s="118">
        <f t="shared" si="397"/>
        <v>0.80450925925925931</v>
      </c>
      <c r="HC49" s="118">
        <f t="shared" si="397"/>
        <v>0.80555357142857142</v>
      </c>
      <c r="HD49" s="118">
        <f t="shared" si="397"/>
        <v>0.8071781609195402</v>
      </c>
      <c r="HE49" s="118">
        <f t="shared" ref="HE49:HN50" si="398">IF(OR(HE$13="",HE$17="",HE$14="",HE$15="",HE$16="",HE$18="",HE$19="",HE$20="",HE$21=""),"",1-(SUMIFS(HE$66:HE$74,$A$66:$A$74,$B49)/(COUNTIFS($A$40:$A$48,$B49)*HE$5)))</f>
        <v>0.81360555555555558</v>
      </c>
      <c r="HF49" s="118">
        <f t="shared" si="398"/>
        <v>0.81550537634408604</v>
      </c>
      <c r="HG49" s="118">
        <f t="shared" si="398"/>
        <v>0.85703240740740738</v>
      </c>
      <c r="HH49" s="118">
        <f t="shared" si="398"/>
        <v>0.90560416666666665</v>
      </c>
      <c r="HI49" s="118">
        <f t="shared" si="398"/>
        <v>0.8606697530864198</v>
      </c>
      <c r="HJ49" s="118">
        <f t="shared" si="398"/>
        <v>0.87851967592592595</v>
      </c>
      <c r="HK49" s="118">
        <f t="shared" si="398"/>
        <v>0.86853055555555558</v>
      </c>
      <c r="HL49" s="118">
        <f t="shared" si="398"/>
        <v>0.86148109567901232</v>
      </c>
      <c r="HM49" s="118">
        <f t="shared" si="398"/>
        <v>0.84892261904761901</v>
      </c>
      <c r="HN49" s="118">
        <f t="shared" si="398"/>
        <v>0.8520454282407407</v>
      </c>
      <c r="HO49" s="118">
        <f t="shared" ref="HO49:HX50" si="399">IF(OR(HO$13="",HO$17="",HO$14="",HO$15="",HO$16="",HO$18="",HO$19="",HO$20="",HO$21=""),"",1-(SUMIFS(HO$66:HO$74,$A$66:$A$74,$B49)/(COUNTIFS($A$40:$A$48,$B49)*HO$5)))</f>
        <v>0.86814737654320984</v>
      </c>
      <c r="HP49" s="118">
        <f t="shared" si="399"/>
        <v>0.85174745370370375</v>
      </c>
      <c r="HQ49" s="118">
        <f t="shared" si="399"/>
        <v>0.86383775252525252</v>
      </c>
      <c r="HR49" s="118">
        <f t="shared" si="399"/>
        <v>0.85944753086419756</v>
      </c>
      <c r="HS49" s="118">
        <f t="shared" si="399"/>
        <v>0.85977742165242166</v>
      </c>
      <c r="HT49" s="118">
        <f t="shared" si="399"/>
        <v>0.86498693783068781</v>
      </c>
      <c r="HU49" s="118">
        <f t="shared" si="399"/>
        <v>0.86742546296296297</v>
      </c>
      <c r="HV49" s="118">
        <f t="shared" si="399"/>
        <v>0.87447164351851847</v>
      </c>
      <c r="HW49" s="118">
        <f t="shared" si="399"/>
        <v>0.87610334967320258</v>
      </c>
      <c r="HX49" s="118">
        <f t="shared" si="399"/>
        <v>0.87374228395061726</v>
      </c>
      <c r="HY49" s="118">
        <f t="shared" ref="HY49:IH50" si="400">IF(OR(HY$13="",HY$17="",HY$14="",HY$15="",HY$16="",HY$18="",HY$19="",HY$20="",HY$21=""),"",1-(SUMIFS(HY$66:HY$74,$A$66:$A$74,$B49)/(COUNTIFS($A$40:$A$48,$B49)*HY$5)))</f>
        <v>0.87386915204678361</v>
      </c>
      <c r="HZ49" s="118">
        <f t="shared" si="400"/>
        <v>0.85675625</v>
      </c>
      <c r="IA49" s="118">
        <f t="shared" si="400"/>
        <v>0.86002976190476188</v>
      </c>
      <c r="IB49" s="118">
        <f t="shared" si="400"/>
        <v>0.86401946548821551</v>
      </c>
      <c r="IC49" s="118">
        <f t="shared" si="400"/>
        <v>0.86172876409017718</v>
      </c>
      <c r="ID49" s="118">
        <f t="shared" si="400"/>
        <v>0.86571228780864196</v>
      </c>
      <c r="IE49" s="118">
        <f t="shared" si="400"/>
        <v>0.86691046296296292</v>
      </c>
      <c r="IF49" s="118">
        <f t="shared" si="400"/>
        <v>0.86886582977207971</v>
      </c>
      <c r="IG49" s="118">
        <f t="shared" si="400"/>
        <v>0.87161462620027441</v>
      </c>
      <c r="IH49" s="118">
        <f t="shared" si="400"/>
        <v>0.84932481812169314</v>
      </c>
      <c r="II49" s="118">
        <f t="shared" ref="II49:IR50" si="401">IF(OR(II$13="",II$17="",II$14="",II$15="",II$16="",II$18="",II$19="",II$20="",II$21=""),"",1-(SUMIFS(II$66:II$74,$A$66:$A$74,$B49)/(COUNTIFS($A$40:$A$48,$B49)*II$5)))</f>
        <v>0.85452051404853124</v>
      </c>
      <c r="IJ49" s="118">
        <f t="shared" si="401"/>
        <v>0.83956705246913588</v>
      </c>
      <c r="IK49" s="118">
        <f t="shared" si="401"/>
        <v>0.84091233572281965</v>
      </c>
      <c r="IL49" s="118">
        <f t="shared" si="401"/>
        <v>0.92401851851851857</v>
      </c>
      <c r="IM49" s="118">
        <f t="shared" si="401"/>
        <v>0.91567129629629629</v>
      </c>
      <c r="IN49" s="118">
        <f t="shared" si="401"/>
        <v>0.85989891975308641</v>
      </c>
      <c r="IO49" s="118">
        <f t="shared" si="401"/>
        <v>0.86072974537037039</v>
      </c>
      <c r="IP49" s="118">
        <f t="shared" si="401"/>
        <v>0.87075740740740737</v>
      </c>
      <c r="IQ49" s="118">
        <f t="shared" si="401"/>
        <v>0.8773105709876543</v>
      </c>
      <c r="IR49" s="118">
        <f t="shared" si="401"/>
        <v>0.87996395502645508</v>
      </c>
      <c r="IS49" s="118">
        <f t="shared" ref="IS49:JB50" si="402">IF(OR(IS$13="",IS$17="",IS$14="",IS$15="",IS$16="",IS$18="",IS$19="",IS$20="",IS$21=""),"",1-(SUMIFS(IS$66:IS$74,$A$66:$A$74,$B49)/(COUNTIFS($A$40:$A$48,$B49)*IS$5)))</f>
        <v>0.88907667824074077</v>
      </c>
      <c r="IT49" s="118">
        <f t="shared" si="402"/>
        <v>0.88298251028806585</v>
      </c>
      <c r="IU49" s="118">
        <f t="shared" si="402"/>
        <v>0.85966388888888889</v>
      </c>
      <c r="IV49" s="118">
        <f t="shared" si="402"/>
        <v>0.8471012205387205</v>
      </c>
      <c r="IW49" s="118">
        <f t="shared" si="402"/>
        <v>0.83609915123456791</v>
      </c>
      <c r="IX49" s="118">
        <f t="shared" si="402"/>
        <v>0.81383618233618238</v>
      </c>
      <c r="IY49" s="118">
        <f t="shared" si="402"/>
        <v>0.80162615740740739</v>
      </c>
      <c r="IZ49" s="118">
        <f t="shared" si="402"/>
        <v>0.80501080246913581</v>
      </c>
      <c r="JA49" s="118">
        <f t="shared" si="402"/>
        <v>0.80727430555555557</v>
      </c>
      <c r="JB49" s="118">
        <f t="shared" si="402"/>
        <v>0.81801824618736385</v>
      </c>
      <c r="JC49" s="118">
        <f t="shared" ref="JC49:JL50" si="403">IF(OR(JC$13="",JC$17="",JC$14="",JC$15="",JC$16="",JC$18="",JC$19="",JC$20="",JC$21=""),"",1-(SUMIFS(JC$66:JC$74,$A$66:$A$74,$B49)/(COUNTIFS($A$40:$A$48,$B49)*JC$5)))</f>
        <v>0.82767746913580242</v>
      </c>
      <c r="JD49" s="118">
        <f t="shared" si="403"/>
        <v>0.83246162280701752</v>
      </c>
      <c r="JE49" s="118">
        <f t="shared" si="403"/>
        <v>0.83980532407407404</v>
      </c>
      <c r="JF49" s="118">
        <f t="shared" si="403"/>
        <v>0.84743364197530857</v>
      </c>
      <c r="JG49" s="118">
        <f t="shared" si="403"/>
        <v>0.85436847643097646</v>
      </c>
      <c r="JH49" s="118">
        <f t="shared" si="403"/>
        <v>0.85710688405797097</v>
      </c>
      <c r="JI49" s="118">
        <f t="shared" si="403"/>
        <v>0.85370920138888895</v>
      </c>
      <c r="JJ49" s="118">
        <f t="shared" si="403"/>
        <v>0.84981657407407407</v>
      </c>
      <c r="JK49" s="118">
        <f t="shared" si="403"/>
        <v>0.85259891381766384</v>
      </c>
      <c r="JL49" s="118">
        <f t="shared" si="403"/>
        <v>0.85610459533607686</v>
      </c>
      <c r="JM49" s="118">
        <f t="shared" ref="JM49:JV50" si="404">IF(OR(JM$13="",JM$17="",JM$14="",JM$15="",JM$16="",JM$18="",JM$19="",JM$20="",JM$21=""),"",1-(SUMIFS(JM$66:JM$74,$A$66:$A$74,$B49)/(COUNTIFS($A$40:$A$48,$B49)*JM$5)))</f>
        <v>0.85903538359788367</v>
      </c>
      <c r="JN49" s="118">
        <f t="shared" si="404"/>
        <v>0.85851835887611749</v>
      </c>
      <c r="JO49" s="118">
        <f t="shared" si="404"/>
        <v>0.861845524691358</v>
      </c>
      <c r="JP49" s="118">
        <f t="shared" si="404"/>
        <v>0.87956250000000002</v>
      </c>
      <c r="JQ49" s="118">
        <f t="shared" si="404"/>
        <v>0.88486458333333329</v>
      </c>
      <c r="JR49" s="118">
        <f t="shared" si="404"/>
        <v>0.74618518518518517</v>
      </c>
      <c r="JS49" s="118">
        <f t="shared" si="404"/>
        <v>0.79223206018518511</v>
      </c>
      <c r="JT49" s="118">
        <f t="shared" si="404"/>
        <v>0.82998564814814813</v>
      </c>
      <c r="JU49" s="118">
        <f t="shared" si="404"/>
        <v>0.85212692901234566</v>
      </c>
      <c r="JV49" s="118">
        <f t="shared" si="404"/>
        <v>0.87051355820105814</v>
      </c>
      <c r="JW49" s="118">
        <f t="shared" ref="JW49:KF50" si="405">IF(OR(JW$13="",JW$17="",JW$14="",JW$15="",JW$16="",JW$18="",JW$19="",JW$20="",JW$21=""),"",1-(SUMIFS(JW$66:JW$74,$A$66:$A$74,$B49)/(COUNTIFS($A$40:$A$48,$B49)*JW$5)))</f>
        <v>0.88669936342592592</v>
      </c>
      <c r="JX49" s="118">
        <f t="shared" si="405"/>
        <v>0.89558461934156375</v>
      </c>
      <c r="JY49" s="118">
        <f t="shared" si="405"/>
        <v>0.88602615740740742</v>
      </c>
      <c r="JZ49" s="118">
        <f t="shared" si="405"/>
        <v>0.87820559764309758</v>
      </c>
      <c r="KA49" s="118">
        <f t="shared" si="405"/>
        <v>0.88835513117283949</v>
      </c>
      <c r="KB49" s="118">
        <f t="shared" si="405"/>
        <v>0.89694319800569799</v>
      </c>
      <c r="KC49" s="118">
        <f t="shared" si="405"/>
        <v>0.89001868386243388</v>
      </c>
      <c r="KD49" s="118">
        <f t="shared" si="405"/>
        <v>0.89401743827160496</v>
      </c>
      <c r="KE49" s="118">
        <f t="shared" si="405"/>
        <v>0.90064134837962961</v>
      </c>
      <c r="KF49" s="118">
        <f t="shared" si="405"/>
        <v>0.90648597494553373</v>
      </c>
      <c r="KG49" s="118">
        <f t="shared" ref="KG49:KP50" si="406">IF(OR(KG$13="",KG$17="",KG$14="",KG$15="",KG$16="",KG$18="",KG$19="",KG$20="",KG$21=""),"",1-(SUMIFS(KG$66:KG$74,$A$66:$A$74,$B49)/(COUNTIFS($A$40:$A$48,$B49)*KG$5)))</f>
        <v>0.91168119855967078</v>
      </c>
      <c r="KH49" s="118">
        <f t="shared" si="406"/>
        <v>0.90054008284600395</v>
      </c>
      <c r="KI49" s="118">
        <f t="shared" si="406"/>
        <v>0.90551307870370368</v>
      </c>
      <c r="KJ49" s="118">
        <f t="shared" si="406"/>
        <v>0.9076315035273369</v>
      </c>
      <c r="KK49" s="118">
        <f t="shared" si="406"/>
        <v>0.91183007154882156</v>
      </c>
      <c r="KL49" s="118">
        <f t="shared" si="406"/>
        <v>0.91566354669887273</v>
      </c>
      <c r="KM49" s="118">
        <f t="shared" si="406"/>
        <v>0.91917756558641972</v>
      </c>
      <c r="KN49" s="118">
        <f t="shared" si="406"/>
        <v>0.92241046296296292</v>
      </c>
      <c r="KO49" s="118">
        <f t="shared" si="406"/>
        <v>0.92539467592592595</v>
      </c>
      <c r="KP49" s="118">
        <f t="shared" si="406"/>
        <v>0.92815783607681757</v>
      </c>
      <c r="KQ49" s="118">
        <f t="shared" ref="KQ49:KZ50" si="407">IF(OR(KQ$13="",KQ$17="",KQ$14="",KQ$15="",KQ$16="",KQ$18="",KQ$19="",KQ$20="",KQ$21=""),"",1-(SUMIFS(KQ$66:KQ$74,$A$66:$A$74,$B49)/(COUNTIFS($A$40:$A$48,$B49)*KQ$5)))</f>
        <v>0.93072362764550265</v>
      </c>
      <c r="KR49" s="118">
        <f t="shared" si="407"/>
        <v>0.93311246807151982</v>
      </c>
      <c r="KS49" s="118">
        <f t="shared" si="407"/>
        <v>0.93534205246913582</v>
      </c>
      <c r="KT49" s="118">
        <f t="shared" si="407"/>
        <v>0.93742779271206689</v>
      </c>
      <c r="KU49" s="118" t="str">
        <f t="shared" si="407"/>
        <v/>
      </c>
      <c r="KV49" s="118" t="str">
        <f t="shared" si="407"/>
        <v/>
      </c>
      <c r="KW49" s="118" t="str">
        <f t="shared" si="407"/>
        <v/>
      </c>
      <c r="KX49" s="118" t="str">
        <f t="shared" si="407"/>
        <v/>
      </c>
      <c r="KY49" s="118" t="str">
        <f t="shared" si="407"/>
        <v/>
      </c>
      <c r="KZ49" s="118" t="str">
        <f t="shared" si="407"/>
        <v/>
      </c>
      <c r="LA49" s="118" t="str">
        <f t="shared" ref="LA49:LJ50" si="408">IF(OR(LA$13="",LA$17="",LA$14="",LA$15="",LA$16="",LA$18="",LA$19="",LA$20="",LA$21=""),"",1-(SUMIFS(LA$66:LA$74,$A$66:$A$74,$B49)/(COUNTIFS($A$40:$A$48,$B49)*LA$5)))</f>
        <v/>
      </c>
      <c r="LB49" s="118" t="str">
        <f t="shared" si="408"/>
        <v/>
      </c>
      <c r="LC49" s="118" t="str">
        <f t="shared" si="408"/>
        <v/>
      </c>
      <c r="LD49" s="118" t="str">
        <f t="shared" si="408"/>
        <v/>
      </c>
      <c r="LE49" s="118" t="str">
        <f t="shared" si="408"/>
        <v/>
      </c>
      <c r="LF49" s="118" t="str">
        <f t="shared" si="408"/>
        <v/>
      </c>
      <c r="LG49" s="118" t="str">
        <f t="shared" si="408"/>
        <v/>
      </c>
      <c r="LH49" s="118" t="str">
        <f t="shared" si="408"/>
        <v/>
      </c>
      <c r="LI49" s="118" t="str">
        <f t="shared" si="408"/>
        <v/>
      </c>
      <c r="LJ49" s="118" t="str">
        <f t="shared" si="408"/>
        <v/>
      </c>
      <c r="LK49" s="118" t="str">
        <f t="shared" ref="LK49:LT50" si="409">IF(OR(LK$13="",LK$17="",LK$14="",LK$15="",LK$16="",LK$18="",LK$19="",LK$20="",LK$21=""),"",1-(SUMIFS(LK$66:LK$74,$A$66:$A$74,$B49)/(COUNTIFS($A$40:$A$48,$B49)*LK$5)))</f>
        <v/>
      </c>
      <c r="LL49" s="118" t="str">
        <f t="shared" si="409"/>
        <v/>
      </c>
      <c r="LM49" s="118" t="str">
        <f t="shared" si="409"/>
        <v/>
      </c>
      <c r="LN49" s="118" t="str">
        <f t="shared" si="409"/>
        <v/>
      </c>
      <c r="LO49" s="118" t="str">
        <f t="shared" si="409"/>
        <v/>
      </c>
      <c r="LP49" s="118" t="str">
        <f t="shared" si="409"/>
        <v/>
      </c>
      <c r="LQ49" s="118" t="str">
        <f t="shared" si="409"/>
        <v/>
      </c>
      <c r="LR49" s="118" t="str">
        <f t="shared" si="409"/>
        <v/>
      </c>
      <c r="LS49" s="118" t="str">
        <f t="shared" si="409"/>
        <v/>
      </c>
      <c r="LT49" s="118" t="str">
        <f t="shared" si="409"/>
        <v/>
      </c>
      <c r="LU49" s="118" t="str">
        <f t="shared" ref="LU49:MD50" si="410">IF(OR(LU$13="",LU$17="",LU$14="",LU$15="",LU$16="",LU$18="",LU$19="",LU$20="",LU$21=""),"",1-(SUMIFS(LU$66:LU$74,$A$66:$A$74,$B49)/(COUNTIFS($A$40:$A$48,$B49)*LU$5)))</f>
        <v/>
      </c>
      <c r="LV49" s="118" t="str">
        <f t="shared" si="410"/>
        <v/>
      </c>
      <c r="LW49" s="118" t="str">
        <f t="shared" si="410"/>
        <v/>
      </c>
      <c r="LX49" s="118" t="str">
        <f t="shared" si="410"/>
        <v/>
      </c>
      <c r="LY49" s="118" t="str">
        <f t="shared" si="410"/>
        <v/>
      </c>
      <c r="LZ49" s="118" t="str">
        <f t="shared" si="410"/>
        <v/>
      </c>
      <c r="MA49" s="118" t="str">
        <f t="shared" si="410"/>
        <v/>
      </c>
      <c r="MB49" s="118" t="str">
        <f t="shared" si="410"/>
        <v/>
      </c>
      <c r="MC49" s="118" t="str">
        <f t="shared" si="410"/>
        <v/>
      </c>
      <c r="MD49" s="118" t="str">
        <f t="shared" si="410"/>
        <v/>
      </c>
      <c r="ME49" s="118" t="str">
        <f t="shared" ref="ME49:MN50" si="411">IF(OR(ME$13="",ME$17="",ME$14="",ME$15="",ME$16="",ME$18="",ME$19="",ME$20="",ME$21=""),"",1-(SUMIFS(ME$66:ME$74,$A$66:$A$74,$B49)/(COUNTIFS($A$40:$A$48,$B49)*ME$5)))</f>
        <v/>
      </c>
      <c r="MF49" s="118" t="str">
        <f t="shared" si="411"/>
        <v/>
      </c>
      <c r="MG49" s="118" t="str">
        <f t="shared" si="411"/>
        <v/>
      </c>
      <c r="MH49" s="118" t="str">
        <f t="shared" si="411"/>
        <v/>
      </c>
      <c r="MI49" s="118" t="str">
        <f t="shared" si="411"/>
        <v/>
      </c>
      <c r="MJ49" s="118" t="str">
        <f t="shared" si="411"/>
        <v/>
      </c>
      <c r="MK49" s="118" t="str">
        <f t="shared" si="411"/>
        <v/>
      </c>
      <c r="ML49" s="118" t="str">
        <f t="shared" si="411"/>
        <v/>
      </c>
      <c r="MM49" s="118" t="str">
        <f t="shared" si="411"/>
        <v/>
      </c>
      <c r="MN49" s="118" t="str">
        <f t="shared" si="411"/>
        <v/>
      </c>
      <c r="MO49" s="118" t="str">
        <f t="shared" ref="MO49:MX50" si="412">IF(OR(MO$13="",MO$17="",MO$14="",MO$15="",MO$16="",MO$18="",MO$19="",MO$20="",MO$21=""),"",1-(SUMIFS(MO$66:MO$74,$A$66:$A$74,$B49)/(COUNTIFS($A$40:$A$48,$B49)*MO$5)))</f>
        <v/>
      </c>
      <c r="MP49" s="118" t="str">
        <f t="shared" si="412"/>
        <v/>
      </c>
      <c r="MQ49" s="118" t="str">
        <f t="shared" si="412"/>
        <v/>
      </c>
      <c r="MR49" s="118" t="str">
        <f t="shared" si="412"/>
        <v/>
      </c>
      <c r="MS49" s="118" t="str">
        <f t="shared" si="412"/>
        <v/>
      </c>
      <c r="MT49" s="118" t="str">
        <f t="shared" si="412"/>
        <v/>
      </c>
      <c r="MU49" s="118" t="str">
        <f t="shared" si="412"/>
        <v/>
      </c>
      <c r="MV49" s="118" t="str">
        <f t="shared" si="412"/>
        <v/>
      </c>
      <c r="MW49" s="118" t="str">
        <f t="shared" si="412"/>
        <v/>
      </c>
      <c r="MX49" s="118" t="str">
        <f t="shared" si="412"/>
        <v/>
      </c>
      <c r="MY49" s="118" t="str">
        <f t="shared" ref="MY49:NH50" si="413">IF(OR(MY$13="",MY$17="",MY$14="",MY$15="",MY$16="",MY$18="",MY$19="",MY$20="",MY$21=""),"",1-(SUMIFS(MY$66:MY$74,$A$66:$A$74,$B49)/(COUNTIFS($A$40:$A$48,$B49)*MY$5)))</f>
        <v/>
      </c>
      <c r="MZ49" s="118" t="str">
        <f t="shared" si="413"/>
        <v/>
      </c>
      <c r="NA49" s="118" t="str">
        <f t="shared" si="413"/>
        <v/>
      </c>
      <c r="NB49" s="118" t="str">
        <f t="shared" si="413"/>
        <v/>
      </c>
      <c r="NC49" s="118" t="str">
        <f t="shared" si="413"/>
        <v/>
      </c>
      <c r="ND49" s="118" t="str">
        <f t="shared" si="413"/>
        <v/>
      </c>
      <c r="NE49" s="118" t="str">
        <f t="shared" si="413"/>
        <v/>
      </c>
      <c r="NF49" s="118" t="str">
        <f t="shared" si="413"/>
        <v/>
      </c>
      <c r="NG49" s="118" t="str">
        <f t="shared" si="413"/>
        <v/>
      </c>
      <c r="NH49" s="118" t="str">
        <f t="shared" si="413"/>
        <v/>
      </c>
      <c r="NI49" s="118" t="str">
        <f t="shared" ref="NI49:NR50" si="414">IF(OR(NI$13="",NI$17="",NI$14="",NI$15="",NI$16="",NI$18="",NI$19="",NI$20="",NI$21=""),"",1-(SUMIFS(NI$66:NI$74,$A$66:$A$74,$B49)/(COUNTIFS($A$40:$A$48,$B49)*NI$5)))</f>
        <v/>
      </c>
      <c r="NJ49" s="118" t="str">
        <f t="shared" si="414"/>
        <v/>
      </c>
      <c r="NK49" s="118" t="str">
        <f t="shared" si="414"/>
        <v/>
      </c>
      <c r="NL49" s="118" t="str">
        <f t="shared" si="414"/>
        <v/>
      </c>
      <c r="NM49" s="118" t="str">
        <f t="shared" si="414"/>
        <v/>
      </c>
      <c r="NN49" s="118" t="str">
        <f t="shared" si="414"/>
        <v/>
      </c>
      <c r="NO49" s="118" t="str">
        <f t="shared" si="414"/>
        <v/>
      </c>
      <c r="NP49" s="118" t="str">
        <f t="shared" si="414"/>
        <v/>
      </c>
      <c r="NQ49" s="118" t="str">
        <f t="shared" si="414"/>
        <v/>
      </c>
      <c r="NR49" s="118" t="str">
        <f t="shared" si="414"/>
        <v/>
      </c>
      <c r="NS49" s="118" t="str">
        <f t="shared" ref="NS49:OB50" si="415">IF(OR(NS$13="",NS$17="",NS$14="",NS$15="",NS$16="",NS$18="",NS$19="",NS$20="",NS$21=""),"",1-(SUMIFS(NS$66:NS$74,$A$66:$A$74,$B49)/(COUNTIFS($A$40:$A$48,$B49)*NS$5)))</f>
        <v/>
      </c>
      <c r="NT49" s="118" t="str">
        <f t="shared" si="415"/>
        <v/>
      </c>
      <c r="NU49" s="118" t="str">
        <f t="shared" si="415"/>
        <v/>
      </c>
      <c r="NV49" s="118" t="str">
        <f t="shared" si="415"/>
        <v/>
      </c>
      <c r="NW49" s="118" t="str">
        <f t="shared" si="415"/>
        <v/>
      </c>
      <c r="NX49" s="118" t="str">
        <f t="shared" si="415"/>
        <v/>
      </c>
      <c r="NY49" s="118" t="str">
        <f t="shared" si="415"/>
        <v/>
      </c>
      <c r="NZ49" s="118" t="str">
        <f t="shared" si="415"/>
        <v/>
      </c>
      <c r="OA49" s="118" t="str">
        <f t="shared" si="415"/>
        <v/>
      </c>
      <c r="OB49" s="118" t="str">
        <f t="shared" si="415"/>
        <v/>
      </c>
      <c r="OC49" s="118" t="str">
        <f t="shared" ref="OC49:OL50" si="416">IF(OR(OC$13="",OC$17="",OC$14="",OC$15="",OC$16="",OC$18="",OC$19="",OC$20="",OC$21=""),"",1-(SUMIFS(OC$66:OC$74,$A$66:$A$74,$B49)/(COUNTIFS($A$40:$A$48,$B49)*OC$5)))</f>
        <v/>
      </c>
      <c r="OD49" s="118" t="str">
        <f t="shared" si="416"/>
        <v/>
      </c>
      <c r="OE49" s="118" t="str">
        <f t="shared" si="416"/>
        <v/>
      </c>
      <c r="OF49" s="118" t="str">
        <f t="shared" si="416"/>
        <v/>
      </c>
      <c r="OG49" s="118" t="str">
        <f t="shared" si="416"/>
        <v/>
      </c>
      <c r="OH49" s="118" t="str">
        <f t="shared" si="416"/>
        <v/>
      </c>
      <c r="OI49" s="118" t="str">
        <f t="shared" si="416"/>
        <v/>
      </c>
      <c r="OJ49" s="118" t="str">
        <f t="shared" si="416"/>
        <v/>
      </c>
      <c r="OK49" s="118" t="str">
        <f t="shared" si="416"/>
        <v/>
      </c>
      <c r="OL49" s="118" t="str">
        <f t="shared" si="416"/>
        <v/>
      </c>
      <c r="OM49" s="118" t="str">
        <f t="shared" ref="OM49:OV50" si="417">IF(OR(OM$13="",OM$17="",OM$14="",OM$15="",OM$16="",OM$18="",OM$19="",OM$20="",OM$21=""),"",1-(SUMIFS(OM$66:OM$74,$A$66:$A$74,$B49)/(COUNTIFS($A$40:$A$48,$B49)*OM$5)))</f>
        <v/>
      </c>
      <c r="ON49" s="118" t="str">
        <f t="shared" si="417"/>
        <v/>
      </c>
      <c r="OO49" s="118" t="str">
        <f t="shared" si="417"/>
        <v/>
      </c>
      <c r="OP49" s="118" t="str">
        <f t="shared" si="417"/>
        <v/>
      </c>
      <c r="OQ49" s="118" t="str">
        <f t="shared" si="417"/>
        <v/>
      </c>
      <c r="OR49" s="118" t="str">
        <f t="shared" si="417"/>
        <v/>
      </c>
      <c r="OS49" s="118" t="str">
        <f t="shared" si="417"/>
        <v/>
      </c>
      <c r="OT49" s="118" t="str">
        <f t="shared" si="417"/>
        <v/>
      </c>
      <c r="OU49" s="118" t="str">
        <f t="shared" si="417"/>
        <v/>
      </c>
      <c r="OV49" s="118" t="str">
        <f t="shared" si="417"/>
        <v/>
      </c>
      <c r="OW49" s="118" t="str">
        <f t="shared" ref="OW49:PF50" si="418">IF(OR(OW$13="",OW$17="",OW$14="",OW$15="",OW$16="",OW$18="",OW$19="",OW$20="",OW$21=""),"",1-(SUMIFS(OW$66:OW$74,$A$66:$A$74,$B49)/(COUNTIFS($A$40:$A$48,$B49)*OW$5)))</f>
        <v/>
      </c>
      <c r="OX49" s="118" t="str">
        <f t="shared" si="418"/>
        <v/>
      </c>
      <c r="OY49" s="118" t="str">
        <f t="shared" si="418"/>
        <v/>
      </c>
      <c r="OZ49" s="118" t="str">
        <f t="shared" si="418"/>
        <v/>
      </c>
      <c r="PA49" s="118" t="str">
        <f t="shared" si="418"/>
        <v/>
      </c>
      <c r="PB49" s="118" t="str">
        <f t="shared" si="418"/>
        <v/>
      </c>
      <c r="PC49" s="118" t="str">
        <f t="shared" si="418"/>
        <v/>
      </c>
      <c r="PD49" s="118" t="str">
        <f t="shared" si="418"/>
        <v/>
      </c>
      <c r="PE49" s="118" t="str">
        <f t="shared" si="418"/>
        <v/>
      </c>
      <c r="PF49" s="118" t="str">
        <f t="shared" si="418"/>
        <v/>
      </c>
      <c r="PG49" s="118" t="str">
        <f t="shared" ref="PG49:PP50" si="419">IF(OR(PG$13="",PG$17="",PG$14="",PG$15="",PG$16="",PG$18="",PG$19="",PG$20="",PG$21=""),"",1-(SUMIFS(PG$66:PG$74,$A$66:$A$74,$B49)/(COUNTIFS($A$40:$A$48,$B49)*PG$5)))</f>
        <v/>
      </c>
      <c r="PH49" s="118" t="str">
        <f t="shared" si="419"/>
        <v/>
      </c>
      <c r="PI49" s="118" t="str">
        <f t="shared" si="419"/>
        <v/>
      </c>
      <c r="PJ49" s="118" t="str">
        <f t="shared" si="419"/>
        <v/>
      </c>
      <c r="PK49" s="118" t="str">
        <f t="shared" si="419"/>
        <v/>
      </c>
      <c r="PL49" s="118" t="str">
        <f t="shared" si="419"/>
        <v/>
      </c>
      <c r="PM49" s="118" t="str">
        <f t="shared" si="419"/>
        <v/>
      </c>
      <c r="PN49" s="118" t="str">
        <f t="shared" si="419"/>
        <v/>
      </c>
      <c r="PO49" s="118" t="str">
        <f t="shared" si="419"/>
        <v/>
      </c>
      <c r="PP49" s="118" t="str">
        <f t="shared" si="419"/>
        <v/>
      </c>
      <c r="PQ49" s="118" t="str">
        <f t="shared" ref="PQ49:PZ50" si="420">IF(OR(PQ$13="",PQ$17="",PQ$14="",PQ$15="",PQ$16="",PQ$18="",PQ$19="",PQ$20="",PQ$21=""),"",1-(SUMIFS(PQ$66:PQ$74,$A$66:$A$74,$B49)/(COUNTIFS($A$40:$A$48,$B49)*PQ$5)))</f>
        <v/>
      </c>
      <c r="PR49" s="118" t="str">
        <f t="shared" si="420"/>
        <v/>
      </c>
      <c r="PS49" s="118" t="str">
        <f t="shared" si="420"/>
        <v/>
      </c>
      <c r="PT49" s="118" t="str">
        <f t="shared" si="420"/>
        <v/>
      </c>
      <c r="PU49" s="118" t="str">
        <f t="shared" si="420"/>
        <v/>
      </c>
      <c r="PV49" s="118" t="str">
        <f t="shared" si="420"/>
        <v/>
      </c>
      <c r="PW49" s="118" t="str">
        <f t="shared" si="420"/>
        <v/>
      </c>
      <c r="PX49" s="118" t="str">
        <f t="shared" si="420"/>
        <v/>
      </c>
      <c r="PY49" s="118" t="str">
        <f t="shared" si="420"/>
        <v/>
      </c>
      <c r="PZ49" s="118" t="str">
        <f t="shared" si="420"/>
        <v/>
      </c>
      <c r="QA49" s="118" t="str">
        <f t="shared" ref="QA49:QJ50" si="421">IF(OR(QA$13="",QA$17="",QA$14="",QA$15="",QA$16="",QA$18="",QA$19="",QA$20="",QA$21=""),"",1-(SUMIFS(QA$66:QA$74,$A$66:$A$74,$B49)/(COUNTIFS($A$40:$A$48,$B49)*QA$5)))</f>
        <v/>
      </c>
      <c r="QB49" s="118" t="str">
        <f t="shared" si="421"/>
        <v/>
      </c>
      <c r="QC49" s="118" t="str">
        <f t="shared" si="421"/>
        <v/>
      </c>
      <c r="QD49" s="118" t="str">
        <f t="shared" si="421"/>
        <v/>
      </c>
      <c r="QE49" s="118" t="str">
        <f t="shared" si="421"/>
        <v/>
      </c>
      <c r="QF49" s="118" t="str">
        <f t="shared" si="421"/>
        <v/>
      </c>
      <c r="QG49" s="118" t="str">
        <f t="shared" si="421"/>
        <v/>
      </c>
      <c r="QH49" s="118" t="str">
        <f t="shared" si="421"/>
        <v/>
      </c>
      <c r="QI49" s="118" t="str">
        <f t="shared" si="421"/>
        <v/>
      </c>
      <c r="QJ49" s="118" t="str">
        <f t="shared" si="421"/>
        <v/>
      </c>
      <c r="QK49" s="118" t="str">
        <f t="shared" ref="QK49:QT50" si="422">IF(OR(QK$13="",QK$17="",QK$14="",QK$15="",QK$16="",QK$18="",QK$19="",QK$20="",QK$21=""),"",1-(SUMIFS(QK$66:QK$74,$A$66:$A$74,$B49)/(COUNTIFS($A$40:$A$48,$B49)*QK$5)))</f>
        <v/>
      </c>
      <c r="QL49" s="118" t="str">
        <f t="shared" si="422"/>
        <v/>
      </c>
      <c r="QM49" s="118" t="str">
        <f t="shared" si="422"/>
        <v/>
      </c>
      <c r="QN49" s="118" t="str">
        <f t="shared" si="422"/>
        <v/>
      </c>
      <c r="QO49" s="118" t="str">
        <f t="shared" si="422"/>
        <v/>
      </c>
      <c r="QP49" s="118" t="str">
        <f t="shared" si="422"/>
        <v/>
      </c>
      <c r="QQ49" s="118" t="str">
        <f t="shared" si="422"/>
        <v/>
      </c>
      <c r="QR49" s="118" t="str">
        <f t="shared" si="422"/>
        <v/>
      </c>
      <c r="QS49" s="118" t="str">
        <f t="shared" si="422"/>
        <v/>
      </c>
      <c r="QT49" s="118" t="str">
        <f t="shared" si="422"/>
        <v/>
      </c>
      <c r="QU49" s="118" t="str">
        <f t="shared" ref="QU49:RD50" si="423">IF(OR(QU$13="",QU$17="",QU$14="",QU$15="",QU$16="",QU$18="",QU$19="",QU$20="",QU$21=""),"",1-(SUMIFS(QU$66:QU$74,$A$66:$A$74,$B49)/(COUNTIFS($A$40:$A$48,$B49)*QU$5)))</f>
        <v/>
      </c>
      <c r="QV49" s="118" t="str">
        <f t="shared" si="423"/>
        <v/>
      </c>
      <c r="QW49" s="118" t="str">
        <f t="shared" si="423"/>
        <v/>
      </c>
      <c r="QX49" s="118" t="str">
        <f t="shared" si="423"/>
        <v/>
      </c>
      <c r="QY49" s="118" t="str">
        <f t="shared" si="423"/>
        <v/>
      </c>
      <c r="QZ49" s="118" t="str">
        <f t="shared" si="423"/>
        <v/>
      </c>
      <c r="RA49" s="118" t="str">
        <f t="shared" si="423"/>
        <v/>
      </c>
      <c r="RB49" s="118" t="str">
        <f t="shared" si="423"/>
        <v/>
      </c>
      <c r="RC49" s="118" t="str">
        <f t="shared" si="423"/>
        <v/>
      </c>
      <c r="RD49" s="118" t="str">
        <f t="shared" si="423"/>
        <v/>
      </c>
      <c r="RE49" s="118" t="str">
        <f t="shared" ref="RE49:RN50" si="424">IF(OR(RE$13="",RE$17="",RE$14="",RE$15="",RE$16="",RE$18="",RE$19="",RE$20="",RE$21=""),"",1-(SUMIFS(RE$66:RE$74,$A$66:$A$74,$B49)/(COUNTIFS($A$40:$A$48,$B49)*RE$5)))</f>
        <v/>
      </c>
      <c r="RF49" s="118" t="str">
        <f t="shared" si="424"/>
        <v/>
      </c>
      <c r="RG49" s="118" t="str">
        <f t="shared" si="424"/>
        <v/>
      </c>
      <c r="RH49" s="118" t="str">
        <f t="shared" si="424"/>
        <v/>
      </c>
      <c r="RI49" s="118" t="str">
        <f t="shared" si="424"/>
        <v/>
      </c>
      <c r="RJ49" s="118" t="str">
        <f t="shared" si="424"/>
        <v/>
      </c>
      <c r="RK49" s="118" t="str">
        <f t="shared" si="424"/>
        <v/>
      </c>
      <c r="RL49" s="118" t="str">
        <f t="shared" si="424"/>
        <v/>
      </c>
      <c r="RM49" s="118" t="str">
        <f t="shared" si="424"/>
        <v/>
      </c>
      <c r="RN49" s="118" t="str">
        <f t="shared" si="424"/>
        <v/>
      </c>
      <c r="RO49" s="118" t="str">
        <f t="shared" ref="RO49:RX50" si="425">IF(OR(RO$13="",RO$17="",RO$14="",RO$15="",RO$16="",RO$18="",RO$19="",RO$20="",RO$21=""),"",1-(SUMIFS(RO$66:RO$74,$A$66:$A$74,$B49)/(COUNTIFS($A$40:$A$48,$B49)*RO$5)))</f>
        <v/>
      </c>
      <c r="RP49" s="118" t="str">
        <f t="shared" si="425"/>
        <v/>
      </c>
      <c r="RQ49" s="118" t="str">
        <f t="shared" si="425"/>
        <v/>
      </c>
      <c r="RR49" s="118" t="str">
        <f t="shared" si="425"/>
        <v/>
      </c>
      <c r="RS49" s="118" t="str">
        <f t="shared" si="425"/>
        <v/>
      </c>
      <c r="RT49" s="118" t="str">
        <f t="shared" si="425"/>
        <v/>
      </c>
      <c r="RU49" s="118" t="str">
        <f t="shared" si="425"/>
        <v/>
      </c>
      <c r="RV49" s="118" t="str">
        <f t="shared" si="425"/>
        <v/>
      </c>
      <c r="RW49" s="118" t="str">
        <f t="shared" si="425"/>
        <v/>
      </c>
      <c r="RX49" s="118" t="str">
        <f t="shared" si="425"/>
        <v/>
      </c>
      <c r="RY49" s="118" t="str">
        <f t="shared" ref="RY49:SH50" si="426">IF(OR(RY$13="",RY$17="",RY$14="",RY$15="",RY$16="",RY$18="",RY$19="",RY$20="",RY$21=""),"",1-(SUMIFS(RY$66:RY$74,$A$66:$A$74,$B49)/(COUNTIFS($A$40:$A$48,$B49)*RY$5)))</f>
        <v/>
      </c>
      <c r="RZ49" s="118" t="str">
        <f t="shared" si="426"/>
        <v/>
      </c>
      <c r="SA49" s="118" t="str">
        <f t="shared" si="426"/>
        <v/>
      </c>
      <c r="SB49" s="118" t="str">
        <f t="shared" si="426"/>
        <v/>
      </c>
      <c r="SC49" s="118" t="str">
        <f t="shared" si="426"/>
        <v/>
      </c>
      <c r="SD49" s="118" t="str">
        <f t="shared" si="426"/>
        <v/>
      </c>
      <c r="SE49" s="118" t="str">
        <f t="shared" si="426"/>
        <v/>
      </c>
      <c r="SF49" s="118" t="str">
        <f t="shared" si="426"/>
        <v/>
      </c>
      <c r="SG49" s="118" t="str">
        <f t="shared" si="426"/>
        <v/>
      </c>
      <c r="SH49" s="118" t="str">
        <f t="shared" si="426"/>
        <v/>
      </c>
      <c r="SI49" s="118" t="str">
        <f t="shared" ref="SI49:SW50" si="427">IF(OR(SI$13="",SI$17="",SI$14="",SI$15="",SI$16="",SI$18="",SI$19="",SI$20="",SI$21=""),"",1-(SUMIFS(SI$66:SI$74,$A$66:$A$74,$B49)/(COUNTIFS($A$40:$A$48,$B49)*SI$5)))</f>
        <v/>
      </c>
      <c r="SJ49" s="118" t="str">
        <f t="shared" si="427"/>
        <v/>
      </c>
      <c r="SK49" s="118" t="str">
        <f t="shared" si="427"/>
        <v/>
      </c>
      <c r="SL49" s="118" t="str">
        <f t="shared" si="427"/>
        <v/>
      </c>
      <c r="SM49" s="118" t="str">
        <f t="shared" si="427"/>
        <v/>
      </c>
      <c r="SN49" s="118" t="str">
        <f t="shared" si="427"/>
        <v/>
      </c>
      <c r="SO49" s="118" t="str">
        <f t="shared" si="427"/>
        <v/>
      </c>
      <c r="SP49" s="118" t="str">
        <f t="shared" si="427"/>
        <v/>
      </c>
      <c r="SQ49" s="118" t="str">
        <f t="shared" si="427"/>
        <v/>
      </c>
      <c r="SR49" s="118" t="str">
        <f t="shared" si="427"/>
        <v/>
      </c>
      <c r="SS49" s="118" t="str">
        <f t="shared" si="427"/>
        <v/>
      </c>
      <c r="ST49" s="118" t="str">
        <f t="shared" si="427"/>
        <v/>
      </c>
      <c r="SU49" s="118" t="str">
        <f t="shared" si="427"/>
        <v/>
      </c>
      <c r="SV49" s="118" t="str">
        <f t="shared" si="427"/>
        <v/>
      </c>
      <c r="SW49" s="118" t="str">
        <f t="shared" si="427"/>
        <v/>
      </c>
    </row>
    <row r="50" spans="1:517" ht="24.6" customHeight="1" x14ac:dyDescent="0.2">
      <c r="A50" s="94">
        <f>COUNTIF(A40:A48,B50)</f>
        <v>4</v>
      </c>
      <c r="B50" s="115">
        <v>777</v>
      </c>
      <c r="C50" s="118">
        <f t="shared" si="377"/>
        <v>1</v>
      </c>
      <c r="D50" s="118">
        <f t="shared" si="377"/>
        <v>0.7181249999999999</v>
      </c>
      <c r="E50" s="118">
        <f t="shared" si="377"/>
        <v>0.79802083333333329</v>
      </c>
      <c r="F50" s="118">
        <f t="shared" si="377"/>
        <v>0.848515625</v>
      </c>
      <c r="G50" s="118">
        <f t="shared" si="377"/>
        <v>0.81481249999999994</v>
      </c>
      <c r="H50" s="118">
        <f t="shared" si="377"/>
        <v>0.82593749999999999</v>
      </c>
      <c r="I50" s="118">
        <f t="shared" si="377"/>
        <v>0.83619047619047615</v>
      </c>
      <c r="J50" s="118">
        <f t="shared" si="377"/>
        <v>0.8177864583333333</v>
      </c>
      <c r="K50" s="118">
        <f t="shared" si="377"/>
        <v>0.83392361111111113</v>
      </c>
      <c r="L50" s="118">
        <f t="shared" si="377"/>
        <v>0.83584375</v>
      </c>
      <c r="M50" s="118">
        <f t="shared" si="378"/>
        <v>0.7959090909090909</v>
      </c>
      <c r="N50" s="118">
        <f t="shared" si="378"/>
        <v>0.81098958333333337</v>
      </c>
      <c r="O50" s="118">
        <f t="shared" si="378"/>
        <v>0.82552884615384614</v>
      </c>
      <c r="P50" s="118">
        <f t="shared" si="378"/>
        <v>0.81928571428571428</v>
      </c>
      <c r="Q50" s="118">
        <f t="shared" si="378"/>
        <v>0.82069444444444439</v>
      </c>
      <c r="R50" s="118">
        <f t="shared" si="378"/>
        <v>0.83024088541666663</v>
      </c>
      <c r="S50" s="118">
        <f t="shared" si="378"/>
        <v>0.84022671568627449</v>
      </c>
      <c r="T50" s="118">
        <f t="shared" si="378"/>
        <v>0.84445601851851848</v>
      </c>
      <c r="U50" s="118">
        <f t="shared" si="378"/>
        <v>0.84370614035087721</v>
      </c>
      <c r="V50" s="118">
        <f t="shared" si="378"/>
        <v>0.84550520833333331</v>
      </c>
      <c r="W50" s="118">
        <f t="shared" si="379"/>
        <v>0.85177083333333337</v>
      </c>
      <c r="X50" s="118">
        <f t="shared" si="379"/>
        <v>0.85802556818181808</v>
      </c>
      <c r="Y50" s="118">
        <f t="shared" si="379"/>
        <v>0.86340579710144927</v>
      </c>
      <c r="Z50" s="118">
        <f t="shared" si="379"/>
        <v>0.86763020833333326</v>
      </c>
      <c r="AA50" s="118">
        <f t="shared" si="379"/>
        <v>0.86348749999999996</v>
      </c>
      <c r="AB50" s="118">
        <f t="shared" si="379"/>
        <v>0.86873798076923081</v>
      </c>
      <c r="AC50" s="118">
        <f t="shared" si="379"/>
        <v>0.86144675925925918</v>
      </c>
      <c r="AD50" s="118">
        <f t="shared" si="379"/>
        <v>0.86639508928571429</v>
      </c>
      <c r="AE50" s="118">
        <f t="shared" si="379"/>
        <v>0.87010416666666668</v>
      </c>
      <c r="AF50" s="118">
        <f t="shared" si="379"/>
        <v>0.87443402777777779</v>
      </c>
      <c r="AG50" s="118">
        <f t="shared" si="380"/>
        <v>0.8780510752688172</v>
      </c>
      <c r="AH50" s="118">
        <f t="shared" si="380"/>
        <v>0.93354166666666671</v>
      </c>
      <c r="AI50" s="118">
        <f t="shared" si="380"/>
        <v>0.95838541666666666</v>
      </c>
      <c r="AJ50" s="118">
        <f t="shared" si="380"/>
        <v>0.97225694444444444</v>
      </c>
      <c r="AK50" s="118">
        <f t="shared" si="380"/>
        <v>0.97919270833333338</v>
      </c>
      <c r="AL50" s="118">
        <f t="shared" si="380"/>
        <v>0.97164583333333332</v>
      </c>
      <c r="AM50" s="118">
        <f t="shared" si="380"/>
        <v>0.97376736111111106</v>
      </c>
      <c r="AN50" s="118">
        <f t="shared" si="380"/>
        <v>0.97477678571428572</v>
      </c>
      <c r="AO50" s="118">
        <f t="shared" si="380"/>
        <v>0.97792968749999998</v>
      </c>
      <c r="AP50" s="118">
        <f t="shared" si="380"/>
        <v>0.98038194444444449</v>
      </c>
      <c r="AQ50" s="118">
        <f t="shared" si="381"/>
        <v>0.97668750000000004</v>
      </c>
      <c r="AR50" s="118">
        <f t="shared" si="381"/>
        <v>0.97662878787878793</v>
      </c>
      <c r="AS50" s="118">
        <f t="shared" si="381"/>
        <v>0.96878472222222223</v>
      </c>
      <c r="AT50" s="118">
        <f t="shared" si="381"/>
        <v>0.94899038461538465</v>
      </c>
      <c r="AU50" s="118">
        <f t="shared" si="381"/>
        <v>0.95263392857142859</v>
      </c>
      <c r="AV50" s="118">
        <f t="shared" si="381"/>
        <v>0.95579166666666671</v>
      </c>
      <c r="AW50" s="118">
        <f t="shared" si="381"/>
        <v>0.95855468749999995</v>
      </c>
      <c r="AX50" s="118">
        <f t="shared" si="381"/>
        <v>0.95726715686274511</v>
      </c>
      <c r="AY50" s="118">
        <f t="shared" si="381"/>
        <v>0.95964120370370365</v>
      </c>
      <c r="AZ50" s="118">
        <f t="shared" si="381"/>
        <v>0.96110745614035087</v>
      </c>
      <c r="BA50" s="118">
        <f t="shared" si="382"/>
        <v>0.95716666666666661</v>
      </c>
      <c r="BB50" s="118">
        <f t="shared" si="382"/>
        <v>0.9565178571428572</v>
      </c>
      <c r="BC50" s="118">
        <f t="shared" si="382"/>
        <v>0.93743844696969703</v>
      </c>
      <c r="BD50" s="118">
        <f t="shared" si="382"/>
        <v>0.92798913043478259</v>
      </c>
      <c r="BE50" s="118">
        <f t="shared" si="382"/>
        <v>0.93049913194444445</v>
      </c>
      <c r="BF50" s="118">
        <f t="shared" si="382"/>
        <v>0.92379999999999995</v>
      </c>
      <c r="BG50" s="118">
        <f t="shared" si="382"/>
        <v>0.92673076923076925</v>
      </c>
      <c r="BH50" s="118">
        <f t="shared" si="382"/>
        <v>0.92944444444444441</v>
      </c>
      <c r="BI50" s="118">
        <f t="shared" si="382"/>
        <v>0.93004092261904758</v>
      </c>
      <c r="BJ50" s="118">
        <f t="shared" si="382"/>
        <v>0.8314583333333333</v>
      </c>
      <c r="BK50" s="118">
        <f t="shared" si="383"/>
        <v>0.87578124999999996</v>
      </c>
      <c r="BL50" s="118">
        <f t="shared" si="383"/>
        <v>0.85531250000000003</v>
      </c>
      <c r="BM50" s="118">
        <f t="shared" si="383"/>
        <v>0.85861979166666669</v>
      </c>
      <c r="BN50" s="118">
        <f t="shared" si="383"/>
        <v>0.87127083333333333</v>
      </c>
      <c r="BO50" s="118">
        <f t="shared" si="383"/>
        <v>0.83210069444444446</v>
      </c>
      <c r="BP50" s="118">
        <f t="shared" si="383"/>
        <v>0.82730654761904754</v>
      </c>
      <c r="BQ50" s="118">
        <f t="shared" si="383"/>
        <v>0.84776041666666668</v>
      </c>
      <c r="BR50" s="118">
        <f t="shared" si="383"/>
        <v>0.83717592592592593</v>
      </c>
      <c r="BS50" s="118">
        <f t="shared" si="383"/>
        <v>0.84529166666666666</v>
      </c>
      <c r="BT50" s="118">
        <f t="shared" si="383"/>
        <v>0.8407670454545455</v>
      </c>
      <c r="BU50" s="118">
        <f t="shared" si="384"/>
        <v>0.8540364583333333</v>
      </c>
      <c r="BV50" s="118">
        <f t="shared" si="384"/>
        <v>0.86526442307692308</v>
      </c>
      <c r="BW50" s="118">
        <f t="shared" si="384"/>
        <v>0.87488839285714282</v>
      </c>
      <c r="BX50" s="118">
        <f t="shared" si="384"/>
        <v>0.86597222222222225</v>
      </c>
      <c r="BY50" s="118">
        <f t="shared" si="384"/>
        <v>0.86382161458333329</v>
      </c>
      <c r="BZ50" s="118">
        <f t="shared" si="384"/>
        <v>0.87183210784313725</v>
      </c>
      <c r="CA50" s="118">
        <f t="shared" si="384"/>
        <v>0.8787962962962963</v>
      </c>
      <c r="CB50" s="118">
        <f t="shared" si="384"/>
        <v>0.8845230263157895</v>
      </c>
      <c r="CC50" s="118">
        <f t="shared" si="384"/>
        <v>0.88231770833333334</v>
      </c>
      <c r="CD50" s="118">
        <f t="shared" si="384"/>
        <v>0.88792162698412702</v>
      </c>
      <c r="CE50" s="118">
        <f t="shared" si="385"/>
        <v>0.89301609848484853</v>
      </c>
      <c r="CF50" s="118">
        <f t="shared" si="385"/>
        <v>0.89014945652173916</v>
      </c>
      <c r="CG50" s="118">
        <f t="shared" si="385"/>
        <v>0.89472656250000004</v>
      </c>
      <c r="CH50" s="118">
        <f t="shared" si="385"/>
        <v>0.89780416666666663</v>
      </c>
      <c r="CI50" s="118">
        <f t="shared" si="385"/>
        <v>0.89291266025641025</v>
      </c>
      <c r="CJ50" s="118">
        <f t="shared" si="385"/>
        <v>0.89095679012345674</v>
      </c>
      <c r="CK50" s="118">
        <f t="shared" si="385"/>
        <v>0.8944791666666666</v>
      </c>
      <c r="CL50" s="118">
        <f t="shared" si="385"/>
        <v>0.89760057471264365</v>
      </c>
      <c r="CM50" s="118">
        <f t="shared" si="385"/>
        <v>0.8991979166666666</v>
      </c>
      <c r="CN50" s="118">
        <f t="shared" si="385"/>
        <v>0.90244959677419356</v>
      </c>
      <c r="CO50" s="118">
        <f t="shared" si="386"/>
        <v>0.83833333333333337</v>
      </c>
      <c r="CP50" s="118">
        <f t="shared" si="386"/>
        <v>0.91302083333333339</v>
      </c>
      <c r="CQ50" s="118">
        <f t="shared" si="386"/>
        <v>0.92927083333333327</v>
      </c>
      <c r="CR50" s="118">
        <f t="shared" si="386"/>
        <v>0.94695312499999995</v>
      </c>
      <c r="CS50" s="118">
        <f t="shared" si="386"/>
        <v>0.93272916666666661</v>
      </c>
      <c r="CT50" s="118">
        <f t="shared" si="386"/>
        <v>0.9373090277777778</v>
      </c>
      <c r="CU50" s="118">
        <f t="shared" si="386"/>
        <v>0.94626488095238093</v>
      </c>
      <c r="CV50" s="118">
        <f t="shared" si="386"/>
        <v>0.94744791666666672</v>
      </c>
      <c r="CW50" s="118">
        <f t="shared" si="386"/>
        <v>0.94759259259259254</v>
      </c>
      <c r="CX50" s="118">
        <f t="shared" si="386"/>
        <v>0.9147291666666667</v>
      </c>
      <c r="CY50" s="118">
        <f t="shared" si="387"/>
        <v>0.92248106060606061</v>
      </c>
      <c r="CZ50" s="118">
        <f t="shared" si="387"/>
        <v>0.9276388888888889</v>
      </c>
      <c r="DA50" s="118">
        <f t="shared" si="387"/>
        <v>0.93197916666666669</v>
      </c>
      <c r="DB50" s="118">
        <f t="shared" si="387"/>
        <v>0.92958333333333332</v>
      </c>
      <c r="DC50" s="118">
        <f t="shared" si="387"/>
        <v>0.92690277777777774</v>
      </c>
      <c r="DD50" s="118">
        <f t="shared" si="387"/>
        <v>0.92951171875000005</v>
      </c>
      <c r="DE50" s="118">
        <f t="shared" si="387"/>
        <v>0.92065563725490196</v>
      </c>
      <c r="DF50" s="118">
        <f t="shared" si="387"/>
        <v>0.90458333333333329</v>
      </c>
      <c r="DG50" s="118">
        <f t="shared" si="387"/>
        <v>0.90960526315789469</v>
      </c>
      <c r="DH50" s="118">
        <f t="shared" si="387"/>
        <v>0.91290104166666663</v>
      </c>
      <c r="DI50" s="118">
        <f t="shared" si="388"/>
        <v>0.91507440476190482</v>
      </c>
      <c r="DJ50" s="118">
        <f t="shared" si="388"/>
        <v>0.8339109848484848</v>
      </c>
      <c r="DK50" s="118">
        <f t="shared" si="388"/>
        <v>0.84113224637681161</v>
      </c>
      <c r="DL50" s="118">
        <f t="shared" si="388"/>
        <v>0.84716579861111108</v>
      </c>
      <c r="DM50" s="118">
        <f t="shared" si="388"/>
        <v>0.84993333333333332</v>
      </c>
      <c r="DN50" s="118">
        <f t="shared" si="388"/>
        <v>0.85399038461538468</v>
      </c>
      <c r="DO50" s="118">
        <f t="shared" si="388"/>
        <v>0.85939814814814819</v>
      </c>
      <c r="DP50" s="118">
        <f t="shared" si="388"/>
        <v>0.86363467261904758</v>
      </c>
      <c r="DQ50" s="118">
        <f t="shared" si="388"/>
        <v>0.86713362068965516</v>
      </c>
      <c r="DR50" s="118">
        <f t="shared" si="388"/>
        <v>0.87143402777777779</v>
      </c>
      <c r="DS50" s="118">
        <f t="shared" si="389"/>
        <v>0.97687500000000005</v>
      </c>
      <c r="DT50" s="118">
        <f t="shared" si="389"/>
        <v>0.94374999999999998</v>
      </c>
      <c r="DU50" s="118">
        <f t="shared" si="389"/>
        <v>0.9132986111111111</v>
      </c>
      <c r="DV50" s="118">
        <f t="shared" si="389"/>
        <v>0.90648437500000001</v>
      </c>
      <c r="DW50" s="118">
        <f t="shared" si="389"/>
        <v>0.83804166666666668</v>
      </c>
      <c r="DX50" s="118">
        <f t="shared" si="389"/>
        <v>0.86503472222222222</v>
      </c>
      <c r="DY50" s="118">
        <f t="shared" si="389"/>
        <v>0.88431547619047612</v>
      </c>
      <c r="DZ50" s="118">
        <f t="shared" si="389"/>
        <v>0.88492187499999997</v>
      </c>
      <c r="EA50" s="118">
        <f t="shared" si="389"/>
        <v>0.89188657407407412</v>
      </c>
      <c r="EB50" s="118">
        <f t="shared" si="389"/>
        <v>0.89444791666666668</v>
      </c>
      <c r="EC50" s="118">
        <f t="shared" si="390"/>
        <v>0.89249053030303027</v>
      </c>
      <c r="ED50" s="118">
        <f t="shared" si="390"/>
        <v>0.90144965277777778</v>
      </c>
      <c r="EE50" s="118">
        <f t="shared" si="390"/>
        <v>0.89917467948717944</v>
      </c>
      <c r="EF50" s="118">
        <f t="shared" si="390"/>
        <v>0.90053571428571433</v>
      </c>
      <c r="EG50" s="118">
        <f t="shared" si="390"/>
        <v>0.87602777777777774</v>
      </c>
      <c r="EH50" s="118">
        <f t="shared" si="390"/>
        <v>0.87716145833333337</v>
      </c>
      <c r="EI50" s="118">
        <f t="shared" si="390"/>
        <v>0.87303921568627452</v>
      </c>
      <c r="EJ50" s="118">
        <f t="shared" si="390"/>
        <v>0.88009259259259254</v>
      </c>
      <c r="EK50" s="118">
        <f t="shared" si="390"/>
        <v>0.88640350877192986</v>
      </c>
      <c r="EL50" s="118">
        <f t="shared" si="390"/>
        <v>0.87958333333333338</v>
      </c>
      <c r="EM50" s="118">
        <f t="shared" si="391"/>
        <v>0.87189980158730163</v>
      </c>
      <c r="EN50" s="118">
        <f t="shared" si="391"/>
        <v>0.86233428030303028</v>
      </c>
      <c r="EO50" s="118">
        <f t="shared" si="391"/>
        <v>0.86216032608695647</v>
      </c>
      <c r="EP50" s="118">
        <f t="shared" si="391"/>
        <v>0.86485243055555561</v>
      </c>
      <c r="EQ50" s="118">
        <f t="shared" si="391"/>
        <v>0.86777083333333338</v>
      </c>
      <c r="ER50" s="118">
        <f t="shared" si="391"/>
        <v>0.87285657051282051</v>
      </c>
      <c r="ES50" s="118">
        <f t="shared" si="391"/>
        <v>0.87077160493827166</v>
      </c>
      <c r="ET50" s="118">
        <f t="shared" si="391"/>
        <v>0.86882068452380956</v>
      </c>
      <c r="EU50" s="118">
        <f t="shared" si="391"/>
        <v>0.87226652298850571</v>
      </c>
      <c r="EV50" s="118">
        <f t="shared" si="391"/>
        <v>0.87652430555555561</v>
      </c>
      <c r="EW50" s="118">
        <f t="shared" si="392"/>
        <v>0.88050739247311827</v>
      </c>
      <c r="EX50" s="118">
        <f t="shared" si="392"/>
        <v>1</v>
      </c>
      <c r="EY50" s="118">
        <f t="shared" si="392"/>
        <v>1</v>
      </c>
      <c r="EZ50" s="118">
        <f t="shared" si="392"/>
        <v>1</v>
      </c>
      <c r="FA50" s="118">
        <f t="shared" si="392"/>
        <v>1</v>
      </c>
      <c r="FB50" s="118">
        <f t="shared" si="392"/>
        <v>1</v>
      </c>
      <c r="FC50" s="118">
        <f t="shared" si="392"/>
        <v>1</v>
      </c>
      <c r="FD50" s="118">
        <f t="shared" si="392"/>
        <v>0.95797619047619043</v>
      </c>
      <c r="FE50" s="118">
        <f t="shared" si="392"/>
        <v>0.92123697916666669</v>
      </c>
      <c r="FF50" s="118">
        <f t="shared" si="392"/>
        <v>0.92940972222222218</v>
      </c>
      <c r="FG50" s="118">
        <f t="shared" si="393"/>
        <v>0.92443750000000002</v>
      </c>
      <c r="FH50" s="118">
        <f t="shared" si="393"/>
        <v>0.92461174242424238</v>
      </c>
      <c r="FI50" s="118">
        <f t="shared" si="393"/>
        <v>0.92969618055555558</v>
      </c>
      <c r="FJ50" s="118">
        <f t="shared" si="393"/>
        <v>0.93298076923076922</v>
      </c>
      <c r="FK50" s="118">
        <f t="shared" si="393"/>
        <v>0.93776785714285715</v>
      </c>
      <c r="FL50" s="118">
        <f t="shared" si="393"/>
        <v>0.93874305555555559</v>
      </c>
      <c r="FM50" s="118">
        <f t="shared" si="393"/>
        <v>0.93298177083333333</v>
      </c>
      <c r="FN50" s="118">
        <f t="shared" si="393"/>
        <v>0.93692401960784311</v>
      </c>
      <c r="FO50" s="118">
        <f t="shared" si="393"/>
        <v>0.93720486111111112</v>
      </c>
      <c r="FP50" s="118">
        <f t="shared" si="393"/>
        <v>0.94050986842105266</v>
      </c>
      <c r="FQ50" s="118">
        <f t="shared" si="394"/>
        <v>0.94308854166666667</v>
      </c>
      <c r="FR50" s="118">
        <f t="shared" si="394"/>
        <v>0.94579861111111108</v>
      </c>
      <c r="FS50" s="118">
        <f t="shared" si="394"/>
        <v>0.93969223484848485</v>
      </c>
      <c r="FT50" s="118">
        <f t="shared" si="394"/>
        <v>0.92479619565217397</v>
      </c>
      <c r="FU50" s="118">
        <f t="shared" si="394"/>
        <v>0.92792968750000004</v>
      </c>
      <c r="FV50" s="118">
        <f t="shared" si="394"/>
        <v>0.92867500000000003</v>
      </c>
      <c r="FW50" s="118">
        <f t="shared" si="394"/>
        <v>0.92612179487179491</v>
      </c>
      <c r="FX50" s="118">
        <f t="shared" si="394"/>
        <v>0.92773533950617282</v>
      </c>
      <c r="FY50" s="118">
        <f t="shared" si="394"/>
        <v>0.93031622023809524</v>
      </c>
      <c r="FZ50" s="118">
        <f t="shared" si="394"/>
        <v>0.93265445402298852</v>
      </c>
      <c r="GA50" s="118">
        <f>IF(OR(GA$13="",GA$17="",GA$14="",GA$15="",GA$16="",GA$18="",GA$19="",GA$20="",GA$21=""),"",1-(SUMIFS(GA$66:GA$74,$A$66:$A$74,$B50)/(COUNTIFS($A$40:$A$48,$B50)*GA$5)))</f>
        <v>0.9207326388888889</v>
      </c>
      <c r="GB50" s="118">
        <f>IF(OR(GB$13="",GB$17="",GB$14="",GB$15="",GB$16="",GB$18="",GB$19="",GB$20="",GB$21=""),"",1-(SUMIFS(GB$66:GB$74,$A$66:$A$74,$B50)/(COUNTIFS($A$40:$A$48,$B50)*GB$5)))</f>
        <v>0.76739583333333339</v>
      </c>
      <c r="GC50" s="118">
        <f t="shared" si="395"/>
        <v>0.88369791666666664</v>
      </c>
      <c r="GD50" s="118">
        <f t="shared" si="395"/>
        <v>0.92246527777777776</v>
      </c>
      <c r="GE50" s="118">
        <f t="shared" si="395"/>
        <v>0.93546874999999996</v>
      </c>
      <c r="GF50" s="118">
        <f t="shared" si="395"/>
        <v>0.92331249999999998</v>
      </c>
      <c r="GG50" s="118">
        <f t="shared" si="395"/>
        <v>0.93321180555555561</v>
      </c>
      <c r="GH50" s="118">
        <f t="shared" si="395"/>
        <v>0.94275297619047616</v>
      </c>
      <c r="GI50" s="118">
        <f t="shared" si="395"/>
        <v>0.94309895833333335</v>
      </c>
      <c r="GJ50" s="118">
        <f t="shared" si="395"/>
        <v>0.94435185185185189</v>
      </c>
      <c r="GK50" s="118">
        <f t="shared" si="396"/>
        <v>0.94333333333333336</v>
      </c>
      <c r="GL50" s="118">
        <f t="shared" si="396"/>
        <v>0.94848484848484849</v>
      </c>
      <c r="GM50" s="118">
        <f t="shared" si="396"/>
        <v>0.95277777777777772</v>
      </c>
      <c r="GN50" s="118">
        <f t="shared" si="396"/>
        <v>0.95641025641025645</v>
      </c>
      <c r="GO50" s="118">
        <f t="shared" si="396"/>
        <v>0.95952380952380956</v>
      </c>
      <c r="GP50" s="118">
        <f t="shared" si="396"/>
        <v>0.9622222222222222</v>
      </c>
      <c r="GQ50" s="118">
        <f t="shared" si="396"/>
        <v>0.96250000000000002</v>
      </c>
      <c r="GR50" s="118">
        <f t="shared" si="396"/>
        <v>0.95972426470588235</v>
      </c>
      <c r="GS50" s="118">
        <f t="shared" si="396"/>
        <v>0.96196180555555555</v>
      </c>
      <c r="GT50" s="118">
        <f t="shared" si="396"/>
        <v>0.95987938596491229</v>
      </c>
      <c r="GU50" s="118">
        <f t="shared" si="397"/>
        <v>0.96188541666666671</v>
      </c>
      <c r="GV50" s="118">
        <f t="shared" si="397"/>
        <v>0.88763392857142853</v>
      </c>
      <c r="GW50" s="118">
        <f t="shared" si="397"/>
        <v>0.88913352272727275</v>
      </c>
      <c r="GX50" s="118">
        <f t="shared" si="397"/>
        <v>0.89395380434782612</v>
      </c>
      <c r="GY50" s="118">
        <f t="shared" si="397"/>
        <v>0.89837239583333339</v>
      </c>
      <c r="GZ50" s="118">
        <f t="shared" si="397"/>
        <v>0.9024375</v>
      </c>
      <c r="HA50" s="118">
        <f t="shared" si="397"/>
        <v>0.90618990384615383</v>
      </c>
      <c r="HB50" s="118">
        <f t="shared" si="397"/>
        <v>0.85368441358024694</v>
      </c>
      <c r="HC50" s="118">
        <f t="shared" si="397"/>
        <v>0.85890997023809523</v>
      </c>
      <c r="HD50" s="118">
        <f t="shared" si="397"/>
        <v>0.86377514367816088</v>
      </c>
      <c r="HE50" s="118">
        <f t="shared" si="398"/>
        <v>0.86831597222222223</v>
      </c>
      <c r="HF50" s="118">
        <f t="shared" si="398"/>
        <v>0.8725638440860215</v>
      </c>
      <c r="HG50" s="118">
        <f t="shared" si="398"/>
        <v>1</v>
      </c>
      <c r="HH50" s="118">
        <f t="shared" si="398"/>
        <v>1</v>
      </c>
      <c r="HI50" s="118">
        <f t="shared" si="398"/>
        <v>1</v>
      </c>
      <c r="HJ50" s="118">
        <f t="shared" si="398"/>
        <v>0.99982928240740743</v>
      </c>
      <c r="HK50" s="118">
        <f t="shared" si="398"/>
        <v>0.95534317129629631</v>
      </c>
      <c r="HL50" s="118">
        <f t="shared" si="398"/>
        <v>0.92111930941358022</v>
      </c>
      <c r="HM50" s="118">
        <f t="shared" si="398"/>
        <v>0.89005456349206347</v>
      </c>
      <c r="HN50" s="118">
        <f t="shared" si="398"/>
        <v>0.90073567708333335</v>
      </c>
      <c r="HO50" s="118">
        <f t="shared" si="399"/>
        <v>0.91176504629629629</v>
      </c>
      <c r="HP50" s="118">
        <f t="shared" si="399"/>
        <v>0.9205885416666667</v>
      </c>
      <c r="HQ50" s="118">
        <f t="shared" si="399"/>
        <v>0.92398832070707071</v>
      </c>
      <c r="HR50" s="118">
        <f t="shared" si="399"/>
        <v>0.93032262731481485</v>
      </c>
      <c r="HS50" s="118">
        <f t="shared" si="399"/>
        <v>0.90162415420227915</v>
      </c>
      <c r="HT50" s="118">
        <f t="shared" si="399"/>
        <v>0.890793857473545</v>
      </c>
      <c r="HU50" s="118">
        <f t="shared" si="399"/>
        <v>0.88140760030864196</v>
      </c>
      <c r="HV50" s="118">
        <f t="shared" si="399"/>
        <v>0.87416558159722224</v>
      </c>
      <c r="HW50" s="118">
        <f t="shared" si="399"/>
        <v>0.87929432189542489</v>
      </c>
      <c r="HX50" s="118">
        <f t="shared" si="399"/>
        <v>0.87558288323045264</v>
      </c>
      <c r="HY50" s="118">
        <f t="shared" si="400"/>
        <v>0.86700596978557498</v>
      </c>
      <c r="HZ50" s="118">
        <f t="shared" si="400"/>
        <v>0.86800202546296301</v>
      </c>
      <c r="IA50" s="118">
        <f t="shared" si="400"/>
        <v>0.87428764329805997</v>
      </c>
      <c r="IB50" s="118">
        <f t="shared" si="400"/>
        <v>0.87858270202020206</v>
      </c>
      <c r="IC50" s="118">
        <f t="shared" si="400"/>
        <v>0.88386171497584543</v>
      </c>
      <c r="ID50" s="118">
        <f t="shared" si="400"/>
        <v>0.8505931712962963</v>
      </c>
      <c r="IE50" s="118">
        <f t="shared" si="400"/>
        <v>0.8475569444444444</v>
      </c>
      <c r="IF50" s="118">
        <f t="shared" si="400"/>
        <v>0.85140491452991451</v>
      </c>
      <c r="IG50" s="118">
        <f t="shared" si="400"/>
        <v>0.85674639917695472</v>
      </c>
      <c r="IH50" s="118">
        <f t="shared" si="400"/>
        <v>0.86092509920634919</v>
      </c>
      <c r="II50" s="118">
        <f t="shared" si="401"/>
        <v>0.86572078544061304</v>
      </c>
      <c r="IJ50" s="118">
        <f t="shared" si="401"/>
        <v>0.8633460648148148</v>
      </c>
      <c r="IK50" s="118">
        <f t="shared" si="401"/>
        <v>0.86579581093189961</v>
      </c>
      <c r="IL50" s="118">
        <f t="shared" si="401"/>
        <v>0.76780671296296299</v>
      </c>
      <c r="IM50" s="118">
        <f t="shared" si="401"/>
        <v>0.74971354166666671</v>
      </c>
      <c r="IN50" s="118">
        <f t="shared" si="401"/>
        <v>0.73624131944444438</v>
      </c>
      <c r="IO50" s="118">
        <f t="shared" si="401"/>
        <v>0.70649522569444456</v>
      </c>
      <c r="IP50" s="118">
        <f t="shared" si="401"/>
        <v>0.70098379629629637</v>
      </c>
      <c r="IQ50" s="118">
        <f t="shared" si="401"/>
        <v>0.70762249228395069</v>
      </c>
      <c r="IR50" s="118">
        <f t="shared" si="401"/>
        <v>0.68245122354497356</v>
      </c>
      <c r="IS50" s="118">
        <f t="shared" si="402"/>
        <v>0.64237413194444448</v>
      </c>
      <c r="IT50" s="118">
        <f t="shared" si="402"/>
        <v>0.60815875771604944</v>
      </c>
      <c r="IU50" s="118">
        <f t="shared" si="402"/>
        <v>0.61108506944444441</v>
      </c>
      <c r="IV50" s="118">
        <f t="shared" si="402"/>
        <v>0.64312578914141416</v>
      </c>
      <c r="IW50" s="118">
        <f t="shared" si="402"/>
        <v>0.67274860146604942</v>
      </c>
      <c r="IX50" s="118">
        <f t="shared" si="402"/>
        <v>0.69506343482905986</v>
      </c>
      <c r="IY50" s="118">
        <f t="shared" si="402"/>
        <v>0.71016141699735447</v>
      </c>
      <c r="IZ50" s="118">
        <f t="shared" si="402"/>
        <v>0.72925597993827163</v>
      </c>
      <c r="JA50" s="118">
        <f t="shared" si="402"/>
        <v>0.74498390480324073</v>
      </c>
      <c r="JB50" s="118">
        <f t="shared" si="402"/>
        <v>0.75635927287581706</v>
      </c>
      <c r="JC50" s="118">
        <f t="shared" si="403"/>
        <v>0.76719618055555561</v>
      </c>
      <c r="JD50" s="118">
        <f t="shared" si="403"/>
        <v>0.77116578338206632</v>
      </c>
      <c r="JE50" s="118">
        <f t="shared" si="403"/>
        <v>0.7792680844907407</v>
      </c>
      <c r="JF50" s="118">
        <f t="shared" si="403"/>
        <v>0.78866471009700179</v>
      </c>
      <c r="JG50" s="118">
        <f t="shared" si="403"/>
        <v>0.79676215277777773</v>
      </c>
      <c r="JH50" s="118">
        <f t="shared" si="403"/>
        <v>0.79873037439613526</v>
      </c>
      <c r="JI50" s="118">
        <f t="shared" si="403"/>
        <v>0.80548574942129625</v>
      </c>
      <c r="JJ50" s="118">
        <f t="shared" si="403"/>
        <v>0.81070659722222227</v>
      </c>
      <c r="JK50" s="118">
        <f t="shared" si="403"/>
        <v>0.81173867076210826</v>
      </c>
      <c r="JL50" s="118">
        <f t="shared" si="403"/>
        <v>0.81080546982167356</v>
      </c>
      <c r="JM50" s="118">
        <f t="shared" si="404"/>
        <v>0.8119823702050265</v>
      </c>
      <c r="JN50" s="118">
        <f t="shared" si="404"/>
        <v>0.81212234594508304</v>
      </c>
      <c r="JO50" s="118">
        <f t="shared" si="404"/>
        <v>0.81699604552469141</v>
      </c>
      <c r="JP50" s="118">
        <f t="shared" si="404"/>
        <v>0.91593749999999996</v>
      </c>
      <c r="JQ50" s="118">
        <f t="shared" si="404"/>
        <v>0.93614583333333334</v>
      </c>
      <c r="JR50" s="118">
        <f t="shared" si="404"/>
        <v>0.94552083333333337</v>
      </c>
      <c r="JS50" s="118">
        <f t="shared" si="404"/>
        <v>0.90601562499999999</v>
      </c>
      <c r="JT50" s="118">
        <f t="shared" si="404"/>
        <v>0.90102083333333338</v>
      </c>
      <c r="JU50" s="118">
        <f t="shared" si="404"/>
        <v>0.89414930555555561</v>
      </c>
      <c r="JV50" s="118">
        <f t="shared" si="404"/>
        <v>0.90331845238095243</v>
      </c>
      <c r="JW50" s="118">
        <f t="shared" si="405"/>
        <v>0.91540364583333333</v>
      </c>
      <c r="JX50" s="118">
        <f t="shared" si="405"/>
        <v>0.92480324074074072</v>
      </c>
      <c r="JY50" s="118">
        <f t="shared" si="405"/>
        <v>0.93232291666666667</v>
      </c>
      <c r="JZ50" s="118">
        <f t="shared" si="405"/>
        <v>0.93847537878787879</v>
      </c>
      <c r="KA50" s="118">
        <f t="shared" si="405"/>
        <v>0.94360243055555559</v>
      </c>
      <c r="KB50" s="118">
        <f t="shared" si="405"/>
        <v>0.94794070512820516</v>
      </c>
      <c r="KC50" s="118">
        <f t="shared" si="405"/>
        <v>0.95165922619047616</v>
      </c>
      <c r="KD50" s="118">
        <f t="shared" si="405"/>
        <v>0.95488194444444441</v>
      </c>
      <c r="KE50" s="118">
        <f t="shared" si="405"/>
        <v>0.95770182291666672</v>
      </c>
      <c r="KF50" s="118">
        <f t="shared" si="405"/>
        <v>0.96018995098039217</v>
      </c>
      <c r="KG50" s="118">
        <f t="shared" si="406"/>
        <v>0.96240162037037036</v>
      </c>
      <c r="KH50" s="118">
        <f t="shared" si="406"/>
        <v>0.96438048245614039</v>
      </c>
      <c r="KI50" s="118">
        <f t="shared" si="406"/>
        <v>0.96616145833333333</v>
      </c>
      <c r="KJ50" s="118">
        <f t="shared" si="406"/>
        <v>0.96777281746031751</v>
      </c>
      <c r="KK50" s="118">
        <f t="shared" si="406"/>
        <v>0.96923768939393939</v>
      </c>
      <c r="KL50" s="118">
        <f t="shared" si="406"/>
        <v>0.97057518115942032</v>
      </c>
      <c r="KM50" s="118">
        <f t="shared" si="406"/>
        <v>0.97180121527777774</v>
      </c>
      <c r="KN50" s="118">
        <f t="shared" si="406"/>
        <v>0.97292916666666662</v>
      </c>
      <c r="KO50" s="118">
        <f t="shared" si="406"/>
        <v>0.97397035256410258</v>
      </c>
      <c r="KP50" s="118">
        <f t="shared" si="406"/>
        <v>0.97493441358024691</v>
      </c>
      <c r="KQ50" s="118">
        <f t="shared" si="407"/>
        <v>0.97582961309523808</v>
      </c>
      <c r="KR50" s="118">
        <f t="shared" si="407"/>
        <v>0.97666307471264369</v>
      </c>
      <c r="KS50" s="118">
        <f t="shared" si="407"/>
        <v>0.97744097222222226</v>
      </c>
      <c r="KT50" s="118">
        <f t="shared" si="407"/>
        <v>0.97816868279569891</v>
      </c>
      <c r="KU50" s="118" t="str">
        <f t="shared" si="407"/>
        <v/>
      </c>
      <c r="KV50" s="118" t="str">
        <f t="shared" si="407"/>
        <v/>
      </c>
      <c r="KW50" s="118" t="str">
        <f t="shared" si="407"/>
        <v/>
      </c>
      <c r="KX50" s="118" t="str">
        <f t="shared" si="407"/>
        <v/>
      </c>
      <c r="KY50" s="118" t="str">
        <f t="shared" si="407"/>
        <v/>
      </c>
      <c r="KZ50" s="118" t="str">
        <f t="shared" si="407"/>
        <v/>
      </c>
      <c r="LA50" s="118" t="str">
        <f t="shared" si="408"/>
        <v/>
      </c>
      <c r="LB50" s="118" t="str">
        <f t="shared" si="408"/>
        <v/>
      </c>
      <c r="LC50" s="118" t="str">
        <f t="shared" si="408"/>
        <v/>
      </c>
      <c r="LD50" s="118" t="str">
        <f t="shared" si="408"/>
        <v/>
      </c>
      <c r="LE50" s="118" t="str">
        <f t="shared" si="408"/>
        <v/>
      </c>
      <c r="LF50" s="118" t="str">
        <f t="shared" si="408"/>
        <v/>
      </c>
      <c r="LG50" s="118" t="str">
        <f t="shared" si="408"/>
        <v/>
      </c>
      <c r="LH50" s="118" t="str">
        <f t="shared" si="408"/>
        <v/>
      </c>
      <c r="LI50" s="118" t="str">
        <f t="shared" si="408"/>
        <v/>
      </c>
      <c r="LJ50" s="118" t="str">
        <f t="shared" si="408"/>
        <v/>
      </c>
      <c r="LK50" s="118" t="str">
        <f t="shared" si="409"/>
        <v/>
      </c>
      <c r="LL50" s="118" t="str">
        <f t="shared" si="409"/>
        <v/>
      </c>
      <c r="LM50" s="118" t="str">
        <f t="shared" si="409"/>
        <v/>
      </c>
      <c r="LN50" s="118" t="str">
        <f t="shared" si="409"/>
        <v/>
      </c>
      <c r="LO50" s="118" t="str">
        <f t="shared" si="409"/>
        <v/>
      </c>
      <c r="LP50" s="118" t="str">
        <f t="shared" si="409"/>
        <v/>
      </c>
      <c r="LQ50" s="118" t="str">
        <f t="shared" si="409"/>
        <v/>
      </c>
      <c r="LR50" s="118" t="str">
        <f t="shared" si="409"/>
        <v/>
      </c>
      <c r="LS50" s="118" t="str">
        <f t="shared" si="409"/>
        <v/>
      </c>
      <c r="LT50" s="118" t="str">
        <f t="shared" si="409"/>
        <v/>
      </c>
      <c r="LU50" s="118" t="str">
        <f t="shared" si="410"/>
        <v/>
      </c>
      <c r="LV50" s="118" t="str">
        <f t="shared" si="410"/>
        <v/>
      </c>
      <c r="LW50" s="118" t="str">
        <f t="shared" si="410"/>
        <v/>
      </c>
      <c r="LX50" s="118" t="str">
        <f t="shared" si="410"/>
        <v/>
      </c>
      <c r="LY50" s="118" t="str">
        <f t="shared" si="410"/>
        <v/>
      </c>
      <c r="LZ50" s="118" t="str">
        <f t="shared" si="410"/>
        <v/>
      </c>
      <c r="MA50" s="118" t="str">
        <f t="shared" si="410"/>
        <v/>
      </c>
      <c r="MB50" s="118" t="str">
        <f t="shared" si="410"/>
        <v/>
      </c>
      <c r="MC50" s="118" t="str">
        <f t="shared" si="410"/>
        <v/>
      </c>
      <c r="MD50" s="118" t="str">
        <f t="shared" si="410"/>
        <v/>
      </c>
      <c r="ME50" s="118" t="str">
        <f t="shared" si="411"/>
        <v/>
      </c>
      <c r="MF50" s="118" t="str">
        <f t="shared" si="411"/>
        <v/>
      </c>
      <c r="MG50" s="118" t="str">
        <f t="shared" si="411"/>
        <v/>
      </c>
      <c r="MH50" s="118" t="str">
        <f t="shared" si="411"/>
        <v/>
      </c>
      <c r="MI50" s="118" t="str">
        <f t="shared" si="411"/>
        <v/>
      </c>
      <c r="MJ50" s="118" t="str">
        <f t="shared" si="411"/>
        <v/>
      </c>
      <c r="MK50" s="118" t="str">
        <f t="shared" si="411"/>
        <v/>
      </c>
      <c r="ML50" s="118" t="str">
        <f t="shared" si="411"/>
        <v/>
      </c>
      <c r="MM50" s="118" t="str">
        <f t="shared" si="411"/>
        <v/>
      </c>
      <c r="MN50" s="118" t="str">
        <f t="shared" si="411"/>
        <v/>
      </c>
      <c r="MO50" s="118" t="str">
        <f t="shared" si="412"/>
        <v/>
      </c>
      <c r="MP50" s="118" t="str">
        <f t="shared" si="412"/>
        <v/>
      </c>
      <c r="MQ50" s="118" t="str">
        <f t="shared" si="412"/>
        <v/>
      </c>
      <c r="MR50" s="118" t="str">
        <f t="shared" si="412"/>
        <v/>
      </c>
      <c r="MS50" s="118" t="str">
        <f t="shared" si="412"/>
        <v/>
      </c>
      <c r="MT50" s="118" t="str">
        <f t="shared" si="412"/>
        <v/>
      </c>
      <c r="MU50" s="118" t="str">
        <f t="shared" si="412"/>
        <v/>
      </c>
      <c r="MV50" s="118" t="str">
        <f t="shared" si="412"/>
        <v/>
      </c>
      <c r="MW50" s="118" t="str">
        <f t="shared" si="412"/>
        <v/>
      </c>
      <c r="MX50" s="118" t="str">
        <f t="shared" si="412"/>
        <v/>
      </c>
      <c r="MY50" s="118" t="str">
        <f t="shared" si="413"/>
        <v/>
      </c>
      <c r="MZ50" s="118" t="str">
        <f t="shared" si="413"/>
        <v/>
      </c>
      <c r="NA50" s="118" t="str">
        <f t="shared" si="413"/>
        <v/>
      </c>
      <c r="NB50" s="118" t="str">
        <f t="shared" si="413"/>
        <v/>
      </c>
      <c r="NC50" s="118" t="str">
        <f t="shared" si="413"/>
        <v/>
      </c>
      <c r="ND50" s="118" t="str">
        <f t="shared" si="413"/>
        <v/>
      </c>
      <c r="NE50" s="118" t="str">
        <f t="shared" si="413"/>
        <v/>
      </c>
      <c r="NF50" s="118" t="str">
        <f t="shared" si="413"/>
        <v/>
      </c>
      <c r="NG50" s="118" t="str">
        <f t="shared" si="413"/>
        <v/>
      </c>
      <c r="NH50" s="118" t="str">
        <f t="shared" si="413"/>
        <v/>
      </c>
      <c r="NI50" s="118" t="str">
        <f t="shared" si="414"/>
        <v/>
      </c>
      <c r="NJ50" s="118" t="str">
        <f t="shared" si="414"/>
        <v/>
      </c>
      <c r="NK50" s="118" t="str">
        <f t="shared" si="414"/>
        <v/>
      </c>
      <c r="NL50" s="118" t="str">
        <f t="shared" si="414"/>
        <v/>
      </c>
      <c r="NM50" s="118" t="str">
        <f t="shared" si="414"/>
        <v/>
      </c>
      <c r="NN50" s="118" t="str">
        <f t="shared" si="414"/>
        <v/>
      </c>
      <c r="NO50" s="118" t="str">
        <f t="shared" si="414"/>
        <v/>
      </c>
      <c r="NP50" s="118" t="str">
        <f t="shared" si="414"/>
        <v/>
      </c>
      <c r="NQ50" s="118" t="str">
        <f t="shared" si="414"/>
        <v/>
      </c>
      <c r="NR50" s="118" t="str">
        <f t="shared" si="414"/>
        <v/>
      </c>
      <c r="NS50" s="118" t="str">
        <f t="shared" si="415"/>
        <v/>
      </c>
      <c r="NT50" s="118" t="str">
        <f t="shared" si="415"/>
        <v/>
      </c>
      <c r="NU50" s="118" t="str">
        <f t="shared" si="415"/>
        <v/>
      </c>
      <c r="NV50" s="118" t="str">
        <f t="shared" si="415"/>
        <v/>
      </c>
      <c r="NW50" s="118" t="str">
        <f t="shared" si="415"/>
        <v/>
      </c>
      <c r="NX50" s="118" t="str">
        <f t="shared" si="415"/>
        <v/>
      </c>
      <c r="NY50" s="118" t="str">
        <f t="shared" si="415"/>
        <v/>
      </c>
      <c r="NZ50" s="118" t="str">
        <f t="shared" si="415"/>
        <v/>
      </c>
      <c r="OA50" s="118" t="str">
        <f t="shared" si="415"/>
        <v/>
      </c>
      <c r="OB50" s="118" t="str">
        <f t="shared" si="415"/>
        <v/>
      </c>
      <c r="OC50" s="118" t="str">
        <f t="shared" si="416"/>
        <v/>
      </c>
      <c r="OD50" s="118" t="str">
        <f t="shared" si="416"/>
        <v/>
      </c>
      <c r="OE50" s="118" t="str">
        <f t="shared" si="416"/>
        <v/>
      </c>
      <c r="OF50" s="118" t="str">
        <f t="shared" si="416"/>
        <v/>
      </c>
      <c r="OG50" s="118" t="str">
        <f t="shared" si="416"/>
        <v/>
      </c>
      <c r="OH50" s="118" t="str">
        <f t="shared" si="416"/>
        <v/>
      </c>
      <c r="OI50" s="118" t="str">
        <f t="shared" si="416"/>
        <v/>
      </c>
      <c r="OJ50" s="118" t="str">
        <f t="shared" si="416"/>
        <v/>
      </c>
      <c r="OK50" s="118" t="str">
        <f t="shared" si="416"/>
        <v/>
      </c>
      <c r="OL50" s="118" t="str">
        <f t="shared" si="416"/>
        <v/>
      </c>
      <c r="OM50" s="118" t="str">
        <f t="shared" si="417"/>
        <v/>
      </c>
      <c r="ON50" s="118" t="str">
        <f t="shared" si="417"/>
        <v/>
      </c>
      <c r="OO50" s="118" t="str">
        <f t="shared" si="417"/>
        <v/>
      </c>
      <c r="OP50" s="118" t="str">
        <f t="shared" si="417"/>
        <v/>
      </c>
      <c r="OQ50" s="118" t="str">
        <f t="shared" si="417"/>
        <v/>
      </c>
      <c r="OR50" s="118" t="str">
        <f t="shared" si="417"/>
        <v/>
      </c>
      <c r="OS50" s="118" t="str">
        <f t="shared" si="417"/>
        <v/>
      </c>
      <c r="OT50" s="118" t="str">
        <f t="shared" si="417"/>
        <v/>
      </c>
      <c r="OU50" s="118" t="str">
        <f t="shared" si="417"/>
        <v/>
      </c>
      <c r="OV50" s="118" t="str">
        <f t="shared" si="417"/>
        <v/>
      </c>
      <c r="OW50" s="118" t="str">
        <f t="shared" si="418"/>
        <v/>
      </c>
      <c r="OX50" s="118" t="str">
        <f t="shared" si="418"/>
        <v/>
      </c>
      <c r="OY50" s="118" t="str">
        <f t="shared" si="418"/>
        <v/>
      </c>
      <c r="OZ50" s="118" t="str">
        <f t="shared" si="418"/>
        <v/>
      </c>
      <c r="PA50" s="118" t="str">
        <f t="shared" si="418"/>
        <v/>
      </c>
      <c r="PB50" s="118" t="str">
        <f t="shared" si="418"/>
        <v/>
      </c>
      <c r="PC50" s="118" t="str">
        <f t="shared" si="418"/>
        <v/>
      </c>
      <c r="PD50" s="118" t="str">
        <f t="shared" si="418"/>
        <v/>
      </c>
      <c r="PE50" s="118" t="str">
        <f t="shared" si="418"/>
        <v/>
      </c>
      <c r="PF50" s="118" t="str">
        <f t="shared" si="418"/>
        <v/>
      </c>
      <c r="PG50" s="118" t="str">
        <f t="shared" si="419"/>
        <v/>
      </c>
      <c r="PH50" s="118" t="str">
        <f t="shared" si="419"/>
        <v/>
      </c>
      <c r="PI50" s="118" t="str">
        <f t="shared" si="419"/>
        <v/>
      </c>
      <c r="PJ50" s="118" t="str">
        <f t="shared" si="419"/>
        <v/>
      </c>
      <c r="PK50" s="118" t="str">
        <f t="shared" si="419"/>
        <v/>
      </c>
      <c r="PL50" s="118" t="str">
        <f t="shared" si="419"/>
        <v/>
      </c>
      <c r="PM50" s="118" t="str">
        <f t="shared" si="419"/>
        <v/>
      </c>
      <c r="PN50" s="118" t="str">
        <f t="shared" si="419"/>
        <v/>
      </c>
      <c r="PO50" s="118" t="str">
        <f t="shared" si="419"/>
        <v/>
      </c>
      <c r="PP50" s="118" t="str">
        <f t="shared" si="419"/>
        <v/>
      </c>
      <c r="PQ50" s="118" t="str">
        <f t="shared" si="420"/>
        <v/>
      </c>
      <c r="PR50" s="118" t="str">
        <f t="shared" si="420"/>
        <v/>
      </c>
      <c r="PS50" s="118" t="str">
        <f t="shared" si="420"/>
        <v/>
      </c>
      <c r="PT50" s="118" t="str">
        <f t="shared" si="420"/>
        <v/>
      </c>
      <c r="PU50" s="118" t="str">
        <f t="shared" si="420"/>
        <v/>
      </c>
      <c r="PV50" s="118" t="str">
        <f t="shared" si="420"/>
        <v/>
      </c>
      <c r="PW50" s="118" t="str">
        <f t="shared" si="420"/>
        <v/>
      </c>
      <c r="PX50" s="118" t="str">
        <f t="shared" si="420"/>
        <v/>
      </c>
      <c r="PY50" s="118" t="str">
        <f t="shared" si="420"/>
        <v/>
      </c>
      <c r="PZ50" s="118" t="str">
        <f t="shared" si="420"/>
        <v/>
      </c>
      <c r="QA50" s="118" t="str">
        <f t="shared" si="421"/>
        <v/>
      </c>
      <c r="QB50" s="118" t="str">
        <f t="shared" si="421"/>
        <v/>
      </c>
      <c r="QC50" s="118" t="str">
        <f t="shared" si="421"/>
        <v/>
      </c>
      <c r="QD50" s="118" t="str">
        <f t="shared" si="421"/>
        <v/>
      </c>
      <c r="QE50" s="118" t="str">
        <f t="shared" si="421"/>
        <v/>
      </c>
      <c r="QF50" s="118" t="str">
        <f t="shared" si="421"/>
        <v/>
      </c>
      <c r="QG50" s="118" t="str">
        <f t="shared" si="421"/>
        <v/>
      </c>
      <c r="QH50" s="118" t="str">
        <f t="shared" si="421"/>
        <v/>
      </c>
      <c r="QI50" s="118" t="str">
        <f t="shared" si="421"/>
        <v/>
      </c>
      <c r="QJ50" s="118" t="str">
        <f t="shared" si="421"/>
        <v/>
      </c>
      <c r="QK50" s="118" t="str">
        <f t="shared" si="422"/>
        <v/>
      </c>
      <c r="QL50" s="118" t="str">
        <f t="shared" si="422"/>
        <v/>
      </c>
      <c r="QM50" s="118" t="str">
        <f t="shared" si="422"/>
        <v/>
      </c>
      <c r="QN50" s="118" t="str">
        <f t="shared" si="422"/>
        <v/>
      </c>
      <c r="QO50" s="118" t="str">
        <f t="shared" si="422"/>
        <v/>
      </c>
      <c r="QP50" s="118" t="str">
        <f t="shared" si="422"/>
        <v/>
      </c>
      <c r="QQ50" s="118" t="str">
        <f t="shared" si="422"/>
        <v/>
      </c>
      <c r="QR50" s="118" t="str">
        <f t="shared" si="422"/>
        <v/>
      </c>
      <c r="QS50" s="118" t="str">
        <f t="shared" si="422"/>
        <v/>
      </c>
      <c r="QT50" s="118" t="str">
        <f t="shared" si="422"/>
        <v/>
      </c>
      <c r="QU50" s="118" t="str">
        <f t="shared" si="423"/>
        <v/>
      </c>
      <c r="QV50" s="118" t="str">
        <f t="shared" si="423"/>
        <v/>
      </c>
      <c r="QW50" s="118" t="str">
        <f t="shared" si="423"/>
        <v/>
      </c>
      <c r="QX50" s="118" t="str">
        <f t="shared" si="423"/>
        <v/>
      </c>
      <c r="QY50" s="118" t="str">
        <f t="shared" si="423"/>
        <v/>
      </c>
      <c r="QZ50" s="118" t="str">
        <f t="shared" si="423"/>
        <v/>
      </c>
      <c r="RA50" s="118" t="str">
        <f t="shared" si="423"/>
        <v/>
      </c>
      <c r="RB50" s="118" t="str">
        <f t="shared" si="423"/>
        <v/>
      </c>
      <c r="RC50" s="118" t="str">
        <f t="shared" si="423"/>
        <v/>
      </c>
      <c r="RD50" s="118" t="str">
        <f t="shared" si="423"/>
        <v/>
      </c>
      <c r="RE50" s="118" t="str">
        <f t="shared" si="424"/>
        <v/>
      </c>
      <c r="RF50" s="118" t="str">
        <f t="shared" si="424"/>
        <v/>
      </c>
      <c r="RG50" s="118" t="str">
        <f t="shared" si="424"/>
        <v/>
      </c>
      <c r="RH50" s="118" t="str">
        <f t="shared" si="424"/>
        <v/>
      </c>
      <c r="RI50" s="118" t="str">
        <f t="shared" si="424"/>
        <v/>
      </c>
      <c r="RJ50" s="118" t="str">
        <f t="shared" si="424"/>
        <v/>
      </c>
      <c r="RK50" s="118" t="str">
        <f t="shared" si="424"/>
        <v/>
      </c>
      <c r="RL50" s="118" t="str">
        <f t="shared" si="424"/>
        <v/>
      </c>
      <c r="RM50" s="118" t="str">
        <f t="shared" si="424"/>
        <v/>
      </c>
      <c r="RN50" s="118" t="str">
        <f t="shared" si="424"/>
        <v/>
      </c>
      <c r="RO50" s="118" t="str">
        <f t="shared" si="425"/>
        <v/>
      </c>
      <c r="RP50" s="118" t="str">
        <f t="shared" si="425"/>
        <v/>
      </c>
      <c r="RQ50" s="118" t="str">
        <f t="shared" si="425"/>
        <v/>
      </c>
      <c r="RR50" s="118" t="str">
        <f t="shared" si="425"/>
        <v/>
      </c>
      <c r="RS50" s="118" t="str">
        <f t="shared" si="425"/>
        <v/>
      </c>
      <c r="RT50" s="118" t="str">
        <f t="shared" si="425"/>
        <v/>
      </c>
      <c r="RU50" s="118" t="str">
        <f t="shared" si="425"/>
        <v/>
      </c>
      <c r="RV50" s="118" t="str">
        <f t="shared" si="425"/>
        <v/>
      </c>
      <c r="RW50" s="118" t="str">
        <f t="shared" si="425"/>
        <v/>
      </c>
      <c r="RX50" s="118" t="str">
        <f t="shared" si="425"/>
        <v/>
      </c>
      <c r="RY50" s="118" t="str">
        <f t="shared" si="426"/>
        <v/>
      </c>
      <c r="RZ50" s="118" t="str">
        <f t="shared" si="426"/>
        <v/>
      </c>
      <c r="SA50" s="118" t="str">
        <f t="shared" si="426"/>
        <v/>
      </c>
      <c r="SB50" s="118" t="str">
        <f t="shared" si="426"/>
        <v/>
      </c>
      <c r="SC50" s="118" t="str">
        <f t="shared" si="426"/>
        <v/>
      </c>
      <c r="SD50" s="118" t="str">
        <f t="shared" si="426"/>
        <v/>
      </c>
      <c r="SE50" s="118" t="str">
        <f t="shared" si="426"/>
        <v/>
      </c>
      <c r="SF50" s="118" t="str">
        <f t="shared" si="426"/>
        <v/>
      </c>
      <c r="SG50" s="118" t="str">
        <f t="shared" si="426"/>
        <v/>
      </c>
      <c r="SH50" s="118" t="str">
        <f t="shared" si="426"/>
        <v/>
      </c>
      <c r="SI50" s="118" t="str">
        <f t="shared" si="427"/>
        <v/>
      </c>
      <c r="SJ50" s="118" t="str">
        <f t="shared" si="427"/>
        <v/>
      </c>
      <c r="SK50" s="118" t="str">
        <f t="shared" si="427"/>
        <v/>
      </c>
      <c r="SL50" s="118" t="str">
        <f t="shared" si="427"/>
        <v/>
      </c>
      <c r="SM50" s="118" t="str">
        <f t="shared" si="427"/>
        <v/>
      </c>
      <c r="SN50" s="118" t="str">
        <f t="shared" si="427"/>
        <v/>
      </c>
      <c r="SO50" s="118" t="str">
        <f t="shared" si="427"/>
        <v/>
      </c>
      <c r="SP50" s="118" t="str">
        <f t="shared" si="427"/>
        <v/>
      </c>
      <c r="SQ50" s="118" t="str">
        <f t="shared" si="427"/>
        <v/>
      </c>
      <c r="SR50" s="118" t="str">
        <f t="shared" si="427"/>
        <v/>
      </c>
      <c r="SS50" s="118" t="str">
        <f t="shared" si="427"/>
        <v/>
      </c>
      <c r="ST50" s="118" t="str">
        <f t="shared" si="427"/>
        <v/>
      </c>
      <c r="SU50" s="118" t="str">
        <f t="shared" si="427"/>
        <v/>
      </c>
      <c r="SV50" s="118" t="str">
        <f t="shared" si="427"/>
        <v/>
      </c>
      <c r="SW50" s="118" t="str">
        <f t="shared" si="427"/>
        <v/>
      </c>
    </row>
    <row r="51" spans="1:517" ht="24" customHeight="1" x14ac:dyDescent="0.2">
      <c r="A51" s="94">
        <f>SUM(A49:A50)</f>
        <v>9</v>
      </c>
    </row>
    <row r="52" spans="1:517" ht="24" customHeight="1" x14ac:dyDescent="0.2">
      <c r="A52" s="94"/>
      <c r="B52" s="112" t="s">
        <v>24</v>
      </c>
    </row>
    <row r="53" spans="1:517" ht="24" customHeight="1" x14ac:dyDescent="0.2">
      <c r="A53" s="113" t="s">
        <v>86</v>
      </c>
      <c r="B53" s="117" t="s">
        <v>77</v>
      </c>
      <c r="C53" s="109">
        <f t="shared" ref="C53:AH53" si="428">IF(OR(C$13="",C$17="",C$14="",C$15="",C$16="",C$18="",C$19="",C$20="",C$21=""),"",1-(C80/(C$4)))</f>
        <v>1</v>
      </c>
      <c r="D53" s="109">
        <f t="shared" si="428"/>
        <v>1</v>
      </c>
      <c r="E53" s="109">
        <f t="shared" si="428"/>
        <v>0.96666666666666667</v>
      </c>
      <c r="F53" s="109">
        <f t="shared" si="428"/>
        <v>0.97499999999999998</v>
      </c>
      <c r="G53" s="109">
        <f t="shared" si="428"/>
        <v>0.98</v>
      </c>
      <c r="H53" s="109">
        <f t="shared" si="428"/>
        <v>0.93319444444444444</v>
      </c>
      <c r="I53" s="109">
        <f t="shared" si="428"/>
        <v>0.93398809523809523</v>
      </c>
      <c r="J53" s="109">
        <f t="shared" si="428"/>
        <v>0.80421874999999998</v>
      </c>
      <c r="K53" s="109">
        <f t="shared" si="428"/>
        <v>0.82597222222222222</v>
      </c>
      <c r="L53" s="109">
        <f t="shared" si="428"/>
        <v>0.84337499999999999</v>
      </c>
      <c r="M53" s="109">
        <f t="shared" si="428"/>
        <v>0.85761363636363641</v>
      </c>
      <c r="N53" s="109">
        <f t="shared" si="428"/>
        <v>0.83961805555555558</v>
      </c>
      <c r="O53" s="109">
        <f t="shared" si="428"/>
        <v>0.8519551282051282</v>
      </c>
      <c r="P53" s="109">
        <f t="shared" si="428"/>
        <v>0.86252976190476183</v>
      </c>
      <c r="Q53" s="109">
        <f t="shared" si="428"/>
        <v>0.87169444444444444</v>
      </c>
      <c r="R53" s="109">
        <f t="shared" si="428"/>
        <v>0.82682291666666663</v>
      </c>
      <c r="S53" s="109">
        <f t="shared" si="428"/>
        <v>0.83700980392156865</v>
      </c>
      <c r="T53" s="109">
        <f t="shared" si="428"/>
        <v>0.84606481481481488</v>
      </c>
      <c r="U53" s="109">
        <f t="shared" si="428"/>
        <v>0.85416666666666663</v>
      </c>
      <c r="V53" s="109">
        <f t="shared" si="428"/>
        <v>0.85083333333333333</v>
      </c>
      <c r="W53" s="109">
        <f t="shared" si="428"/>
        <v>0.85750000000000004</v>
      </c>
      <c r="X53" s="109">
        <f t="shared" si="428"/>
        <v>0.86214015151515155</v>
      </c>
      <c r="Y53" s="109">
        <f t="shared" si="428"/>
        <v>0.85684782608695653</v>
      </c>
      <c r="Z53" s="109">
        <f t="shared" si="428"/>
        <v>0.86281249999999998</v>
      </c>
      <c r="AA53" s="109">
        <f t="shared" si="428"/>
        <v>0.86351666666666671</v>
      </c>
      <c r="AB53" s="109">
        <f t="shared" si="428"/>
        <v>0.86876602564102567</v>
      </c>
      <c r="AC53" s="109">
        <f t="shared" si="428"/>
        <v>0.87183641975308646</v>
      </c>
      <c r="AD53" s="109">
        <f t="shared" si="428"/>
        <v>0.87138392857142855</v>
      </c>
      <c r="AE53" s="109">
        <f t="shared" si="428"/>
        <v>0.87581896551724137</v>
      </c>
      <c r="AF53" s="109">
        <f t="shared" si="428"/>
        <v>0.8799583333333334</v>
      </c>
      <c r="AG53" s="109">
        <f t="shared" si="428"/>
        <v>0.88383064516129028</v>
      </c>
      <c r="AH53" s="109">
        <f t="shared" si="428"/>
        <v>0.88746093749999999</v>
      </c>
      <c r="AI53" s="109">
        <f t="shared" ref="AI53:BN53" si="429">IF(OR(AI$13="",AI$17="",AI$14="",AI$15="",AI$16="",AI$18="",AI$19="",AI$20="",AI$21=""),"",1-(AI80/(AI$4)))</f>
        <v>0.87738636363636369</v>
      </c>
      <c r="AJ53" s="109">
        <f t="shared" si="429"/>
        <v>0.88099264705882352</v>
      </c>
      <c r="AK53" s="109">
        <f t="shared" si="429"/>
        <v>0.8843928571428572</v>
      </c>
      <c r="AL53" s="109">
        <f t="shared" si="429"/>
        <v>0.88760416666666664</v>
      </c>
      <c r="AM53" s="109">
        <f t="shared" si="429"/>
        <v>0.88822072072072067</v>
      </c>
      <c r="AN53" s="109">
        <f t="shared" si="429"/>
        <v>0.89116228070175441</v>
      </c>
      <c r="AO53" s="109">
        <f t="shared" si="429"/>
        <v>0.89395299145299145</v>
      </c>
      <c r="AP53" s="109">
        <f t="shared" si="429"/>
        <v>0.89660416666666665</v>
      </c>
      <c r="AQ53" s="109">
        <f t="shared" si="429"/>
        <v>0.89216463414634151</v>
      </c>
      <c r="AR53" s="109">
        <f t="shared" si="429"/>
        <v>0.89473214285714286</v>
      </c>
      <c r="AS53" s="109">
        <f t="shared" si="429"/>
        <v>0.87862403100775199</v>
      </c>
      <c r="AT53" s="109">
        <f t="shared" si="429"/>
        <v>0.88138257575757573</v>
      </c>
      <c r="AU53" s="109">
        <f t="shared" si="429"/>
        <v>0.8686018518518519</v>
      </c>
      <c r="AV53" s="109">
        <f t="shared" si="429"/>
        <v>0.87012681159420291</v>
      </c>
      <c r="AW53" s="109">
        <f t="shared" si="429"/>
        <v>0.86396276595744681</v>
      </c>
      <c r="AX53" s="109">
        <f t="shared" si="429"/>
        <v>0.86679687500000002</v>
      </c>
      <c r="AY53" s="109">
        <f t="shared" si="429"/>
        <v>0.86951530612244898</v>
      </c>
      <c r="AZ53" s="109">
        <f t="shared" si="429"/>
        <v>0.87212500000000004</v>
      </c>
      <c r="BA53" s="109">
        <f t="shared" si="429"/>
        <v>0.86871732026143789</v>
      </c>
      <c r="BB53" s="109">
        <f t="shared" si="429"/>
        <v>0.87021634615384613</v>
      </c>
      <c r="BC53" s="109">
        <f t="shared" si="429"/>
        <v>0.8683962264150944</v>
      </c>
      <c r="BD53" s="109">
        <f t="shared" si="429"/>
        <v>0.87083333333333335</v>
      </c>
      <c r="BE53" s="109">
        <f t="shared" si="429"/>
        <v>0.87111363636363637</v>
      </c>
      <c r="BF53" s="109">
        <f t="shared" si="429"/>
        <v>0.87341517857142859</v>
      </c>
      <c r="BG53" s="109">
        <f t="shared" si="429"/>
        <v>0.87563596491228068</v>
      </c>
      <c r="BH53" s="109">
        <f t="shared" si="429"/>
        <v>0.87505028735632184</v>
      </c>
      <c r="BI53" s="109">
        <f t="shared" si="429"/>
        <v>0.8770268361581921</v>
      </c>
      <c r="BJ53" s="109">
        <f t="shared" si="429"/>
        <v>0.87907638888888884</v>
      </c>
      <c r="BK53" s="109">
        <f t="shared" si="429"/>
        <v>0.88019125683060107</v>
      </c>
      <c r="BL53" s="109">
        <f t="shared" si="429"/>
        <v>0.88212365591397845</v>
      </c>
      <c r="BM53" s="109">
        <f t="shared" si="429"/>
        <v>0.883994708994709</v>
      </c>
      <c r="BN53" s="109">
        <f t="shared" si="429"/>
        <v>0.88580729166666661</v>
      </c>
      <c r="BO53" s="109">
        <f t="shared" ref="BO53:CT53" si="430">IF(OR(BO$13="",BO$17="",BO$14="",BO$15="",BO$16="",BO$18="",BO$19="",BO$20="",BO$21=""),"",1-(BO80/(BO$4)))</f>
        <v>0.88756410256410256</v>
      </c>
      <c r="BP53" s="109">
        <f t="shared" si="430"/>
        <v>0.88926767676767682</v>
      </c>
      <c r="BQ53" s="109">
        <f t="shared" si="430"/>
        <v>0.89092039800995027</v>
      </c>
      <c r="BR53" s="109">
        <f t="shared" si="430"/>
        <v>0.89112745098039214</v>
      </c>
      <c r="BS53" s="109">
        <f t="shared" si="430"/>
        <v>0.8927053140096618</v>
      </c>
      <c r="BT53" s="109">
        <f t="shared" si="430"/>
        <v>0.89423809523809528</v>
      </c>
      <c r="BU53" s="109">
        <f t="shared" si="430"/>
        <v>0.89572769953051645</v>
      </c>
      <c r="BV53" s="109">
        <f t="shared" si="430"/>
        <v>0.89717592592592588</v>
      </c>
      <c r="BW53" s="109">
        <f t="shared" si="430"/>
        <v>0.8985844748858447</v>
      </c>
      <c r="BX53" s="109">
        <f t="shared" si="430"/>
        <v>0.89995495495495492</v>
      </c>
      <c r="BY53" s="109">
        <f t="shared" si="430"/>
        <v>0.89839999999999998</v>
      </c>
      <c r="BZ53" s="109">
        <f t="shared" si="430"/>
        <v>0.89973684210526317</v>
      </c>
      <c r="CA53" s="109">
        <f t="shared" si="430"/>
        <v>0.90103896103896108</v>
      </c>
      <c r="CB53" s="109">
        <f t="shared" si="430"/>
        <v>0.88961004273504274</v>
      </c>
      <c r="CC53" s="109">
        <f t="shared" si="430"/>
        <v>0.88554324894514769</v>
      </c>
      <c r="CD53" s="109">
        <f t="shared" si="430"/>
        <v>0.88395312500000001</v>
      </c>
      <c r="CE53" s="109">
        <f t="shared" si="430"/>
        <v>0.88538580246913579</v>
      </c>
      <c r="CF53" s="109">
        <f t="shared" si="430"/>
        <v>0.87936483739837401</v>
      </c>
      <c r="CG53" s="109">
        <f t="shared" si="430"/>
        <v>0.88065763052208834</v>
      </c>
      <c r="CH53" s="109">
        <f t="shared" si="430"/>
        <v>0.87999503968253967</v>
      </c>
      <c r="CI53" s="109">
        <f t="shared" si="430"/>
        <v>0.8773382352941177</v>
      </c>
      <c r="CJ53" s="109">
        <f t="shared" si="430"/>
        <v>0.87876453488372097</v>
      </c>
      <c r="CK53" s="109">
        <f t="shared" si="430"/>
        <v>0.88015804597701153</v>
      </c>
      <c r="CL53" s="109">
        <f t="shared" si="430"/>
        <v>0.88151988636363643</v>
      </c>
      <c r="CM53" s="109">
        <f t="shared" si="430"/>
        <v>0.88135767790262176</v>
      </c>
      <c r="CN53" s="109">
        <f t="shared" si="430"/>
        <v>0.88267592592592592</v>
      </c>
      <c r="CO53" s="109">
        <f t="shared" si="430"/>
        <v>0.88396520146520152</v>
      </c>
      <c r="CP53" s="109">
        <f t="shared" si="430"/>
        <v>0.8824547101449276</v>
      </c>
      <c r="CQ53" s="109">
        <f t="shared" si="430"/>
        <v>0.88371863799283157</v>
      </c>
      <c r="CR53" s="109">
        <f t="shared" si="430"/>
        <v>0.8849556737588653</v>
      </c>
      <c r="CS53" s="109">
        <f t="shared" si="430"/>
        <v>0.88616666666666666</v>
      </c>
      <c r="CT53" s="109">
        <f t="shared" si="430"/>
        <v>0.88717881944444443</v>
      </c>
      <c r="CU53" s="109">
        <f t="shared" ref="CU53:DT53" si="431">IF(OR(CU$13="",CU$17="",CU$14="",CU$15="",CU$16="",CU$18="",CU$19="",CU$20="",CU$21=""),"",1-(CU80/(CU$4)))</f>
        <v>0.88834192439862547</v>
      </c>
      <c r="CV53" s="109">
        <f t="shared" si="431"/>
        <v>0.88922619047619045</v>
      </c>
      <c r="CW53" s="109">
        <f t="shared" si="431"/>
        <v>0.89034511784511783</v>
      </c>
      <c r="CX53" s="109">
        <f t="shared" si="431"/>
        <v>0.89144166666666669</v>
      </c>
      <c r="CY53" s="109">
        <f t="shared" si="431"/>
        <v>0.89251650165016505</v>
      </c>
      <c r="CZ53" s="109">
        <f t="shared" si="431"/>
        <v>0.89357026143790852</v>
      </c>
      <c r="DA53" s="109">
        <f t="shared" si="431"/>
        <v>0.8927346278317152</v>
      </c>
      <c r="DB53" s="109">
        <f t="shared" si="431"/>
        <v>0.8937660256410257</v>
      </c>
      <c r="DC53" s="109">
        <f t="shared" si="431"/>
        <v>0.89477777777777778</v>
      </c>
      <c r="DD53" s="109">
        <f t="shared" si="431"/>
        <v>0.8953459119496856</v>
      </c>
      <c r="DE53" s="109">
        <f t="shared" si="431"/>
        <v>0.89632398753894083</v>
      </c>
      <c r="DF53" s="109">
        <f t="shared" si="431"/>
        <v>0.89728395061728394</v>
      </c>
      <c r="DG53" s="109">
        <f t="shared" si="431"/>
        <v>0.89822629969418966</v>
      </c>
      <c r="DH53" s="109">
        <f t="shared" si="431"/>
        <v>0.89915151515151515</v>
      </c>
      <c r="DI53" s="109">
        <f t="shared" si="431"/>
        <v>0.90006006006006012</v>
      </c>
      <c r="DJ53" s="109">
        <f t="shared" si="431"/>
        <v>0.90095238095238095</v>
      </c>
      <c r="DK53" s="109">
        <f t="shared" si="431"/>
        <v>0.90099188790560469</v>
      </c>
      <c r="DL53" s="109">
        <f t="shared" si="431"/>
        <v>0.90053728070175443</v>
      </c>
      <c r="DM53" s="109">
        <f t="shared" si="431"/>
        <v>0.90140217391304356</v>
      </c>
      <c r="DN53" s="109">
        <f t="shared" si="431"/>
        <v>0.90225215517241386</v>
      </c>
      <c r="DO53" s="109">
        <f t="shared" si="431"/>
        <v>0.9030876068376068</v>
      </c>
      <c r="DP53" s="109">
        <f t="shared" si="431"/>
        <v>0.90390889830508481</v>
      </c>
      <c r="DQ53" s="109">
        <f t="shared" si="431"/>
        <v>0.90471638655462183</v>
      </c>
      <c r="DR53" s="109">
        <f t="shared" si="431"/>
        <v>0.90551041666666665</v>
      </c>
      <c r="DS53" s="109">
        <f t="shared" si="431"/>
        <v>0.90629132231404963</v>
      </c>
      <c r="DT53" s="109">
        <f t="shared" si="431"/>
        <v>0.90601775956284158</v>
      </c>
      <c r="DU53" s="109">
        <f t="shared" ref="DU53:GF53" si="432">IF(OR(DU$13="",DU$17="",DU$14="",DU$15="",DU$16="",DU$18="",DU$19="",DU$20="",DU$21=""),"",1-(DU80/(DU$4)))</f>
        <v>0.90678184281842822</v>
      </c>
      <c r="DV53" s="109">
        <f t="shared" si="432"/>
        <v>0.90753360215053769</v>
      </c>
      <c r="DW53" s="109">
        <f t="shared" si="432"/>
        <v>0.90827333333333338</v>
      </c>
      <c r="DX53" s="109">
        <f t="shared" si="432"/>
        <v>0.90900132275132273</v>
      </c>
      <c r="DY53" s="109">
        <f t="shared" si="432"/>
        <v>0.90971784776902886</v>
      </c>
      <c r="DZ53" s="109">
        <f t="shared" si="432"/>
        <v>0.90954427083333333</v>
      </c>
      <c r="EA53" s="109">
        <f t="shared" si="432"/>
        <v>0.91024547803617573</v>
      </c>
      <c r="EB53" s="109">
        <f t="shared" si="432"/>
        <v>0.91017628205128209</v>
      </c>
      <c r="EC53" s="109">
        <f t="shared" si="432"/>
        <v>0.90545483460559795</v>
      </c>
      <c r="ED53" s="109">
        <f t="shared" si="432"/>
        <v>0.90288825757575764</v>
      </c>
      <c r="EE53" s="109">
        <f t="shared" si="432"/>
        <v>0.90039160401002505</v>
      </c>
      <c r="EF53" s="109">
        <f t="shared" si="432"/>
        <v>0.90113495024875623</v>
      </c>
      <c r="EG53" s="109">
        <f t="shared" si="432"/>
        <v>0.89936728395061727</v>
      </c>
      <c r="EH53" s="109">
        <f t="shared" si="432"/>
        <v>0.89999387254901964</v>
      </c>
      <c r="EI53" s="109">
        <f t="shared" si="432"/>
        <v>0.8991180048661801</v>
      </c>
      <c r="EJ53" s="109">
        <f t="shared" si="432"/>
        <v>0.89984903381642511</v>
      </c>
      <c r="EK53" s="109">
        <f t="shared" si="432"/>
        <v>0.90056954436450842</v>
      </c>
      <c r="EL53" s="109">
        <f t="shared" si="432"/>
        <v>0.90127976190476189</v>
      </c>
      <c r="EM53" s="109">
        <f t="shared" si="432"/>
        <v>0.90197990543735229</v>
      </c>
      <c r="EN53" s="109">
        <f t="shared" si="432"/>
        <v>0.90267018779342723</v>
      </c>
      <c r="EO53" s="109">
        <f t="shared" si="432"/>
        <v>0.90335081585081589</v>
      </c>
      <c r="EP53" s="109">
        <f t="shared" si="432"/>
        <v>0.90402199074074074</v>
      </c>
      <c r="EQ53" s="109">
        <f t="shared" si="432"/>
        <v>0.90468390804597698</v>
      </c>
      <c r="ER53" s="109">
        <f t="shared" si="432"/>
        <v>0.90265410958904113</v>
      </c>
      <c r="ES53" s="109">
        <f t="shared" si="432"/>
        <v>0.90331632653061222</v>
      </c>
      <c r="ET53" s="109">
        <f t="shared" si="432"/>
        <v>0.90396959459459458</v>
      </c>
      <c r="EU53" s="109">
        <f t="shared" si="432"/>
        <v>0.90461409395973158</v>
      </c>
      <c r="EV53" s="109">
        <f t="shared" si="432"/>
        <v>0.90525</v>
      </c>
      <c r="EW53" s="109">
        <f t="shared" si="432"/>
        <v>0.90587748344370866</v>
      </c>
      <c r="EX53" s="109">
        <f t="shared" si="432"/>
        <v>0.90649671052631575</v>
      </c>
      <c r="EY53" s="109">
        <f t="shared" si="432"/>
        <v>0.9071078431372549</v>
      </c>
      <c r="EZ53" s="109">
        <f t="shared" si="432"/>
        <v>0.907711038961039</v>
      </c>
      <c r="FA53" s="109">
        <f t="shared" si="432"/>
        <v>0.90830645161290324</v>
      </c>
      <c r="FB53" s="109">
        <f t="shared" si="432"/>
        <v>0.90889423076923082</v>
      </c>
      <c r="FC53" s="109">
        <f t="shared" si="432"/>
        <v>0.90947452229299364</v>
      </c>
      <c r="FD53" s="109">
        <f t="shared" si="432"/>
        <v>0.9100474683544304</v>
      </c>
      <c r="FE53" s="109">
        <f t="shared" si="432"/>
        <v>0.90391247379454931</v>
      </c>
      <c r="FF53" s="109">
        <f t="shared" si="432"/>
        <v>0.9034140625</v>
      </c>
      <c r="FG53" s="109">
        <f t="shared" si="432"/>
        <v>0.90394927536231884</v>
      </c>
      <c r="FH53" s="109">
        <f t="shared" si="432"/>
        <v>0.90190586419753083</v>
      </c>
      <c r="FI53" s="109">
        <f t="shared" si="432"/>
        <v>0.90015848670756649</v>
      </c>
      <c r="FJ53" s="109">
        <f t="shared" si="432"/>
        <v>0.90076727642276422</v>
      </c>
      <c r="FK53" s="109">
        <f t="shared" si="432"/>
        <v>0.90136868686868687</v>
      </c>
      <c r="FL53" s="109">
        <f t="shared" si="432"/>
        <v>0.90196285140562249</v>
      </c>
      <c r="FM53" s="109">
        <f t="shared" si="432"/>
        <v>0.9025499001996008</v>
      </c>
      <c r="FN53" s="109">
        <f t="shared" si="432"/>
        <v>0.90312996031746029</v>
      </c>
      <c r="FO53" s="109">
        <f t="shared" si="432"/>
        <v>0.90370315581854044</v>
      </c>
      <c r="FP53" s="109">
        <f t="shared" si="432"/>
        <v>0.90426960784313726</v>
      </c>
      <c r="FQ53" s="109">
        <f t="shared" si="432"/>
        <v>0.90482943469785582</v>
      </c>
      <c r="FR53" s="109">
        <f t="shared" si="432"/>
        <v>0.90538275193798445</v>
      </c>
      <c r="FS53" s="109">
        <f t="shared" si="432"/>
        <v>0.9059296724470135</v>
      </c>
      <c r="FT53" s="109">
        <f t="shared" si="432"/>
        <v>0.90647030651340998</v>
      </c>
      <c r="FU53" s="109">
        <f t="shared" si="432"/>
        <v>0.90700476190476187</v>
      </c>
      <c r="FV53" s="109">
        <f t="shared" si="432"/>
        <v>0.90537878787878789</v>
      </c>
      <c r="FW53" s="109">
        <f t="shared" si="432"/>
        <v>0.9052118644067797</v>
      </c>
      <c r="FX53" s="109">
        <f t="shared" si="432"/>
        <v>0.90574438202247187</v>
      </c>
      <c r="FY53" s="109">
        <f t="shared" si="432"/>
        <v>0.90627094972067046</v>
      </c>
      <c r="FZ53" s="109">
        <f t="shared" si="432"/>
        <v>0.90412500000000007</v>
      </c>
      <c r="GA53" s="109">
        <f t="shared" ref="GA53:GB61" si="433">IF(OR(GA$13="",GA$17="",GA$14="",GA$15="",GA$16="",GA$18="",GA$19="",GA$20="",GA$21=""),"",1-(GA80/(GA$4)))</f>
        <v>0.90465469613259675</v>
      </c>
      <c r="GB53" s="109">
        <f t="shared" si="433"/>
        <v>0.90517857142857139</v>
      </c>
      <c r="GC53" s="109">
        <f t="shared" si="432"/>
        <v>0.90555783242258658</v>
      </c>
      <c r="GD53" s="109">
        <f t="shared" si="432"/>
        <v>0.9060711050724638</v>
      </c>
      <c r="GE53" s="109">
        <f t="shared" si="432"/>
        <v>0.90656081081081086</v>
      </c>
      <c r="GF53" s="109">
        <f t="shared" si="432"/>
        <v>0.90706317204301079</v>
      </c>
      <c r="GG53" s="109">
        <f t="shared" ref="GG53:IR53" si="434">IF(OR(GG$13="",GG$17="",GG$14="",GG$15="",GG$16="",GG$18="",GG$19="",GG$20="",GG$21=""),"",1-(GG80/(GG$4)))</f>
        <v>0.90756016042780752</v>
      </c>
      <c r="GH53" s="109">
        <f t="shared" si="434"/>
        <v>0.90782579787234041</v>
      </c>
      <c r="GI53" s="109">
        <f t="shared" si="434"/>
        <v>0.9083134920634921</v>
      </c>
      <c r="GJ53" s="109">
        <f t="shared" si="434"/>
        <v>0.90879605263157892</v>
      </c>
      <c r="GK53" s="109">
        <f t="shared" si="434"/>
        <v>0.90927356020942407</v>
      </c>
      <c r="GL53" s="109">
        <f t="shared" si="434"/>
        <v>0.90974609375000004</v>
      </c>
      <c r="GM53" s="109">
        <f t="shared" si="434"/>
        <v>0.91021373056994825</v>
      </c>
      <c r="GN53" s="109">
        <f t="shared" si="434"/>
        <v>0.91067654639175255</v>
      </c>
      <c r="GO53" s="109">
        <f t="shared" si="434"/>
        <v>0.91113461538461538</v>
      </c>
      <c r="GP53" s="109">
        <f t="shared" si="434"/>
        <v>0.91158801020408164</v>
      </c>
      <c r="GQ53" s="109">
        <f t="shared" si="434"/>
        <v>0.91203680203045689</v>
      </c>
      <c r="GR53" s="109">
        <f t="shared" si="434"/>
        <v>0.9124810606060606</v>
      </c>
      <c r="GS53" s="109">
        <f t="shared" si="434"/>
        <v>0.91292085427135683</v>
      </c>
      <c r="GT53" s="109">
        <f t="shared" si="434"/>
        <v>0.91335624999999998</v>
      </c>
      <c r="GU53" s="109">
        <f t="shared" si="434"/>
        <v>0.9038743781094527</v>
      </c>
      <c r="GV53" s="109">
        <f t="shared" si="434"/>
        <v>0.90435024752475246</v>
      </c>
      <c r="GW53" s="109">
        <f t="shared" si="434"/>
        <v>0.90416871921182262</v>
      </c>
      <c r="GX53" s="109">
        <f t="shared" si="434"/>
        <v>0.90463848039215689</v>
      </c>
      <c r="GY53" s="109">
        <f t="shared" si="434"/>
        <v>0.90510365853658536</v>
      </c>
      <c r="GZ53" s="109">
        <f t="shared" si="434"/>
        <v>0.90556432038834955</v>
      </c>
      <c r="HA53" s="109">
        <f t="shared" si="434"/>
        <v>0.90602053140096617</v>
      </c>
      <c r="HB53" s="109">
        <f t="shared" si="434"/>
        <v>0.9064723557692308</v>
      </c>
      <c r="HC53" s="109">
        <f t="shared" si="434"/>
        <v>0.90691985645933015</v>
      </c>
      <c r="HD53" s="109">
        <f t="shared" si="434"/>
        <v>0.90385515873015876</v>
      </c>
      <c r="HE53" s="109">
        <f t="shared" si="434"/>
        <v>0.90431082148499209</v>
      </c>
      <c r="HF53" s="109">
        <f t="shared" si="434"/>
        <v>0.9047621855345912</v>
      </c>
      <c r="HG53" s="109">
        <f t="shared" si="434"/>
        <v>0.90520931142410022</v>
      </c>
      <c r="HH53" s="109">
        <f t="shared" si="434"/>
        <v>0.90565225856697817</v>
      </c>
      <c r="HI53" s="109">
        <f t="shared" si="434"/>
        <v>0.90609108527131788</v>
      </c>
      <c r="HJ53" s="109">
        <f t="shared" si="434"/>
        <v>0.90639306841563783</v>
      </c>
      <c r="HK53" s="109">
        <f t="shared" si="434"/>
        <v>0.90303134067246971</v>
      </c>
      <c r="HL53" s="109">
        <f t="shared" si="434"/>
        <v>0.90335366760108737</v>
      </c>
      <c r="HM53" s="109">
        <f t="shared" si="434"/>
        <v>0.90379497505496365</v>
      </c>
      <c r="HN53" s="109">
        <f t="shared" si="434"/>
        <v>0.90423227062289557</v>
      </c>
      <c r="HO53" s="109">
        <f t="shared" si="434"/>
        <v>0.90466560876487345</v>
      </c>
      <c r="HP53" s="109">
        <f t="shared" si="434"/>
        <v>0.90509504295962628</v>
      </c>
      <c r="HQ53" s="109">
        <f t="shared" si="434"/>
        <v>0.90552062572662351</v>
      </c>
      <c r="HR53" s="109">
        <f t="shared" si="434"/>
        <v>0.90594240864748676</v>
      </c>
      <c r="HS53" s="109">
        <f t="shared" si="434"/>
        <v>0.90333235596707817</v>
      </c>
      <c r="HT53" s="109">
        <f t="shared" si="434"/>
        <v>0.90376008890527704</v>
      </c>
      <c r="HU53" s="109">
        <f t="shared" si="434"/>
        <v>0.90319903328438578</v>
      </c>
      <c r="HV53" s="109">
        <f t="shared" si="434"/>
        <v>0.90362359892787525</v>
      </c>
      <c r="HW53" s="109">
        <f t="shared" si="434"/>
        <v>0.90404445657447841</v>
      </c>
      <c r="HX53" s="109">
        <f t="shared" si="434"/>
        <v>0.9020517814009662</v>
      </c>
      <c r="HY53" s="109">
        <f t="shared" si="434"/>
        <v>0.90181282066698731</v>
      </c>
      <c r="HZ53" s="109">
        <f t="shared" si="434"/>
        <v>0.90107848419540237</v>
      </c>
      <c r="IA53" s="109">
        <f t="shared" si="434"/>
        <v>0.90137373827690359</v>
      </c>
      <c r="IB53" s="109">
        <f t="shared" si="434"/>
        <v>0.90067990265906939</v>
      </c>
      <c r="IC53" s="109">
        <f t="shared" si="434"/>
        <v>0.89708835697399536</v>
      </c>
      <c r="ID53" s="109">
        <f t="shared" si="434"/>
        <v>0.89726488935969873</v>
      </c>
      <c r="IE53" s="109">
        <f t="shared" si="434"/>
        <v>0.89769837083919368</v>
      </c>
      <c r="IF53" s="109">
        <f t="shared" si="434"/>
        <v>0.89738941409897288</v>
      </c>
      <c r="IG53" s="109">
        <f t="shared" si="434"/>
        <v>0.89662802185030221</v>
      </c>
      <c r="IH53" s="109">
        <f t="shared" si="434"/>
        <v>0.89705873842592598</v>
      </c>
      <c r="II53" s="109">
        <f t="shared" si="434"/>
        <v>0.89748588059013368</v>
      </c>
      <c r="IJ53" s="109">
        <f t="shared" si="434"/>
        <v>0.89727932736455462</v>
      </c>
      <c r="IK53" s="109">
        <f t="shared" si="434"/>
        <v>0.89770204618198446</v>
      </c>
      <c r="IL53" s="109">
        <f t="shared" si="434"/>
        <v>0.89812130009107471</v>
      </c>
      <c r="IM53" s="109">
        <f t="shared" si="434"/>
        <v>0.89853713151927439</v>
      </c>
      <c r="IN53" s="109">
        <f t="shared" si="434"/>
        <v>0.89714924909665761</v>
      </c>
      <c r="IO53" s="109">
        <f t="shared" si="434"/>
        <v>0.89573530514319988</v>
      </c>
      <c r="IP53" s="109">
        <f t="shared" si="434"/>
        <v>0.89608674955197132</v>
      </c>
      <c r="IQ53" s="109">
        <f t="shared" si="434"/>
        <v>0.8957334430313848</v>
      </c>
      <c r="IR53" s="109">
        <f t="shared" si="434"/>
        <v>0.89612574074074069</v>
      </c>
      <c r="IS53" s="109">
        <f t="shared" ref="IS53:LD53" si="435">IF(OR(IS$13="",IS$17="",IS$14="",IS$15="",IS$16="",IS$18="",IS$19="",IS$20="",IS$21=""),"",1-(IS80/(IS$4)))</f>
        <v>0.8962898867492991</v>
      </c>
      <c r="IT53" s="109">
        <f t="shared" si="435"/>
        <v>0.89670143481775422</v>
      </c>
      <c r="IU53" s="109">
        <f t="shared" si="435"/>
        <v>0.89534360818328207</v>
      </c>
      <c r="IV53" s="109">
        <f t="shared" si="435"/>
        <v>0.89549955344123644</v>
      </c>
      <c r="IW53" s="109">
        <f t="shared" si="435"/>
        <v>0.89590935911401592</v>
      </c>
      <c r="IX53" s="109">
        <f t="shared" si="435"/>
        <v>0.89445561161747689</v>
      </c>
      <c r="IY53" s="109">
        <f t="shared" si="435"/>
        <v>0.89486629017149444</v>
      </c>
      <c r="IZ53" s="109">
        <f t="shared" si="435"/>
        <v>0.89527378517082978</v>
      </c>
      <c r="JA53" s="109">
        <f t="shared" si="435"/>
        <v>0.89483572858572857</v>
      </c>
      <c r="JB53" s="109">
        <f t="shared" si="435"/>
        <v>0.89523108084045588</v>
      </c>
      <c r="JC53" s="109">
        <f t="shared" si="435"/>
        <v>0.89563249432382575</v>
      </c>
      <c r="JD53" s="109">
        <f t="shared" si="435"/>
        <v>0.89603084358213181</v>
      </c>
      <c r="JE53" s="109">
        <f t="shared" si="435"/>
        <v>0.89642616356851146</v>
      </c>
      <c r="JF53" s="109">
        <f t="shared" si="435"/>
        <v>0.8968184887065096</v>
      </c>
      <c r="JG53" s="109">
        <f t="shared" si="435"/>
        <v>0.89720785290006988</v>
      </c>
      <c r="JH53" s="109">
        <f t="shared" si="435"/>
        <v>0.89759428954330267</v>
      </c>
      <c r="JI53" s="109">
        <f t="shared" si="435"/>
        <v>0.89797783153003197</v>
      </c>
      <c r="JJ53" s="109">
        <f t="shared" si="435"/>
        <v>0.89835851126312882</v>
      </c>
      <c r="JK53" s="109">
        <f t="shared" si="435"/>
        <v>0.8987363606636376</v>
      </c>
      <c r="JL53" s="109">
        <f t="shared" si="435"/>
        <v>0.89911141117969817</v>
      </c>
      <c r="JM53" s="109">
        <f t="shared" si="435"/>
        <v>0.89834285738690722</v>
      </c>
      <c r="JN53" s="109">
        <f t="shared" si="435"/>
        <v>0.89871659688180827</v>
      </c>
      <c r="JO53" s="109">
        <f t="shared" si="435"/>
        <v>0.89893497320580651</v>
      </c>
      <c r="JP53" s="109">
        <f t="shared" si="435"/>
        <v>0.89915175554203841</v>
      </c>
      <c r="JQ53" s="109">
        <f t="shared" si="435"/>
        <v>0.89861090067340066</v>
      </c>
      <c r="JR53" s="109">
        <f t="shared" si="435"/>
        <v>0.89598337694578634</v>
      </c>
      <c r="JS53" s="109">
        <f t="shared" si="435"/>
        <v>0.89630544691803715</v>
      </c>
      <c r="JT53" s="109">
        <f t="shared" si="435"/>
        <v>0.89667844890754067</v>
      </c>
      <c r="JU53" s="109">
        <f t="shared" si="435"/>
        <v>0.89704877704765695</v>
      </c>
      <c r="JV53" s="109">
        <f t="shared" si="435"/>
        <v>0.89726765046296297</v>
      </c>
      <c r="JW53" s="109">
        <f t="shared" si="435"/>
        <v>0.89763324601291683</v>
      </c>
      <c r="JX53" s="109">
        <f t="shared" si="435"/>
        <v>0.89740523213816648</v>
      </c>
      <c r="JY53" s="109">
        <f t="shared" si="435"/>
        <v>0.89423418891506345</v>
      </c>
      <c r="JZ53" s="109">
        <f t="shared" si="435"/>
        <v>0.89108547698226392</v>
      </c>
      <c r="KA53" s="109">
        <f t="shared" si="435"/>
        <v>0.89146763320337885</v>
      </c>
      <c r="KB53" s="109">
        <f t="shared" si="435"/>
        <v>0.89184711700336705</v>
      </c>
      <c r="KC53" s="109">
        <f t="shared" si="435"/>
        <v>0.89222395631694407</v>
      </c>
      <c r="KD53" s="109">
        <f t="shared" si="435"/>
        <v>0.89259817869084368</v>
      </c>
      <c r="KE53" s="109">
        <f t="shared" si="435"/>
        <v>0.89296981129052933</v>
      </c>
      <c r="KF53" s="109">
        <f t="shared" si="435"/>
        <v>0.89333888090676883</v>
      </c>
      <c r="KG53" s="109">
        <f t="shared" si="435"/>
        <v>0.89370541396207204</v>
      </c>
      <c r="KH53" s="109">
        <f t="shared" si="435"/>
        <v>0.8923571077498732</v>
      </c>
      <c r="KI53" s="109">
        <f t="shared" si="435"/>
        <v>0.89272448963468587</v>
      </c>
      <c r="KJ53" s="109">
        <f t="shared" si="435"/>
        <v>0.89223903218694889</v>
      </c>
      <c r="KK53" s="109">
        <f t="shared" si="435"/>
        <v>0.89260432360326425</v>
      </c>
      <c r="KL53" s="109">
        <f t="shared" si="435"/>
        <v>0.89296714683433431</v>
      </c>
      <c r="KM53" s="109">
        <f t="shared" si="435"/>
        <v>0.8933275268113231</v>
      </c>
      <c r="KN53" s="109">
        <f t="shared" si="435"/>
        <v>0.89368548813074822</v>
      </c>
      <c r="KO53" s="109">
        <f t="shared" si="435"/>
        <v>0.89404105506007681</v>
      </c>
      <c r="KP53" s="109">
        <f t="shared" si="435"/>
        <v>0.89439425154320984</v>
      </c>
      <c r="KQ53" s="109">
        <f t="shared" si="435"/>
        <v>0.89474510120585704</v>
      </c>
      <c r="KR53" s="109">
        <f t="shared" si="435"/>
        <v>0.89509362736080456</v>
      </c>
      <c r="KS53" s="109">
        <f t="shared" si="435"/>
        <v>0.89543985301307905</v>
      </c>
      <c r="KT53" s="109">
        <f t="shared" si="435"/>
        <v>0.89578380086500975</v>
      </c>
      <c r="KU53" s="109" t="str">
        <f t="shared" si="435"/>
        <v/>
      </c>
      <c r="KV53" s="109" t="str">
        <f t="shared" si="435"/>
        <v/>
      </c>
      <c r="KW53" s="109" t="str">
        <f t="shared" si="435"/>
        <v/>
      </c>
      <c r="KX53" s="109" t="str">
        <f t="shared" si="435"/>
        <v/>
      </c>
      <c r="KY53" s="109" t="str">
        <f t="shared" si="435"/>
        <v/>
      </c>
      <c r="KZ53" s="109" t="str">
        <f t="shared" si="435"/>
        <v/>
      </c>
      <c r="LA53" s="109" t="str">
        <f t="shared" si="435"/>
        <v/>
      </c>
      <c r="LB53" s="109" t="str">
        <f t="shared" si="435"/>
        <v/>
      </c>
      <c r="LC53" s="109" t="str">
        <f t="shared" si="435"/>
        <v/>
      </c>
      <c r="LD53" s="109" t="str">
        <f t="shared" si="435"/>
        <v/>
      </c>
      <c r="LE53" s="109" t="str">
        <f t="shared" ref="LE53:NP53" si="436">IF(OR(LE$13="",LE$17="",LE$14="",LE$15="",LE$16="",LE$18="",LE$19="",LE$20="",LE$21=""),"",1-(LE80/(LE$4)))</f>
        <v/>
      </c>
      <c r="LF53" s="109" t="str">
        <f t="shared" si="436"/>
        <v/>
      </c>
      <c r="LG53" s="109" t="str">
        <f t="shared" si="436"/>
        <v/>
      </c>
      <c r="LH53" s="109" t="str">
        <f t="shared" si="436"/>
        <v/>
      </c>
      <c r="LI53" s="109" t="str">
        <f t="shared" si="436"/>
        <v/>
      </c>
      <c r="LJ53" s="109" t="str">
        <f t="shared" si="436"/>
        <v/>
      </c>
      <c r="LK53" s="109" t="str">
        <f t="shared" si="436"/>
        <v/>
      </c>
      <c r="LL53" s="109" t="str">
        <f t="shared" si="436"/>
        <v/>
      </c>
      <c r="LM53" s="109" t="str">
        <f t="shared" si="436"/>
        <v/>
      </c>
      <c r="LN53" s="109" t="str">
        <f t="shared" si="436"/>
        <v/>
      </c>
      <c r="LO53" s="109" t="str">
        <f t="shared" si="436"/>
        <v/>
      </c>
      <c r="LP53" s="109" t="str">
        <f t="shared" si="436"/>
        <v/>
      </c>
      <c r="LQ53" s="109" t="str">
        <f t="shared" si="436"/>
        <v/>
      </c>
      <c r="LR53" s="109" t="str">
        <f t="shared" si="436"/>
        <v/>
      </c>
      <c r="LS53" s="109" t="str">
        <f t="shared" si="436"/>
        <v/>
      </c>
      <c r="LT53" s="109" t="str">
        <f t="shared" si="436"/>
        <v/>
      </c>
      <c r="LU53" s="109" t="str">
        <f t="shared" si="436"/>
        <v/>
      </c>
      <c r="LV53" s="109" t="str">
        <f t="shared" si="436"/>
        <v/>
      </c>
      <c r="LW53" s="109" t="str">
        <f t="shared" si="436"/>
        <v/>
      </c>
      <c r="LX53" s="109" t="str">
        <f t="shared" si="436"/>
        <v/>
      </c>
      <c r="LY53" s="109" t="str">
        <f t="shared" si="436"/>
        <v/>
      </c>
      <c r="LZ53" s="109" t="str">
        <f t="shared" si="436"/>
        <v/>
      </c>
      <c r="MA53" s="109" t="str">
        <f t="shared" si="436"/>
        <v/>
      </c>
      <c r="MB53" s="109" t="str">
        <f t="shared" si="436"/>
        <v/>
      </c>
      <c r="MC53" s="109" t="str">
        <f t="shared" si="436"/>
        <v/>
      </c>
      <c r="MD53" s="109" t="str">
        <f t="shared" si="436"/>
        <v/>
      </c>
      <c r="ME53" s="109" t="str">
        <f t="shared" si="436"/>
        <v/>
      </c>
      <c r="MF53" s="109" t="str">
        <f t="shared" si="436"/>
        <v/>
      </c>
      <c r="MG53" s="109" t="str">
        <f t="shared" si="436"/>
        <v/>
      </c>
      <c r="MH53" s="109" t="str">
        <f t="shared" si="436"/>
        <v/>
      </c>
      <c r="MI53" s="109" t="str">
        <f t="shared" si="436"/>
        <v/>
      </c>
      <c r="MJ53" s="109" t="str">
        <f t="shared" si="436"/>
        <v/>
      </c>
      <c r="MK53" s="109" t="str">
        <f t="shared" si="436"/>
        <v/>
      </c>
      <c r="ML53" s="109" t="str">
        <f t="shared" si="436"/>
        <v/>
      </c>
      <c r="MM53" s="109" t="str">
        <f t="shared" si="436"/>
        <v/>
      </c>
      <c r="MN53" s="109" t="str">
        <f t="shared" si="436"/>
        <v/>
      </c>
      <c r="MO53" s="109" t="str">
        <f t="shared" si="436"/>
        <v/>
      </c>
      <c r="MP53" s="109" t="str">
        <f t="shared" si="436"/>
        <v/>
      </c>
      <c r="MQ53" s="109" t="str">
        <f t="shared" si="436"/>
        <v/>
      </c>
      <c r="MR53" s="109" t="str">
        <f t="shared" si="436"/>
        <v/>
      </c>
      <c r="MS53" s="109" t="str">
        <f t="shared" si="436"/>
        <v/>
      </c>
      <c r="MT53" s="109" t="str">
        <f t="shared" si="436"/>
        <v/>
      </c>
      <c r="MU53" s="109" t="str">
        <f t="shared" si="436"/>
        <v/>
      </c>
      <c r="MV53" s="109" t="str">
        <f t="shared" si="436"/>
        <v/>
      </c>
      <c r="MW53" s="109" t="str">
        <f t="shared" si="436"/>
        <v/>
      </c>
      <c r="MX53" s="109" t="str">
        <f t="shared" si="436"/>
        <v/>
      </c>
      <c r="MY53" s="109" t="str">
        <f t="shared" si="436"/>
        <v/>
      </c>
      <c r="MZ53" s="109" t="str">
        <f t="shared" si="436"/>
        <v/>
      </c>
      <c r="NA53" s="109" t="str">
        <f t="shared" si="436"/>
        <v/>
      </c>
      <c r="NB53" s="109" t="str">
        <f t="shared" si="436"/>
        <v/>
      </c>
      <c r="NC53" s="109" t="str">
        <f t="shared" si="436"/>
        <v/>
      </c>
      <c r="ND53" s="109" t="str">
        <f t="shared" si="436"/>
        <v/>
      </c>
      <c r="NE53" s="109" t="str">
        <f t="shared" si="436"/>
        <v/>
      </c>
      <c r="NF53" s="109" t="str">
        <f t="shared" si="436"/>
        <v/>
      </c>
      <c r="NG53" s="109" t="str">
        <f t="shared" si="436"/>
        <v/>
      </c>
      <c r="NH53" s="109" t="str">
        <f t="shared" si="436"/>
        <v/>
      </c>
      <c r="NI53" s="109" t="str">
        <f t="shared" si="436"/>
        <v/>
      </c>
      <c r="NJ53" s="109" t="str">
        <f t="shared" si="436"/>
        <v/>
      </c>
      <c r="NK53" s="109" t="str">
        <f t="shared" si="436"/>
        <v/>
      </c>
      <c r="NL53" s="109" t="str">
        <f t="shared" si="436"/>
        <v/>
      </c>
      <c r="NM53" s="109" t="str">
        <f t="shared" si="436"/>
        <v/>
      </c>
      <c r="NN53" s="109" t="str">
        <f t="shared" si="436"/>
        <v/>
      </c>
      <c r="NO53" s="109" t="str">
        <f t="shared" si="436"/>
        <v/>
      </c>
      <c r="NP53" s="109" t="str">
        <f t="shared" si="436"/>
        <v/>
      </c>
      <c r="NQ53" s="109" t="str">
        <f t="shared" ref="NQ53:QB53" si="437">IF(OR(NQ$13="",NQ$17="",NQ$14="",NQ$15="",NQ$16="",NQ$18="",NQ$19="",NQ$20="",NQ$21=""),"",1-(NQ80/(NQ$4)))</f>
        <v/>
      </c>
      <c r="NR53" s="109" t="str">
        <f t="shared" si="437"/>
        <v/>
      </c>
      <c r="NS53" s="109" t="str">
        <f t="shared" si="437"/>
        <v/>
      </c>
      <c r="NT53" s="109" t="str">
        <f t="shared" si="437"/>
        <v/>
      </c>
      <c r="NU53" s="109" t="str">
        <f t="shared" si="437"/>
        <v/>
      </c>
      <c r="NV53" s="109" t="str">
        <f t="shared" si="437"/>
        <v/>
      </c>
      <c r="NW53" s="109" t="str">
        <f t="shared" si="437"/>
        <v/>
      </c>
      <c r="NX53" s="109" t="str">
        <f t="shared" si="437"/>
        <v/>
      </c>
      <c r="NY53" s="109" t="str">
        <f t="shared" si="437"/>
        <v/>
      </c>
      <c r="NZ53" s="109" t="str">
        <f t="shared" si="437"/>
        <v/>
      </c>
      <c r="OA53" s="109" t="str">
        <f t="shared" si="437"/>
        <v/>
      </c>
      <c r="OB53" s="109" t="str">
        <f t="shared" si="437"/>
        <v/>
      </c>
      <c r="OC53" s="109" t="str">
        <f t="shared" si="437"/>
        <v/>
      </c>
      <c r="OD53" s="109" t="str">
        <f t="shared" si="437"/>
        <v/>
      </c>
      <c r="OE53" s="109" t="str">
        <f t="shared" si="437"/>
        <v/>
      </c>
      <c r="OF53" s="109" t="str">
        <f t="shared" si="437"/>
        <v/>
      </c>
      <c r="OG53" s="109" t="str">
        <f t="shared" si="437"/>
        <v/>
      </c>
      <c r="OH53" s="109" t="str">
        <f t="shared" si="437"/>
        <v/>
      </c>
      <c r="OI53" s="109" t="str">
        <f t="shared" si="437"/>
        <v/>
      </c>
      <c r="OJ53" s="109" t="str">
        <f t="shared" si="437"/>
        <v/>
      </c>
      <c r="OK53" s="109" t="str">
        <f t="shared" si="437"/>
        <v/>
      </c>
      <c r="OL53" s="109" t="str">
        <f t="shared" si="437"/>
        <v/>
      </c>
      <c r="OM53" s="109" t="str">
        <f t="shared" si="437"/>
        <v/>
      </c>
      <c r="ON53" s="109" t="str">
        <f t="shared" si="437"/>
        <v/>
      </c>
      <c r="OO53" s="109" t="str">
        <f t="shared" si="437"/>
        <v/>
      </c>
      <c r="OP53" s="109" t="str">
        <f t="shared" si="437"/>
        <v/>
      </c>
      <c r="OQ53" s="109" t="str">
        <f t="shared" si="437"/>
        <v/>
      </c>
      <c r="OR53" s="109" t="str">
        <f t="shared" si="437"/>
        <v/>
      </c>
      <c r="OS53" s="109" t="str">
        <f t="shared" si="437"/>
        <v/>
      </c>
      <c r="OT53" s="109" t="str">
        <f t="shared" si="437"/>
        <v/>
      </c>
      <c r="OU53" s="109" t="str">
        <f t="shared" si="437"/>
        <v/>
      </c>
      <c r="OV53" s="109" t="str">
        <f t="shared" si="437"/>
        <v/>
      </c>
      <c r="OW53" s="109" t="str">
        <f t="shared" si="437"/>
        <v/>
      </c>
      <c r="OX53" s="109" t="str">
        <f t="shared" si="437"/>
        <v/>
      </c>
      <c r="OY53" s="109" t="str">
        <f t="shared" si="437"/>
        <v/>
      </c>
      <c r="OZ53" s="109" t="str">
        <f t="shared" si="437"/>
        <v/>
      </c>
      <c r="PA53" s="109" t="str">
        <f t="shared" si="437"/>
        <v/>
      </c>
      <c r="PB53" s="109" t="str">
        <f t="shared" si="437"/>
        <v/>
      </c>
      <c r="PC53" s="109" t="str">
        <f t="shared" si="437"/>
        <v/>
      </c>
      <c r="PD53" s="109" t="str">
        <f t="shared" si="437"/>
        <v/>
      </c>
      <c r="PE53" s="109" t="str">
        <f t="shared" si="437"/>
        <v/>
      </c>
      <c r="PF53" s="109" t="str">
        <f t="shared" si="437"/>
        <v/>
      </c>
      <c r="PG53" s="109" t="str">
        <f t="shared" si="437"/>
        <v/>
      </c>
      <c r="PH53" s="109" t="str">
        <f t="shared" si="437"/>
        <v/>
      </c>
      <c r="PI53" s="109" t="str">
        <f t="shared" si="437"/>
        <v/>
      </c>
      <c r="PJ53" s="109" t="str">
        <f t="shared" si="437"/>
        <v/>
      </c>
      <c r="PK53" s="109" t="str">
        <f t="shared" si="437"/>
        <v/>
      </c>
      <c r="PL53" s="109" t="str">
        <f t="shared" si="437"/>
        <v/>
      </c>
      <c r="PM53" s="109" t="str">
        <f t="shared" si="437"/>
        <v/>
      </c>
      <c r="PN53" s="109" t="str">
        <f t="shared" si="437"/>
        <v/>
      </c>
      <c r="PO53" s="109" t="str">
        <f t="shared" si="437"/>
        <v/>
      </c>
      <c r="PP53" s="109" t="str">
        <f t="shared" si="437"/>
        <v/>
      </c>
      <c r="PQ53" s="109" t="str">
        <f t="shared" si="437"/>
        <v/>
      </c>
      <c r="PR53" s="109" t="str">
        <f t="shared" si="437"/>
        <v/>
      </c>
      <c r="PS53" s="109" t="str">
        <f t="shared" si="437"/>
        <v/>
      </c>
      <c r="PT53" s="109" t="str">
        <f t="shared" si="437"/>
        <v/>
      </c>
      <c r="PU53" s="109" t="str">
        <f t="shared" si="437"/>
        <v/>
      </c>
      <c r="PV53" s="109" t="str">
        <f t="shared" si="437"/>
        <v/>
      </c>
      <c r="PW53" s="109" t="str">
        <f t="shared" si="437"/>
        <v/>
      </c>
      <c r="PX53" s="109" t="str">
        <f t="shared" si="437"/>
        <v/>
      </c>
      <c r="PY53" s="109" t="str">
        <f t="shared" si="437"/>
        <v/>
      </c>
      <c r="PZ53" s="109" t="str">
        <f t="shared" si="437"/>
        <v/>
      </c>
      <c r="QA53" s="109" t="str">
        <f t="shared" si="437"/>
        <v/>
      </c>
      <c r="QB53" s="109" t="str">
        <f t="shared" si="437"/>
        <v/>
      </c>
      <c r="QC53" s="109" t="str">
        <f t="shared" ref="QC53:SN53" si="438">IF(OR(QC$13="",QC$17="",QC$14="",QC$15="",QC$16="",QC$18="",QC$19="",QC$20="",QC$21=""),"",1-(QC80/(QC$4)))</f>
        <v/>
      </c>
      <c r="QD53" s="109" t="str">
        <f t="shared" si="438"/>
        <v/>
      </c>
      <c r="QE53" s="109" t="str">
        <f t="shared" si="438"/>
        <v/>
      </c>
      <c r="QF53" s="109" t="str">
        <f t="shared" si="438"/>
        <v/>
      </c>
      <c r="QG53" s="109" t="str">
        <f t="shared" si="438"/>
        <v/>
      </c>
      <c r="QH53" s="109" t="str">
        <f t="shared" si="438"/>
        <v/>
      </c>
      <c r="QI53" s="109" t="str">
        <f t="shared" si="438"/>
        <v/>
      </c>
      <c r="QJ53" s="109" t="str">
        <f t="shared" si="438"/>
        <v/>
      </c>
      <c r="QK53" s="109" t="str">
        <f t="shared" si="438"/>
        <v/>
      </c>
      <c r="QL53" s="109" t="str">
        <f t="shared" si="438"/>
        <v/>
      </c>
      <c r="QM53" s="109" t="str">
        <f t="shared" si="438"/>
        <v/>
      </c>
      <c r="QN53" s="109" t="str">
        <f t="shared" si="438"/>
        <v/>
      </c>
      <c r="QO53" s="109" t="str">
        <f t="shared" si="438"/>
        <v/>
      </c>
      <c r="QP53" s="109" t="str">
        <f t="shared" si="438"/>
        <v/>
      </c>
      <c r="QQ53" s="109" t="str">
        <f t="shared" si="438"/>
        <v/>
      </c>
      <c r="QR53" s="109" t="str">
        <f t="shared" si="438"/>
        <v/>
      </c>
      <c r="QS53" s="109" t="str">
        <f t="shared" si="438"/>
        <v/>
      </c>
      <c r="QT53" s="109" t="str">
        <f t="shared" si="438"/>
        <v/>
      </c>
      <c r="QU53" s="109" t="str">
        <f t="shared" si="438"/>
        <v/>
      </c>
      <c r="QV53" s="109" t="str">
        <f t="shared" si="438"/>
        <v/>
      </c>
      <c r="QW53" s="109" t="str">
        <f t="shared" si="438"/>
        <v/>
      </c>
      <c r="QX53" s="109" t="str">
        <f t="shared" si="438"/>
        <v/>
      </c>
      <c r="QY53" s="109" t="str">
        <f t="shared" si="438"/>
        <v/>
      </c>
      <c r="QZ53" s="109" t="str">
        <f t="shared" si="438"/>
        <v/>
      </c>
      <c r="RA53" s="109" t="str">
        <f t="shared" si="438"/>
        <v/>
      </c>
      <c r="RB53" s="109" t="str">
        <f t="shared" si="438"/>
        <v/>
      </c>
      <c r="RC53" s="109" t="str">
        <f t="shared" si="438"/>
        <v/>
      </c>
      <c r="RD53" s="109" t="str">
        <f t="shared" si="438"/>
        <v/>
      </c>
      <c r="RE53" s="109" t="str">
        <f t="shared" si="438"/>
        <v/>
      </c>
      <c r="RF53" s="109" t="str">
        <f t="shared" si="438"/>
        <v/>
      </c>
      <c r="RG53" s="109" t="str">
        <f t="shared" si="438"/>
        <v/>
      </c>
      <c r="RH53" s="109" t="str">
        <f t="shared" si="438"/>
        <v/>
      </c>
      <c r="RI53" s="109" t="str">
        <f t="shared" si="438"/>
        <v/>
      </c>
      <c r="RJ53" s="109" t="str">
        <f t="shared" si="438"/>
        <v/>
      </c>
      <c r="RK53" s="109" t="str">
        <f t="shared" si="438"/>
        <v/>
      </c>
      <c r="RL53" s="109" t="str">
        <f t="shared" si="438"/>
        <v/>
      </c>
      <c r="RM53" s="109" t="str">
        <f t="shared" si="438"/>
        <v/>
      </c>
      <c r="RN53" s="109" t="str">
        <f t="shared" si="438"/>
        <v/>
      </c>
      <c r="RO53" s="109" t="str">
        <f t="shared" si="438"/>
        <v/>
      </c>
      <c r="RP53" s="109" t="str">
        <f t="shared" si="438"/>
        <v/>
      </c>
      <c r="RQ53" s="109" t="str">
        <f t="shared" si="438"/>
        <v/>
      </c>
      <c r="RR53" s="109" t="str">
        <f t="shared" si="438"/>
        <v/>
      </c>
      <c r="RS53" s="109" t="str">
        <f t="shared" si="438"/>
        <v/>
      </c>
      <c r="RT53" s="109" t="str">
        <f t="shared" si="438"/>
        <v/>
      </c>
      <c r="RU53" s="109" t="str">
        <f t="shared" si="438"/>
        <v/>
      </c>
      <c r="RV53" s="109" t="str">
        <f t="shared" si="438"/>
        <v/>
      </c>
      <c r="RW53" s="109" t="str">
        <f t="shared" si="438"/>
        <v/>
      </c>
      <c r="RX53" s="109" t="str">
        <f t="shared" si="438"/>
        <v/>
      </c>
      <c r="RY53" s="109" t="str">
        <f t="shared" si="438"/>
        <v/>
      </c>
      <c r="RZ53" s="109" t="str">
        <f t="shared" si="438"/>
        <v/>
      </c>
      <c r="SA53" s="109" t="str">
        <f t="shared" si="438"/>
        <v/>
      </c>
      <c r="SB53" s="109" t="str">
        <f t="shared" si="438"/>
        <v/>
      </c>
      <c r="SC53" s="109" t="str">
        <f t="shared" si="438"/>
        <v/>
      </c>
      <c r="SD53" s="109" t="str">
        <f t="shared" si="438"/>
        <v/>
      </c>
      <c r="SE53" s="109" t="str">
        <f t="shared" si="438"/>
        <v/>
      </c>
      <c r="SF53" s="109" t="str">
        <f t="shared" si="438"/>
        <v/>
      </c>
      <c r="SG53" s="109" t="str">
        <f t="shared" si="438"/>
        <v/>
      </c>
      <c r="SH53" s="109" t="str">
        <f t="shared" si="438"/>
        <v/>
      </c>
      <c r="SI53" s="109" t="str">
        <f t="shared" si="438"/>
        <v/>
      </c>
      <c r="SJ53" s="109" t="str">
        <f t="shared" si="438"/>
        <v/>
      </c>
      <c r="SK53" s="109" t="str">
        <f t="shared" si="438"/>
        <v/>
      </c>
      <c r="SL53" s="109" t="str">
        <f t="shared" si="438"/>
        <v/>
      </c>
      <c r="SM53" s="109" t="str">
        <f t="shared" si="438"/>
        <v/>
      </c>
      <c r="SN53" s="109" t="str">
        <f t="shared" si="438"/>
        <v/>
      </c>
      <c r="SO53" s="109" t="str">
        <f t="shared" ref="SO53:SW53" si="439">IF(OR(SO$13="",SO$17="",SO$14="",SO$15="",SO$16="",SO$18="",SO$19="",SO$20="",SO$21=""),"",1-(SO80/(SO$4)))</f>
        <v/>
      </c>
      <c r="SP53" s="109" t="str">
        <f t="shared" si="439"/>
        <v/>
      </c>
      <c r="SQ53" s="109" t="str">
        <f t="shared" si="439"/>
        <v/>
      </c>
      <c r="SR53" s="109" t="str">
        <f t="shared" si="439"/>
        <v/>
      </c>
      <c r="SS53" s="109" t="str">
        <f t="shared" si="439"/>
        <v/>
      </c>
      <c r="ST53" s="109" t="str">
        <f t="shared" si="439"/>
        <v/>
      </c>
      <c r="SU53" s="109" t="str">
        <f t="shared" si="439"/>
        <v/>
      </c>
      <c r="SV53" s="109" t="str">
        <f t="shared" si="439"/>
        <v/>
      </c>
      <c r="SW53" s="109" t="str">
        <f t="shared" si="439"/>
        <v/>
      </c>
    </row>
    <row r="54" spans="1:517" ht="24.6" customHeight="1" x14ac:dyDescent="0.2">
      <c r="A54" s="94" t="s">
        <v>86</v>
      </c>
      <c r="B54" s="117" t="s">
        <v>78</v>
      </c>
      <c r="C54" s="109">
        <f t="shared" ref="C54:AH54" si="440">IF(OR(C$13="",C$17="",C$14="",C$15="",C$16="",C$18="",C$19="",C$20="",C$21=""),"",1-(C81/(C$4)))</f>
        <v>1</v>
      </c>
      <c r="D54" s="109">
        <f t="shared" si="440"/>
        <v>1</v>
      </c>
      <c r="E54" s="109">
        <f t="shared" si="440"/>
        <v>1</v>
      </c>
      <c r="F54" s="109">
        <f t="shared" si="440"/>
        <v>1</v>
      </c>
      <c r="G54" s="109">
        <f t="shared" si="440"/>
        <v>1</v>
      </c>
      <c r="H54" s="109">
        <f t="shared" si="440"/>
        <v>1</v>
      </c>
      <c r="I54" s="109">
        <f t="shared" si="440"/>
        <v>1</v>
      </c>
      <c r="J54" s="109">
        <f t="shared" si="440"/>
        <v>1</v>
      </c>
      <c r="K54" s="109">
        <f t="shared" si="440"/>
        <v>1</v>
      </c>
      <c r="L54" s="109">
        <f t="shared" si="440"/>
        <v>1</v>
      </c>
      <c r="M54" s="109">
        <f t="shared" si="440"/>
        <v>1</v>
      </c>
      <c r="N54" s="109">
        <f t="shared" si="440"/>
        <v>1</v>
      </c>
      <c r="O54" s="109">
        <f t="shared" si="440"/>
        <v>1</v>
      </c>
      <c r="P54" s="109">
        <f t="shared" si="440"/>
        <v>1</v>
      </c>
      <c r="Q54" s="109">
        <f t="shared" si="440"/>
        <v>1</v>
      </c>
      <c r="R54" s="109">
        <f t="shared" si="440"/>
        <v>1</v>
      </c>
      <c r="S54" s="109">
        <f t="shared" si="440"/>
        <v>1</v>
      </c>
      <c r="T54" s="109">
        <f t="shared" si="440"/>
        <v>1</v>
      </c>
      <c r="U54" s="109">
        <f t="shared" si="440"/>
        <v>1</v>
      </c>
      <c r="V54" s="109">
        <f t="shared" si="440"/>
        <v>1</v>
      </c>
      <c r="W54" s="109">
        <f t="shared" si="440"/>
        <v>1</v>
      </c>
      <c r="X54" s="109">
        <f t="shared" si="440"/>
        <v>1</v>
      </c>
      <c r="Y54" s="109">
        <f t="shared" si="440"/>
        <v>1</v>
      </c>
      <c r="Z54" s="109">
        <f t="shared" si="440"/>
        <v>1</v>
      </c>
      <c r="AA54" s="109">
        <f t="shared" si="440"/>
        <v>1</v>
      </c>
      <c r="AB54" s="109">
        <f t="shared" si="440"/>
        <v>1</v>
      </c>
      <c r="AC54" s="109">
        <f t="shared" si="440"/>
        <v>1</v>
      </c>
      <c r="AD54" s="109">
        <f t="shared" si="440"/>
        <v>1</v>
      </c>
      <c r="AE54" s="109">
        <f t="shared" si="440"/>
        <v>1</v>
      </c>
      <c r="AF54" s="109">
        <f t="shared" si="440"/>
        <v>1</v>
      </c>
      <c r="AG54" s="109">
        <f t="shared" si="440"/>
        <v>1</v>
      </c>
      <c r="AH54" s="109">
        <f t="shared" si="440"/>
        <v>1</v>
      </c>
      <c r="AI54" s="109">
        <f t="shared" ref="AI54:BN54" si="441">IF(OR(AI$13="",AI$17="",AI$14="",AI$15="",AI$16="",AI$18="",AI$19="",AI$20="",AI$21=""),"",1-(AI81/(AI$4)))</f>
        <v>0.99484848484848487</v>
      </c>
      <c r="AJ54" s="109">
        <f t="shared" si="441"/>
        <v>0.98762254901960789</v>
      </c>
      <c r="AK54" s="109">
        <f t="shared" si="441"/>
        <v>0.98301190476190481</v>
      </c>
      <c r="AL54" s="109">
        <f t="shared" si="441"/>
        <v>0.98348379629629634</v>
      </c>
      <c r="AM54" s="109">
        <f t="shared" si="441"/>
        <v>0.97601351351351351</v>
      </c>
      <c r="AN54" s="109">
        <f t="shared" si="441"/>
        <v>0.97664473684210529</v>
      </c>
      <c r="AO54" s="109">
        <f t="shared" si="441"/>
        <v>0.97724358974358971</v>
      </c>
      <c r="AP54" s="109">
        <f t="shared" si="441"/>
        <v>0.96786458333333336</v>
      </c>
      <c r="AQ54" s="109">
        <f t="shared" si="441"/>
        <v>0.96864837398373982</v>
      </c>
      <c r="AR54" s="109">
        <f t="shared" si="441"/>
        <v>0.96620039682539682</v>
      </c>
      <c r="AS54" s="109">
        <f t="shared" si="441"/>
        <v>0.96698643410852714</v>
      </c>
      <c r="AT54" s="109">
        <f t="shared" si="441"/>
        <v>0.96773674242424246</v>
      </c>
      <c r="AU54" s="109">
        <f t="shared" si="441"/>
        <v>0.96845370370370376</v>
      </c>
      <c r="AV54" s="109">
        <f t="shared" si="441"/>
        <v>0.96386775362318844</v>
      </c>
      <c r="AW54" s="109">
        <f t="shared" si="441"/>
        <v>0.96410460992907798</v>
      </c>
      <c r="AX54" s="109">
        <f t="shared" si="441"/>
        <v>0.96322916666666669</v>
      </c>
      <c r="AY54" s="109">
        <f t="shared" si="441"/>
        <v>0.96114795918367346</v>
      </c>
      <c r="AZ54" s="109">
        <f t="shared" si="441"/>
        <v>0.95204999999999995</v>
      </c>
      <c r="BA54" s="109">
        <f t="shared" si="441"/>
        <v>0.9411192810457516</v>
      </c>
      <c r="BB54" s="109">
        <f t="shared" si="441"/>
        <v>0.94225160256410256</v>
      </c>
      <c r="BC54" s="109">
        <f t="shared" si="441"/>
        <v>0.93844339622641515</v>
      </c>
      <c r="BD54" s="109">
        <f t="shared" si="441"/>
        <v>0.93958333333333333</v>
      </c>
      <c r="BE54" s="109">
        <f t="shared" si="441"/>
        <v>0.94068181818181817</v>
      </c>
      <c r="BF54" s="109">
        <f t="shared" si="441"/>
        <v>0.94174107142857144</v>
      </c>
      <c r="BG54" s="109">
        <f t="shared" si="441"/>
        <v>0.94276315789473686</v>
      </c>
      <c r="BH54" s="109">
        <f t="shared" si="441"/>
        <v>0.94374999999999998</v>
      </c>
      <c r="BI54" s="109">
        <f t="shared" si="441"/>
        <v>0.93923022598870054</v>
      </c>
      <c r="BJ54" s="109">
        <f t="shared" si="441"/>
        <v>0.94024305555555554</v>
      </c>
      <c r="BK54" s="109">
        <f t="shared" si="441"/>
        <v>0.94122267759562839</v>
      </c>
      <c r="BL54" s="109">
        <f t="shared" si="441"/>
        <v>0.94141129032258064</v>
      </c>
      <c r="BM54" s="109">
        <f t="shared" si="441"/>
        <v>0.94234126984126987</v>
      </c>
      <c r="BN54" s="109">
        <f t="shared" si="441"/>
        <v>0.9432421875</v>
      </c>
      <c r="BO54" s="109">
        <f t="shared" ref="BO54:CT54" si="442">IF(OR(BO$13="",BO$17="",BO$14="",BO$15="",BO$16="",BO$18="",BO$19="",BO$20="",BO$21=""),"",1-(BO81/(BO$4)))</f>
        <v>0.93967307692307689</v>
      </c>
      <c r="BP54" s="109">
        <f t="shared" si="442"/>
        <v>0.93950126262626266</v>
      </c>
      <c r="BQ54" s="109">
        <f t="shared" si="442"/>
        <v>0.94040422885572139</v>
      </c>
      <c r="BR54" s="109">
        <f t="shared" si="442"/>
        <v>0.93904411764705886</v>
      </c>
      <c r="BS54" s="109">
        <f t="shared" si="442"/>
        <v>0.93992753623188408</v>
      </c>
      <c r="BT54" s="109">
        <f t="shared" si="442"/>
        <v>0.93958333333333333</v>
      </c>
      <c r="BU54" s="109">
        <f t="shared" si="442"/>
        <v>0.93985328638497656</v>
      </c>
      <c r="BV54" s="109">
        <f t="shared" si="442"/>
        <v>0.94068865740740737</v>
      </c>
      <c r="BW54" s="109">
        <f t="shared" si="442"/>
        <v>0.94150114155251141</v>
      </c>
      <c r="BX54" s="109">
        <f t="shared" si="442"/>
        <v>0.94087274774774776</v>
      </c>
      <c r="BY54" s="109">
        <f t="shared" si="442"/>
        <v>0.94166111111111117</v>
      </c>
      <c r="BZ54" s="109">
        <f t="shared" si="442"/>
        <v>0.94242872807017541</v>
      </c>
      <c r="CA54" s="109">
        <f t="shared" si="442"/>
        <v>0.94317640692640692</v>
      </c>
      <c r="CB54" s="109">
        <f t="shared" si="442"/>
        <v>0.94390491452991454</v>
      </c>
      <c r="CC54" s="109">
        <f t="shared" si="442"/>
        <v>0.93654535864978905</v>
      </c>
      <c r="CD54" s="109">
        <f t="shared" si="442"/>
        <v>0.93733854166666664</v>
      </c>
      <c r="CE54" s="109">
        <f t="shared" si="442"/>
        <v>0.93811213991769549</v>
      </c>
      <c r="CF54" s="109">
        <f t="shared" si="442"/>
        <v>0.93886686991869917</v>
      </c>
      <c r="CG54" s="109">
        <f t="shared" si="442"/>
        <v>0.93960341365461852</v>
      </c>
      <c r="CH54" s="109">
        <f t="shared" si="442"/>
        <v>0.94032242063492066</v>
      </c>
      <c r="CI54" s="109">
        <f t="shared" si="442"/>
        <v>0.94075490196078437</v>
      </c>
      <c r="CJ54" s="109">
        <f t="shared" si="442"/>
        <v>0.94086240310077518</v>
      </c>
      <c r="CK54" s="109">
        <f t="shared" si="442"/>
        <v>0.94154214559386973</v>
      </c>
      <c r="CL54" s="109">
        <f t="shared" si="442"/>
        <v>0.94220643939393944</v>
      </c>
      <c r="CM54" s="109">
        <f t="shared" si="442"/>
        <v>0.9428558052434457</v>
      </c>
      <c r="CN54" s="109">
        <f t="shared" si="442"/>
        <v>0.9434907407407408</v>
      </c>
      <c r="CO54" s="109">
        <f t="shared" si="442"/>
        <v>0.94272435897435902</v>
      </c>
      <c r="CP54" s="109">
        <f t="shared" si="442"/>
        <v>0.94334692028985512</v>
      </c>
      <c r="CQ54" s="109">
        <f t="shared" si="442"/>
        <v>0.94343189964157703</v>
      </c>
      <c r="CR54" s="109">
        <f t="shared" si="442"/>
        <v>0.94403368794326248</v>
      </c>
      <c r="CS54" s="109">
        <f t="shared" si="442"/>
        <v>0.94462280701754386</v>
      </c>
      <c r="CT54" s="109">
        <f t="shared" si="442"/>
        <v>0.94519965277777773</v>
      </c>
      <c r="CU54" s="109">
        <f t="shared" ref="CU54:DT54" si="443">IF(OR(CU$13="",CU$17="",CU$14="",CU$15="",CU$16="",CU$18="",CU$19="",CU$20="",CU$21=""),"",1-(CU81/(CU$4)))</f>
        <v>0.94576460481099656</v>
      </c>
      <c r="CV54" s="109">
        <f t="shared" si="443"/>
        <v>0.94631802721088432</v>
      </c>
      <c r="CW54" s="109">
        <f t="shared" si="443"/>
        <v>0.94686026936026935</v>
      </c>
      <c r="CX54" s="109">
        <f t="shared" si="443"/>
        <v>0.94739166666666663</v>
      </c>
      <c r="CY54" s="109">
        <f t="shared" si="443"/>
        <v>0.9443729372937294</v>
      </c>
      <c r="CZ54" s="109">
        <f t="shared" si="443"/>
        <v>0.94491830065359483</v>
      </c>
      <c r="DA54" s="109">
        <f t="shared" si="443"/>
        <v>0.945453074433657</v>
      </c>
      <c r="DB54" s="109">
        <f t="shared" si="443"/>
        <v>0.94597756410256406</v>
      </c>
      <c r="DC54" s="109">
        <f t="shared" si="443"/>
        <v>0.9464920634920635</v>
      </c>
      <c r="DD54" s="109">
        <f t="shared" si="443"/>
        <v>0.94666273584905658</v>
      </c>
      <c r="DE54" s="109">
        <f t="shared" si="443"/>
        <v>0.94640965732087223</v>
      </c>
      <c r="DF54" s="109">
        <f t="shared" si="443"/>
        <v>0.94613425925925931</v>
      </c>
      <c r="DG54" s="109">
        <f t="shared" si="443"/>
        <v>0.94211009174311933</v>
      </c>
      <c r="DH54" s="109">
        <f t="shared" si="443"/>
        <v>0.94263636363636361</v>
      </c>
      <c r="DI54" s="109">
        <f t="shared" si="443"/>
        <v>0.94315315315315318</v>
      </c>
      <c r="DJ54" s="109">
        <f t="shared" si="443"/>
        <v>0.94282366071428569</v>
      </c>
      <c r="DK54" s="109">
        <f t="shared" si="443"/>
        <v>0.94332964601769909</v>
      </c>
      <c r="DL54" s="109">
        <f t="shared" si="443"/>
        <v>0.94382675438596497</v>
      </c>
      <c r="DM54" s="109">
        <f t="shared" si="443"/>
        <v>0.94431521739130431</v>
      </c>
      <c r="DN54" s="109">
        <f t="shared" si="443"/>
        <v>0.94479525862068969</v>
      </c>
      <c r="DO54" s="109">
        <f t="shared" si="443"/>
        <v>0.94374643874643871</v>
      </c>
      <c r="DP54" s="109">
        <f t="shared" si="443"/>
        <v>0.94422316384180793</v>
      </c>
      <c r="DQ54" s="109">
        <f t="shared" si="443"/>
        <v>0.94429621848739498</v>
      </c>
      <c r="DR54" s="109">
        <f t="shared" si="443"/>
        <v>0.93225347222222221</v>
      </c>
      <c r="DS54" s="109">
        <f t="shared" si="443"/>
        <v>0.92814738292011023</v>
      </c>
      <c r="DT54" s="109">
        <f t="shared" si="443"/>
        <v>0.92873633879781425</v>
      </c>
      <c r="DU54" s="109">
        <f t="shared" ref="DU54:GF54" si="444">IF(OR(DU$13="",DU$17="",DU$14="",DU$15="",DU$16="",DU$18="",DU$19="",DU$20="",DU$21=""),"",1-(DU81/(DU$4)))</f>
        <v>0.92687669376693771</v>
      </c>
      <c r="DV54" s="109">
        <f t="shared" si="444"/>
        <v>0.92746639784946239</v>
      </c>
      <c r="DW54" s="109">
        <f t="shared" si="444"/>
        <v>0.92804666666666669</v>
      </c>
      <c r="DX54" s="109">
        <f t="shared" si="444"/>
        <v>0.92861772486772487</v>
      </c>
      <c r="DY54" s="109">
        <f t="shared" si="444"/>
        <v>0.92917979002624673</v>
      </c>
      <c r="DZ54" s="109">
        <f t="shared" si="444"/>
        <v>0.92924804687499996</v>
      </c>
      <c r="EA54" s="109">
        <f t="shared" si="444"/>
        <v>0.929796511627907</v>
      </c>
      <c r="EB54" s="109">
        <f t="shared" si="444"/>
        <v>0.92853525641025647</v>
      </c>
      <c r="EC54" s="109">
        <f t="shared" si="444"/>
        <v>0.92092557251908402</v>
      </c>
      <c r="ED54" s="109">
        <f t="shared" si="444"/>
        <v>0.92035669191919189</v>
      </c>
      <c r="EE54" s="109">
        <f t="shared" si="444"/>
        <v>0.90938596491228074</v>
      </c>
      <c r="EF54" s="109">
        <f t="shared" si="444"/>
        <v>0.91006218905472636</v>
      </c>
      <c r="EG54" s="109">
        <f t="shared" si="444"/>
        <v>0.91072839506172842</v>
      </c>
      <c r="EH54" s="109">
        <f t="shared" si="444"/>
        <v>0.91138480392156862</v>
      </c>
      <c r="EI54" s="109">
        <f t="shared" si="444"/>
        <v>0.9120316301703163</v>
      </c>
      <c r="EJ54" s="109">
        <f t="shared" si="444"/>
        <v>0.91266908212560383</v>
      </c>
      <c r="EK54" s="109">
        <f t="shared" si="444"/>
        <v>0.91092925659472423</v>
      </c>
      <c r="EL54" s="109">
        <f t="shared" si="444"/>
        <v>0.91156547619047623</v>
      </c>
      <c r="EM54" s="109">
        <f t="shared" si="444"/>
        <v>0.91219267139479909</v>
      </c>
      <c r="EN54" s="109">
        <f t="shared" si="444"/>
        <v>0.91281103286384979</v>
      </c>
      <c r="EO54" s="109">
        <f t="shared" si="444"/>
        <v>0.91342074592074596</v>
      </c>
      <c r="EP54" s="109">
        <f t="shared" si="444"/>
        <v>0.91402199074074075</v>
      </c>
      <c r="EQ54" s="109">
        <f t="shared" si="444"/>
        <v>0.91461494252873565</v>
      </c>
      <c r="ER54" s="109">
        <f t="shared" si="444"/>
        <v>0.91519977168949773</v>
      </c>
      <c r="ES54" s="109">
        <f t="shared" si="444"/>
        <v>0.91577664399092973</v>
      </c>
      <c r="ET54" s="109">
        <f t="shared" si="444"/>
        <v>0.91634572072072074</v>
      </c>
      <c r="EU54" s="109">
        <f t="shared" si="444"/>
        <v>0.91690715883668905</v>
      </c>
      <c r="EV54" s="109">
        <f t="shared" si="444"/>
        <v>0.91746111111111117</v>
      </c>
      <c r="EW54" s="109">
        <f t="shared" si="444"/>
        <v>0.9180077262693157</v>
      </c>
      <c r="EX54" s="109">
        <f t="shared" si="444"/>
        <v>0.91854714912280699</v>
      </c>
      <c r="EY54" s="109">
        <f t="shared" si="444"/>
        <v>0.91907952069716781</v>
      </c>
      <c r="EZ54" s="109">
        <f t="shared" si="444"/>
        <v>0.91960497835497834</v>
      </c>
      <c r="FA54" s="109">
        <f t="shared" si="444"/>
        <v>0.92012365591397849</v>
      </c>
      <c r="FB54" s="109">
        <f t="shared" si="444"/>
        <v>0.92063568376068372</v>
      </c>
      <c r="FC54" s="109">
        <f t="shared" si="444"/>
        <v>0.92114118895966035</v>
      </c>
      <c r="FD54" s="109">
        <f t="shared" si="444"/>
        <v>0.92164029535864977</v>
      </c>
      <c r="FE54" s="109">
        <f t="shared" si="444"/>
        <v>0.92173218029350101</v>
      </c>
      <c r="FF54" s="109">
        <f t="shared" si="444"/>
        <v>0.92032812500000005</v>
      </c>
      <c r="FG54" s="109">
        <f t="shared" si="444"/>
        <v>0.91789855072463766</v>
      </c>
      <c r="FH54" s="109">
        <f t="shared" si="444"/>
        <v>0.91807098765432105</v>
      </c>
      <c r="FI54" s="109">
        <f t="shared" si="444"/>
        <v>0.91837423312883437</v>
      </c>
      <c r="FJ54" s="109">
        <f t="shared" si="444"/>
        <v>0.91709857723577237</v>
      </c>
      <c r="FK54" s="109">
        <f t="shared" si="444"/>
        <v>0.91760101010101014</v>
      </c>
      <c r="FL54" s="109">
        <f t="shared" si="444"/>
        <v>0.91809738955823295</v>
      </c>
      <c r="FM54" s="109">
        <f t="shared" si="444"/>
        <v>0.91858782435129749</v>
      </c>
      <c r="FN54" s="109">
        <f t="shared" si="444"/>
        <v>0.91907242063492067</v>
      </c>
      <c r="FO54" s="109">
        <f t="shared" si="444"/>
        <v>0.91606508875739645</v>
      </c>
      <c r="FP54" s="109">
        <f t="shared" si="444"/>
        <v>0.90081372549019612</v>
      </c>
      <c r="FQ54" s="109">
        <f t="shared" si="444"/>
        <v>0.90139376218323586</v>
      </c>
      <c r="FR54" s="109">
        <f t="shared" si="444"/>
        <v>0.90196705426356594</v>
      </c>
      <c r="FS54" s="109">
        <f t="shared" si="444"/>
        <v>0.89950626204238926</v>
      </c>
      <c r="FT54" s="109">
        <f t="shared" si="444"/>
        <v>0.89367097701149434</v>
      </c>
      <c r="FU54" s="109">
        <f t="shared" si="444"/>
        <v>0.89427857142857148</v>
      </c>
      <c r="FV54" s="109">
        <f t="shared" si="444"/>
        <v>0.89430397727272726</v>
      </c>
      <c r="FW54" s="109">
        <f t="shared" si="444"/>
        <v>0.89455508474576273</v>
      </c>
      <c r="FX54" s="109">
        <f t="shared" si="444"/>
        <v>0.89081460674157309</v>
      </c>
      <c r="FY54" s="109">
        <f t="shared" si="444"/>
        <v>0.82750931098696467</v>
      </c>
      <c r="FZ54" s="109">
        <f t="shared" si="444"/>
        <v>0.82846759259259262</v>
      </c>
      <c r="GA54" s="109">
        <f t="shared" si="433"/>
        <v>0.82941528545119714</v>
      </c>
      <c r="GB54" s="109">
        <f t="shared" si="433"/>
        <v>0.81566620879120877</v>
      </c>
      <c r="GC54" s="109">
        <f t="shared" si="444"/>
        <v>0.81667349726775962</v>
      </c>
      <c r="GD54" s="109">
        <f t="shared" si="444"/>
        <v>0.81217844202898548</v>
      </c>
      <c r="GE54" s="109">
        <f t="shared" si="444"/>
        <v>0.80519369369369376</v>
      </c>
      <c r="GF54" s="109">
        <f t="shared" si="444"/>
        <v>0.80624103942652336</v>
      </c>
      <c r="GG54" s="109">
        <f t="shared" ref="GG54:IR54" si="445">IF(OR(GG$13="",GG$17="",GG$14="",GG$15="",GG$16="",GG$18="",GG$19="",GG$20="",GG$21=""),"",1-(GG81/(GG$4)))</f>
        <v>0.78956327985739749</v>
      </c>
      <c r="GH54" s="109">
        <f t="shared" si="445"/>
        <v>0.79068262411347523</v>
      </c>
      <c r="GI54" s="109">
        <f t="shared" si="445"/>
        <v>0.79179012345679012</v>
      </c>
      <c r="GJ54" s="109">
        <f t="shared" si="445"/>
        <v>0.79288596491228081</v>
      </c>
      <c r="GK54" s="109">
        <f t="shared" si="445"/>
        <v>0.79397033158813268</v>
      </c>
      <c r="GL54" s="109">
        <f t="shared" si="445"/>
        <v>0.79504340277777785</v>
      </c>
      <c r="GM54" s="109">
        <f t="shared" si="445"/>
        <v>0.79610535405872196</v>
      </c>
      <c r="GN54" s="109">
        <f t="shared" si="445"/>
        <v>0.79715635738831625</v>
      </c>
      <c r="GO54" s="109">
        <f t="shared" si="445"/>
        <v>0.79819658119658121</v>
      </c>
      <c r="GP54" s="109">
        <f t="shared" si="445"/>
        <v>0.79922619047619048</v>
      </c>
      <c r="GQ54" s="109">
        <f t="shared" si="445"/>
        <v>0.80024534686971238</v>
      </c>
      <c r="GR54" s="109">
        <f t="shared" si="445"/>
        <v>0.80125420875420883</v>
      </c>
      <c r="GS54" s="109">
        <f t="shared" si="445"/>
        <v>0.80225293132328312</v>
      </c>
      <c r="GT54" s="109">
        <f t="shared" si="445"/>
        <v>0.80324166666666674</v>
      </c>
      <c r="GU54" s="109">
        <f t="shared" si="445"/>
        <v>0.80422056384742957</v>
      </c>
      <c r="GV54" s="109">
        <f t="shared" si="445"/>
        <v>0.80518976897689776</v>
      </c>
      <c r="GW54" s="109">
        <f t="shared" si="445"/>
        <v>0.80599958949096884</v>
      </c>
      <c r="GX54" s="109">
        <f t="shared" si="445"/>
        <v>0.80695057189542485</v>
      </c>
      <c r="GY54" s="109">
        <f t="shared" si="445"/>
        <v>0.80789227642276429</v>
      </c>
      <c r="GZ54" s="109">
        <f t="shared" si="445"/>
        <v>0.80882483818770234</v>
      </c>
      <c r="HA54" s="109">
        <f t="shared" si="445"/>
        <v>0.80974838969404184</v>
      </c>
      <c r="HB54" s="109">
        <f t="shared" si="445"/>
        <v>0.81012820512820516</v>
      </c>
      <c r="HC54" s="109">
        <f t="shared" si="445"/>
        <v>0.80705940988835723</v>
      </c>
      <c r="HD54" s="109">
        <f t="shared" si="445"/>
        <v>0.80797817460317467</v>
      </c>
      <c r="HE54" s="109">
        <f t="shared" si="445"/>
        <v>0.80888823064770932</v>
      </c>
      <c r="HF54" s="109">
        <f t="shared" si="445"/>
        <v>0.80976415094339627</v>
      </c>
      <c r="HG54" s="109">
        <f t="shared" si="445"/>
        <v>0.80776163928012523</v>
      </c>
      <c r="HH54" s="109">
        <f t="shared" si="445"/>
        <v>0.8075892934406369</v>
      </c>
      <c r="HI54" s="109">
        <f t="shared" si="445"/>
        <v>0.80535728897502157</v>
      </c>
      <c r="HJ54" s="109">
        <f t="shared" si="445"/>
        <v>0.80625841263717424</v>
      </c>
      <c r="HK54" s="109">
        <f t="shared" si="445"/>
        <v>0.80699442097627583</v>
      </c>
      <c r="HL54" s="109">
        <f t="shared" si="445"/>
        <v>0.80401678771661567</v>
      </c>
      <c r="HM54" s="109">
        <f t="shared" si="445"/>
        <v>0.80097962117368504</v>
      </c>
      <c r="HN54" s="109">
        <f t="shared" si="445"/>
        <v>0.80038473274410771</v>
      </c>
      <c r="HO54" s="109">
        <f t="shared" si="445"/>
        <v>0.80121925800234628</v>
      </c>
      <c r="HP54" s="109">
        <f t="shared" si="445"/>
        <v>0.79999692400734068</v>
      </c>
      <c r="HQ54" s="109">
        <f t="shared" si="445"/>
        <v>0.80089379878757683</v>
      </c>
      <c r="HR54" s="109">
        <f t="shared" si="445"/>
        <v>0.80178266575727508</v>
      </c>
      <c r="HS54" s="109">
        <f t="shared" si="445"/>
        <v>0.80266363168724286</v>
      </c>
      <c r="HT54" s="109">
        <f t="shared" si="445"/>
        <v>0.80353680145853823</v>
      </c>
      <c r="HU54" s="109">
        <f t="shared" si="445"/>
        <v>0.80440227810409526</v>
      </c>
      <c r="HV54" s="109">
        <f t="shared" si="445"/>
        <v>0.80526016284925273</v>
      </c>
      <c r="HW54" s="109">
        <f t="shared" si="445"/>
        <v>0.80582256792819018</v>
      </c>
      <c r="HX54" s="109">
        <f t="shared" si="445"/>
        <v>0.80611257045088569</v>
      </c>
      <c r="HY54" s="109">
        <f t="shared" si="445"/>
        <v>0.80577912057078727</v>
      </c>
      <c r="HZ54" s="109">
        <f t="shared" si="445"/>
        <v>0.80523352689974459</v>
      </c>
      <c r="IA54" s="109">
        <f t="shared" si="445"/>
        <v>0.80606943450961688</v>
      </c>
      <c r="IB54" s="109">
        <f t="shared" si="445"/>
        <v>0.80689819761000314</v>
      </c>
      <c r="IC54" s="109">
        <f t="shared" si="445"/>
        <v>0.8077199074074074</v>
      </c>
      <c r="ID54" s="109">
        <f t="shared" si="445"/>
        <v>0.80853465356246079</v>
      </c>
      <c r="IE54" s="109">
        <f t="shared" si="445"/>
        <v>0.8071413990467261</v>
      </c>
      <c r="IF54" s="109">
        <f t="shared" si="445"/>
        <v>0.80795172930283221</v>
      </c>
      <c r="IG54" s="109">
        <f t="shared" si="445"/>
        <v>0.8087552785526112</v>
      </c>
      <c r="IH54" s="109">
        <f t="shared" si="445"/>
        <v>0.80910942322530865</v>
      </c>
      <c r="II54" s="109">
        <f t="shared" si="445"/>
        <v>0.8099015003073613</v>
      </c>
      <c r="IJ54" s="109">
        <f t="shared" si="445"/>
        <v>0.81068703129782682</v>
      </c>
      <c r="IK54" s="109">
        <f t="shared" si="445"/>
        <v>0.8114660970126506</v>
      </c>
      <c r="IL54" s="109">
        <f t="shared" si="445"/>
        <v>0.81223877694292657</v>
      </c>
      <c r="IM54" s="109">
        <f t="shared" si="445"/>
        <v>0.8111138038548753</v>
      </c>
      <c r="IN54" s="109">
        <f t="shared" si="445"/>
        <v>0.80856721431797651</v>
      </c>
      <c r="IO54" s="109">
        <f t="shared" si="445"/>
        <v>0.80925237104513426</v>
      </c>
      <c r="IP54" s="109">
        <f t="shared" si="445"/>
        <v>0.80976716509856628</v>
      </c>
      <c r="IQ54" s="109">
        <f t="shared" si="445"/>
        <v>0.81053115238732709</v>
      </c>
      <c r="IR54" s="109">
        <f t="shared" si="445"/>
        <v>0.81114689814814822</v>
      </c>
      <c r="IS54" s="109">
        <f t="shared" ref="IS54:LD54" si="446">IF(OR(IS$13="",IS$17="",IS$14="",IS$15="",IS$16="",IS$18="",IS$19="",IS$20="",IS$21=""),"",1-(IS81/(IS$4)))</f>
        <v>0.81189930094437068</v>
      </c>
      <c r="IT54" s="109">
        <f t="shared" si="446"/>
        <v>0.8126457322898295</v>
      </c>
      <c r="IU54" s="109">
        <f t="shared" si="446"/>
        <v>0.81231897782169527</v>
      </c>
      <c r="IV54" s="109">
        <f t="shared" si="446"/>
        <v>0.81305787948381458</v>
      </c>
      <c r="IW54" s="109">
        <f t="shared" si="446"/>
        <v>0.81379098583877996</v>
      </c>
      <c r="IX54" s="109">
        <f t="shared" si="446"/>
        <v>0.81428249782986106</v>
      </c>
      <c r="IY54" s="109">
        <f t="shared" si="446"/>
        <v>0.81500513402507568</v>
      </c>
      <c r="IZ54" s="109">
        <f t="shared" si="446"/>
        <v>0.81572216838931955</v>
      </c>
      <c r="JA54" s="109">
        <f t="shared" si="446"/>
        <v>0.81487308737308739</v>
      </c>
      <c r="JB54" s="109">
        <f t="shared" si="446"/>
        <v>0.81540041844729338</v>
      </c>
      <c r="JC54" s="109">
        <f t="shared" si="446"/>
        <v>0.81610769653753368</v>
      </c>
      <c r="JD54" s="109">
        <f t="shared" si="446"/>
        <v>0.81618740281311841</v>
      </c>
      <c r="JE54" s="109">
        <f t="shared" si="446"/>
        <v>0.81688631002675682</v>
      </c>
      <c r="JF54" s="109">
        <f t="shared" si="446"/>
        <v>0.81757992248877664</v>
      </c>
      <c r="JG54" s="109">
        <f t="shared" si="446"/>
        <v>0.81826830013976237</v>
      </c>
      <c r="JH54" s="109">
        <f t="shared" si="446"/>
        <v>0.81739796539961018</v>
      </c>
      <c r="JI54" s="109">
        <f t="shared" si="446"/>
        <v>0.81722660043001805</v>
      </c>
      <c r="JJ54" s="109">
        <f t="shared" si="446"/>
        <v>0.81716370404919847</v>
      </c>
      <c r="JK54" s="109">
        <f t="shared" si="446"/>
        <v>0.81740194306760294</v>
      </c>
      <c r="JL54" s="109">
        <f t="shared" si="446"/>
        <v>0.81782818930041157</v>
      </c>
      <c r="JM54" s="109">
        <f t="shared" si="446"/>
        <v>0.81850041000410001</v>
      </c>
      <c r="JN54" s="109">
        <f t="shared" si="446"/>
        <v>0.81901450163398692</v>
      </c>
      <c r="JO54" s="109">
        <f t="shared" si="446"/>
        <v>0.81952482702482699</v>
      </c>
      <c r="JP54" s="109">
        <f t="shared" si="446"/>
        <v>0.82003142741281421</v>
      </c>
      <c r="JQ54" s="109">
        <f t="shared" si="446"/>
        <v>0.82007979797979802</v>
      </c>
      <c r="JR54" s="109">
        <f t="shared" si="446"/>
        <v>0.81724587359098233</v>
      </c>
      <c r="JS54" s="109">
        <f t="shared" si="446"/>
        <v>0.81745437224227835</v>
      </c>
      <c r="JT54" s="109">
        <f t="shared" si="446"/>
        <v>0.81811101119104723</v>
      </c>
      <c r="JU54" s="109">
        <f t="shared" si="446"/>
        <v>0.81876294305057751</v>
      </c>
      <c r="JV54" s="109">
        <f t="shared" si="446"/>
        <v>0.81926140873015874</v>
      </c>
      <c r="JW54" s="109">
        <f t="shared" si="446"/>
        <v>0.81990460656385922</v>
      </c>
      <c r="JX54" s="109">
        <f t="shared" si="446"/>
        <v>0.82054324271079593</v>
      </c>
      <c r="JY54" s="109">
        <f t="shared" si="446"/>
        <v>0.8211773655280723</v>
      </c>
      <c r="JZ54" s="109">
        <f t="shared" si="446"/>
        <v>0.8218070226917058</v>
      </c>
      <c r="KA54" s="109">
        <f t="shared" si="446"/>
        <v>0.82243226120857704</v>
      </c>
      <c r="KB54" s="109">
        <f t="shared" si="446"/>
        <v>0.82305312742812742</v>
      </c>
      <c r="KC54" s="109">
        <f t="shared" si="446"/>
        <v>0.82018534649632213</v>
      </c>
      <c r="KD54" s="109">
        <f t="shared" si="446"/>
        <v>0.81994164737654318</v>
      </c>
      <c r="KE54" s="109">
        <f t="shared" si="446"/>
        <v>0.8205646866589773</v>
      </c>
      <c r="KF54" s="109">
        <f t="shared" si="446"/>
        <v>0.82118342911877396</v>
      </c>
      <c r="KG54" s="109">
        <f t="shared" si="446"/>
        <v>0.82179791905307376</v>
      </c>
      <c r="KH54" s="109">
        <f t="shared" si="446"/>
        <v>0.82240820015220706</v>
      </c>
      <c r="KI54" s="109">
        <f t="shared" si="446"/>
        <v>0.82301431551004933</v>
      </c>
      <c r="KJ54" s="109">
        <f t="shared" si="446"/>
        <v>0.82361630763416482</v>
      </c>
      <c r="KK54" s="109">
        <f t="shared" si="446"/>
        <v>0.82421421845574394</v>
      </c>
      <c r="KL54" s="109">
        <f t="shared" si="446"/>
        <v>0.82480808933933936</v>
      </c>
      <c r="KM54" s="109">
        <f t="shared" si="446"/>
        <v>0.8253979610924056</v>
      </c>
      <c r="KN54" s="109">
        <f t="shared" si="446"/>
        <v>0.82598387397464579</v>
      </c>
      <c r="KO54" s="109">
        <f t="shared" si="446"/>
        <v>0.82656586770717211</v>
      </c>
      <c r="KP54" s="109">
        <f t="shared" si="446"/>
        <v>0.82714398148148149</v>
      </c>
      <c r="KQ54" s="109">
        <f t="shared" si="446"/>
        <v>0.82771825396825394</v>
      </c>
      <c r="KR54" s="109">
        <f t="shared" si="446"/>
        <v>0.82828872332597503</v>
      </c>
      <c r="KS54" s="109">
        <f t="shared" si="446"/>
        <v>0.82885542720938765</v>
      </c>
      <c r="KT54" s="109">
        <f t="shared" si="446"/>
        <v>0.82941840277777779</v>
      </c>
      <c r="KU54" s="109" t="str">
        <f t="shared" si="446"/>
        <v/>
      </c>
      <c r="KV54" s="109" t="str">
        <f t="shared" si="446"/>
        <v/>
      </c>
      <c r="KW54" s="109" t="str">
        <f t="shared" si="446"/>
        <v/>
      </c>
      <c r="KX54" s="109" t="str">
        <f t="shared" si="446"/>
        <v/>
      </c>
      <c r="KY54" s="109" t="str">
        <f t="shared" si="446"/>
        <v/>
      </c>
      <c r="KZ54" s="109" t="str">
        <f t="shared" si="446"/>
        <v/>
      </c>
      <c r="LA54" s="109" t="str">
        <f t="shared" si="446"/>
        <v/>
      </c>
      <c r="LB54" s="109" t="str">
        <f t="shared" si="446"/>
        <v/>
      </c>
      <c r="LC54" s="109" t="str">
        <f t="shared" si="446"/>
        <v/>
      </c>
      <c r="LD54" s="109" t="str">
        <f t="shared" si="446"/>
        <v/>
      </c>
      <c r="LE54" s="109" t="str">
        <f t="shared" ref="LE54:NP54" si="447">IF(OR(LE$13="",LE$17="",LE$14="",LE$15="",LE$16="",LE$18="",LE$19="",LE$20="",LE$21=""),"",1-(LE81/(LE$4)))</f>
        <v/>
      </c>
      <c r="LF54" s="109" t="str">
        <f t="shared" si="447"/>
        <v/>
      </c>
      <c r="LG54" s="109" t="str">
        <f t="shared" si="447"/>
        <v/>
      </c>
      <c r="LH54" s="109" t="str">
        <f t="shared" si="447"/>
        <v/>
      </c>
      <c r="LI54" s="109" t="str">
        <f t="shared" si="447"/>
        <v/>
      </c>
      <c r="LJ54" s="109" t="str">
        <f t="shared" si="447"/>
        <v/>
      </c>
      <c r="LK54" s="109" t="str">
        <f t="shared" si="447"/>
        <v/>
      </c>
      <c r="LL54" s="109" t="str">
        <f t="shared" si="447"/>
        <v/>
      </c>
      <c r="LM54" s="109" t="str">
        <f t="shared" si="447"/>
        <v/>
      </c>
      <c r="LN54" s="109" t="str">
        <f t="shared" si="447"/>
        <v/>
      </c>
      <c r="LO54" s="109" t="str">
        <f t="shared" si="447"/>
        <v/>
      </c>
      <c r="LP54" s="109" t="str">
        <f t="shared" si="447"/>
        <v/>
      </c>
      <c r="LQ54" s="109" t="str">
        <f t="shared" si="447"/>
        <v/>
      </c>
      <c r="LR54" s="109" t="str">
        <f t="shared" si="447"/>
        <v/>
      </c>
      <c r="LS54" s="109" t="str">
        <f t="shared" si="447"/>
        <v/>
      </c>
      <c r="LT54" s="109" t="str">
        <f t="shared" si="447"/>
        <v/>
      </c>
      <c r="LU54" s="109" t="str">
        <f t="shared" si="447"/>
        <v/>
      </c>
      <c r="LV54" s="109" t="str">
        <f t="shared" si="447"/>
        <v/>
      </c>
      <c r="LW54" s="109" t="str">
        <f t="shared" si="447"/>
        <v/>
      </c>
      <c r="LX54" s="109" t="str">
        <f t="shared" si="447"/>
        <v/>
      </c>
      <c r="LY54" s="109" t="str">
        <f t="shared" si="447"/>
        <v/>
      </c>
      <c r="LZ54" s="109" t="str">
        <f t="shared" si="447"/>
        <v/>
      </c>
      <c r="MA54" s="109" t="str">
        <f t="shared" si="447"/>
        <v/>
      </c>
      <c r="MB54" s="109" t="str">
        <f t="shared" si="447"/>
        <v/>
      </c>
      <c r="MC54" s="109" t="str">
        <f t="shared" si="447"/>
        <v/>
      </c>
      <c r="MD54" s="109" t="str">
        <f t="shared" si="447"/>
        <v/>
      </c>
      <c r="ME54" s="109" t="str">
        <f t="shared" si="447"/>
        <v/>
      </c>
      <c r="MF54" s="109" t="str">
        <f t="shared" si="447"/>
        <v/>
      </c>
      <c r="MG54" s="109" t="str">
        <f t="shared" si="447"/>
        <v/>
      </c>
      <c r="MH54" s="109" t="str">
        <f t="shared" si="447"/>
        <v/>
      </c>
      <c r="MI54" s="109" t="str">
        <f t="shared" si="447"/>
        <v/>
      </c>
      <c r="MJ54" s="109" t="str">
        <f t="shared" si="447"/>
        <v/>
      </c>
      <c r="MK54" s="109" t="str">
        <f t="shared" si="447"/>
        <v/>
      </c>
      <c r="ML54" s="109" t="str">
        <f t="shared" si="447"/>
        <v/>
      </c>
      <c r="MM54" s="109" t="str">
        <f t="shared" si="447"/>
        <v/>
      </c>
      <c r="MN54" s="109" t="str">
        <f t="shared" si="447"/>
        <v/>
      </c>
      <c r="MO54" s="109" t="str">
        <f t="shared" si="447"/>
        <v/>
      </c>
      <c r="MP54" s="109" t="str">
        <f t="shared" si="447"/>
        <v/>
      </c>
      <c r="MQ54" s="109" t="str">
        <f t="shared" si="447"/>
        <v/>
      </c>
      <c r="MR54" s="109" t="str">
        <f t="shared" si="447"/>
        <v/>
      </c>
      <c r="MS54" s="109" t="str">
        <f t="shared" si="447"/>
        <v/>
      </c>
      <c r="MT54" s="109" t="str">
        <f t="shared" si="447"/>
        <v/>
      </c>
      <c r="MU54" s="109" t="str">
        <f t="shared" si="447"/>
        <v/>
      </c>
      <c r="MV54" s="109" t="str">
        <f t="shared" si="447"/>
        <v/>
      </c>
      <c r="MW54" s="109" t="str">
        <f t="shared" si="447"/>
        <v/>
      </c>
      <c r="MX54" s="109" t="str">
        <f t="shared" si="447"/>
        <v/>
      </c>
      <c r="MY54" s="109" t="str">
        <f t="shared" si="447"/>
        <v/>
      </c>
      <c r="MZ54" s="109" t="str">
        <f t="shared" si="447"/>
        <v/>
      </c>
      <c r="NA54" s="109" t="str">
        <f t="shared" si="447"/>
        <v/>
      </c>
      <c r="NB54" s="109" t="str">
        <f t="shared" si="447"/>
        <v/>
      </c>
      <c r="NC54" s="109" t="str">
        <f t="shared" si="447"/>
        <v/>
      </c>
      <c r="ND54" s="109" t="str">
        <f t="shared" si="447"/>
        <v/>
      </c>
      <c r="NE54" s="109" t="str">
        <f t="shared" si="447"/>
        <v/>
      </c>
      <c r="NF54" s="109" t="str">
        <f t="shared" si="447"/>
        <v/>
      </c>
      <c r="NG54" s="109" t="str">
        <f t="shared" si="447"/>
        <v/>
      </c>
      <c r="NH54" s="109" t="str">
        <f t="shared" si="447"/>
        <v/>
      </c>
      <c r="NI54" s="109" t="str">
        <f t="shared" si="447"/>
        <v/>
      </c>
      <c r="NJ54" s="109" t="str">
        <f t="shared" si="447"/>
        <v/>
      </c>
      <c r="NK54" s="109" t="str">
        <f t="shared" si="447"/>
        <v/>
      </c>
      <c r="NL54" s="109" t="str">
        <f t="shared" si="447"/>
        <v/>
      </c>
      <c r="NM54" s="109" t="str">
        <f t="shared" si="447"/>
        <v/>
      </c>
      <c r="NN54" s="109" t="str">
        <f t="shared" si="447"/>
        <v/>
      </c>
      <c r="NO54" s="109" t="str">
        <f t="shared" si="447"/>
        <v/>
      </c>
      <c r="NP54" s="109" t="str">
        <f t="shared" si="447"/>
        <v/>
      </c>
      <c r="NQ54" s="109" t="str">
        <f t="shared" ref="NQ54:QB54" si="448">IF(OR(NQ$13="",NQ$17="",NQ$14="",NQ$15="",NQ$16="",NQ$18="",NQ$19="",NQ$20="",NQ$21=""),"",1-(NQ81/(NQ$4)))</f>
        <v/>
      </c>
      <c r="NR54" s="109" t="str">
        <f t="shared" si="448"/>
        <v/>
      </c>
      <c r="NS54" s="109" t="str">
        <f t="shared" si="448"/>
        <v/>
      </c>
      <c r="NT54" s="109" t="str">
        <f t="shared" si="448"/>
        <v/>
      </c>
      <c r="NU54" s="109" t="str">
        <f t="shared" si="448"/>
        <v/>
      </c>
      <c r="NV54" s="109" t="str">
        <f t="shared" si="448"/>
        <v/>
      </c>
      <c r="NW54" s="109" t="str">
        <f t="shared" si="448"/>
        <v/>
      </c>
      <c r="NX54" s="109" t="str">
        <f t="shared" si="448"/>
        <v/>
      </c>
      <c r="NY54" s="109" t="str">
        <f t="shared" si="448"/>
        <v/>
      </c>
      <c r="NZ54" s="109" t="str">
        <f t="shared" si="448"/>
        <v/>
      </c>
      <c r="OA54" s="109" t="str">
        <f t="shared" si="448"/>
        <v/>
      </c>
      <c r="OB54" s="109" t="str">
        <f t="shared" si="448"/>
        <v/>
      </c>
      <c r="OC54" s="109" t="str">
        <f t="shared" si="448"/>
        <v/>
      </c>
      <c r="OD54" s="109" t="str">
        <f t="shared" si="448"/>
        <v/>
      </c>
      <c r="OE54" s="109" t="str">
        <f t="shared" si="448"/>
        <v/>
      </c>
      <c r="OF54" s="109" t="str">
        <f t="shared" si="448"/>
        <v/>
      </c>
      <c r="OG54" s="109" t="str">
        <f t="shared" si="448"/>
        <v/>
      </c>
      <c r="OH54" s="109" t="str">
        <f t="shared" si="448"/>
        <v/>
      </c>
      <c r="OI54" s="109" t="str">
        <f t="shared" si="448"/>
        <v/>
      </c>
      <c r="OJ54" s="109" t="str">
        <f t="shared" si="448"/>
        <v/>
      </c>
      <c r="OK54" s="109" t="str">
        <f t="shared" si="448"/>
        <v/>
      </c>
      <c r="OL54" s="109" t="str">
        <f t="shared" si="448"/>
        <v/>
      </c>
      <c r="OM54" s="109" t="str">
        <f t="shared" si="448"/>
        <v/>
      </c>
      <c r="ON54" s="109" t="str">
        <f t="shared" si="448"/>
        <v/>
      </c>
      <c r="OO54" s="109" t="str">
        <f t="shared" si="448"/>
        <v/>
      </c>
      <c r="OP54" s="109" t="str">
        <f t="shared" si="448"/>
        <v/>
      </c>
      <c r="OQ54" s="109" t="str">
        <f t="shared" si="448"/>
        <v/>
      </c>
      <c r="OR54" s="109" t="str">
        <f t="shared" si="448"/>
        <v/>
      </c>
      <c r="OS54" s="109" t="str">
        <f t="shared" si="448"/>
        <v/>
      </c>
      <c r="OT54" s="109" t="str">
        <f t="shared" si="448"/>
        <v/>
      </c>
      <c r="OU54" s="109" t="str">
        <f t="shared" si="448"/>
        <v/>
      </c>
      <c r="OV54" s="109" t="str">
        <f t="shared" si="448"/>
        <v/>
      </c>
      <c r="OW54" s="109" t="str">
        <f t="shared" si="448"/>
        <v/>
      </c>
      <c r="OX54" s="109" t="str">
        <f t="shared" si="448"/>
        <v/>
      </c>
      <c r="OY54" s="109" t="str">
        <f t="shared" si="448"/>
        <v/>
      </c>
      <c r="OZ54" s="109" t="str">
        <f t="shared" si="448"/>
        <v/>
      </c>
      <c r="PA54" s="109" t="str">
        <f t="shared" si="448"/>
        <v/>
      </c>
      <c r="PB54" s="109" t="str">
        <f t="shared" si="448"/>
        <v/>
      </c>
      <c r="PC54" s="109" t="str">
        <f t="shared" si="448"/>
        <v/>
      </c>
      <c r="PD54" s="109" t="str">
        <f t="shared" si="448"/>
        <v/>
      </c>
      <c r="PE54" s="109" t="str">
        <f t="shared" si="448"/>
        <v/>
      </c>
      <c r="PF54" s="109" t="str">
        <f t="shared" si="448"/>
        <v/>
      </c>
      <c r="PG54" s="109" t="str">
        <f t="shared" si="448"/>
        <v/>
      </c>
      <c r="PH54" s="109" t="str">
        <f t="shared" si="448"/>
        <v/>
      </c>
      <c r="PI54" s="109" t="str">
        <f t="shared" si="448"/>
        <v/>
      </c>
      <c r="PJ54" s="109" t="str">
        <f t="shared" si="448"/>
        <v/>
      </c>
      <c r="PK54" s="109" t="str">
        <f t="shared" si="448"/>
        <v/>
      </c>
      <c r="PL54" s="109" t="str">
        <f t="shared" si="448"/>
        <v/>
      </c>
      <c r="PM54" s="109" t="str">
        <f t="shared" si="448"/>
        <v/>
      </c>
      <c r="PN54" s="109" t="str">
        <f t="shared" si="448"/>
        <v/>
      </c>
      <c r="PO54" s="109" t="str">
        <f t="shared" si="448"/>
        <v/>
      </c>
      <c r="PP54" s="109" t="str">
        <f t="shared" si="448"/>
        <v/>
      </c>
      <c r="PQ54" s="109" t="str">
        <f t="shared" si="448"/>
        <v/>
      </c>
      <c r="PR54" s="109" t="str">
        <f t="shared" si="448"/>
        <v/>
      </c>
      <c r="PS54" s="109" t="str">
        <f t="shared" si="448"/>
        <v/>
      </c>
      <c r="PT54" s="109" t="str">
        <f t="shared" si="448"/>
        <v/>
      </c>
      <c r="PU54" s="109" t="str">
        <f t="shared" si="448"/>
        <v/>
      </c>
      <c r="PV54" s="109" t="str">
        <f t="shared" si="448"/>
        <v/>
      </c>
      <c r="PW54" s="109" t="str">
        <f t="shared" si="448"/>
        <v/>
      </c>
      <c r="PX54" s="109" t="str">
        <f t="shared" si="448"/>
        <v/>
      </c>
      <c r="PY54" s="109" t="str">
        <f t="shared" si="448"/>
        <v/>
      </c>
      <c r="PZ54" s="109" t="str">
        <f t="shared" si="448"/>
        <v/>
      </c>
      <c r="QA54" s="109" t="str">
        <f t="shared" si="448"/>
        <v/>
      </c>
      <c r="QB54" s="109" t="str">
        <f t="shared" si="448"/>
        <v/>
      </c>
      <c r="QC54" s="109" t="str">
        <f t="shared" ref="QC54:SN54" si="449">IF(OR(QC$13="",QC$17="",QC$14="",QC$15="",QC$16="",QC$18="",QC$19="",QC$20="",QC$21=""),"",1-(QC81/(QC$4)))</f>
        <v/>
      </c>
      <c r="QD54" s="109" t="str">
        <f t="shared" si="449"/>
        <v/>
      </c>
      <c r="QE54" s="109" t="str">
        <f t="shared" si="449"/>
        <v/>
      </c>
      <c r="QF54" s="109" t="str">
        <f t="shared" si="449"/>
        <v/>
      </c>
      <c r="QG54" s="109" t="str">
        <f t="shared" si="449"/>
        <v/>
      </c>
      <c r="QH54" s="109" t="str">
        <f t="shared" si="449"/>
        <v/>
      </c>
      <c r="QI54" s="109" t="str">
        <f t="shared" si="449"/>
        <v/>
      </c>
      <c r="QJ54" s="109" t="str">
        <f t="shared" si="449"/>
        <v/>
      </c>
      <c r="QK54" s="109" t="str">
        <f t="shared" si="449"/>
        <v/>
      </c>
      <c r="QL54" s="109" t="str">
        <f t="shared" si="449"/>
        <v/>
      </c>
      <c r="QM54" s="109" t="str">
        <f t="shared" si="449"/>
        <v/>
      </c>
      <c r="QN54" s="109" t="str">
        <f t="shared" si="449"/>
        <v/>
      </c>
      <c r="QO54" s="109" t="str">
        <f t="shared" si="449"/>
        <v/>
      </c>
      <c r="QP54" s="109" t="str">
        <f t="shared" si="449"/>
        <v/>
      </c>
      <c r="QQ54" s="109" t="str">
        <f t="shared" si="449"/>
        <v/>
      </c>
      <c r="QR54" s="109" t="str">
        <f t="shared" si="449"/>
        <v/>
      </c>
      <c r="QS54" s="109" t="str">
        <f t="shared" si="449"/>
        <v/>
      </c>
      <c r="QT54" s="109" t="str">
        <f t="shared" si="449"/>
        <v/>
      </c>
      <c r="QU54" s="109" t="str">
        <f t="shared" si="449"/>
        <v/>
      </c>
      <c r="QV54" s="109" t="str">
        <f t="shared" si="449"/>
        <v/>
      </c>
      <c r="QW54" s="109" t="str">
        <f t="shared" si="449"/>
        <v/>
      </c>
      <c r="QX54" s="109" t="str">
        <f t="shared" si="449"/>
        <v/>
      </c>
      <c r="QY54" s="109" t="str">
        <f t="shared" si="449"/>
        <v/>
      </c>
      <c r="QZ54" s="109" t="str">
        <f t="shared" si="449"/>
        <v/>
      </c>
      <c r="RA54" s="109" t="str">
        <f t="shared" si="449"/>
        <v/>
      </c>
      <c r="RB54" s="109" t="str">
        <f t="shared" si="449"/>
        <v/>
      </c>
      <c r="RC54" s="109" t="str">
        <f t="shared" si="449"/>
        <v/>
      </c>
      <c r="RD54" s="109" t="str">
        <f t="shared" si="449"/>
        <v/>
      </c>
      <c r="RE54" s="109" t="str">
        <f t="shared" si="449"/>
        <v/>
      </c>
      <c r="RF54" s="109" t="str">
        <f t="shared" si="449"/>
        <v/>
      </c>
      <c r="RG54" s="109" t="str">
        <f t="shared" si="449"/>
        <v/>
      </c>
      <c r="RH54" s="109" t="str">
        <f t="shared" si="449"/>
        <v/>
      </c>
      <c r="RI54" s="109" t="str">
        <f t="shared" si="449"/>
        <v/>
      </c>
      <c r="RJ54" s="109" t="str">
        <f t="shared" si="449"/>
        <v/>
      </c>
      <c r="RK54" s="109" t="str">
        <f t="shared" si="449"/>
        <v/>
      </c>
      <c r="RL54" s="109" t="str">
        <f t="shared" si="449"/>
        <v/>
      </c>
      <c r="RM54" s="109" t="str">
        <f t="shared" si="449"/>
        <v/>
      </c>
      <c r="RN54" s="109" t="str">
        <f t="shared" si="449"/>
        <v/>
      </c>
      <c r="RO54" s="109" t="str">
        <f t="shared" si="449"/>
        <v/>
      </c>
      <c r="RP54" s="109" t="str">
        <f t="shared" si="449"/>
        <v/>
      </c>
      <c r="RQ54" s="109" t="str">
        <f t="shared" si="449"/>
        <v/>
      </c>
      <c r="RR54" s="109" t="str">
        <f t="shared" si="449"/>
        <v/>
      </c>
      <c r="RS54" s="109" t="str">
        <f t="shared" si="449"/>
        <v/>
      </c>
      <c r="RT54" s="109" t="str">
        <f t="shared" si="449"/>
        <v/>
      </c>
      <c r="RU54" s="109" t="str">
        <f t="shared" si="449"/>
        <v/>
      </c>
      <c r="RV54" s="109" t="str">
        <f t="shared" si="449"/>
        <v/>
      </c>
      <c r="RW54" s="109" t="str">
        <f t="shared" si="449"/>
        <v/>
      </c>
      <c r="RX54" s="109" t="str">
        <f t="shared" si="449"/>
        <v/>
      </c>
      <c r="RY54" s="109" t="str">
        <f t="shared" si="449"/>
        <v/>
      </c>
      <c r="RZ54" s="109" t="str">
        <f t="shared" si="449"/>
        <v/>
      </c>
      <c r="SA54" s="109" t="str">
        <f t="shared" si="449"/>
        <v/>
      </c>
      <c r="SB54" s="109" t="str">
        <f t="shared" si="449"/>
        <v/>
      </c>
      <c r="SC54" s="109" t="str">
        <f t="shared" si="449"/>
        <v/>
      </c>
      <c r="SD54" s="109" t="str">
        <f t="shared" si="449"/>
        <v/>
      </c>
      <c r="SE54" s="109" t="str">
        <f t="shared" si="449"/>
        <v/>
      </c>
      <c r="SF54" s="109" t="str">
        <f t="shared" si="449"/>
        <v/>
      </c>
      <c r="SG54" s="109" t="str">
        <f t="shared" si="449"/>
        <v/>
      </c>
      <c r="SH54" s="109" t="str">
        <f t="shared" si="449"/>
        <v/>
      </c>
      <c r="SI54" s="109" t="str">
        <f t="shared" si="449"/>
        <v/>
      </c>
      <c r="SJ54" s="109" t="str">
        <f t="shared" si="449"/>
        <v/>
      </c>
      <c r="SK54" s="109" t="str">
        <f t="shared" si="449"/>
        <v/>
      </c>
      <c r="SL54" s="109" t="str">
        <f t="shared" si="449"/>
        <v/>
      </c>
      <c r="SM54" s="109" t="str">
        <f t="shared" si="449"/>
        <v/>
      </c>
      <c r="SN54" s="109" t="str">
        <f t="shared" si="449"/>
        <v/>
      </c>
      <c r="SO54" s="109" t="str">
        <f t="shared" ref="SO54:SW54" si="450">IF(OR(SO$13="",SO$17="",SO$14="",SO$15="",SO$16="",SO$18="",SO$19="",SO$20="",SO$21=""),"",1-(SO81/(SO$4)))</f>
        <v/>
      </c>
      <c r="SP54" s="109" t="str">
        <f t="shared" si="450"/>
        <v/>
      </c>
      <c r="SQ54" s="109" t="str">
        <f t="shared" si="450"/>
        <v/>
      </c>
      <c r="SR54" s="109" t="str">
        <f t="shared" si="450"/>
        <v/>
      </c>
      <c r="SS54" s="109" t="str">
        <f t="shared" si="450"/>
        <v/>
      </c>
      <c r="ST54" s="109" t="str">
        <f t="shared" si="450"/>
        <v/>
      </c>
      <c r="SU54" s="109" t="str">
        <f t="shared" si="450"/>
        <v/>
      </c>
      <c r="SV54" s="109" t="str">
        <f t="shared" si="450"/>
        <v/>
      </c>
      <c r="SW54" s="109" t="str">
        <f t="shared" si="450"/>
        <v/>
      </c>
    </row>
    <row r="55" spans="1:517" ht="24.6" customHeight="1" x14ac:dyDescent="0.2">
      <c r="A55" s="94" t="s">
        <v>86</v>
      </c>
      <c r="B55" s="117" t="s">
        <v>79</v>
      </c>
      <c r="C55" s="109">
        <f t="shared" ref="C55:AH55" si="451">IF(OR(C$13="",C$17="",C$14="",C$15="",C$16="",C$18="",C$19="",C$20="",C$21=""),"",1-(C82/(C$4)))</f>
        <v>1</v>
      </c>
      <c r="D55" s="109">
        <f t="shared" si="451"/>
        <v>1</v>
      </c>
      <c r="E55" s="109">
        <f t="shared" si="451"/>
        <v>1</v>
      </c>
      <c r="F55" s="109">
        <f t="shared" si="451"/>
        <v>1</v>
      </c>
      <c r="G55" s="109">
        <f t="shared" si="451"/>
        <v>1</v>
      </c>
      <c r="H55" s="109">
        <f t="shared" si="451"/>
        <v>1</v>
      </c>
      <c r="I55" s="109">
        <f t="shared" si="451"/>
        <v>1</v>
      </c>
      <c r="J55" s="109">
        <f t="shared" si="451"/>
        <v>1</v>
      </c>
      <c r="K55" s="109">
        <f t="shared" si="451"/>
        <v>1</v>
      </c>
      <c r="L55" s="109">
        <f t="shared" si="451"/>
        <v>1</v>
      </c>
      <c r="M55" s="109">
        <f t="shared" si="451"/>
        <v>1</v>
      </c>
      <c r="N55" s="109">
        <f t="shared" si="451"/>
        <v>1</v>
      </c>
      <c r="O55" s="109">
        <f t="shared" si="451"/>
        <v>1</v>
      </c>
      <c r="P55" s="109">
        <f t="shared" si="451"/>
        <v>1</v>
      </c>
      <c r="Q55" s="109">
        <f t="shared" si="451"/>
        <v>1</v>
      </c>
      <c r="R55" s="109">
        <f t="shared" si="451"/>
        <v>1</v>
      </c>
      <c r="S55" s="109">
        <f t="shared" si="451"/>
        <v>1</v>
      </c>
      <c r="T55" s="109">
        <f t="shared" si="451"/>
        <v>1</v>
      </c>
      <c r="U55" s="109">
        <f t="shared" si="451"/>
        <v>1</v>
      </c>
      <c r="V55" s="109">
        <f t="shared" si="451"/>
        <v>1</v>
      </c>
      <c r="W55" s="109">
        <f t="shared" si="451"/>
        <v>1</v>
      </c>
      <c r="X55" s="109">
        <f t="shared" si="451"/>
        <v>0.95267045454545451</v>
      </c>
      <c r="Y55" s="109">
        <f t="shared" si="451"/>
        <v>0.95472826086956519</v>
      </c>
      <c r="Z55" s="109">
        <f t="shared" si="451"/>
        <v>0.95543402777777775</v>
      </c>
      <c r="AA55" s="109">
        <f t="shared" si="451"/>
        <v>0.95721666666666672</v>
      </c>
      <c r="AB55" s="109">
        <f t="shared" si="451"/>
        <v>0.95886217948717944</v>
      </c>
      <c r="AC55" s="109">
        <f t="shared" si="451"/>
        <v>0.96038580246913585</v>
      </c>
      <c r="AD55" s="109">
        <f t="shared" si="451"/>
        <v>0.96180059523809525</v>
      </c>
      <c r="AE55" s="109">
        <f t="shared" si="451"/>
        <v>0.96311781609195402</v>
      </c>
      <c r="AF55" s="109">
        <f t="shared" si="451"/>
        <v>0.96434722222222224</v>
      </c>
      <c r="AG55" s="109">
        <f t="shared" si="451"/>
        <v>0.96549731182795695</v>
      </c>
      <c r="AH55" s="109">
        <f t="shared" si="451"/>
        <v>0.96657552083333331</v>
      </c>
      <c r="AI55" s="109">
        <f t="shared" ref="AI55:BN55" si="452">IF(OR(AI$13="",AI$17="",AI$14="",AI$15="",AI$16="",AI$18="",AI$19="",AI$20="",AI$21=""),"",1-(AI82/(AI$4)))</f>
        <v>0.96095959595959601</v>
      </c>
      <c r="AJ55" s="109">
        <f t="shared" si="452"/>
        <v>0.96210784313725495</v>
      </c>
      <c r="AK55" s="109">
        <f t="shared" si="452"/>
        <v>0.95991666666666664</v>
      </c>
      <c r="AL55" s="109">
        <f t="shared" si="452"/>
        <v>0.95506944444444442</v>
      </c>
      <c r="AM55" s="109">
        <f t="shared" si="452"/>
        <v>0.94324324324324327</v>
      </c>
      <c r="AN55" s="109">
        <f t="shared" si="452"/>
        <v>0.94142543859649119</v>
      </c>
      <c r="AO55" s="109">
        <f t="shared" si="452"/>
        <v>0.94292735042735043</v>
      </c>
      <c r="AP55" s="109">
        <f t="shared" si="452"/>
        <v>0.93960416666666668</v>
      </c>
      <c r="AQ55" s="109">
        <f t="shared" si="452"/>
        <v>0.93219512195121945</v>
      </c>
      <c r="AR55" s="109">
        <f t="shared" si="452"/>
        <v>0.92052579365079368</v>
      </c>
      <c r="AS55" s="109">
        <f t="shared" si="452"/>
        <v>0.92237403100775195</v>
      </c>
      <c r="AT55" s="109">
        <f t="shared" si="452"/>
        <v>0.92413825757575752</v>
      </c>
      <c r="AU55" s="109">
        <f t="shared" si="452"/>
        <v>0.92582407407407408</v>
      </c>
      <c r="AV55" s="109">
        <f t="shared" si="452"/>
        <v>0.92743659420289859</v>
      </c>
      <c r="AW55" s="109">
        <f t="shared" si="452"/>
        <v>0.92633865248226954</v>
      </c>
      <c r="AX55" s="109">
        <f t="shared" si="452"/>
        <v>0.92672743055555551</v>
      </c>
      <c r="AY55" s="109">
        <f t="shared" si="452"/>
        <v>0.92072278911564631</v>
      </c>
      <c r="AZ55" s="109">
        <f t="shared" si="452"/>
        <v>0.92230833333333329</v>
      </c>
      <c r="BA55" s="109">
        <f t="shared" si="452"/>
        <v>0.91983660130718958</v>
      </c>
      <c r="BB55" s="109">
        <f t="shared" si="452"/>
        <v>0.9201762820512821</v>
      </c>
      <c r="BC55" s="109">
        <f t="shared" si="452"/>
        <v>0.92168238993710694</v>
      </c>
      <c r="BD55" s="109">
        <f t="shared" si="452"/>
        <v>0.92313271604938274</v>
      </c>
      <c r="BE55" s="109">
        <f t="shared" si="452"/>
        <v>0.92303030303030309</v>
      </c>
      <c r="BF55" s="109">
        <f t="shared" si="452"/>
        <v>0.92148809523809527</v>
      </c>
      <c r="BG55" s="109">
        <f t="shared" si="452"/>
        <v>0.92286549707602339</v>
      </c>
      <c r="BH55" s="109">
        <f t="shared" si="452"/>
        <v>0.92419540229885055</v>
      </c>
      <c r="BI55" s="109">
        <f t="shared" si="452"/>
        <v>0.92492937853107349</v>
      </c>
      <c r="BJ55" s="109">
        <f t="shared" si="452"/>
        <v>0.92286805555555551</v>
      </c>
      <c r="BK55" s="109">
        <f t="shared" si="452"/>
        <v>0.91564207650273222</v>
      </c>
      <c r="BL55" s="109">
        <f t="shared" si="452"/>
        <v>0.90109543010752691</v>
      </c>
      <c r="BM55" s="109">
        <f t="shared" si="452"/>
        <v>0.90266534391534392</v>
      </c>
      <c r="BN55" s="109">
        <f t="shared" si="452"/>
        <v>0.90418619791666666</v>
      </c>
      <c r="BO55" s="109">
        <f t="shared" ref="BO55:CT55" si="453">IF(OR(BO$13="",BO$17="",BO$14="",BO$15="",BO$16="",BO$18="",BO$19="",BO$20="",BO$21=""),"",1-(BO82/(BO$4)))</f>
        <v>0.90492307692307694</v>
      </c>
      <c r="BP55" s="109">
        <f t="shared" si="453"/>
        <v>0.90489898989898987</v>
      </c>
      <c r="BQ55" s="109">
        <f t="shared" si="453"/>
        <v>0.90428482587064674</v>
      </c>
      <c r="BR55" s="109">
        <f t="shared" si="453"/>
        <v>0.89881127450980391</v>
      </c>
      <c r="BS55" s="109">
        <f t="shared" si="453"/>
        <v>0.89682971014492752</v>
      </c>
      <c r="BT55" s="109">
        <f t="shared" si="453"/>
        <v>0.89583333333333337</v>
      </c>
      <c r="BU55" s="109">
        <f t="shared" si="453"/>
        <v>0.89505868544600942</v>
      </c>
      <c r="BV55" s="109">
        <f t="shared" si="453"/>
        <v>0.89164930555555555</v>
      </c>
      <c r="BW55" s="109">
        <f t="shared" si="453"/>
        <v>0.88683789954337899</v>
      </c>
      <c r="BX55" s="109">
        <f t="shared" si="453"/>
        <v>0.88836711711711713</v>
      </c>
      <c r="BY55" s="109">
        <f t="shared" si="453"/>
        <v>0.88985555555555562</v>
      </c>
      <c r="BZ55" s="109">
        <f t="shared" si="453"/>
        <v>0.89130482456140347</v>
      </c>
      <c r="CA55" s="109">
        <f t="shared" si="453"/>
        <v>0.88574675324675323</v>
      </c>
      <c r="CB55" s="109">
        <f t="shared" si="453"/>
        <v>0.8840758547008547</v>
      </c>
      <c r="CC55" s="109">
        <f t="shared" si="453"/>
        <v>0.87292194092827002</v>
      </c>
      <c r="CD55" s="109">
        <f t="shared" si="453"/>
        <v>0.87451041666666662</v>
      </c>
      <c r="CE55" s="109">
        <f t="shared" si="453"/>
        <v>0.87605967078189306</v>
      </c>
      <c r="CF55" s="109">
        <f t="shared" si="453"/>
        <v>0.87601626016260159</v>
      </c>
      <c r="CG55" s="109">
        <f t="shared" si="453"/>
        <v>0.8775100401606426</v>
      </c>
      <c r="CH55" s="109">
        <f t="shared" si="453"/>
        <v>0.87896825396825395</v>
      </c>
      <c r="CI55" s="109">
        <f t="shared" si="453"/>
        <v>0.87989215686274513</v>
      </c>
      <c r="CJ55" s="109">
        <f t="shared" si="453"/>
        <v>0.87689922480620153</v>
      </c>
      <c r="CK55" s="109">
        <f t="shared" si="453"/>
        <v>0.87831417624521069</v>
      </c>
      <c r="CL55" s="109">
        <f t="shared" si="453"/>
        <v>0.87969696969696964</v>
      </c>
      <c r="CM55" s="109">
        <f t="shared" si="453"/>
        <v>0.87738764044943818</v>
      </c>
      <c r="CN55" s="109">
        <f t="shared" si="453"/>
        <v>0.87875000000000003</v>
      </c>
      <c r="CO55" s="109">
        <f t="shared" si="453"/>
        <v>0.87732142857142859</v>
      </c>
      <c r="CP55" s="109">
        <f t="shared" si="453"/>
        <v>0.87650815217391309</v>
      </c>
      <c r="CQ55" s="109">
        <f t="shared" si="453"/>
        <v>0.870421146953405</v>
      </c>
      <c r="CR55" s="109">
        <f t="shared" si="453"/>
        <v>0.8571808510638298</v>
      </c>
      <c r="CS55" s="109">
        <f t="shared" si="453"/>
        <v>0.85868421052631572</v>
      </c>
      <c r="CT55" s="109">
        <f t="shared" si="453"/>
        <v>0.86015624999999996</v>
      </c>
      <c r="CU55" s="109">
        <f t="shared" ref="CU55:DT55" si="454">IF(OR(CU$13="",CU$17="",CU$14="",CU$15="",CU$16="",CU$18="",CU$19="",CU$20="",CU$21=""),"",1-(CU82/(CU$4)))</f>
        <v>0.86067439862542949</v>
      </c>
      <c r="CV55" s="109">
        <f t="shared" si="454"/>
        <v>0.86209608843537411</v>
      </c>
      <c r="CW55" s="109">
        <f t="shared" si="454"/>
        <v>0.86348905723905722</v>
      </c>
      <c r="CX55" s="109">
        <f t="shared" si="454"/>
        <v>0.8648541666666667</v>
      </c>
      <c r="CY55" s="109">
        <f t="shared" si="454"/>
        <v>0.86583333333333334</v>
      </c>
      <c r="CZ55" s="109">
        <f t="shared" si="454"/>
        <v>0.86714869281045748</v>
      </c>
      <c r="DA55" s="109">
        <f t="shared" si="454"/>
        <v>0.86633495145631068</v>
      </c>
      <c r="DB55" s="109">
        <f t="shared" si="454"/>
        <v>0.86674679487179485</v>
      </c>
      <c r="DC55" s="109">
        <f t="shared" si="454"/>
        <v>0.86801587301587302</v>
      </c>
      <c r="DD55" s="109">
        <f t="shared" si="454"/>
        <v>0.86459119496855341</v>
      </c>
      <c r="DE55" s="109">
        <f t="shared" si="454"/>
        <v>0.86482866043613704</v>
      </c>
      <c r="DF55" s="109">
        <f t="shared" si="454"/>
        <v>0.86608024691358021</v>
      </c>
      <c r="DG55" s="109">
        <f t="shared" si="454"/>
        <v>0.86599770642201834</v>
      </c>
      <c r="DH55" s="109">
        <f t="shared" si="454"/>
        <v>0.86206439393939394</v>
      </c>
      <c r="DI55" s="109">
        <f t="shared" si="454"/>
        <v>0.86330705705705701</v>
      </c>
      <c r="DJ55" s="109">
        <f t="shared" si="454"/>
        <v>0.86452752976190472</v>
      </c>
      <c r="DK55" s="109">
        <f t="shared" si="454"/>
        <v>0.86572640117994104</v>
      </c>
      <c r="DL55" s="109">
        <f t="shared" si="454"/>
        <v>0.86690423976608189</v>
      </c>
      <c r="DM55" s="109">
        <f t="shared" si="454"/>
        <v>0.86806159420289852</v>
      </c>
      <c r="DN55" s="109">
        <f t="shared" si="454"/>
        <v>0.8691989942528735</v>
      </c>
      <c r="DO55" s="109">
        <f t="shared" si="454"/>
        <v>0.87031695156695155</v>
      </c>
      <c r="DP55" s="109">
        <f t="shared" si="454"/>
        <v>0.87141596045197733</v>
      </c>
      <c r="DQ55" s="109">
        <f t="shared" si="454"/>
        <v>0.87249649859943978</v>
      </c>
      <c r="DR55" s="109">
        <f t="shared" si="454"/>
        <v>0.87355902777777783</v>
      </c>
      <c r="DS55" s="109">
        <f t="shared" si="454"/>
        <v>0.87460399449035808</v>
      </c>
      <c r="DT55" s="109">
        <f t="shared" si="454"/>
        <v>0.87563183060109284</v>
      </c>
      <c r="DU55" s="109">
        <f t="shared" ref="DU55:GF55" si="455">IF(OR(DU$13="",DU$17="",DU$14="",DU$15="",DU$16="",DU$18="",DU$19="",DU$20="",DU$21=""),"",1-(DU82/(DU$4)))</f>
        <v>0.87351964769647694</v>
      </c>
      <c r="DV55" s="109">
        <f t="shared" si="455"/>
        <v>0.87453965053763438</v>
      </c>
      <c r="DW55" s="109">
        <f t="shared" si="455"/>
        <v>0.87554333333333334</v>
      </c>
      <c r="DX55" s="109">
        <f t="shared" si="455"/>
        <v>0.87653108465608465</v>
      </c>
      <c r="DY55" s="109">
        <f t="shared" si="455"/>
        <v>0.87750328083989504</v>
      </c>
      <c r="DZ55" s="109">
        <f t="shared" si="455"/>
        <v>0.87846028645833329</v>
      </c>
      <c r="EA55" s="109">
        <f t="shared" si="455"/>
        <v>0.87940245478036172</v>
      </c>
      <c r="EB55" s="109">
        <f t="shared" si="455"/>
        <v>0.88033012820512813</v>
      </c>
      <c r="EC55" s="109">
        <f t="shared" si="455"/>
        <v>0.88124363867684474</v>
      </c>
      <c r="ED55" s="109">
        <f t="shared" si="455"/>
        <v>0.8821433080808081</v>
      </c>
      <c r="EE55" s="109">
        <f t="shared" si="455"/>
        <v>0.88302944862155386</v>
      </c>
      <c r="EF55" s="109">
        <f t="shared" si="455"/>
        <v>0.88390236318407955</v>
      </c>
      <c r="EG55" s="109">
        <f t="shared" si="455"/>
        <v>0.87494135802469131</v>
      </c>
      <c r="EH55" s="109">
        <f t="shared" si="455"/>
        <v>0.87586090686274509</v>
      </c>
      <c r="EI55" s="109">
        <f t="shared" si="455"/>
        <v>0.87676703163017033</v>
      </c>
      <c r="EJ55" s="109">
        <f t="shared" si="455"/>
        <v>0.87766002415458932</v>
      </c>
      <c r="EK55" s="109">
        <f t="shared" si="455"/>
        <v>0.87854016786570743</v>
      </c>
      <c r="EL55" s="109">
        <f t="shared" si="455"/>
        <v>0.87757142857142856</v>
      </c>
      <c r="EM55" s="109">
        <f t="shared" si="455"/>
        <v>0.87843971631205675</v>
      </c>
      <c r="EN55" s="109">
        <f t="shared" si="455"/>
        <v>0.87867957746478875</v>
      </c>
      <c r="EO55" s="109">
        <f t="shared" si="455"/>
        <v>0.87253496503496497</v>
      </c>
      <c r="EP55" s="109">
        <f t="shared" si="455"/>
        <v>0.86763310185185183</v>
      </c>
      <c r="EQ55" s="109">
        <f t="shared" si="455"/>
        <v>0.86854597701149427</v>
      </c>
      <c r="ER55" s="109">
        <f t="shared" si="455"/>
        <v>0.86944634703196344</v>
      </c>
      <c r="ES55" s="109">
        <f t="shared" si="455"/>
        <v>0.86883219954648516</v>
      </c>
      <c r="ET55" s="109">
        <f t="shared" si="455"/>
        <v>0.86929617117117108</v>
      </c>
      <c r="EU55" s="109">
        <f t="shared" si="455"/>
        <v>0.87017337807606254</v>
      </c>
      <c r="EV55" s="109">
        <f t="shared" si="455"/>
        <v>0.87103888888888892</v>
      </c>
      <c r="EW55" s="109">
        <f t="shared" si="455"/>
        <v>0.87189293598233997</v>
      </c>
      <c r="EX55" s="109">
        <f t="shared" si="455"/>
        <v>0.872735745614035</v>
      </c>
      <c r="EY55" s="109">
        <f t="shared" si="455"/>
        <v>0.87356753812636168</v>
      </c>
      <c r="EZ55" s="109">
        <f t="shared" si="455"/>
        <v>0.87438852813852808</v>
      </c>
      <c r="FA55" s="109">
        <f t="shared" si="455"/>
        <v>0.87519892473118277</v>
      </c>
      <c r="FB55" s="109">
        <f t="shared" si="455"/>
        <v>0.87599893162393161</v>
      </c>
      <c r="FC55" s="109">
        <f t="shared" si="455"/>
        <v>0.87678874734607215</v>
      </c>
      <c r="FD55" s="109">
        <f t="shared" si="455"/>
        <v>0.87756856540084383</v>
      </c>
      <c r="FE55" s="109">
        <f t="shared" si="455"/>
        <v>0.87833071278825992</v>
      </c>
      <c r="FF55" s="109">
        <f t="shared" si="455"/>
        <v>0.87909114583333325</v>
      </c>
      <c r="FG55" s="109">
        <f t="shared" si="455"/>
        <v>0.8764570393374741</v>
      </c>
      <c r="FH55" s="109">
        <f t="shared" si="455"/>
        <v>0.87721965020576131</v>
      </c>
      <c r="FI55" s="109">
        <f t="shared" si="455"/>
        <v>0.87790388548057263</v>
      </c>
      <c r="FJ55" s="109">
        <f t="shared" si="455"/>
        <v>0.87864837398373985</v>
      </c>
      <c r="FK55" s="109">
        <f t="shared" si="455"/>
        <v>0.87938383838383838</v>
      </c>
      <c r="FL55" s="109">
        <f t="shared" si="455"/>
        <v>0.8793072289156626</v>
      </c>
      <c r="FM55" s="109">
        <f t="shared" si="455"/>
        <v>0.88002994011976043</v>
      </c>
      <c r="FN55" s="109">
        <f t="shared" si="455"/>
        <v>0.88074404761904757</v>
      </c>
      <c r="FO55" s="109">
        <f t="shared" si="455"/>
        <v>0.88144970414201185</v>
      </c>
      <c r="FP55" s="109">
        <f t="shared" si="455"/>
        <v>0.8821470588235294</v>
      </c>
      <c r="FQ55" s="109">
        <f t="shared" si="455"/>
        <v>0.88283625730994153</v>
      </c>
      <c r="FR55" s="109">
        <f t="shared" si="455"/>
        <v>0.88300387596899221</v>
      </c>
      <c r="FS55" s="109">
        <f t="shared" si="455"/>
        <v>0.88368015414258183</v>
      </c>
      <c r="FT55" s="109">
        <f t="shared" si="455"/>
        <v>0.88434865900383142</v>
      </c>
      <c r="FU55" s="109">
        <f t="shared" si="455"/>
        <v>0.88330238095238089</v>
      </c>
      <c r="FV55" s="109">
        <f t="shared" si="455"/>
        <v>0.8816974431818182</v>
      </c>
      <c r="FW55" s="109">
        <f t="shared" si="455"/>
        <v>0.88098163841807908</v>
      </c>
      <c r="FX55" s="109">
        <f t="shared" si="455"/>
        <v>0.88165028089887643</v>
      </c>
      <c r="FY55" s="109">
        <f t="shared" si="455"/>
        <v>0.88231145251396648</v>
      </c>
      <c r="FZ55" s="109">
        <f t="shared" si="455"/>
        <v>0.88296527777777778</v>
      </c>
      <c r="GA55" s="109">
        <f t="shared" si="433"/>
        <v>0.88331261510128911</v>
      </c>
      <c r="GB55" s="109">
        <f t="shared" si="433"/>
        <v>0.88395375457875458</v>
      </c>
      <c r="GC55" s="109">
        <f t="shared" si="455"/>
        <v>0.88458788706739522</v>
      </c>
      <c r="GD55" s="109">
        <f t="shared" si="455"/>
        <v>0.8852151268115942</v>
      </c>
      <c r="GE55" s="109">
        <f t="shared" si="455"/>
        <v>0.88583558558558562</v>
      </c>
      <c r="GF55" s="109">
        <f t="shared" si="455"/>
        <v>0.88577284946236556</v>
      </c>
      <c r="GG55" s="109">
        <f t="shared" ref="GG55:IR55" si="456">IF(OR(GG$13="",GG$17="",GG$14="",GG$15="",GG$16="",GG$18="",GG$19="",GG$20="",GG$21=""),"",1-(GG82/(GG$4)))</f>
        <v>0.88638368983957216</v>
      </c>
      <c r="GH55" s="109">
        <f t="shared" si="456"/>
        <v>0.88698803191489362</v>
      </c>
      <c r="GI55" s="109">
        <f t="shared" si="456"/>
        <v>0.88617063492063486</v>
      </c>
      <c r="GJ55" s="109">
        <f t="shared" si="456"/>
        <v>0.88544956140350872</v>
      </c>
      <c r="GK55" s="109">
        <f t="shared" si="456"/>
        <v>0.88604930191972076</v>
      </c>
      <c r="GL55" s="109">
        <f t="shared" si="456"/>
        <v>0.84521918402777774</v>
      </c>
      <c r="GM55" s="109">
        <f t="shared" si="456"/>
        <v>0.84602115716753024</v>
      </c>
      <c r="GN55" s="109">
        <f t="shared" si="456"/>
        <v>0.84681486254295535</v>
      </c>
      <c r="GO55" s="109">
        <f t="shared" si="456"/>
        <v>0.8476004273504274</v>
      </c>
      <c r="GP55" s="109">
        <f t="shared" si="456"/>
        <v>0.84837797619047617</v>
      </c>
      <c r="GQ55" s="109">
        <f t="shared" si="456"/>
        <v>0.84914763113367175</v>
      </c>
      <c r="GR55" s="109">
        <f t="shared" si="456"/>
        <v>0.8499095117845118</v>
      </c>
      <c r="GS55" s="109">
        <f t="shared" si="456"/>
        <v>0.85066373534338358</v>
      </c>
      <c r="GT55" s="109">
        <f t="shared" si="456"/>
        <v>0.85141041666666673</v>
      </c>
      <c r="GU55" s="109">
        <f t="shared" si="456"/>
        <v>0.85214966832504146</v>
      </c>
      <c r="GV55" s="109">
        <f t="shared" si="456"/>
        <v>0.85288160066006602</v>
      </c>
      <c r="GW55" s="109">
        <f t="shared" si="456"/>
        <v>0.85258004926108377</v>
      </c>
      <c r="GX55" s="109">
        <f t="shared" si="456"/>
        <v>0.85330269607843134</v>
      </c>
      <c r="GY55" s="109">
        <f t="shared" si="456"/>
        <v>0.85401829268292684</v>
      </c>
      <c r="GZ55" s="109">
        <f t="shared" si="456"/>
        <v>0.8547269417475728</v>
      </c>
      <c r="HA55" s="109">
        <f t="shared" si="456"/>
        <v>0.8554287439613526</v>
      </c>
      <c r="HB55" s="109">
        <f t="shared" si="456"/>
        <v>0.85612379807692307</v>
      </c>
      <c r="HC55" s="109">
        <f t="shared" si="456"/>
        <v>0.85681220095693778</v>
      </c>
      <c r="HD55" s="109">
        <f t="shared" si="456"/>
        <v>0.85749404761904757</v>
      </c>
      <c r="HE55" s="109">
        <f t="shared" si="456"/>
        <v>0.85816943127962086</v>
      </c>
      <c r="HF55" s="109">
        <f t="shared" si="456"/>
        <v>0.85585691823899368</v>
      </c>
      <c r="HG55" s="109">
        <f t="shared" si="456"/>
        <v>0.85653364632237872</v>
      </c>
      <c r="HH55" s="109">
        <f t="shared" si="456"/>
        <v>0.85720404984423682</v>
      </c>
      <c r="HI55" s="109">
        <f t="shared" si="456"/>
        <v>0.85786821705426353</v>
      </c>
      <c r="HJ55" s="109">
        <f t="shared" si="456"/>
        <v>0.85852623456790123</v>
      </c>
      <c r="HK55" s="109">
        <f t="shared" si="456"/>
        <v>0.85917818740399388</v>
      </c>
      <c r="HL55" s="109">
        <f t="shared" si="456"/>
        <v>0.85982415902140674</v>
      </c>
      <c r="HM55" s="109">
        <f t="shared" si="456"/>
        <v>0.86046423135464234</v>
      </c>
      <c r="HN55" s="109">
        <f t="shared" si="456"/>
        <v>0.86109848484848484</v>
      </c>
      <c r="HO55" s="109">
        <f t="shared" si="456"/>
        <v>0.86172699849170442</v>
      </c>
      <c r="HP55" s="109">
        <f t="shared" si="456"/>
        <v>0.86234984984984986</v>
      </c>
      <c r="HQ55" s="109">
        <f t="shared" si="456"/>
        <v>0.86296711509715995</v>
      </c>
      <c r="HR55" s="109">
        <f t="shared" si="456"/>
        <v>0.86357886904761905</v>
      </c>
      <c r="HS55" s="109">
        <f t="shared" si="456"/>
        <v>0.86418518518518517</v>
      </c>
      <c r="HT55" s="109">
        <f t="shared" si="456"/>
        <v>0.86478613569321539</v>
      </c>
      <c r="HU55" s="109">
        <f t="shared" si="456"/>
        <v>0.86538179148311301</v>
      </c>
      <c r="HV55" s="109">
        <f t="shared" si="456"/>
        <v>0.86597222222222225</v>
      </c>
      <c r="HW55" s="109">
        <f t="shared" si="456"/>
        <v>0.86472672044315058</v>
      </c>
      <c r="HX55" s="109">
        <f t="shared" si="456"/>
        <v>0.86531486513687605</v>
      </c>
      <c r="HY55" s="109">
        <f t="shared" si="456"/>
        <v>0.86587737493987493</v>
      </c>
      <c r="HZ55" s="109">
        <f t="shared" si="456"/>
        <v>0.86411682830459768</v>
      </c>
      <c r="IA55" s="109">
        <f t="shared" si="456"/>
        <v>0.86470001788268958</v>
      </c>
      <c r="IB55" s="109">
        <f t="shared" si="456"/>
        <v>0.86527822293447287</v>
      </c>
      <c r="IC55" s="109">
        <f t="shared" si="456"/>
        <v>0.8658515070921986</v>
      </c>
      <c r="ID55" s="109">
        <f t="shared" si="456"/>
        <v>0.86577551200564973</v>
      </c>
      <c r="IE55" s="109">
        <f t="shared" si="456"/>
        <v>0.86634186005625879</v>
      </c>
      <c r="IF55" s="109">
        <f t="shared" si="456"/>
        <v>0.86690344887955184</v>
      </c>
      <c r="IG55" s="109">
        <f t="shared" si="456"/>
        <v>0.86746033821478385</v>
      </c>
      <c r="IH55" s="109">
        <f t="shared" si="456"/>
        <v>0.8680125868055556</v>
      </c>
      <c r="II55" s="109">
        <f t="shared" si="456"/>
        <v>0.8685602524204703</v>
      </c>
      <c r="IJ55" s="109">
        <f t="shared" si="456"/>
        <v>0.86910339187327823</v>
      </c>
      <c r="IK55" s="109">
        <f t="shared" si="456"/>
        <v>0.86964206104252395</v>
      </c>
      <c r="IL55" s="109">
        <f t="shared" si="456"/>
        <v>0.86951398375834854</v>
      </c>
      <c r="IM55" s="109">
        <f t="shared" si="456"/>
        <v>0.87004657974300836</v>
      </c>
      <c r="IN55" s="109">
        <f t="shared" si="456"/>
        <v>0.87057484567901233</v>
      </c>
      <c r="IO55" s="109">
        <f t="shared" si="456"/>
        <v>0.87109883415804468</v>
      </c>
      <c r="IP55" s="109">
        <f t="shared" si="456"/>
        <v>0.87161859692353638</v>
      </c>
      <c r="IQ55" s="109">
        <f t="shared" si="456"/>
        <v>0.87213418488769889</v>
      </c>
      <c r="IR55" s="109">
        <f t="shared" si="456"/>
        <v>0.87241999999999997</v>
      </c>
      <c r="IS55" s="109">
        <f t="shared" ref="IS55:LD55" si="457">IF(OR(IS$13="",IS$17="",IS$14="",IS$15="",IS$16="",IS$18="",IS$19="",IS$20="",IS$21=""),"",1-(IS82/(IS$4)))</f>
        <v>0.87225385495056806</v>
      </c>
      <c r="IT55" s="109">
        <f t="shared" si="457"/>
        <v>0.86956243569958847</v>
      </c>
      <c r="IU55" s="109">
        <f t="shared" si="457"/>
        <v>0.86614665678524372</v>
      </c>
      <c r="IV55" s="109">
        <f t="shared" si="457"/>
        <v>0.86273663057742778</v>
      </c>
      <c r="IW55" s="109">
        <f t="shared" si="457"/>
        <v>0.85935334967320265</v>
      </c>
      <c r="IX55" s="109">
        <f t="shared" si="457"/>
        <v>0.85599650065104171</v>
      </c>
      <c r="IY55" s="109">
        <f t="shared" si="457"/>
        <v>0.85409114245568529</v>
      </c>
      <c r="IZ55" s="109">
        <f t="shared" si="457"/>
        <v>0.85465668066322142</v>
      </c>
      <c r="JA55" s="109">
        <f t="shared" si="457"/>
        <v>0.85521785178035181</v>
      </c>
      <c r="JB55" s="109">
        <f t="shared" si="457"/>
        <v>0.85577470619658125</v>
      </c>
      <c r="JC55" s="109">
        <f t="shared" si="457"/>
        <v>0.85632729352916137</v>
      </c>
      <c r="JD55" s="109">
        <f t="shared" si="457"/>
        <v>0.85687566263782866</v>
      </c>
      <c r="JE55" s="109">
        <f t="shared" si="457"/>
        <v>0.85702942367272217</v>
      </c>
      <c r="JF55" s="109">
        <f t="shared" si="457"/>
        <v>0.85757097888608302</v>
      </c>
      <c r="JG55" s="109">
        <f t="shared" si="457"/>
        <v>0.85810844689028654</v>
      </c>
      <c r="JH55" s="109">
        <f t="shared" si="457"/>
        <v>0.85864187378167645</v>
      </c>
      <c r="JI55" s="109">
        <f t="shared" si="457"/>
        <v>0.85916319877930369</v>
      </c>
      <c r="JJ55" s="109">
        <f t="shared" si="457"/>
        <v>0.85962004215035925</v>
      </c>
      <c r="JK55" s="109">
        <f t="shared" si="457"/>
        <v>0.86011066363761524</v>
      </c>
      <c r="JL55" s="109">
        <f t="shared" si="457"/>
        <v>0.86062877229080936</v>
      </c>
      <c r="JM55" s="109">
        <f t="shared" si="457"/>
        <v>0.86114305726390594</v>
      </c>
      <c r="JN55" s="109">
        <f t="shared" si="457"/>
        <v>0.86025879970043573</v>
      </c>
      <c r="JO55" s="109">
        <f t="shared" si="457"/>
        <v>0.86061804707638045</v>
      </c>
      <c r="JP55" s="109">
        <f t="shared" si="457"/>
        <v>0.86075379325493373</v>
      </c>
      <c r="JQ55" s="109">
        <f t="shared" si="457"/>
        <v>0.86110862794612797</v>
      </c>
      <c r="JR55" s="109">
        <f t="shared" si="457"/>
        <v>0.8605928358158883</v>
      </c>
      <c r="JS55" s="109">
        <f t="shared" si="457"/>
        <v>0.86064484723893564</v>
      </c>
      <c r="JT55" s="109">
        <f t="shared" si="457"/>
        <v>0.86089432620570205</v>
      </c>
      <c r="JU55" s="109">
        <f t="shared" si="457"/>
        <v>0.86139291285012609</v>
      </c>
      <c r="JV55" s="109">
        <f t="shared" si="457"/>
        <v>0.86186561673280426</v>
      </c>
      <c r="JW55" s="109">
        <f t="shared" si="457"/>
        <v>0.86235719816791878</v>
      </c>
      <c r="JX55" s="109">
        <f t="shared" si="457"/>
        <v>0.86284529320987657</v>
      </c>
      <c r="JY55" s="109">
        <f t="shared" si="457"/>
        <v>0.86332993881690878</v>
      </c>
      <c r="JZ55" s="109">
        <f t="shared" si="457"/>
        <v>0.86381117142670838</v>
      </c>
      <c r="KA55" s="109">
        <f t="shared" si="457"/>
        <v>0.86428902696556209</v>
      </c>
      <c r="KB55" s="109">
        <f t="shared" si="457"/>
        <v>0.8647635408572909</v>
      </c>
      <c r="KC55" s="109">
        <f t="shared" si="457"/>
        <v>0.86523474803200418</v>
      </c>
      <c r="KD55" s="109">
        <f t="shared" si="457"/>
        <v>0.86570268293467079</v>
      </c>
      <c r="KE55" s="109">
        <f t="shared" si="457"/>
        <v>0.86616737953351275</v>
      </c>
      <c r="KF55" s="109">
        <f t="shared" si="457"/>
        <v>0.86662887132822475</v>
      </c>
      <c r="KG55" s="109">
        <f t="shared" si="457"/>
        <v>0.8670871913580247</v>
      </c>
      <c r="KH55" s="109">
        <f t="shared" si="457"/>
        <v>0.86754237220953834</v>
      </c>
      <c r="KI55" s="109">
        <f t="shared" si="457"/>
        <v>0.8679944460245228</v>
      </c>
      <c r="KJ55" s="109">
        <f t="shared" si="457"/>
        <v>0.8684434445074326</v>
      </c>
      <c r="KK55" s="109">
        <f t="shared" si="457"/>
        <v>0.86888939893283113</v>
      </c>
      <c r="KL55" s="109">
        <f t="shared" si="457"/>
        <v>0.86933234015265271</v>
      </c>
      <c r="KM55" s="109">
        <f t="shared" si="457"/>
        <v>0.86977229860331717</v>
      </c>
      <c r="KN55" s="109">
        <f t="shared" si="457"/>
        <v>0.87020930431270194</v>
      </c>
      <c r="KO55" s="109">
        <f t="shared" si="457"/>
        <v>0.87064338690697385</v>
      </c>
      <c r="KP55" s="109">
        <f t="shared" si="457"/>
        <v>0.87107457561728396</v>
      </c>
      <c r="KQ55" s="109">
        <f t="shared" si="457"/>
        <v>0.87150289928632951</v>
      </c>
      <c r="KR55" s="109">
        <f t="shared" si="457"/>
        <v>0.87192838637478542</v>
      </c>
      <c r="KS55" s="109">
        <f t="shared" si="457"/>
        <v>0.87235106496760784</v>
      </c>
      <c r="KT55" s="109">
        <f t="shared" si="457"/>
        <v>0.87277096278021449</v>
      </c>
      <c r="KU55" s="109" t="str">
        <f t="shared" si="457"/>
        <v/>
      </c>
      <c r="KV55" s="109" t="str">
        <f t="shared" si="457"/>
        <v/>
      </c>
      <c r="KW55" s="109" t="str">
        <f t="shared" si="457"/>
        <v/>
      </c>
      <c r="KX55" s="109" t="str">
        <f t="shared" si="457"/>
        <v/>
      </c>
      <c r="KY55" s="109" t="str">
        <f t="shared" si="457"/>
        <v/>
      </c>
      <c r="KZ55" s="109" t="str">
        <f t="shared" si="457"/>
        <v/>
      </c>
      <c r="LA55" s="109" t="str">
        <f t="shared" si="457"/>
        <v/>
      </c>
      <c r="LB55" s="109" t="str">
        <f t="shared" si="457"/>
        <v/>
      </c>
      <c r="LC55" s="109" t="str">
        <f t="shared" si="457"/>
        <v/>
      </c>
      <c r="LD55" s="109" t="str">
        <f t="shared" si="457"/>
        <v/>
      </c>
      <c r="LE55" s="109" t="str">
        <f t="shared" ref="LE55:NP55" si="458">IF(OR(LE$13="",LE$17="",LE$14="",LE$15="",LE$16="",LE$18="",LE$19="",LE$20="",LE$21=""),"",1-(LE82/(LE$4)))</f>
        <v/>
      </c>
      <c r="LF55" s="109" t="str">
        <f t="shared" si="458"/>
        <v/>
      </c>
      <c r="LG55" s="109" t="str">
        <f t="shared" si="458"/>
        <v/>
      </c>
      <c r="LH55" s="109" t="str">
        <f t="shared" si="458"/>
        <v/>
      </c>
      <c r="LI55" s="109" t="str">
        <f t="shared" si="458"/>
        <v/>
      </c>
      <c r="LJ55" s="109" t="str">
        <f t="shared" si="458"/>
        <v/>
      </c>
      <c r="LK55" s="109" t="str">
        <f t="shared" si="458"/>
        <v/>
      </c>
      <c r="LL55" s="109" t="str">
        <f t="shared" si="458"/>
        <v/>
      </c>
      <c r="LM55" s="109" t="str">
        <f t="shared" si="458"/>
        <v/>
      </c>
      <c r="LN55" s="109" t="str">
        <f t="shared" si="458"/>
        <v/>
      </c>
      <c r="LO55" s="109" t="str">
        <f t="shared" si="458"/>
        <v/>
      </c>
      <c r="LP55" s="109" t="str">
        <f t="shared" si="458"/>
        <v/>
      </c>
      <c r="LQ55" s="109" t="str">
        <f t="shared" si="458"/>
        <v/>
      </c>
      <c r="LR55" s="109" t="str">
        <f t="shared" si="458"/>
        <v/>
      </c>
      <c r="LS55" s="109" t="str">
        <f t="shared" si="458"/>
        <v/>
      </c>
      <c r="LT55" s="109" t="str">
        <f t="shared" si="458"/>
        <v/>
      </c>
      <c r="LU55" s="109" t="str">
        <f t="shared" si="458"/>
        <v/>
      </c>
      <c r="LV55" s="109" t="str">
        <f t="shared" si="458"/>
        <v/>
      </c>
      <c r="LW55" s="109" t="str">
        <f t="shared" si="458"/>
        <v/>
      </c>
      <c r="LX55" s="109" t="str">
        <f t="shared" si="458"/>
        <v/>
      </c>
      <c r="LY55" s="109" t="str">
        <f t="shared" si="458"/>
        <v/>
      </c>
      <c r="LZ55" s="109" t="str">
        <f t="shared" si="458"/>
        <v/>
      </c>
      <c r="MA55" s="109" t="str">
        <f t="shared" si="458"/>
        <v/>
      </c>
      <c r="MB55" s="109" t="str">
        <f t="shared" si="458"/>
        <v/>
      </c>
      <c r="MC55" s="109" t="str">
        <f t="shared" si="458"/>
        <v/>
      </c>
      <c r="MD55" s="109" t="str">
        <f t="shared" si="458"/>
        <v/>
      </c>
      <c r="ME55" s="109" t="str">
        <f t="shared" si="458"/>
        <v/>
      </c>
      <c r="MF55" s="109" t="str">
        <f t="shared" si="458"/>
        <v/>
      </c>
      <c r="MG55" s="109" t="str">
        <f t="shared" si="458"/>
        <v/>
      </c>
      <c r="MH55" s="109" t="str">
        <f t="shared" si="458"/>
        <v/>
      </c>
      <c r="MI55" s="109" t="str">
        <f t="shared" si="458"/>
        <v/>
      </c>
      <c r="MJ55" s="109" t="str">
        <f t="shared" si="458"/>
        <v/>
      </c>
      <c r="MK55" s="109" t="str">
        <f t="shared" si="458"/>
        <v/>
      </c>
      <c r="ML55" s="109" t="str">
        <f t="shared" si="458"/>
        <v/>
      </c>
      <c r="MM55" s="109" t="str">
        <f t="shared" si="458"/>
        <v/>
      </c>
      <c r="MN55" s="109" t="str">
        <f t="shared" si="458"/>
        <v/>
      </c>
      <c r="MO55" s="109" t="str">
        <f t="shared" si="458"/>
        <v/>
      </c>
      <c r="MP55" s="109" t="str">
        <f t="shared" si="458"/>
        <v/>
      </c>
      <c r="MQ55" s="109" t="str">
        <f t="shared" si="458"/>
        <v/>
      </c>
      <c r="MR55" s="109" t="str">
        <f t="shared" si="458"/>
        <v/>
      </c>
      <c r="MS55" s="109" t="str">
        <f t="shared" si="458"/>
        <v/>
      </c>
      <c r="MT55" s="109" t="str">
        <f t="shared" si="458"/>
        <v/>
      </c>
      <c r="MU55" s="109" t="str">
        <f t="shared" si="458"/>
        <v/>
      </c>
      <c r="MV55" s="109" t="str">
        <f t="shared" si="458"/>
        <v/>
      </c>
      <c r="MW55" s="109" t="str">
        <f t="shared" si="458"/>
        <v/>
      </c>
      <c r="MX55" s="109" t="str">
        <f t="shared" si="458"/>
        <v/>
      </c>
      <c r="MY55" s="109" t="str">
        <f t="shared" si="458"/>
        <v/>
      </c>
      <c r="MZ55" s="109" t="str">
        <f t="shared" si="458"/>
        <v/>
      </c>
      <c r="NA55" s="109" t="str">
        <f t="shared" si="458"/>
        <v/>
      </c>
      <c r="NB55" s="109" t="str">
        <f t="shared" si="458"/>
        <v/>
      </c>
      <c r="NC55" s="109" t="str">
        <f t="shared" si="458"/>
        <v/>
      </c>
      <c r="ND55" s="109" t="str">
        <f t="shared" si="458"/>
        <v/>
      </c>
      <c r="NE55" s="109" t="str">
        <f t="shared" si="458"/>
        <v/>
      </c>
      <c r="NF55" s="109" t="str">
        <f t="shared" si="458"/>
        <v/>
      </c>
      <c r="NG55" s="109" t="str">
        <f t="shared" si="458"/>
        <v/>
      </c>
      <c r="NH55" s="109" t="str">
        <f t="shared" si="458"/>
        <v/>
      </c>
      <c r="NI55" s="109" t="str">
        <f t="shared" si="458"/>
        <v/>
      </c>
      <c r="NJ55" s="109" t="str">
        <f t="shared" si="458"/>
        <v/>
      </c>
      <c r="NK55" s="109" t="str">
        <f t="shared" si="458"/>
        <v/>
      </c>
      <c r="NL55" s="109" t="str">
        <f t="shared" si="458"/>
        <v/>
      </c>
      <c r="NM55" s="109" t="str">
        <f t="shared" si="458"/>
        <v/>
      </c>
      <c r="NN55" s="109" t="str">
        <f t="shared" si="458"/>
        <v/>
      </c>
      <c r="NO55" s="109" t="str">
        <f t="shared" si="458"/>
        <v/>
      </c>
      <c r="NP55" s="109" t="str">
        <f t="shared" si="458"/>
        <v/>
      </c>
      <c r="NQ55" s="109" t="str">
        <f t="shared" ref="NQ55:QB55" si="459">IF(OR(NQ$13="",NQ$17="",NQ$14="",NQ$15="",NQ$16="",NQ$18="",NQ$19="",NQ$20="",NQ$21=""),"",1-(NQ82/(NQ$4)))</f>
        <v/>
      </c>
      <c r="NR55" s="109" t="str">
        <f t="shared" si="459"/>
        <v/>
      </c>
      <c r="NS55" s="109" t="str">
        <f t="shared" si="459"/>
        <v/>
      </c>
      <c r="NT55" s="109" t="str">
        <f t="shared" si="459"/>
        <v/>
      </c>
      <c r="NU55" s="109" t="str">
        <f t="shared" si="459"/>
        <v/>
      </c>
      <c r="NV55" s="109" t="str">
        <f t="shared" si="459"/>
        <v/>
      </c>
      <c r="NW55" s="109" t="str">
        <f t="shared" si="459"/>
        <v/>
      </c>
      <c r="NX55" s="109" t="str">
        <f t="shared" si="459"/>
        <v/>
      </c>
      <c r="NY55" s="109" t="str">
        <f t="shared" si="459"/>
        <v/>
      </c>
      <c r="NZ55" s="109" t="str">
        <f t="shared" si="459"/>
        <v/>
      </c>
      <c r="OA55" s="109" t="str">
        <f t="shared" si="459"/>
        <v/>
      </c>
      <c r="OB55" s="109" t="str">
        <f t="shared" si="459"/>
        <v/>
      </c>
      <c r="OC55" s="109" t="str">
        <f t="shared" si="459"/>
        <v/>
      </c>
      <c r="OD55" s="109" t="str">
        <f t="shared" si="459"/>
        <v/>
      </c>
      <c r="OE55" s="109" t="str">
        <f t="shared" si="459"/>
        <v/>
      </c>
      <c r="OF55" s="109" t="str">
        <f t="shared" si="459"/>
        <v/>
      </c>
      <c r="OG55" s="109" t="str">
        <f t="shared" si="459"/>
        <v/>
      </c>
      <c r="OH55" s="109" t="str">
        <f t="shared" si="459"/>
        <v/>
      </c>
      <c r="OI55" s="109" t="str">
        <f t="shared" si="459"/>
        <v/>
      </c>
      <c r="OJ55" s="109" t="str">
        <f t="shared" si="459"/>
        <v/>
      </c>
      <c r="OK55" s="109" t="str">
        <f t="shared" si="459"/>
        <v/>
      </c>
      <c r="OL55" s="109" t="str">
        <f t="shared" si="459"/>
        <v/>
      </c>
      <c r="OM55" s="109" t="str">
        <f t="shared" si="459"/>
        <v/>
      </c>
      <c r="ON55" s="109" t="str">
        <f t="shared" si="459"/>
        <v/>
      </c>
      <c r="OO55" s="109" t="str">
        <f t="shared" si="459"/>
        <v/>
      </c>
      <c r="OP55" s="109" t="str">
        <f t="shared" si="459"/>
        <v/>
      </c>
      <c r="OQ55" s="109" t="str">
        <f t="shared" si="459"/>
        <v/>
      </c>
      <c r="OR55" s="109" t="str">
        <f t="shared" si="459"/>
        <v/>
      </c>
      <c r="OS55" s="109" t="str">
        <f t="shared" si="459"/>
        <v/>
      </c>
      <c r="OT55" s="109" t="str">
        <f t="shared" si="459"/>
        <v/>
      </c>
      <c r="OU55" s="109" t="str">
        <f t="shared" si="459"/>
        <v/>
      </c>
      <c r="OV55" s="109" t="str">
        <f t="shared" si="459"/>
        <v/>
      </c>
      <c r="OW55" s="109" t="str">
        <f t="shared" si="459"/>
        <v/>
      </c>
      <c r="OX55" s="109" t="str">
        <f t="shared" si="459"/>
        <v/>
      </c>
      <c r="OY55" s="109" t="str">
        <f t="shared" si="459"/>
        <v/>
      </c>
      <c r="OZ55" s="109" t="str">
        <f t="shared" si="459"/>
        <v/>
      </c>
      <c r="PA55" s="109" t="str">
        <f t="shared" si="459"/>
        <v/>
      </c>
      <c r="PB55" s="109" t="str">
        <f t="shared" si="459"/>
        <v/>
      </c>
      <c r="PC55" s="109" t="str">
        <f t="shared" si="459"/>
        <v/>
      </c>
      <c r="PD55" s="109" t="str">
        <f t="shared" si="459"/>
        <v/>
      </c>
      <c r="PE55" s="109" t="str">
        <f t="shared" si="459"/>
        <v/>
      </c>
      <c r="PF55" s="109" t="str">
        <f t="shared" si="459"/>
        <v/>
      </c>
      <c r="PG55" s="109" t="str">
        <f t="shared" si="459"/>
        <v/>
      </c>
      <c r="PH55" s="109" t="str">
        <f t="shared" si="459"/>
        <v/>
      </c>
      <c r="PI55" s="109" t="str">
        <f t="shared" si="459"/>
        <v/>
      </c>
      <c r="PJ55" s="109" t="str">
        <f t="shared" si="459"/>
        <v/>
      </c>
      <c r="PK55" s="109" t="str">
        <f t="shared" si="459"/>
        <v/>
      </c>
      <c r="PL55" s="109" t="str">
        <f t="shared" si="459"/>
        <v/>
      </c>
      <c r="PM55" s="109" t="str">
        <f t="shared" si="459"/>
        <v/>
      </c>
      <c r="PN55" s="109" t="str">
        <f t="shared" si="459"/>
        <v/>
      </c>
      <c r="PO55" s="109" t="str">
        <f t="shared" si="459"/>
        <v/>
      </c>
      <c r="PP55" s="109" t="str">
        <f t="shared" si="459"/>
        <v/>
      </c>
      <c r="PQ55" s="109" t="str">
        <f t="shared" si="459"/>
        <v/>
      </c>
      <c r="PR55" s="109" t="str">
        <f t="shared" si="459"/>
        <v/>
      </c>
      <c r="PS55" s="109" t="str">
        <f t="shared" si="459"/>
        <v/>
      </c>
      <c r="PT55" s="109" t="str">
        <f t="shared" si="459"/>
        <v/>
      </c>
      <c r="PU55" s="109" t="str">
        <f t="shared" si="459"/>
        <v/>
      </c>
      <c r="PV55" s="109" t="str">
        <f t="shared" si="459"/>
        <v/>
      </c>
      <c r="PW55" s="109" t="str">
        <f t="shared" si="459"/>
        <v/>
      </c>
      <c r="PX55" s="109" t="str">
        <f t="shared" si="459"/>
        <v/>
      </c>
      <c r="PY55" s="109" t="str">
        <f t="shared" si="459"/>
        <v/>
      </c>
      <c r="PZ55" s="109" t="str">
        <f t="shared" si="459"/>
        <v/>
      </c>
      <c r="QA55" s="109" t="str">
        <f t="shared" si="459"/>
        <v/>
      </c>
      <c r="QB55" s="109" t="str">
        <f t="shared" si="459"/>
        <v/>
      </c>
      <c r="QC55" s="109" t="str">
        <f t="shared" ref="QC55:SN55" si="460">IF(OR(QC$13="",QC$17="",QC$14="",QC$15="",QC$16="",QC$18="",QC$19="",QC$20="",QC$21=""),"",1-(QC82/(QC$4)))</f>
        <v/>
      </c>
      <c r="QD55" s="109" t="str">
        <f t="shared" si="460"/>
        <v/>
      </c>
      <c r="QE55" s="109" t="str">
        <f t="shared" si="460"/>
        <v/>
      </c>
      <c r="QF55" s="109" t="str">
        <f t="shared" si="460"/>
        <v/>
      </c>
      <c r="QG55" s="109" t="str">
        <f t="shared" si="460"/>
        <v/>
      </c>
      <c r="QH55" s="109" t="str">
        <f t="shared" si="460"/>
        <v/>
      </c>
      <c r="QI55" s="109" t="str">
        <f t="shared" si="460"/>
        <v/>
      </c>
      <c r="QJ55" s="109" t="str">
        <f t="shared" si="460"/>
        <v/>
      </c>
      <c r="QK55" s="109" t="str">
        <f t="shared" si="460"/>
        <v/>
      </c>
      <c r="QL55" s="109" t="str">
        <f t="shared" si="460"/>
        <v/>
      </c>
      <c r="QM55" s="109" t="str">
        <f t="shared" si="460"/>
        <v/>
      </c>
      <c r="QN55" s="109" t="str">
        <f t="shared" si="460"/>
        <v/>
      </c>
      <c r="QO55" s="109" t="str">
        <f t="shared" si="460"/>
        <v/>
      </c>
      <c r="QP55" s="109" t="str">
        <f t="shared" si="460"/>
        <v/>
      </c>
      <c r="QQ55" s="109" t="str">
        <f t="shared" si="460"/>
        <v/>
      </c>
      <c r="QR55" s="109" t="str">
        <f t="shared" si="460"/>
        <v/>
      </c>
      <c r="QS55" s="109" t="str">
        <f t="shared" si="460"/>
        <v/>
      </c>
      <c r="QT55" s="109" t="str">
        <f t="shared" si="460"/>
        <v/>
      </c>
      <c r="QU55" s="109" t="str">
        <f t="shared" si="460"/>
        <v/>
      </c>
      <c r="QV55" s="109" t="str">
        <f t="shared" si="460"/>
        <v/>
      </c>
      <c r="QW55" s="109" t="str">
        <f t="shared" si="460"/>
        <v/>
      </c>
      <c r="QX55" s="109" t="str">
        <f t="shared" si="460"/>
        <v/>
      </c>
      <c r="QY55" s="109" t="str">
        <f t="shared" si="460"/>
        <v/>
      </c>
      <c r="QZ55" s="109" t="str">
        <f t="shared" si="460"/>
        <v/>
      </c>
      <c r="RA55" s="109" t="str">
        <f t="shared" si="460"/>
        <v/>
      </c>
      <c r="RB55" s="109" t="str">
        <f t="shared" si="460"/>
        <v/>
      </c>
      <c r="RC55" s="109" t="str">
        <f t="shared" si="460"/>
        <v/>
      </c>
      <c r="RD55" s="109" t="str">
        <f t="shared" si="460"/>
        <v/>
      </c>
      <c r="RE55" s="109" t="str">
        <f t="shared" si="460"/>
        <v/>
      </c>
      <c r="RF55" s="109" t="str">
        <f t="shared" si="460"/>
        <v/>
      </c>
      <c r="RG55" s="109" t="str">
        <f t="shared" si="460"/>
        <v/>
      </c>
      <c r="RH55" s="109" t="str">
        <f t="shared" si="460"/>
        <v/>
      </c>
      <c r="RI55" s="109" t="str">
        <f t="shared" si="460"/>
        <v/>
      </c>
      <c r="RJ55" s="109" t="str">
        <f t="shared" si="460"/>
        <v/>
      </c>
      <c r="RK55" s="109" t="str">
        <f t="shared" si="460"/>
        <v/>
      </c>
      <c r="RL55" s="109" t="str">
        <f t="shared" si="460"/>
        <v/>
      </c>
      <c r="RM55" s="109" t="str">
        <f t="shared" si="460"/>
        <v/>
      </c>
      <c r="RN55" s="109" t="str">
        <f t="shared" si="460"/>
        <v/>
      </c>
      <c r="RO55" s="109" t="str">
        <f t="shared" si="460"/>
        <v/>
      </c>
      <c r="RP55" s="109" t="str">
        <f t="shared" si="460"/>
        <v/>
      </c>
      <c r="RQ55" s="109" t="str">
        <f t="shared" si="460"/>
        <v/>
      </c>
      <c r="RR55" s="109" t="str">
        <f t="shared" si="460"/>
        <v/>
      </c>
      <c r="RS55" s="109" t="str">
        <f t="shared" si="460"/>
        <v/>
      </c>
      <c r="RT55" s="109" t="str">
        <f t="shared" si="460"/>
        <v/>
      </c>
      <c r="RU55" s="109" t="str">
        <f t="shared" si="460"/>
        <v/>
      </c>
      <c r="RV55" s="109" t="str">
        <f t="shared" si="460"/>
        <v/>
      </c>
      <c r="RW55" s="109" t="str">
        <f t="shared" si="460"/>
        <v/>
      </c>
      <c r="RX55" s="109" t="str">
        <f t="shared" si="460"/>
        <v/>
      </c>
      <c r="RY55" s="109" t="str">
        <f t="shared" si="460"/>
        <v/>
      </c>
      <c r="RZ55" s="109" t="str">
        <f t="shared" si="460"/>
        <v/>
      </c>
      <c r="SA55" s="109" t="str">
        <f t="shared" si="460"/>
        <v/>
      </c>
      <c r="SB55" s="109" t="str">
        <f t="shared" si="460"/>
        <v/>
      </c>
      <c r="SC55" s="109" t="str">
        <f t="shared" si="460"/>
        <v/>
      </c>
      <c r="SD55" s="109" t="str">
        <f t="shared" si="460"/>
        <v/>
      </c>
      <c r="SE55" s="109" t="str">
        <f t="shared" si="460"/>
        <v/>
      </c>
      <c r="SF55" s="109" t="str">
        <f t="shared" si="460"/>
        <v/>
      </c>
      <c r="SG55" s="109" t="str">
        <f t="shared" si="460"/>
        <v/>
      </c>
      <c r="SH55" s="109" t="str">
        <f t="shared" si="460"/>
        <v/>
      </c>
      <c r="SI55" s="109" t="str">
        <f t="shared" si="460"/>
        <v/>
      </c>
      <c r="SJ55" s="109" t="str">
        <f t="shared" si="460"/>
        <v/>
      </c>
      <c r="SK55" s="109" t="str">
        <f t="shared" si="460"/>
        <v/>
      </c>
      <c r="SL55" s="109" t="str">
        <f t="shared" si="460"/>
        <v/>
      </c>
      <c r="SM55" s="109" t="str">
        <f t="shared" si="460"/>
        <v/>
      </c>
      <c r="SN55" s="109" t="str">
        <f t="shared" si="460"/>
        <v/>
      </c>
      <c r="SO55" s="109" t="str">
        <f t="shared" ref="SO55:SW55" si="461">IF(OR(SO$13="",SO$17="",SO$14="",SO$15="",SO$16="",SO$18="",SO$19="",SO$20="",SO$21=""),"",1-(SO82/(SO$4)))</f>
        <v/>
      </c>
      <c r="SP55" s="109" t="str">
        <f t="shared" si="461"/>
        <v/>
      </c>
      <c r="SQ55" s="109" t="str">
        <f t="shared" si="461"/>
        <v/>
      </c>
      <c r="SR55" s="109" t="str">
        <f t="shared" si="461"/>
        <v/>
      </c>
      <c r="SS55" s="109" t="str">
        <f t="shared" si="461"/>
        <v/>
      </c>
      <c r="ST55" s="109" t="str">
        <f t="shared" si="461"/>
        <v/>
      </c>
      <c r="SU55" s="109" t="str">
        <f t="shared" si="461"/>
        <v/>
      </c>
      <c r="SV55" s="109" t="str">
        <f t="shared" si="461"/>
        <v/>
      </c>
      <c r="SW55" s="109" t="str">
        <f t="shared" si="461"/>
        <v/>
      </c>
    </row>
    <row r="56" spans="1:517" ht="24.6" customHeight="1" x14ac:dyDescent="0.2">
      <c r="A56" s="94" t="s">
        <v>86</v>
      </c>
      <c r="B56" s="117" t="s">
        <v>80</v>
      </c>
      <c r="C56" s="109">
        <f t="shared" ref="C56:AH56" si="462">IF(OR(C$13="",C$17="",C$14="",C$15="",C$16="",C$18="",C$19="",C$20="",C$21=""),"",1-(C83/(C$4)))</f>
        <v>1</v>
      </c>
      <c r="D56" s="109">
        <f t="shared" si="462"/>
        <v>1</v>
      </c>
      <c r="E56" s="109">
        <f t="shared" si="462"/>
        <v>1</v>
      </c>
      <c r="F56" s="109">
        <f t="shared" si="462"/>
        <v>1</v>
      </c>
      <c r="G56" s="109">
        <f t="shared" si="462"/>
        <v>1</v>
      </c>
      <c r="H56" s="109">
        <f t="shared" si="462"/>
        <v>1</v>
      </c>
      <c r="I56" s="109">
        <f t="shared" si="462"/>
        <v>1</v>
      </c>
      <c r="J56" s="109">
        <f t="shared" si="462"/>
        <v>1</v>
      </c>
      <c r="K56" s="109">
        <f t="shared" si="462"/>
        <v>1</v>
      </c>
      <c r="L56" s="109">
        <f t="shared" si="462"/>
        <v>1</v>
      </c>
      <c r="M56" s="109">
        <f t="shared" si="462"/>
        <v>1</v>
      </c>
      <c r="N56" s="109">
        <f t="shared" si="462"/>
        <v>1</v>
      </c>
      <c r="O56" s="109">
        <f t="shared" si="462"/>
        <v>1</v>
      </c>
      <c r="P56" s="109">
        <f t="shared" si="462"/>
        <v>1</v>
      </c>
      <c r="Q56" s="109">
        <f t="shared" si="462"/>
        <v>1</v>
      </c>
      <c r="R56" s="109">
        <f t="shared" si="462"/>
        <v>1</v>
      </c>
      <c r="S56" s="109">
        <f t="shared" si="462"/>
        <v>1</v>
      </c>
      <c r="T56" s="109">
        <f t="shared" si="462"/>
        <v>1</v>
      </c>
      <c r="U56" s="109">
        <f t="shared" si="462"/>
        <v>1</v>
      </c>
      <c r="V56" s="109">
        <f t="shared" si="462"/>
        <v>1</v>
      </c>
      <c r="W56" s="109">
        <f t="shared" si="462"/>
        <v>1</v>
      </c>
      <c r="X56" s="109">
        <f t="shared" si="462"/>
        <v>1</v>
      </c>
      <c r="Y56" s="109">
        <f t="shared" si="462"/>
        <v>0.9485507246376812</v>
      </c>
      <c r="Z56" s="109">
        <f t="shared" si="462"/>
        <v>0.9506944444444444</v>
      </c>
      <c r="AA56" s="109">
        <f t="shared" si="462"/>
        <v>0.95266666666666666</v>
      </c>
      <c r="AB56" s="109">
        <f t="shared" si="462"/>
        <v>0.95448717948717943</v>
      </c>
      <c r="AC56" s="109">
        <f t="shared" si="462"/>
        <v>0.95617283950617282</v>
      </c>
      <c r="AD56" s="109">
        <f t="shared" si="462"/>
        <v>0.95773809523809528</v>
      </c>
      <c r="AE56" s="109">
        <f t="shared" si="462"/>
        <v>0.95919540229885059</v>
      </c>
      <c r="AF56" s="109">
        <f t="shared" si="462"/>
        <v>0.96055555555555561</v>
      </c>
      <c r="AG56" s="109">
        <f t="shared" si="462"/>
        <v>0.95993279569892476</v>
      </c>
      <c r="AH56" s="109">
        <f t="shared" si="462"/>
        <v>0.96118489583333333</v>
      </c>
      <c r="AI56" s="109">
        <f t="shared" ref="AI56:BN56" si="463">IF(OR(AI$13="",AI$17="",AI$14="",AI$15="",AI$16="",AI$18="",AI$19="",AI$20="",AI$21=""),"",1-(AI83/(AI$4)))</f>
        <v>0.95885101010101015</v>
      </c>
      <c r="AJ56" s="109">
        <f t="shared" si="463"/>
        <v>0.96006127450980394</v>
      </c>
      <c r="AK56" s="109">
        <f t="shared" si="463"/>
        <v>0.96007142857142858</v>
      </c>
      <c r="AL56" s="109">
        <f t="shared" si="463"/>
        <v>0.95956018518518515</v>
      </c>
      <c r="AM56" s="109">
        <f t="shared" si="463"/>
        <v>0.96065315315315314</v>
      </c>
      <c r="AN56" s="109">
        <f t="shared" si="463"/>
        <v>0.95956140350877195</v>
      </c>
      <c r="AO56" s="109">
        <f t="shared" si="463"/>
        <v>0.95742521367521372</v>
      </c>
      <c r="AP56" s="109">
        <f t="shared" si="463"/>
        <v>0.95848958333333334</v>
      </c>
      <c r="AQ56" s="109">
        <f t="shared" si="463"/>
        <v>0.95950203252032518</v>
      </c>
      <c r="AR56" s="109">
        <f t="shared" si="463"/>
        <v>0.96046626984126982</v>
      </c>
      <c r="AS56" s="109">
        <f t="shared" si="463"/>
        <v>0.96138565891472871</v>
      </c>
      <c r="AT56" s="109">
        <f t="shared" si="463"/>
        <v>0.95960227272727272</v>
      </c>
      <c r="AU56" s="109">
        <f t="shared" si="463"/>
        <v>0.96050000000000002</v>
      </c>
      <c r="AV56" s="109">
        <f t="shared" si="463"/>
        <v>0.94212862318840584</v>
      </c>
      <c r="AW56" s="109">
        <f t="shared" si="463"/>
        <v>0.94335992907801414</v>
      </c>
      <c r="AX56" s="109">
        <f t="shared" si="463"/>
        <v>0.94453993055555552</v>
      </c>
      <c r="AY56" s="109">
        <f t="shared" si="463"/>
        <v>0.94567176870748304</v>
      </c>
      <c r="AZ56" s="109">
        <f t="shared" si="463"/>
        <v>0.94378333333333331</v>
      </c>
      <c r="BA56" s="109">
        <f t="shared" si="463"/>
        <v>0.9448856209150327</v>
      </c>
      <c r="BB56" s="109">
        <f t="shared" si="463"/>
        <v>0.94594551282051287</v>
      </c>
      <c r="BC56" s="109">
        <f t="shared" si="463"/>
        <v>0.94696540880503144</v>
      </c>
      <c r="BD56" s="109">
        <f t="shared" si="463"/>
        <v>0.94794753086419759</v>
      </c>
      <c r="BE56" s="109">
        <f t="shared" si="463"/>
        <v>0.9488939393939394</v>
      </c>
      <c r="BF56" s="109">
        <f t="shared" si="463"/>
        <v>0.94980654761904759</v>
      </c>
      <c r="BG56" s="109">
        <f t="shared" si="463"/>
        <v>0.947156432748538</v>
      </c>
      <c r="BH56" s="109">
        <f t="shared" si="463"/>
        <v>0.94806752873563216</v>
      </c>
      <c r="BI56" s="109">
        <f t="shared" si="463"/>
        <v>0.94894774011299432</v>
      </c>
      <c r="BJ56" s="109">
        <f t="shared" si="463"/>
        <v>0.94979861111111108</v>
      </c>
      <c r="BK56" s="109">
        <f t="shared" si="463"/>
        <v>0.94043715846994536</v>
      </c>
      <c r="BL56" s="109">
        <f t="shared" si="463"/>
        <v>0.93364919354838705</v>
      </c>
      <c r="BM56" s="109">
        <f t="shared" si="463"/>
        <v>0.93470238095238101</v>
      </c>
      <c r="BN56" s="109">
        <f t="shared" si="463"/>
        <v>0.92041015625</v>
      </c>
      <c r="BO56" s="109">
        <f t="shared" ref="BO56:CT56" si="464">IF(OR(BO$13="",BO$17="",BO$14="",BO$15="",BO$16="",BO$18="",BO$19="",BO$20="",BO$21=""),"",1-(BO83/(BO$4)))</f>
        <v>0.92163461538461544</v>
      </c>
      <c r="BP56" s="109">
        <f t="shared" si="464"/>
        <v>0.92282196969696972</v>
      </c>
      <c r="BQ56" s="109">
        <f t="shared" si="464"/>
        <v>0.92397388059701491</v>
      </c>
      <c r="BR56" s="109">
        <f t="shared" si="464"/>
        <v>0.92509191176470584</v>
      </c>
      <c r="BS56" s="109">
        <f t="shared" si="464"/>
        <v>0.92617753623188404</v>
      </c>
      <c r="BT56" s="109">
        <f t="shared" si="464"/>
        <v>0.92723214285714284</v>
      </c>
      <c r="BU56" s="109">
        <f t="shared" si="464"/>
        <v>0.92768779342723007</v>
      </c>
      <c r="BV56" s="109">
        <f t="shared" si="464"/>
        <v>0.92869212962962966</v>
      </c>
      <c r="BW56" s="109">
        <f t="shared" si="464"/>
        <v>0.92966894977168946</v>
      </c>
      <c r="BX56" s="109">
        <f t="shared" si="464"/>
        <v>0.9306193693693694</v>
      </c>
      <c r="BY56" s="109">
        <f t="shared" si="464"/>
        <v>0.93154444444444451</v>
      </c>
      <c r="BZ56" s="109">
        <f t="shared" si="464"/>
        <v>0.93244517543859651</v>
      </c>
      <c r="CA56" s="109">
        <f t="shared" si="464"/>
        <v>0.93332251082251083</v>
      </c>
      <c r="CB56" s="109">
        <f t="shared" si="464"/>
        <v>0.91663995726495728</v>
      </c>
      <c r="CC56" s="109">
        <f t="shared" si="464"/>
        <v>0.91769514767932492</v>
      </c>
      <c r="CD56" s="109">
        <f t="shared" si="464"/>
        <v>0.91872395833333331</v>
      </c>
      <c r="CE56" s="109">
        <f t="shared" si="464"/>
        <v>0.91972736625514406</v>
      </c>
      <c r="CF56" s="109">
        <f t="shared" si="464"/>
        <v>0.92070630081300808</v>
      </c>
      <c r="CG56" s="109">
        <f t="shared" si="464"/>
        <v>0.92166164658634542</v>
      </c>
      <c r="CH56" s="109">
        <f t="shared" si="464"/>
        <v>0.92224702380952384</v>
      </c>
      <c r="CI56" s="109">
        <f t="shared" si="464"/>
        <v>0.9231617647058824</v>
      </c>
      <c r="CJ56" s="109">
        <f t="shared" si="464"/>
        <v>0.92405523255813959</v>
      </c>
      <c r="CK56" s="109">
        <f t="shared" si="464"/>
        <v>0.92492816091954022</v>
      </c>
      <c r="CL56" s="109">
        <f t="shared" si="464"/>
        <v>0.92578125</v>
      </c>
      <c r="CM56" s="109">
        <f t="shared" si="464"/>
        <v>0.9266151685393258</v>
      </c>
      <c r="CN56" s="109">
        <f t="shared" si="464"/>
        <v>0.92743055555555554</v>
      </c>
      <c r="CO56" s="109">
        <f t="shared" si="464"/>
        <v>0.9178479853479854</v>
      </c>
      <c r="CP56" s="109">
        <f t="shared" si="464"/>
        <v>0.91874094202898549</v>
      </c>
      <c r="CQ56" s="109">
        <f t="shared" si="464"/>
        <v>0.91961469534050178</v>
      </c>
      <c r="CR56" s="109">
        <f t="shared" si="464"/>
        <v>0.92046985815602844</v>
      </c>
      <c r="CS56" s="109">
        <f t="shared" si="464"/>
        <v>0.90763157894736846</v>
      </c>
      <c r="CT56" s="109">
        <f t="shared" si="464"/>
        <v>0.90095486111111112</v>
      </c>
      <c r="CU56" s="109">
        <f t="shared" ref="CU56:DT56" si="465">IF(OR(CU$13="",CU$17="",CU$14="",CU$15="",CU$16="",CU$18="",CU$19="",CU$20="",CU$21=""),"",1-(CU83/(CU$4)))</f>
        <v>0.90021477663230243</v>
      </c>
      <c r="CV56" s="109">
        <f t="shared" si="465"/>
        <v>0.90088010204081637</v>
      </c>
      <c r="CW56" s="109">
        <f t="shared" si="465"/>
        <v>0.90188131313131314</v>
      </c>
      <c r="CX56" s="109">
        <f t="shared" si="465"/>
        <v>0.90286250000000001</v>
      </c>
      <c r="CY56" s="109">
        <f t="shared" si="465"/>
        <v>0.90214108910891089</v>
      </c>
      <c r="CZ56" s="109">
        <f t="shared" si="465"/>
        <v>0.90310049019607841</v>
      </c>
      <c r="DA56" s="109">
        <f t="shared" si="465"/>
        <v>0.9040412621359224</v>
      </c>
      <c r="DB56" s="109">
        <f t="shared" si="465"/>
        <v>0.90408253205128208</v>
      </c>
      <c r="DC56" s="109">
        <f t="shared" si="465"/>
        <v>0.90499603174603171</v>
      </c>
      <c r="DD56" s="109">
        <f t="shared" si="465"/>
        <v>0.9058922955974843</v>
      </c>
      <c r="DE56" s="109">
        <f t="shared" si="465"/>
        <v>0.90477803738317752</v>
      </c>
      <c r="DF56" s="109">
        <f t="shared" si="465"/>
        <v>0.90565972222222224</v>
      </c>
      <c r="DG56" s="109">
        <f t="shared" si="465"/>
        <v>0.90652522935779822</v>
      </c>
      <c r="DH56" s="109">
        <f t="shared" si="465"/>
        <v>0.90737500000000004</v>
      </c>
      <c r="DI56" s="109">
        <f t="shared" si="465"/>
        <v>0.9075187687687688</v>
      </c>
      <c r="DJ56" s="109">
        <f t="shared" si="465"/>
        <v>0.90834449404761908</v>
      </c>
      <c r="DK56" s="109">
        <f t="shared" si="465"/>
        <v>0.90863200589970505</v>
      </c>
      <c r="DL56" s="109">
        <f t="shared" si="465"/>
        <v>0.9094334795321638</v>
      </c>
      <c r="DM56" s="109">
        <f t="shared" si="465"/>
        <v>0.91022101449275361</v>
      </c>
      <c r="DN56" s="109">
        <f t="shared" si="465"/>
        <v>0.91099497126436779</v>
      </c>
      <c r="DO56" s="109">
        <f t="shared" si="465"/>
        <v>0.911755698005698</v>
      </c>
      <c r="DP56" s="109">
        <f t="shared" si="465"/>
        <v>0.91125</v>
      </c>
      <c r="DQ56" s="109">
        <f t="shared" si="465"/>
        <v>0.91199579831932776</v>
      </c>
      <c r="DR56" s="109">
        <f t="shared" si="465"/>
        <v>0.9127291666666667</v>
      </c>
      <c r="DS56" s="109">
        <f t="shared" si="465"/>
        <v>0.9124758953168044</v>
      </c>
      <c r="DT56" s="109">
        <f t="shared" si="465"/>
        <v>0.91254098360655744</v>
      </c>
      <c r="DU56" s="109">
        <f t="shared" ref="DU56:GF56" si="466">IF(OR(DU$13="",DU$17="",DU$14="",DU$15="",DU$16="",DU$18="",DU$19="",DU$20="",DU$21=""),"",1-(DU83/(DU$4)))</f>
        <v>0.91154132791327913</v>
      </c>
      <c r="DV56" s="109">
        <f t="shared" si="466"/>
        <v>0.91225470430107525</v>
      </c>
      <c r="DW56" s="109">
        <f t="shared" si="466"/>
        <v>0.91295666666666664</v>
      </c>
      <c r="DX56" s="109">
        <f t="shared" si="466"/>
        <v>0.91260582010582014</v>
      </c>
      <c r="DY56" s="109">
        <f t="shared" si="466"/>
        <v>0.91178805774278215</v>
      </c>
      <c r="DZ56" s="109">
        <f t="shared" si="466"/>
        <v>0.9092643229166667</v>
      </c>
      <c r="EA56" s="109">
        <f t="shared" si="466"/>
        <v>0.9099677002583979</v>
      </c>
      <c r="EB56" s="109">
        <f t="shared" si="466"/>
        <v>0.91066025641025639</v>
      </c>
      <c r="EC56" s="109">
        <f t="shared" si="466"/>
        <v>0.91134223918575064</v>
      </c>
      <c r="ED56" s="109">
        <f t="shared" si="466"/>
        <v>0.9120138888888889</v>
      </c>
      <c r="EE56" s="109">
        <f t="shared" si="466"/>
        <v>0.91267543859649125</v>
      </c>
      <c r="EF56" s="109">
        <f t="shared" si="466"/>
        <v>0.91332711442786074</v>
      </c>
      <c r="EG56" s="109">
        <f t="shared" si="466"/>
        <v>0.91396913580246919</v>
      </c>
      <c r="EH56" s="109">
        <f t="shared" si="466"/>
        <v>0.91460171568627446</v>
      </c>
      <c r="EI56" s="109">
        <f t="shared" si="466"/>
        <v>0.90804744525547443</v>
      </c>
      <c r="EJ56" s="109">
        <f t="shared" si="466"/>
        <v>0.90871376811594207</v>
      </c>
      <c r="EK56" s="109">
        <f t="shared" si="466"/>
        <v>0.90937050359712235</v>
      </c>
      <c r="EL56" s="109">
        <f t="shared" si="466"/>
        <v>0.90436904761904757</v>
      </c>
      <c r="EM56" s="109">
        <f t="shared" si="466"/>
        <v>0.9048640661938534</v>
      </c>
      <c r="EN56" s="109">
        <f t="shared" si="466"/>
        <v>0.90553403755868545</v>
      </c>
      <c r="EO56" s="109">
        <f t="shared" si="466"/>
        <v>0.90504953379953379</v>
      </c>
      <c r="EP56" s="109">
        <f t="shared" si="466"/>
        <v>0.90570891203703707</v>
      </c>
      <c r="EQ56" s="109">
        <f t="shared" si="466"/>
        <v>0.90538793103448278</v>
      </c>
      <c r="ER56" s="109">
        <f t="shared" si="466"/>
        <v>0.9060359589041096</v>
      </c>
      <c r="ES56" s="109">
        <f t="shared" si="466"/>
        <v>0.90598072562358278</v>
      </c>
      <c r="ET56" s="109">
        <f t="shared" si="466"/>
        <v>0.90661599099099099</v>
      </c>
      <c r="EU56" s="109">
        <f t="shared" si="466"/>
        <v>0.90724272930648775</v>
      </c>
      <c r="EV56" s="109">
        <f t="shared" si="466"/>
        <v>0.90786111111111112</v>
      </c>
      <c r="EW56" s="109">
        <f t="shared" si="466"/>
        <v>0.90847130242825602</v>
      </c>
      <c r="EX56" s="109">
        <f t="shared" si="466"/>
        <v>0.90907346491228069</v>
      </c>
      <c r="EY56" s="109">
        <f t="shared" si="466"/>
        <v>0.90966775599128535</v>
      </c>
      <c r="EZ56" s="109">
        <f t="shared" si="466"/>
        <v>0.91025432900432901</v>
      </c>
      <c r="FA56" s="109">
        <f t="shared" si="466"/>
        <v>0.91083333333333338</v>
      </c>
      <c r="FB56" s="109">
        <f t="shared" si="466"/>
        <v>0.91140491452991457</v>
      </c>
      <c r="FC56" s="109">
        <f t="shared" si="466"/>
        <v>0.91196921443736734</v>
      </c>
      <c r="FD56" s="109">
        <f t="shared" si="466"/>
        <v>0.91252637130801684</v>
      </c>
      <c r="FE56" s="109">
        <f t="shared" si="466"/>
        <v>0.91307651991614258</v>
      </c>
      <c r="FF56" s="109">
        <f t="shared" si="466"/>
        <v>0.91361979166666663</v>
      </c>
      <c r="FG56" s="109">
        <f t="shared" si="466"/>
        <v>0.91415631469979297</v>
      </c>
      <c r="FH56" s="109">
        <f t="shared" si="466"/>
        <v>0.91468621399176953</v>
      </c>
      <c r="FI56" s="109">
        <f t="shared" si="466"/>
        <v>0.91201942740286301</v>
      </c>
      <c r="FJ56" s="109">
        <f t="shared" si="466"/>
        <v>0.91255589430894313</v>
      </c>
      <c r="FK56" s="109">
        <f t="shared" si="466"/>
        <v>0.90732070707070711</v>
      </c>
      <c r="FL56" s="109">
        <f t="shared" si="466"/>
        <v>0.90787901606425703</v>
      </c>
      <c r="FM56" s="109">
        <f t="shared" si="466"/>
        <v>0.90843063872255492</v>
      </c>
      <c r="FN56" s="109">
        <f t="shared" si="466"/>
        <v>0.90897569444444448</v>
      </c>
      <c r="FO56" s="109">
        <f t="shared" si="466"/>
        <v>0.90951429980276133</v>
      </c>
      <c r="FP56" s="109">
        <f t="shared" si="466"/>
        <v>0.90999754901960783</v>
      </c>
      <c r="FQ56" s="109">
        <f t="shared" si="466"/>
        <v>0.90827485380116957</v>
      </c>
      <c r="FR56" s="109">
        <f t="shared" si="466"/>
        <v>0.90688226744186051</v>
      </c>
      <c r="FS56" s="109">
        <f t="shared" si="466"/>
        <v>0.90696290944123314</v>
      </c>
      <c r="FT56" s="109">
        <f t="shared" si="466"/>
        <v>0.90749760536398472</v>
      </c>
      <c r="FU56" s="109">
        <f t="shared" si="466"/>
        <v>0.90453809523809525</v>
      </c>
      <c r="FV56" s="109">
        <f t="shared" si="466"/>
        <v>0.90508049242424238</v>
      </c>
      <c r="FW56" s="109">
        <f t="shared" si="466"/>
        <v>0.90329096045197743</v>
      </c>
      <c r="FX56" s="109">
        <f t="shared" si="466"/>
        <v>0.90383426966292135</v>
      </c>
      <c r="FY56" s="109">
        <f t="shared" si="466"/>
        <v>0.90372439478584732</v>
      </c>
      <c r="FZ56" s="109">
        <f t="shared" si="466"/>
        <v>0.90425925925925932</v>
      </c>
      <c r="GA56" s="109">
        <f t="shared" si="433"/>
        <v>0.90478821362799267</v>
      </c>
      <c r="GB56" s="109">
        <f t="shared" si="433"/>
        <v>0.90531135531135531</v>
      </c>
      <c r="GC56" s="109">
        <f t="shared" si="466"/>
        <v>0.90258196721311479</v>
      </c>
      <c r="GD56" s="109">
        <f t="shared" si="466"/>
        <v>0.90311141304347831</v>
      </c>
      <c r="GE56" s="109">
        <f t="shared" si="466"/>
        <v>0.90363513513513516</v>
      </c>
      <c r="GF56" s="109">
        <f t="shared" si="466"/>
        <v>0.90415322580645163</v>
      </c>
      <c r="GG56" s="109">
        <f t="shared" ref="GG56:IR56" si="467">IF(OR(GG$13="",GG$17="",GG$14="",GG$15="",GG$16="",GG$18="",GG$19="",GG$20="",GG$21=""),"",1-(GG83/(GG$4)))</f>
        <v>0.90466577540106952</v>
      </c>
      <c r="GH56" s="109">
        <f t="shared" si="467"/>
        <v>0.90517287234042554</v>
      </c>
      <c r="GI56" s="109">
        <f t="shared" si="467"/>
        <v>0.90567460317460324</v>
      </c>
      <c r="GJ56" s="109">
        <f t="shared" si="467"/>
        <v>0.90617105263157893</v>
      </c>
      <c r="GK56" s="109">
        <f t="shared" si="467"/>
        <v>0.90666230366492151</v>
      </c>
      <c r="GL56" s="109">
        <f t="shared" si="467"/>
        <v>0.90714843750000007</v>
      </c>
      <c r="GM56" s="109">
        <f t="shared" si="467"/>
        <v>0.90541234887737476</v>
      </c>
      <c r="GN56" s="109">
        <f t="shared" si="467"/>
        <v>0.90589991408934711</v>
      </c>
      <c r="GO56" s="109">
        <f t="shared" si="467"/>
        <v>0.90638247863247867</v>
      </c>
      <c r="GP56" s="109">
        <f t="shared" si="467"/>
        <v>0.9068601190476191</v>
      </c>
      <c r="GQ56" s="109">
        <f t="shared" si="467"/>
        <v>0.90733291032148899</v>
      </c>
      <c r="GR56" s="109">
        <f t="shared" si="467"/>
        <v>0.89771675084175084</v>
      </c>
      <c r="GS56" s="109">
        <f t="shared" si="467"/>
        <v>0.89823073701842548</v>
      </c>
      <c r="GT56" s="109">
        <f t="shared" si="467"/>
        <v>0.89632708333333333</v>
      </c>
      <c r="GU56" s="109">
        <f t="shared" si="467"/>
        <v>0.89684286898839138</v>
      </c>
      <c r="GV56" s="109">
        <f t="shared" si="467"/>
        <v>0.89735354785478549</v>
      </c>
      <c r="GW56" s="109">
        <f t="shared" si="467"/>
        <v>0.89785919540229886</v>
      </c>
      <c r="GX56" s="109">
        <f t="shared" si="467"/>
        <v>0.89835988562091507</v>
      </c>
      <c r="GY56" s="109">
        <f t="shared" si="467"/>
        <v>0.89885569105691054</v>
      </c>
      <c r="GZ56" s="109">
        <f t="shared" si="467"/>
        <v>0.89934668284789643</v>
      </c>
      <c r="HA56" s="109">
        <f t="shared" si="467"/>
        <v>0.89983293075684379</v>
      </c>
      <c r="HB56" s="109">
        <f t="shared" si="467"/>
        <v>0.90031450320512818</v>
      </c>
      <c r="HC56" s="109">
        <f t="shared" si="467"/>
        <v>0.90079146730462523</v>
      </c>
      <c r="HD56" s="109">
        <f t="shared" si="467"/>
        <v>0.90126388888888886</v>
      </c>
      <c r="HE56" s="109">
        <f t="shared" si="467"/>
        <v>0.90173183254344391</v>
      </c>
      <c r="HF56" s="109">
        <f t="shared" si="467"/>
        <v>0.90219536163522018</v>
      </c>
      <c r="HG56" s="109">
        <f t="shared" si="467"/>
        <v>0.90265453834115805</v>
      </c>
      <c r="HH56" s="109">
        <f t="shared" si="467"/>
        <v>0.90310942367601243</v>
      </c>
      <c r="HI56" s="109">
        <f t="shared" si="467"/>
        <v>0.90356007751937983</v>
      </c>
      <c r="HJ56" s="109">
        <f t="shared" si="467"/>
        <v>0.90400655864197532</v>
      </c>
      <c r="HK56" s="109">
        <f t="shared" si="467"/>
        <v>0.90444892473118288</v>
      </c>
      <c r="HL56" s="109">
        <f t="shared" si="467"/>
        <v>0.90488723241590219</v>
      </c>
      <c r="HM56" s="109">
        <f t="shared" si="467"/>
        <v>0.90532153729071541</v>
      </c>
      <c r="HN56" s="109">
        <f t="shared" si="467"/>
        <v>0.90446338383838387</v>
      </c>
      <c r="HO56" s="109">
        <f t="shared" si="467"/>
        <v>0.90489567621920564</v>
      </c>
      <c r="HP56" s="109">
        <f t="shared" si="467"/>
        <v>0.90532407407407411</v>
      </c>
      <c r="HQ56" s="109">
        <f t="shared" si="467"/>
        <v>0.90574862979571502</v>
      </c>
      <c r="HR56" s="109">
        <f t="shared" si="467"/>
        <v>0.9061693948412699</v>
      </c>
      <c r="HS56" s="109">
        <f t="shared" si="467"/>
        <v>0.9065864197530864</v>
      </c>
      <c r="HT56" s="109">
        <f t="shared" si="467"/>
        <v>0.90699975417895773</v>
      </c>
      <c r="HU56" s="109">
        <f t="shared" si="467"/>
        <v>0.90740944689182579</v>
      </c>
      <c r="HV56" s="109">
        <f t="shared" si="467"/>
        <v>0.90781554580896684</v>
      </c>
      <c r="HW56" s="109">
        <f t="shared" si="467"/>
        <v>0.90821809801067444</v>
      </c>
      <c r="HX56" s="109">
        <f t="shared" si="467"/>
        <v>0.90858428945249603</v>
      </c>
      <c r="HY56" s="109">
        <f t="shared" si="467"/>
        <v>0.9081948953823954</v>
      </c>
      <c r="HZ56" s="109">
        <f t="shared" si="467"/>
        <v>0.90476762053001281</v>
      </c>
      <c r="IA56" s="109">
        <f t="shared" si="467"/>
        <v>0.90370693252265144</v>
      </c>
      <c r="IB56" s="109">
        <f t="shared" si="467"/>
        <v>0.90411844135802477</v>
      </c>
      <c r="IC56" s="109">
        <f t="shared" si="467"/>
        <v>0.90452644799054371</v>
      </c>
      <c r="ID56" s="109">
        <f t="shared" si="467"/>
        <v>0.90493099693973633</v>
      </c>
      <c r="IE56" s="109">
        <f t="shared" si="467"/>
        <v>0.90533213197374596</v>
      </c>
      <c r="IF56" s="109">
        <f t="shared" si="467"/>
        <v>0.90506463001867421</v>
      </c>
      <c r="IG56" s="109">
        <f t="shared" si="467"/>
        <v>0.90546184913993499</v>
      </c>
      <c r="IH56" s="109">
        <f t="shared" si="467"/>
        <v>0.90585575810185193</v>
      </c>
      <c r="II56" s="109">
        <f t="shared" si="467"/>
        <v>0.90624639810972796</v>
      </c>
      <c r="IJ56" s="109">
        <f t="shared" si="467"/>
        <v>0.90663380968778695</v>
      </c>
      <c r="IK56" s="109">
        <f t="shared" si="467"/>
        <v>0.90457504572473713</v>
      </c>
      <c r="IL56" s="109">
        <f t="shared" si="467"/>
        <v>0.90407146516393444</v>
      </c>
      <c r="IM56" s="109">
        <f t="shared" si="467"/>
        <v>0.90446301020408171</v>
      </c>
      <c r="IN56" s="109">
        <f t="shared" si="467"/>
        <v>0.90485137195121956</v>
      </c>
      <c r="IO56" s="109">
        <f t="shared" si="467"/>
        <v>0.90438802669065832</v>
      </c>
      <c r="IP56" s="109">
        <f t="shared" si="467"/>
        <v>0.90329987119175637</v>
      </c>
      <c r="IQ56" s="109">
        <f t="shared" si="467"/>
        <v>0.90265315893202447</v>
      </c>
      <c r="IR56" s="109">
        <f t="shared" si="467"/>
        <v>0.90135277777777789</v>
      </c>
      <c r="IS56" s="109">
        <f t="shared" ref="IS56:LD56" si="468">IF(OR(IS$13="",IS$17="",IS$14="",IS$15="",IS$16="",IS$18="",IS$19="",IS$20="",IS$21=""),"",1-(IS83/(IS$4)))</f>
        <v>0.90173099269588319</v>
      </c>
      <c r="IT56" s="109">
        <f t="shared" si="468"/>
        <v>0.90203019363609649</v>
      </c>
      <c r="IU56" s="109">
        <f t="shared" si="468"/>
        <v>0.90241742607231745</v>
      </c>
      <c r="IV56" s="109">
        <f t="shared" si="468"/>
        <v>0.90246222477398663</v>
      </c>
      <c r="IW56" s="109">
        <f t="shared" si="468"/>
        <v>0.90284472585330433</v>
      </c>
      <c r="IX56" s="109">
        <f t="shared" si="468"/>
        <v>0.90053064416956019</v>
      </c>
      <c r="IY56" s="109">
        <f t="shared" si="468"/>
        <v>0.89753679384637564</v>
      </c>
      <c r="IZ56" s="109">
        <f t="shared" si="468"/>
        <v>0.89650458476887751</v>
      </c>
      <c r="JA56" s="109">
        <f t="shared" si="468"/>
        <v>0.89632462819962821</v>
      </c>
      <c r="JB56" s="109">
        <f t="shared" si="468"/>
        <v>0.89672337962962967</v>
      </c>
      <c r="JC56" s="109">
        <f t="shared" si="468"/>
        <v>0.89711056123172983</v>
      </c>
      <c r="JD56" s="109">
        <f t="shared" si="468"/>
        <v>0.89750326901328814</v>
      </c>
      <c r="JE56" s="109">
        <f t="shared" si="468"/>
        <v>0.89789056999014227</v>
      </c>
      <c r="JF56" s="109">
        <f t="shared" si="468"/>
        <v>0.89827734813411908</v>
      </c>
      <c r="JG56" s="109">
        <f t="shared" si="468"/>
        <v>0.89866120719776388</v>
      </c>
      <c r="JH56" s="109">
        <f t="shared" si="468"/>
        <v>0.89904218010303549</v>
      </c>
      <c r="JI56" s="109">
        <f t="shared" si="468"/>
        <v>0.89711072964350125</v>
      </c>
      <c r="JJ56" s="109">
        <f t="shared" si="468"/>
        <v>0.89376330154781658</v>
      </c>
      <c r="JK56" s="109">
        <f t="shared" si="468"/>
        <v>0.89318403208040764</v>
      </c>
      <c r="JL56" s="109">
        <f t="shared" si="468"/>
        <v>0.89357964677640611</v>
      </c>
      <c r="JM56" s="109">
        <f t="shared" si="468"/>
        <v>0.89397234180675145</v>
      </c>
      <c r="JN56" s="109">
        <f t="shared" si="468"/>
        <v>0.89319640182461879</v>
      </c>
      <c r="JO56" s="109">
        <f t="shared" si="468"/>
        <v>0.89343499864333209</v>
      </c>
      <c r="JP56" s="109">
        <f t="shared" si="468"/>
        <v>0.89367185387942694</v>
      </c>
      <c r="JQ56" s="109">
        <f t="shared" si="468"/>
        <v>0.89390698653198664</v>
      </c>
      <c r="JR56" s="109">
        <f t="shared" si="468"/>
        <v>0.89231934380032207</v>
      </c>
      <c r="JS56" s="109">
        <f t="shared" si="468"/>
        <v>0.89255766145206583</v>
      </c>
      <c r="JT56" s="109">
        <f t="shared" si="468"/>
        <v>0.89285421662669873</v>
      </c>
      <c r="JU56" s="109">
        <f t="shared" si="468"/>
        <v>0.89257218239745129</v>
      </c>
      <c r="JV56" s="109">
        <f t="shared" si="468"/>
        <v>0.89293353174603185</v>
      </c>
      <c r="JW56" s="109">
        <f t="shared" si="468"/>
        <v>0.89331455120601033</v>
      </c>
      <c r="JX56" s="109">
        <f t="shared" si="468"/>
        <v>0.89369286840031525</v>
      </c>
      <c r="JY56" s="109">
        <f t="shared" si="468"/>
        <v>0.89406851197487247</v>
      </c>
      <c r="JZ56" s="109">
        <f t="shared" si="468"/>
        <v>0.89444151017214402</v>
      </c>
      <c r="KA56" s="109">
        <f t="shared" si="468"/>
        <v>0.89481189083820667</v>
      </c>
      <c r="KB56" s="109">
        <f t="shared" si="468"/>
        <v>0.89517968142968152</v>
      </c>
      <c r="KC56" s="109">
        <f t="shared" si="468"/>
        <v>0.89554490902051886</v>
      </c>
      <c r="KD56" s="109">
        <f t="shared" si="468"/>
        <v>0.89590760030864203</v>
      </c>
      <c r="KE56" s="109">
        <f t="shared" si="468"/>
        <v>0.89626778162245291</v>
      </c>
      <c r="KF56" s="109">
        <f t="shared" si="468"/>
        <v>0.89662547892720312</v>
      </c>
      <c r="KG56" s="109">
        <f t="shared" si="468"/>
        <v>0.89698071783123334</v>
      </c>
      <c r="KH56" s="109">
        <f t="shared" si="468"/>
        <v>0.8939088660578387</v>
      </c>
      <c r="KI56" s="109">
        <f t="shared" si="468"/>
        <v>0.89427095183921124</v>
      </c>
      <c r="KJ56" s="109">
        <f t="shared" si="468"/>
        <v>0.89463057445200311</v>
      </c>
      <c r="KK56" s="109">
        <f t="shared" si="468"/>
        <v>0.89498775894538607</v>
      </c>
      <c r="KL56" s="109">
        <f t="shared" si="468"/>
        <v>0.89534253003003006</v>
      </c>
      <c r="KM56" s="109">
        <f t="shared" si="468"/>
        <v>0.89569491208380103</v>
      </c>
      <c r="KN56" s="109">
        <f t="shared" si="468"/>
        <v>0.89604492915734535</v>
      </c>
      <c r="KO56" s="109">
        <f t="shared" si="468"/>
        <v>0.89639260497956152</v>
      </c>
      <c r="KP56" s="109">
        <f t="shared" si="468"/>
        <v>0.89673796296296304</v>
      </c>
      <c r="KQ56" s="109">
        <f t="shared" si="468"/>
        <v>0.89708102620893326</v>
      </c>
      <c r="KR56" s="109">
        <f t="shared" si="468"/>
        <v>0.8974218175128772</v>
      </c>
      <c r="KS56" s="109">
        <f t="shared" si="468"/>
        <v>0.89776035936927034</v>
      </c>
      <c r="KT56" s="109">
        <f t="shared" si="468"/>
        <v>0.8980966739766082</v>
      </c>
      <c r="KU56" s="109" t="str">
        <f t="shared" si="468"/>
        <v/>
      </c>
      <c r="KV56" s="109" t="str">
        <f t="shared" si="468"/>
        <v/>
      </c>
      <c r="KW56" s="109" t="str">
        <f t="shared" si="468"/>
        <v/>
      </c>
      <c r="KX56" s="109" t="str">
        <f t="shared" si="468"/>
        <v/>
      </c>
      <c r="KY56" s="109" t="str">
        <f t="shared" si="468"/>
        <v/>
      </c>
      <c r="KZ56" s="109" t="str">
        <f t="shared" si="468"/>
        <v/>
      </c>
      <c r="LA56" s="109" t="str">
        <f t="shared" si="468"/>
        <v/>
      </c>
      <c r="LB56" s="109" t="str">
        <f t="shared" si="468"/>
        <v/>
      </c>
      <c r="LC56" s="109" t="str">
        <f t="shared" si="468"/>
        <v/>
      </c>
      <c r="LD56" s="109" t="str">
        <f t="shared" si="468"/>
        <v/>
      </c>
      <c r="LE56" s="109" t="str">
        <f t="shared" ref="LE56:NP56" si="469">IF(OR(LE$13="",LE$17="",LE$14="",LE$15="",LE$16="",LE$18="",LE$19="",LE$20="",LE$21=""),"",1-(LE83/(LE$4)))</f>
        <v/>
      </c>
      <c r="LF56" s="109" t="str">
        <f t="shared" si="469"/>
        <v/>
      </c>
      <c r="LG56" s="109" t="str">
        <f t="shared" si="469"/>
        <v/>
      </c>
      <c r="LH56" s="109" t="str">
        <f t="shared" si="469"/>
        <v/>
      </c>
      <c r="LI56" s="109" t="str">
        <f t="shared" si="469"/>
        <v/>
      </c>
      <c r="LJ56" s="109" t="str">
        <f t="shared" si="469"/>
        <v/>
      </c>
      <c r="LK56" s="109" t="str">
        <f t="shared" si="469"/>
        <v/>
      </c>
      <c r="LL56" s="109" t="str">
        <f t="shared" si="469"/>
        <v/>
      </c>
      <c r="LM56" s="109" t="str">
        <f t="shared" si="469"/>
        <v/>
      </c>
      <c r="LN56" s="109" t="str">
        <f t="shared" si="469"/>
        <v/>
      </c>
      <c r="LO56" s="109" t="str">
        <f t="shared" si="469"/>
        <v/>
      </c>
      <c r="LP56" s="109" t="str">
        <f t="shared" si="469"/>
        <v/>
      </c>
      <c r="LQ56" s="109" t="str">
        <f t="shared" si="469"/>
        <v/>
      </c>
      <c r="LR56" s="109" t="str">
        <f t="shared" si="469"/>
        <v/>
      </c>
      <c r="LS56" s="109" t="str">
        <f t="shared" si="469"/>
        <v/>
      </c>
      <c r="LT56" s="109" t="str">
        <f t="shared" si="469"/>
        <v/>
      </c>
      <c r="LU56" s="109" t="str">
        <f t="shared" si="469"/>
        <v/>
      </c>
      <c r="LV56" s="109" t="str">
        <f t="shared" si="469"/>
        <v/>
      </c>
      <c r="LW56" s="109" t="str">
        <f t="shared" si="469"/>
        <v/>
      </c>
      <c r="LX56" s="109" t="str">
        <f t="shared" si="469"/>
        <v/>
      </c>
      <c r="LY56" s="109" t="str">
        <f t="shared" si="469"/>
        <v/>
      </c>
      <c r="LZ56" s="109" t="str">
        <f t="shared" si="469"/>
        <v/>
      </c>
      <c r="MA56" s="109" t="str">
        <f t="shared" si="469"/>
        <v/>
      </c>
      <c r="MB56" s="109" t="str">
        <f t="shared" si="469"/>
        <v/>
      </c>
      <c r="MC56" s="109" t="str">
        <f t="shared" si="469"/>
        <v/>
      </c>
      <c r="MD56" s="109" t="str">
        <f t="shared" si="469"/>
        <v/>
      </c>
      <c r="ME56" s="109" t="str">
        <f t="shared" si="469"/>
        <v/>
      </c>
      <c r="MF56" s="109" t="str">
        <f t="shared" si="469"/>
        <v/>
      </c>
      <c r="MG56" s="109" t="str">
        <f t="shared" si="469"/>
        <v/>
      </c>
      <c r="MH56" s="109" t="str">
        <f t="shared" si="469"/>
        <v/>
      </c>
      <c r="MI56" s="109" t="str">
        <f t="shared" si="469"/>
        <v/>
      </c>
      <c r="MJ56" s="109" t="str">
        <f t="shared" si="469"/>
        <v/>
      </c>
      <c r="MK56" s="109" t="str">
        <f t="shared" si="469"/>
        <v/>
      </c>
      <c r="ML56" s="109" t="str">
        <f t="shared" si="469"/>
        <v/>
      </c>
      <c r="MM56" s="109" t="str">
        <f t="shared" si="469"/>
        <v/>
      </c>
      <c r="MN56" s="109" t="str">
        <f t="shared" si="469"/>
        <v/>
      </c>
      <c r="MO56" s="109" t="str">
        <f t="shared" si="469"/>
        <v/>
      </c>
      <c r="MP56" s="109" t="str">
        <f t="shared" si="469"/>
        <v/>
      </c>
      <c r="MQ56" s="109" t="str">
        <f t="shared" si="469"/>
        <v/>
      </c>
      <c r="MR56" s="109" t="str">
        <f t="shared" si="469"/>
        <v/>
      </c>
      <c r="MS56" s="109" t="str">
        <f t="shared" si="469"/>
        <v/>
      </c>
      <c r="MT56" s="109" t="str">
        <f t="shared" si="469"/>
        <v/>
      </c>
      <c r="MU56" s="109" t="str">
        <f t="shared" si="469"/>
        <v/>
      </c>
      <c r="MV56" s="109" t="str">
        <f t="shared" si="469"/>
        <v/>
      </c>
      <c r="MW56" s="109" t="str">
        <f t="shared" si="469"/>
        <v/>
      </c>
      <c r="MX56" s="109" t="str">
        <f t="shared" si="469"/>
        <v/>
      </c>
      <c r="MY56" s="109" t="str">
        <f t="shared" si="469"/>
        <v/>
      </c>
      <c r="MZ56" s="109" t="str">
        <f t="shared" si="469"/>
        <v/>
      </c>
      <c r="NA56" s="109" t="str">
        <f t="shared" si="469"/>
        <v/>
      </c>
      <c r="NB56" s="109" t="str">
        <f t="shared" si="469"/>
        <v/>
      </c>
      <c r="NC56" s="109" t="str">
        <f t="shared" si="469"/>
        <v/>
      </c>
      <c r="ND56" s="109" t="str">
        <f t="shared" si="469"/>
        <v/>
      </c>
      <c r="NE56" s="109" t="str">
        <f t="shared" si="469"/>
        <v/>
      </c>
      <c r="NF56" s="109" t="str">
        <f t="shared" si="469"/>
        <v/>
      </c>
      <c r="NG56" s="109" t="str">
        <f t="shared" si="469"/>
        <v/>
      </c>
      <c r="NH56" s="109" t="str">
        <f t="shared" si="469"/>
        <v/>
      </c>
      <c r="NI56" s="109" t="str">
        <f t="shared" si="469"/>
        <v/>
      </c>
      <c r="NJ56" s="109" t="str">
        <f t="shared" si="469"/>
        <v/>
      </c>
      <c r="NK56" s="109" t="str">
        <f t="shared" si="469"/>
        <v/>
      </c>
      <c r="NL56" s="109" t="str">
        <f t="shared" si="469"/>
        <v/>
      </c>
      <c r="NM56" s="109" t="str">
        <f t="shared" si="469"/>
        <v/>
      </c>
      <c r="NN56" s="109" t="str">
        <f t="shared" si="469"/>
        <v/>
      </c>
      <c r="NO56" s="109" t="str">
        <f t="shared" si="469"/>
        <v/>
      </c>
      <c r="NP56" s="109" t="str">
        <f t="shared" si="469"/>
        <v/>
      </c>
      <c r="NQ56" s="109" t="str">
        <f t="shared" ref="NQ56:QB56" si="470">IF(OR(NQ$13="",NQ$17="",NQ$14="",NQ$15="",NQ$16="",NQ$18="",NQ$19="",NQ$20="",NQ$21=""),"",1-(NQ83/(NQ$4)))</f>
        <v/>
      </c>
      <c r="NR56" s="109" t="str">
        <f t="shared" si="470"/>
        <v/>
      </c>
      <c r="NS56" s="109" t="str">
        <f t="shared" si="470"/>
        <v/>
      </c>
      <c r="NT56" s="109" t="str">
        <f t="shared" si="470"/>
        <v/>
      </c>
      <c r="NU56" s="109" t="str">
        <f t="shared" si="470"/>
        <v/>
      </c>
      <c r="NV56" s="109" t="str">
        <f t="shared" si="470"/>
        <v/>
      </c>
      <c r="NW56" s="109" t="str">
        <f t="shared" si="470"/>
        <v/>
      </c>
      <c r="NX56" s="109" t="str">
        <f t="shared" si="470"/>
        <v/>
      </c>
      <c r="NY56" s="109" t="str">
        <f t="shared" si="470"/>
        <v/>
      </c>
      <c r="NZ56" s="109" t="str">
        <f t="shared" si="470"/>
        <v/>
      </c>
      <c r="OA56" s="109" t="str">
        <f t="shared" si="470"/>
        <v/>
      </c>
      <c r="OB56" s="109" t="str">
        <f t="shared" si="470"/>
        <v/>
      </c>
      <c r="OC56" s="109" t="str">
        <f t="shared" si="470"/>
        <v/>
      </c>
      <c r="OD56" s="109" t="str">
        <f t="shared" si="470"/>
        <v/>
      </c>
      <c r="OE56" s="109" t="str">
        <f t="shared" si="470"/>
        <v/>
      </c>
      <c r="OF56" s="109" t="str">
        <f t="shared" si="470"/>
        <v/>
      </c>
      <c r="OG56" s="109" t="str">
        <f t="shared" si="470"/>
        <v/>
      </c>
      <c r="OH56" s="109" t="str">
        <f t="shared" si="470"/>
        <v/>
      </c>
      <c r="OI56" s="109" t="str">
        <f t="shared" si="470"/>
        <v/>
      </c>
      <c r="OJ56" s="109" t="str">
        <f t="shared" si="470"/>
        <v/>
      </c>
      <c r="OK56" s="109" t="str">
        <f t="shared" si="470"/>
        <v/>
      </c>
      <c r="OL56" s="109" t="str">
        <f t="shared" si="470"/>
        <v/>
      </c>
      <c r="OM56" s="109" t="str">
        <f t="shared" si="470"/>
        <v/>
      </c>
      <c r="ON56" s="109" t="str">
        <f t="shared" si="470"/>
        <v/>
      </c>
      <c r="OO56" s="109" t="str">
        <f t="shared" si="470"/>
        <v/>
      </c>
      <c r="OP56" s="109" t="str">
        <f t="shared" si="470"/>
        <v/>
      </c>
      <c r="OQ56" s="109" t="str">
        <f t="shared" si="470"/>
        <v/>
      </c>
      <c r="OR56" s="109" t="str">
        <f t="shared" si="470"/>
        <v/>
      </c>
      <c r="OS56" s="109" t="str">
        <f t="shared" si="470"/>
        <v/>
      </c>
      <c r="OT56" s="109" t="str">
        <f t="shared" si="470"/>
        <v/>
      </c>
      <c r="OU56" s="109" t="str">
        <f t="shared" si="470"/>
        <v/>
      </c>
      <c r="OV56" s="109" t="str">
        <f t="shared" si="470"/>
        <v/>
      </c>
      <c r="OW56" s="109" t="str">
        <f t="shared" si="470"/>
        <v/>
      </c>
      <c r="OX56" s="109" t="str">
        <f t="shared" si="470"/>
        <v/>
      </c>
      <c r="OY56" s="109" t="str">
        <f t="shared" si="470"/>
        <v/>
      </c>
      <c r="OZ56" s="109" t="str">
        <f t="shared" si="470"/>
        <v/>
      </c>
      <c r="PA56" s="109" t="str">
        <f t="shared" si="470"/>
        <v/>
      </c>
      <c r="PB56" s="109" t="str">
        <f t="shared" si="470"/>
        <v/>
      </c>
      <c r="PC56" s="109" t="str">
        <f t="shared" si="470"/>
        <v/>
      </c>
      <c r="PD56" s="109" t="str">
        <f t="shared" si="470"/>
        <v/>
      </c>
      <c r="PE56" s="109" t="str">
        <f t="shared" si="470"/>
        <v/>
      </c>
      <c r="PF56" s="109" t="str">
        <f t="shared" si="470"/>
        <v/>
      </c>
      <c r="PG56" s="109" t="str">
        <f t="shared" si="470"/>
        <v/>
      </c>
      <c r="PH56" s="109" t="str">
        <f t="shared" si="470"/>
        <v/>
      </c>
      <c r="PI56" s="109" t="str">
        <f t="shared" si="470"/>
        <v/>
      </c>
      <c r="PJ56" s="109" t="str">
        <f t="shared" si="470"/>
        <v/>
      </c>
      <c r="PK56" s="109" t="str">
        <f t="shared" si="470"/>
        <v/>
      </c>
      <c r="PL56" s="109" t="str">
        <f t="shared" si="470"/>
        <v/>
      </c>
      <c r="PM56" s="109" t="str">
        <f t="shared" si="470"/>
        <v/>
      </c>
      <c r="PN56" s="109" t="str">
        <f t="shared" si="470"/>
        <v/>
      </c>
      <c r="PO56" s="109" t="str">
        <f t="shared" si="470"/>
        <v/>
      </c>
      <c r="PP56" s="109" t="str">
        <f t="shared" si="470"/>
        <v/>
      </c>
      <c r="PQ56" s="109" t="str">
        <f t="shared" si="470"/>
        <v/>
      </c>
      <c r="PR56" s="109" t="str">
        <f t="shared" si="470"/>
        <v/>
      </c>
      <c r="PS56" s="109" t="str">
        <f t="shared" si="470"/>
        <v/>
      </c>
      <c r="PT56" s="109" t="str">
        <f t="shared" si="470"/>
        <v/>
      </c>
      <c r="PU56" s="109" t="str">
        <f t="shared" si="470"/>
        <v/>
      </c>
      <c r="PV56" s="109" t="str">
        <f t="shared" si="470"/>
        <v/>
      </c>
      <c r="PW56" s="109" t="str">
        <f t="shared" si="470"/>
        <v/>
      </c>
      <c r="PX56" s="109" t="str">
        <f t="shared" si="470"/>
        <v/>
      </c>
      <c r="PY56" s="109" t="str">
        <f t="shared" si="470"/>
        <v/>
      </c>
      <c r="PZ56" s="109" t="str">
        <f t="shared" si="470"/>
        <v/>
      </c>
      <c r="QA56" s="109" t="str">
        <f t="shared" si="470"/>
        <v/>
      </c>
      <c r="QB56" s="109" t="str">
        <f t="shared" si="470"/>
        <v/>
      </c>
      <c r="QC56" s="109" t="str">
        <f t="shared" ref="QC56:SN56" si="471">IF(OR(QC$13="",QC$17="",QC$14="",QC$15="",QC$16="",QC$18="",QC$19="",QC$20="",QC$21=""),"",1-(QC83/(QC$4)))</f>
        <v/>
      </c>
      <c r="QD56" s="109" t="str">
        <f t="shared" si="471"/>
        <v/>
      </c>
      <c r="QE56" s="109" t="str">
        <f t="shared" si="471"/>
        <v/>
      </c>
      <c r="QF56" s="109" t="str">
        <f t="shared" si="471"/>
        <v/>
      </c>
      <c r="QG56" s="109" t="str">
        <f t="shared" si="471"/>
        <v/>
      </c>
      <c r="QH56" s="109" t="str">
        <f t="shared" si="471"/>
        <v/>
      </c>
      <c r="QI56" s="109" t="str">
        <f t="shared" si="471"/>
        <v/>
      </c>
      <c r="QJ56" s="109" t="str">
        <f t="shared" si="471"/>
        <v/>
      </c>
      <c r="QK56" s="109" t="str">
        <f t="shared" si="471"/>
        <v/>
      </c>
      <c r="QL56" s="109" t="str">
        <f t="shared" si="471"/>
        <v/>
      </c>
      <c r="QM56" s="109" t="str">
        <f t="shared" si="471"/>
        <v/>
      </c>
      <c r="QN56" s="109" t="str">
        <f t="shared" si="471"/>
        <v/>
      </c>
      <c r="QO56" s="109" t="str">
        <f t="shared" si="471"/>
        <v/>
      </c>
      <c r="QP56" s="109" t="str">
        <f t="shared" si="471"/>
        <v/>
      </c>
      <c r="QQ56" s="109" t="str">
        <f t="shared" si="471"/>
        <v/>
      </c>
      <c r="QR56" s="109" t="str">
        <f t="shared" si="471"/>
        <v/>
      </c>
      <c r="QS56" s="109" t="str">
        <f t="shared" si="471"/>
        <v/>
      </c>
      <c r="QT56" s="109" t="str">
        <f t="shared" si="471"/>
        <v/>
      </c>
      <c r="QU56" s="109" t="str">
        <f t="shared" si="471"/>
        <v/>
      </c>
      <c r="QV56" s="109" t="str">
        <f t="shared" si="471"/>
        <v/>
      </c>
      <c r="QW56" s="109" t="str">
        <f t="shared" si="471"/>
        <v/>
      </c>
      <c r="QX56" s="109" t="str">
        <f t="shared" si="471"/>
        <v/>
      </c>
      <c r="QY56" s="109" t="str">
        <f t="shared" si="471"/>
        <v/>
      </c>
      <c r="QZ56" s="109" t="str">
        <f t="shared" si="471"/>
        <v/>
      </c>
      <c r="RA56" s="109" t="str">
        <f t="shared" si="471"/>
        <v/>
      </c>
      <c r="RB56" s="109" t="str">
        <f t="shared" si="471"/>
        <v/>
      </c>
      <c r="RC56" s="109" t="str">
        <f t="shared" si="471"/>
        <v/>
      </c>
      <c r="RD56" s="109" t="str">
        <f t="shared" si="471"/>
        <v/>
      </c>
      <c r="RE56" s="109" t="str">
        <f t="shared" si="471"/>
        <v/>
      </c>
      <c r="RF56" s="109" t="str">
        <f t="shared" si="471"/>
        <v/>
      </c>
      <c r="RG56" s="109" t="str">
        <f t="shared" si="471"/>
        <v/>
      </c>
      <c r="RH56" s="109" t="str">
        <f t="shared" si="471"/>
        <v/>
      </c>
      <c r="RI56" s="109" t="str">
        <f t="shared" si="471"/>
        <v/>
      </c>
      <c r="RJ56" s="109" t="str">
        <f t="shared" si="471"/>
        <v/>
      </c>
      <c r="RK56" s="109" t="str">
        <f t="shared" si="471"/>
        <v/>
      </c>
      <c r="RL56" s="109" t="str">
        <f t="shared" si="471"/>
        <v/>
      </c>
      <c r="RM56" s="109" t="str">
        <f t="shared" si="471"/>
        <v/>
      </c>
      <c r="RN56" s="109" t="str">
        <f t="shared" si="471"/>
        <v/>
      </c>
      <c r="RO56" s="109" t="str">
        <f t="shared" si="471"/>
        <v/>
      </c>
      <c r="RP56" s="109" t="str">
        <f t="shared" si="471"/>
        <v/>
      </c>
      <c r="RQ56" s="109" t="str">
        <f t="shared" si="471"/>
        <v/>
      </c>
      <c r="RR56" s="109" t="str">
        <f t="shared" si="471"/>
        <v/>
      </c>
      <c r="RS56" s="109" t="str">
        <f t="shared" si="471"/>
        <v/>
      </c>
      <c r="RT56" s="109" t="str">
        <f t="shared" si="471"/>
        <v/>
      </c>
      <c r="RU56" s="109" t="str">
        <f t="shared" si="471"/>
        <v/>
      </c>
      <c r="RV56" s="109" t="str">
        <f t="shared" si="471"/>
        <v/>
      </c>
      <c r="RW56" s="109" t="str">
        <f t="shared" si="471"/>
        <v/>
      </c>
      <c r="RX56" s="109" t="str">
        <f t="shared" si="471"/>
        <v/>
      </c>
      <c r="RY56" s="109" t="str">
        <f t="shared" si="471"/>
        <v/>
      </c>
      <c r="RZ56" s="109" t="str">
        <f t="shared" si="471"/>
        <v/>
      </c>
      <c r="SA56" s="109" t="str">
        <f t="shared" si="471"/>
        <v/>
      </c>
      <c r="SB56" s="109" t="str">
        <f t="shared" si="471"/>
        <v/>
      </c>
      <c r="SC56" s="109" t="str">
        <f t="shared" si="471"/>
        <v/>
      </c>
      <c r="SD56" s="109" t="str">
        <f t="shared" si="471"/>
        <v/>
      </c>
      <c r="SE56" s="109" t="str">
        <f t="shared" si="471"/>
        <v/>
      </c>
      <c r="SF56" s="109" t="str">
        <f t="shared" si="471"/>
        <v/>
      </c>
      <c r="SG56" s="109" t="str">
        <f t="shared" si="471"/>
        <v/>
      </c>
      <c r="SH56" s="109" t="str">
        <f t="shared" si="471"/>
        <v/>
      </c>
      <c r="SI56" s="109" t="str">
        <f t="shared" si="471"/>
        <v/>
      </c>
      <c r="SJ56" s="109" t="str">
        <f t="shared" si="471"/>
        <v/>
      </c>
      <c r="SK56" s="109" t="str">
        <f t="shared" si="471"/>
        <v/>
      </c>
      <c r="SL56" s="109" t="str">
        <f t="shared" si="471"/>
        <v/>
      </c>
      <c r="SM56" s="109" t="str">
        <f t="shared" si="471"/>
        <v/>
      </c>
      <c r="SN56" s="109" t="str">
        <f t="shared" si="471"/>
        <v/>
      </c>
      <c r="SO56" s="109" t="str">
        <f t="shared" ref="SO56:SW56" si="472">IF(OR(SO$13="",SO$17="",SO$14="",SO$15="",SO$16="",SO$18="",SO$19="",SO$20="",SO$21=""),"",1-(SO83/(SO$4)))</f>
        <v/>
      </c>
      <c r="SP56" s="109" t="str">
        <f t="shared" si="472"/>
        <v/>
      </c>
      <c r="SQ56" s="109" t="str">
        <f t="shared" si="472"/>
        <v/>
      </c>
      <c r="SR56" s="109" t="str">
        <f t="shared" si="472"/>
        <v/>
      </c>
      <c r="SS56" s="109" t="str">
        <f t="shared" si="472"/>
        <v/>
      </c>
      <c r="ST56" s="109" t="str">
        <f t="shared" si="472"/>
        <v/>
      </c>
      <c r="SU56" s="109" t="str">
        <f t="shared" si="472"/>
        <v/>
      </c>
      <c r="SV56" s="109" t="str">
        <f t="shared" si="472"/>
        <v/>
      </c>
      <c r="SW56" s="109" t="str">
        <f t="shared" si="472"/>
        <v/>
      </c>
    </row>
    <row r="57" spans="1:517" ht="24.6" customHeight="1" x14ac:dyDescent="0.2">
      <c r="A57" s="94" t="s">
        <v>86</v>
      </c>
      <c r="B57" s="117" t="s">
        <v>81</v>
      </c>
      <c r="C57" s="109">
        <f t="shared" ref="C57:AH57" si="473">IF(OR(C$13="",C$17="",C$14="",C$15="",C$16="",C$18="",C$19="",C$20="",C$21=""),"",1-(C84/(C$4)))</f>
        <v>1</v>
      </c>
      <c r="D57" s="109">
        <f t="shared" si="473"/>
        <v>1</v>
      </c>
      <c r="E57" s="109">
        <f t="shared" si="473"/>
        <v>1</v>
      </c>
      <c r="F57" s="109">
        <f t="shared" si="473"/>
        <v>1</v>
      </c>
      <c r="G57" s="109">
        <f t="shared" si="473"/>
        <v>1</v>
      </c>
      <c r="H57" s="109">
        <f t="shared" si="473"/>
        <v>1</v>
      </c>
      <c r="I57" s="109">
        <f t="shared" si="473"/>
        <v>1</v>
      </c>
      <c r="J57" s="109">
        <f t="shared" si="473"/>
        <v>1</v>
      </c>
      <c r="K57" s="109">
        <f t="shared" si="473"/>
        <v>0.99421296296296291</v>
      </c>
      <c r="L57" s="109">
        <f t="shared" si="473"/>
        <v>0.96050000000000002</v>
      </c>
      <c r="M57" s="109">
        <f t="shared" si="473"/>
        <v>0.82632575757575755</v>
      </c>
      <c r="N57" s="109">
        <f t="shared" si="473"/>
        <v>0.84079861111111109</v>
      </c>
      <c r="O57" s="109">
        <f t="shared" si="473"/>
        <v>0.71580128205128202</v>
      </c>
      <c r="P57" s="109">
        <f t="shared" si="473"/>
        <v>0.73610119047619049</v>
      </c>
      <c r="Q57" s="109">
        <f t="shared" si="473"/>
        <v>0.73577777777777775</v>
      </c>
      <c r="R57" s="109">
        <f t="shared" si="473"/>
        <v>0.72677083333333337</v>
      </c>
      <c r="S57" s="109">
        <f t="shared" si="473"/>
        <v>0.74034313725490186</v>
      </c>
      <c r="T57" s="109">
        <f t="shared" si="473"/>
        <v>0.74219907407407404</v>
      </c>
      <c r="U57" s="109">
        <f t="shared" si="473"/>
        <v>0.74859649122807015</v>
      </c>
      <c r="V57" s="109">
        <f t="shared" si="473"/>
        <v>0.74310416666666668</v>
      </c>
      <c r="W57" s="109">
        <f t="shared" si="473"/>
        <v>0.75533730158730161</v>
      </c>
      <c r="X57" s="109">
        <f t="shared" si="473"/>
        <v>0.76645833333333335</v>
      </c>
      <c r="Y57" s="109">
        <f t="shared" si="473"/>
        <v>0.73871376811594192</v>
      </c>
      <c r="Z57" s="109">
        <f t="shared" si="473"/>
        <v>0.73446180555555551</v>
      </c>
      <c r="AA57" s="109">
        <f t="shared" si="473"/>
        <v>0.74394999999999989</v>
      </c>
      <c r="AB57" s="109">
        <f t="shared" si="473"/>
        <v>0.75379807692307688</v>
      </c>
      <c r="AC57" s="109">
        <f t="shared" si="473"/>
        <v>0.76291666666666669</v>
      </c>
      <c r="AD57" s="109">
        <f t="shared" si="473"/>
        <v>0.71316964285714279</v>
      </c>
      <c r="AE57" s="109">
        <f t="shared" si="473"/>
        <v>0.72306034482758619</v>
      </c>
      <c r="AF57" s="109">
        <f t="shared" si="473"/>
        <v>0.71113888888888888</v>
      </c>
      <c r="AG57" s="109">
        <f t="shared" si="473"/>
        <v>0.7143145161290323</v>
      </c>
      <c r="AH57" s="109">
        <f t="shared" si="473"/>
        <v>0.72067708333333336</v>
      </c>
      <c r="AI57" s="109">
        <f t="shared" ref="AI57:BN57" si="474">IF(OR(AI$13="",AI$17="",AI$14="",AI$15="",AI$16="",AI$18="",AI$19="",AI$20="",AI$21=""),"",1-(AI84/(AI$4)))</f>
        <v>0.72914141414141409</v>
      </c>
      <c r="AJ57" s="109">
        <f t="shared" si="474"/>
        <v>0.73710784313725486</v>
      </c>
      <c r="AK57" s="109">
        <f t="shared" si="474"/>
        <v>0.74461904761904762</v>
      </c>
      <c r="AL57" s="109">
        <f t="shared" si="474"/>
        <v>0.75171296296296297</v>
      </c>
      <c r="AM57" s="109">
        <f t="shared" si="474"/>
        <v>0.75707207207207206</v>
      </c>
      <c r="AN57" s="109">
        <f t="shared" si="474"/>
        <v>0.76346491228070179</v>
      </c>
      <c r="AO57" s="109">
        <f t="shared" si="474"/>
        <v>0.75753205128205126</v>
      </c>
      <c r="AP57" s="109">
        <f t="shared" si="474"/>
        <v>0.75986458333333329</v>
      </c>
      <c r="AQ57" s="109">
        <f t="shared" si="474"/>
        <v>0.76285569105691053</v>
      </c>
      <c r="AR57" s="109">
        <f t="shared" si="474"/>
        <v>0.76850198412698412</v>
      </c>
      <c r="AS57" s="109">
        <f t="shared" si="474"/>
        <v>0.77388565891472871</v>
      </c>
      <c r="AT57" s="109">
        <f t="shared" si="474"/>
        <v>0.77902462121212124</v>
      </c>
      <c r="AU57" s="109">
        <f t="shared" si="474"/>
        <v>0.7804444444444445</v>
      </c>
      <c r="AV57" s="109">
        <f t="shared" si="474"/>
        <v>0.78521739130434787</v>
      </c>
      <c r="AW57" s="109">
        <f t="shared" si="474"/>
        <v>0.78978723404255313</v>
      </c>
      <c r="AX57" s="109">
        <f t="shared" si="474"/>
        <v>0.79416666666666669</v>
      </c>
      <c r="AY57" s="109">
        <f t="shared" si="474"/>
        <v>0.77923469387755095</v>
      </c>
      <c r="AZ57" s="109">
        <f t="shared" si="474"/>
        <v>0.77659166666666668</v>
      </c>
      <c r="BA57" s="109">
        <f t="shared" si="474"/>
        <v>0.78097222222222218</v>
      </c>
      <c r="BB57" s="109">
        <f t="shared" si="474"/>
        <v>0.78518429487179486</v>
      </c>
      <c r="BC57" s="109">
        <f t="shared" si="474"/>
        <v>0.78923742138364772</v>
      </c>
      <c r="BD57" s="109">
        <f t="shared" si="474"/>
        <v>0.79061728395061726</v>
      </c>
      <c r="BE57" s="109">
        <f t="shared" si="474"/>
        <v>0.79442424242424248</v>
      </c>
      <c r="BF57" s="109">
        <f t="shared" si="474"/>
        <v>0.79809523809523808</v>
      </c>
      <c r="BG57" s="109">
        <f t="shared" si="474"/>
        <v>0.80163742690058482</v>
      </c>
      <c r="BH57" s="109">
        <f t="shared" si="474"/>
        <v>0.80505747126436777</v>
      </c>
      <c r="BI57" s="109">
        <f t="shared" si="474"/>
        <v>0.8083615819209039</v>
      </c>
      <c r="BJ57" s="109">
        <f t="shared" si="474"/>
        <v>0.79325000000000001</v>
      </c>
      <c r="BK57" s="109">
        <f t="shared" si="474"/>
        <v>0.7966393442622951</v>
      </c>
      <c r="BL57" s="109">
        <f t="shared" si="474"/>
        <v>0.79540322580645162</v>
      </c>
      <c r="BM57" s="109">
        <f t="shared" si="474"/>
        <v>0.79865079365079361</v>
      </c>
      <c r="BN57" s="109">
        <f t="shared" si="474"/>
        <v>0.80102864583333333</v>
      </c>
      <c r="BO57" s="109">
        <f t="shared" ref="BO57:CT57" si="475">IF(OR(BO$13="",BO$17="",BO$14="",BO$15="",BO$16="",BO$18="",BO$19="",BO$20="",BO$21=""),"",1-(BO84/(BO$4)))</f>
        <v>0.79355769230769224</v>
      </c>
      <c r="BP57" s="109">
        <f t="shared" si="475"/>
        <v>0.79668560606060601</v>
      </c>
      <c r="BQ57" s="109">
        <f t="shared" si="475"/>
        <v>0.79802860696517408</v>
      </c>
      <c r="BR57" s="109">
        <f t="shared" si="475"/>
        <v>0.79997549019607839</v>
      </c>
      <c r="BS57" s="109">
        <f t="shared" si="475"/>
        <v>0.79250603864734293</v>
      </c>
      <c r="BT57" s="109">
        <f t="shared" si="475"/>
        <v>0.79547023809523798</v>
      </c>
      <c r="BU57" s="109">
        <f t="shared" si="475"/>
        <v>0.79835093896713605</v>
      </c>
      <c r="BV57" s="109">
        <f t="shared" si="475"/>
        <v>0.79559606481481471</v>
      </c>
      <c r="BW57" s="109">
        <f t="shared" si="475"/>
        <v>0.79772831050228299</v>
      </c>
      <c r="BX57" s="109">
        <f t="shared" si="475"/>
        <v>0.80046171171171165</v>
      </c>
      <c r="BY57" s="109">
        <f t="shared" si="475"/>
        <v>0.80312222222222207</v>
      </c>
      <c r="BZ57" s="109">
        <f t="shared" si="475"/>
        <v>0.80377741228070165</v>
      </c>
      <c r="CA57" s="109">
        <f t="shared" si="475"/>
        <v>0.80632575757575753</v>
      </c>
      <c r="CB57" s="109">
        <f t="shared" si="475"/>
        <v>0.80880876068376062</v>
      </c>
      <c r="CC57" s="109">
        <f t="shared" si="475"/>
        <v>0.81122890295358641</v>
      </c>
      <c r="CD57" s="109">
        <f t="shared" si="475"/>
        <v>0.81255208333333329</v>
      </c>
      <c r="CE57" s="109">
        <f t="shared" si="475"/>
        <v>0.81486625514403288</v>
      </c>
      <c r="CF57" s="109">
        <f t="shared" si="475"/>
        <v>0.8171239837398373</v>
      </c>
      <c r="CG57" s="109">
        <f t="shared" si="475"/>
        <v>0.81932730923694774</v>
      </c>
      <c r="CH57" s="109">
        <f t="shared" si="475"/>
        <v>0.82147817460317452</v>
      </c>
      <c r="CI57" s="109">
        <f t="shared" si="475"/>
        <v>0.82270588235294118</v>
      </c>
      <c r="CJ57" s="109">
        <f t="shared" si="475"/>
        <v>0.82476744186046502</v>
      </c>
      <c r="CK57" s="109">
        <f t="shared" si="475"/>
        <v>0.82678160919540222</v>
      </c>
      <c r="CL57" s="109">
        <f t="shared" si="475"/>
        <v>0.8277651515151514</v>
      </c>
      <c r="CM57" s="109">
        <f t="shared" si="475"/>
        <v>0.82155430711610489</v>
      </c>
      <c r="CN57" s="109">
        <f t="shared" si="475"/>
        <v>0.81856018518518514</v>
      </c>
      <c r="CO57" s="109">
        <f t="shared" si="475"/>
        <v>0.81907509157509151</v>
      </c>
      <c r="CP57" s="109">
        <f t="shared" si="475"/>
        <v>0.82104166666666667</v>
      </c>
      <c r="CQ57" s="109">
        <f t="shared" si="475"/>
        <v>0.82296594982078852</v>
      </c>
      <c r="CR57" s="109">
        <f t="shared" si="475"/>
        <v>0.8248492907801418</v>
      </c>
      <c r="CS57" s="109">
        <f t="shared" si="475"/>
        <v>0.82669298245614031</v>
      </c>
      <c r="CT57" s="109">
        <f t="shared" si="475"/>
        <v>0.82849826388888881</v>
      </c>
      <c r="CU57" s="109">
        <f t="shared" ref="CU57:DT57" si="476">IF(OR(CU$13="",CU$17="",CU$14="",CU$15="",CU$16="",CU$18="",CU$19="",CU$20="",CU$21=""),"",1-(CU84/(CU$4)))</f>
        <v>0.82845360824742265</v>
      </c>
      <c r="CV57" s="109">
        <f t="shared" si="476"/>
        <v>0.83020408163265302</v>
      </c>
      <c r="CW57" s="109">
        <f t="shared" si="476"/>
        <v>0.83191919191919184</v>
      </c>
      <c r="CX57" s="109">
        <f t="shared" si="476"/>
        <v>0.8335999999999999</v>
      </c>
      <c r="CY57" s="109">
        <f t="shared" si="476"/>
        <v>0.83384488448844873</v>
      </c>
      <c r="CZ57" s="109">
        <f t="shared" si="476"/>
        <v>0.83547385620915027</v>
      </c>
      <c r="DA57" s="109">
        <f t="shared" si="476"/>
        <v>0.83400889967637537</v>
      </c>
      <c r="DB57" s="109">
        <f t="shared" si="476"/>
        <v>0.83560496794871786</v>
      </c>
      <c r="DC57" s="109">
        <f t="shared" si="476"/>
        <v>0.83717063492063493</v>
      </c>
      <c r="DD57" s="109">
        <f t="shared" si="476"/>
        <v>0.83870676100628927</v>
      </c>
      <c r="DE57" s="109">
        <f t="shared" si="476"/>
        <v>0.8394314641744548</v>
      </c>
      <c r="DF57" s="109">
        <f t="shared" si="476"/>
        <v>0.8409182098765432</v>
      </c>
      <c r="DG57" s="109">
        <f t="shared" si="476"/>
        <v>0.84237767584097856</v>
      </c>
      <c r="DH57" s="109">
        <f t="shared" si="476"/>
        <v>0.83201515151515149</v>
      </c>
      <c r="DI57" s="109">
        <f t="shared" si="476"/>
        <v>0.83352852852852855</v>
      </c>
      <c r="DJ57" s="109">
        <f t="shared" si="476"/>
        <v>0.83352306547619048</v>
      </c>
      <c r="DK57" s="109">
        <f t="shared" si="476"/>
        <v>0.8349963126843658</v>
      </c>
      <c r="DL57" s="109">
        <f t="shared" si="476"/>
        <v>0.83644371345029234</v>
      </c>
      <c r="DM57" s="109">
        <f t="shared" si="476"/>
        <v>0.83786594202898546</v>
      </c>
      <c r="DN57" s="109">
        <f t="shared" si="476"/>
        <v>0.83926364942528731</v>
      </c>
      <c r="DO57" s="109">
        <f t="shared" si="476"/>
        <v>0.83904202279202278</v>
      </c>
      <c r="DP57" s="109">
        <f t="shared" si="476"/>
        <v>0.83879943502824861</v>
      </c>
      <c r="DQ57" s="109">
        <f t="shared" si="476"/>
        <v>0.84015406162464989</v>
      </c>
      <c r="DR57" s="109">
        <f t="shared" si="476"/>
        <v>0.84148611111111105</v>
      </c>
      <c r="DS57" s="109">
        <f t="shared" si="476"/>
        <v>0.84279614325068863</v>
      </c>
      <c r="DT57" s="109">
        <f t="shared" si="476"/>
        <v>0.84408469945355191</v>
      </c>
      <c r="DU57" s="109">
        <f t="shared" ref="DU57:GF57" si="477">IF(OR(DU$13="",DU$17="",DU$14="",DU$15="",DU$16="",DU$18="",DU$19="",DU$20="",DU$21=""),"",1-(DU84/(DU$4)))</f>
        <v>0.84044715447154461</v>
      </c>
      <c r="DV57" s="109">
        <f t="shared" si="477"/>
        <v>0.83976814516129028</v>
      </c>
      <c r="DW57" s="109">
        <f t="shared" si="477"/>
        <v>0.84062666666666663</v>
      </c>
      <c r="DX57" s="109">
        <f t="shared" si="477"/>
        <v>0.838287037037037</v>
      </c>
      <c r="DY57" s="109">
        <f t="shared" si="477"/>
        <v>0.83956036745406815</v>
      </c>
      <c r="DZ57" s="109">
        <f t="shared" si="477"/>
        <v>0.83893554687499994</v>
      </c>
      <c r="EA57" s="109">
        <f t="shared" si="477"/>
        <v>0.84018410852713177</v>
      </c>
      <c r="EB57" s="109">
        <f t="shared" si="477"/>
        <v>0.84141346153846153</v>
      </c>
      <c r="EC57" s="109">
        <f t="shared" si="477"/>
        <v>0.84262404580152672</v>
      </c>
      <c r="ED57" s="109">
        <f t="shared" si="477"/>
        <v>0.84381628787878782</v>
      </c>
      <c r="EE57" s="109">
        <f t="shared" si="477"/>
        <v>0.84499060150375938</v>
      </c>
      <c r="EF57" s="109">
        <f t="shared" si="477"/>
        <v>0.84614738805970147</v>
      </c>
      <c r="EG57" s="109">
        <f t="shared" si="477"/>
        <v>0.84728703703703701</v>
      </c>
      <c r="EH57" s="109">
        <f t="shared" si="477"/>
        <v>0.84840992647058822</v>
      </c>
      <c r="EI57" s="109">
        <f t="shared" si="477"/>
        <v>0.8495164233576642</v>
      </c>
      <c r="EJ57" s="109">
        <f t="shared" si="477"/>
        <v>0.84654287439613518</v>
      </c>
      <c r="EK57" s="109">
        <f t="shared" si="477"/>
        <v>0.84764688249400477</v>
      </c>
      <c r="EL57" s="109">
        <f t="shared" si="477"/>
        <v>0.848735119047619</v>
      </c>
      <c r="EM57" s="109">
        <f t="shared" si="477"/>
        <v>0.84686761229314422</v>
      </c>
      <c r="EN57" s="109">
        <f t="shared" si="477"/>
        <v>0.84794600938967135</v>
      </c>
      <c r="EO57" s="109">
        <f t="shared" si="477"/>
        <v>0.84900932400932394</v>
      </c>
      <c r="EP57" s="109">
        <f t="shared" si="477"/>
        <v>0.84575520833333329</v>
      </c>
      <c r="EQ57" s="109">
        <f t="shared" si="477"/>
        <v>0.84681896551724134</v>
      </c>
      <c r="ER57" s="109">
        <f t="shared" si="477"/>
        <v>0.84786815068493149</v>
      </c>
      <c r="ES57" s="109">
        <f t="shared" si="477"/>
        <v>0.84890306122448977</v>
      </c>
      <c r="ET57" s="109">
        <f t="shared" si="477"/>
        <v>0.84850788288288292</v>
      </c>
      <c r="EU57" s="109">
        <f t="shared" si="477"/>
        <v>0.84952460850111855</v>
      </c>
      <c r="EV57" s="109">
        <f t="shared" si="477"/>
        <v>0.85052777777777777</v>
      </c>
      <c r="EW57" s="109">
        <f t="shared" si="477"/>
        <v>0.85151766004415008</v>
      </c>
      <c r="EX57" s="109">
        <f t="shared" si="477"/>
        <v>0.85249451754385963</v>
      </c>
      <c r="EY57" s="109">
        <f t="shared" si="477"/>
        <v>0.85345860566448795</v>
      </c>
      <c r="EZ57" s="109">
        <f t="shared" si="477"/>
        <v>0.8544101731601732</v>
      </c>
      <c r="FA57" s="109">
        <f t="shared" si="477"/>
        <v>0.8553494623655914</v>
      </c>
      <c r="FB57" s="109">
        <f t="shared" si="477"/>
        <v>0.85627670940170941</v>
      </c>
      <c r="FC57" s="109">
        <f t="shared" si="477"/>
        <v>0.85719214437367297</v>
      </c>
      <c r="FD57" s="109">
        <f t="shared" si="477"/>
        <v>0.85689609704641345</v>
      </c>
      <c r="FE57" s="109">
        <f t="shared" si="477"/>
        <v>0.85779612159329144</v>
      </c>
      <c r="FF57" s="109">
        <f t="shared" si="477"/>
        <v>0.85868489583333329</v>
      </c>
      <c r="FG57" s="109">
        <f t="shared" si="477"/>
        <v>0.85956262939958594</v>
      </c>
      <c r="FH57" s="109">
        <f t="shared" si="477"/>
        <v>0.86042952674897122</v>
      </c>
      <c r="FI57" s="109">
        <f t="shared" si="477"/>
        <v>0.86128578732106342</v>
      </c>
      <c r="FJ57" s="109">
        <f t="shared" si="477"/>
        <v>0.86213160569105696</v>
      </c>
      <c r="FK57" s="109">
        <f t="shared" si="477"/>
        <v>0.86296717171717174</v>
      </c>
      <c r="FL57" s="109">
        <f t="shared" si="477"/>
        <v>0.86379267068273091</v>
      </c>
      <c r="FM57" s="109">
        <f t="shared" si="477"/>
        <v>0.86333083832335333</v>
      </c>
      <c r="FN57" s="109">
        <f t="shared" si="477"/>
        <v>0.86414434523809525</v>
      </c>
      <c r="FO57" s="109">
        <f t="shared" si="477"/>
        <v>0.86062869822485211</v>
      </c>
      <c r="FP57" s="109">
        <f t="shared" si="477"/>
        <v>0.86144852941176475</v>
      </c>
      <c r="FQ57" s="109">
        <f t="shared" si="477"/>
        <v>0.86225877192982459</v>
      </c>
      <c r="FR57" s="109">
        <f t="shared" si="477"/>
        <v>0.82818798449612396</v>
      </c>
      <c r="FS57" s="109">
        <f t="shared" si="477"/>
        <v>0.8291811175337187</v>
      </c>
      <c r="FT57" s="109">
        <f t="shared" si="477"/>
        <v>0.83016283524904211</v>
      </c>
      <c r="FU57" s="109">
        <f t="shared" si="477"/>
        <v>0.83113333333333328</v>
      </c>
      <c r="FV57" s="109">
        <f t="shared" si="477"/>
        <v>0.83209280303030297</v>
      </c>
      <c r="FW57" s="109">
        <f t="shared" si="477"/>
        <v>0.83304143126177022</v>
      </c>
      <c r="FX57" s="109">
        <f t="shared" si="477"/>
        <v>0.83397940074906374</v>
      </c>
      <c r="FY57" s="109">
        <f t="shared" si="477"/>
        <v>0.8349068901303538</v>
      </c>
      <c r="FZ57" s="109">
        <f t="shared" si="477"/>
        <v>0.83582407407407411</v>
      </c>
      <c r="GA57" s="109">
        <f t="shared" si="433"/>
        <v>0.83673112338858191</v>
      </c>
      <c r="GB57" s="109">
        <f t="shared" si="433"/>
        <v>0.83762820512820513</v>
      </c>
      <c r="GC57" s="109">
        <f t="shared" si="477"/>
        <v>0.83851548269581055</v>
      </c>
      <c r="GD57" s="109">
        <f t="shared" si="477"/>
        <v>0.83939311594202892</v>
      </c>
      <c r="GE57" s="109">
        <f t="shared" si="477"/>
        <v>0.84026126126126122</v>
      </c>
      <c r="GF57" s="109">
        <f t="shared" si="477"/>
        <v>0.83963485663082438</v>
      </c>
      <c r="GG57" s="109">
        <f t="shared" ref="GG57:IR57" si="478">IF(OR(GG$13="",GG$17="",GG$14="",GG$15="",GG$16="",GG$18="",GG$19="",GG$20="",GG$21=""),"",1-(GG84/(GG$4)))</f>
        <v>0.83788547237076649</v>
      </c>
      <c r="GH57" s="109">
        <f t="shared" si="478"/>
        <v>0.83376551418439715</v>
      </c>
      <c r="GI57" s="109">
        <f t="shared" si="478"/>
        <v>0.83464506172839503</v>
      </c>
      <c r="GJ57" s="109">
        <f t="shared" si="478"/>
        <v>0.83543421052631572</v>
      </c>
      <c r="GK57" s="109">
        <f t="shared" si="478"/>
        <v>0.83629581151832455</v>
      </c>
      <c r="GL57" s="109">
        <f t="shared" si="478"/>
        <v>0.83714843750000001</v>
      </c>
      <c r="GM57" s="109">
        <f t="shared" si="478"/>
        <v>0.83742227979274608</v>
      </c>
      <c r="GN57" s="109">
        <f t="shared" si="478"/>
        <v>0.83826030927835049</v>
      </c>
      <c r="GO57" s="109">
        <f t="shared" si="478"/>
        <v>0.83908974358974353</v>
      </c>
      <c r="GP57" s="109">
        <f t="shared" si="478"/>
        <v>0.83991071428571429</v>
      </c>
      <c r="GQ57" s="109">
        <f t="shared" si="478"/>
        <v>0.84072335025380707</v>
      </c>
      <c r="GR57" s="109">
        <f t="shared" si="478"/>
        <v>0.84152777777777776</v>
      </c>
      <c r="GS57" s="109">
        <f t="shared" si="478"/>
        <v>0.84232412060301509</v>
      </c>
      <c r="GT57" s="109">
        <f t="shared" si="478"/>
        <v>0.84311249999999993</v>
      </c>
      <c r="GU57" s="109">
        <f t="shared" si="478"/>
        <v>0.84389303482587064</v>
      </c>
      <c r="GV57" s="109">
        <f t="shared" si="478"/>
        <v>0.84466584158415836</v>
      </c>
      <c r="GW57" s="109">
        <f t="shared" si="478"/>
        <v>0.83831486042692938</v>
      </c>
      <c r="GX57" s="109">
        <f t="shared" si="478"/>
        <v>0.83910743464052284</v>
      </c>
      <c r="GY57" s="109">
        <f t="shared" si="478"/>
        <v>0.83989227642276421</v>
      </c>
      <c r="GZ57" s="109">
        <f t="shared" si="478"/>
        <v>0.84066949838187699</v>
      </c>
      <c r="HA57" s="109">
        <f t="shared" si="478"/>
        <v>0.84143921095008056</v>
      </c>
      <c r="HB57" s="109">
        <f t="shared" si="478"/>
        <v>0.84220152243589741</v>
      </c>
      <c r="HC57" s="109">
        <f t="shared" si="478"/>
        <v>0.84295653907496015</v>
      </c>
      <c r="HD57" s="109">
        <f t="shared" si="478"/>
        <v>0.84370436507936508</v>
      </c>
      <c r="HE57" s="109">
        <f t="shared" si="478"/>
        <v>0.84444510268562401</v>
      </c>
      <c r="HF57" s="109">
        <f t="shared" si="478"/>
        <v>0.84517885220125788</v>
      </c>
      <c r="HG57" s="109">
        <f t="shared" si="478"/>
        <v>0.84544530299078424</v>
      </c>
      <c r="HH57" s="109">
        <f t="shared" si="478"/>
        <v>0.84616752120110761</v>
      </c>
      <c r="HI57" s="109">
        <f t="shared" si="478"/>
        <v>0.84467974806201551</v>
      </c>
      <c r="HJ57" s="109">
        <f t="shared" si="478"/>
        <v>0.84395913708847736</v>
      </c>
      <c r="HK57" s="109">
        <f t="shared" si="478"/>
        <v>0.84467821940604193</v>
      </c>
      <c r="HL57" s="109">
        <f t="shared" si="478"/>
        <v>0.84539070463812438</v>
      </c>
      <c r="HM57" s="109">
        <f t="shared" si="478"/>
        <v>0.84485915567393877</v>
      </c>
      <c r="HN57" s="109">
        <f t="shared" si="478"/>
        <v>0.8454865845959596</v>
      </c>
      <c r="HO57" s="109">
        <f t="shared" si="478"/>
        <v>0.84618574032176974</v>
      </c>
      <c r="HP57" s="109">
        <f t="shared" si="478"/>
        <v>0.84233301009342676</v>
      </c>
      <c r="HQ57" s="109">
        <f t="shared" si="478"/>
        <v>0.84269790109616338</v>
      </c>
      <c r="HR57" s="109">
        <f t="shared" si="478"/>
        <v>0.83918485449735447</v>
      </c>
      <c r="HS57" s="109">
        <f t="shared" si="478"/>
        <v>0.83989958847736623</v>
      </c>
      <c r="HT57" s="109">
        <f t="shared" si="478"/>
        <v>0.83911929490331039</v>
      </c>
      <c r="HU57" s="109">
        <f t="shared" si="478"/>
        <v>0.83864486457823462</v>
      </c>
      <c r="HV57" s="109">
        <f t="shared" si="478"/>
        <v>0.83891757025666014</v>
      </c>
      <c r="HW57" s="109">
        <f t="shared" si="478"/>
        <v>0.83960461143457865</v>
      </c>
      <c r="HX57" s="109">
        <f t="shared" si="478"/>
        <v>0.83968166264090172</v>
      </c>
      <c r="HY57" s="109">
        <f t="shared" si="478"/>
        <v>0.8403364498156165</v>
      </c>
      <c r="HZ57" s="109">
        <f t="shared" si="478"/>
        <v>0.83963202426564498</v>
      </c>
      <c r="IA57" s="109">
        <f t="shared" si="478"/>
        <v>0.84032029883961212</v>
      </c>
      <c r="IB57" s="109">
        <f t="shared" si="478"/>
        <v>0.84100269072491296</v>
      </c>
      <c r="IC57" s="109">
        <f t="shared" si="478"/>
        <v>0.84167927501970052</v>
      </c>
      <c r="ID57" s="109">
        <f t="shared" si="478"/>
        <v>0.84235012554927802</v>
      </c>
      <c r="IE57" s="109">
        <f t="shared" si="478"/>
        <v>0.84301531489295201</v>
      </c>
      <c r="IF57" s="109">
        <f t="shared" si="478"/>
        <v>0.8433510348583878</v>
      </c>
      <c r="IG57" s="109">
        <f t="shared" si="478"/>
        <v>0.84400646985898031</v>
      </c>
      <c r="IH57" s="109">
        <f t="shared" si="478"/>
        <v>0.82942206790123452</v>
      </c>
      <c r="II57" s="109">
        <f t="shared" si="478"/>
        <v>0.83012986015060708</v>
      </c>
      <c r="IJ57" s="109">
        <f t="shared" si="478"/>
        <v>0.81918751913070087</v>
      </c>
      <c r="IK57" s="109">
        <f t="shared" si="478"/>
        <v>0.81993160341411364</v>
      </c>
      <c r="IL57" s="109">
        <f t="shared" si="478"/>
        <v>0.82066958864602302</v>
      </c>
      <c r="IM57" s="109">
        <f t="shared" si="478"/>
        <v>0.82140154950869237</v>
      </c>
      <c r="IN57" s="109">
        <f t="shared" si="478"/>
        <v>0.82212755947003913</v>
      </c>
      <c r="IO57" s="109">
        <f t="shared" si="478"/>
        <v>0.82284769080821707</v>
      </c>
      <c r="IP57" s="109">
        <f t="shared" si="478"/>
        <v>0.8235620146356033</v>
      </c>
      <c r="IQ57" s="109">
        <f t="shared" si="478"/>
        <v>0.82427060092220727</v>
      </c>
      <c r="IR57" s="109">
        <f t="shared" si="478"/>
        <v>0.82497351851851852</v>
      </c>
      <c r="IS57" s="109">
        <f t="shared" ref="IS57:LD57" si="479">IF(OR(IS$13="",IS$17="",IS$14="",IS$15="",IS$16="",IS$18="",IS$19="",IS$20="",IS$21=""),"",1-(IS84/(IS$4)))</f>
        <v>0.82567083517780726</v>
      </c>
      <c r="IT57" s="109">
        <f t="shared" si="479"/>
        <v>0.82636261757789531</v>
      </c>
      <c r="IU57" s="109">
        <f t="shared" si="479"/>
        <v>0.82689265846874538</v>
      </c>
      <c r="IV57" s="109">
        <f t="shared" si="479"/>
        <v>0.82662387904636914</v>
      </c>
      <c r="IW57" s="109">
        <f t="shared" si="479"/>
        <v>0.82563861655773418</v>
      </c>
      <c r="IX57" s="109">
        <f t="shared" si="479"/>
        <v>0.82616188331886575</v>
      </c>
      <c r="IY57" s="109">
        <f t="shared" si="479"/>
        <v>0.82573731805735695</v>
      </c>
      <c r="IZ57" s="109">
        <f t="shared" si="479"/>
        <v>0.82498156223083552</v>
      </c>
      <c r="JA57" s="109">
        <f t="shared" si="479"/>
        <v>0.82557472651222652</v>
      </c>
      <c r="JB57" s="109">
        <f t="shared" si="479"/>
        <v>0.82624559294871802</v>
      </c>
      <c r="JC57" s="109">
        <f t="shared" si="479"/>
        <v>0.82676435894706968</v>
      </c>
      <c r="JD57" s="109">
        <f t="shared" si="479"/>
        <v>0.82649385072094994</v>
      </c>
      <c r="JE57" s="109">
        <f t="shared" si="479"/>
        <v>0.82715356991972966</v>
      </c>
      <c r="JF57" s="109">
        <f t="shared" si="479"/>
        <v>0.82780829124579125</v>
      </c>
      <c r="JG57" s="109">
        <f t="shared" si="479"/>
        <v>0.82845807127882598</v>
      </c>
      <c r="JH57" s="109">
        <f t="shared" si="479"/>
        <v>0.82910296574770259</v>
      </c>
      <c r="JI57" s="109">
        <f t="shared" si="479"/>
        <v>0.82871302365099186</v>
      </c>
      <c r="JJ57" s="109">
        <f t="shared" si="479"/>
        <v>0.82935215415975683</v>
      </c>
      <c r="JK57" s="109">
        <f t="shared" si="479"/>
        <v>0.82998653276882828</v>
      </c>
      <c r="JL57" s="109">
        <f t="shared" si="479"/>
        <v>0.82988944615912208</v>
      </c>
      <c r="JM57" s="109">
        <f t="shared" si="479"/>
        <v>0.83051716037993706</v>
      </c>
      <c r="JN57" s="109">
        <f t="shared" si="479"/>
        <v>0.8309870727805011</v>
      </c>
      <c r="JO57" s="109">
        <f t="shared" si="479"/>
        <v>0.83145354259937587</v>
      </c>
      <c r="JP57" s="109">
        <f t="shared" si="479"/>
        <v>0.83070006251689643</v>
      </c>
      <c r="JQ57" s="109">
        <f t="shared" si="479"/>
        <v>0.83113539562289562</v>
      </c>
      <c r="JR57" s="109">
        <f t="shared" si="479"/>
        <v>0.83159625771604939</v>
      </c>
      <c r="JS57" s="109">
        <f t="shared" si="479"/>
        <v>0.83205379228506482</v>
      </c>
      <c r="JT57" s="109">
        <f t="shared" si="479"/>
        <v>0.83265791533439915</v>
      </c>
      <c r="JU57" s="109">
        <f t="shared" si="479"/>
        <v>0.83325770775255537</v>
      </c>
      <c r="JV57" s="109">
        <f t="shared" si="479"/>
        <v>0.8338532159391534</v>
      </c>
      <c r="JW57" s="109">
        <f t="shared" si="479"/>
        <v>0.83444448563332019</v>
      </c>
      <c r="JX57" s="109">
        <f t="shared" si="479"/>
        <v>0.83503156192540051</v>
      </c>
      <c r="JY57" s="109">
        <f t="shared" si="479"/>
        <v>0.8356144892684203</v>
      </c>
      <c r="JZ57" s="109">
        <f t="shared" si="479"/>
        <v>0.8361933114893062</v>
      </c>
      <c r="KA57" s="109">
        <f t="shared" si="479"/>
        <v>0.83676807179987001</v>
      </c>
      <c r="KB57" s="109">
        <f t="shared" si="479"/>
        <v>0.83733881280756273</v>
      </c>
      <c r="KC57" s="109">
        <f t="shared" si="479"/>
        <v>0.83790557652600328</v>
      </c>
      <c r="KD57" s="109">
        <f t="shared" si="479"/>
        <v>0.83846840438528802</v>
      </c>
      <c r="KE57" s="109">
        <f t="shared" si="479"/>
        <v>0.83902733724208634</v>
      </c>
      <c r="KF57" s="109">
        <f t="shared" si="479"/>
        <v>0.83958241538952749</v>
      </c>
      <c r="KG57" s="109">
        <f t="shared" si="479"/>
        <v>0.84013367856688304</v>
      </c>
      <c r="KH57" s="109">
        <f t="shared" si="479"/>
        <v>0.84068116596905118</v>
      </c>
      <c r="KI57" s="109">
        <f t="shared" si="479"/>
        <v>0.84122491625584628</v>
      </c>
      <c r="KJ57" s="109">
        <f t="shared" si="479"/>
        <v>0.84176496756109853</v>
      </c>
      <c r="KK57" s="109">
        <f t="shared" si="479"/>
        <v>0.84230135750156931</v>
      </c>
      <c r="KL57" s="109">
        <f t="shared" si="479"/>
        <v>0.84283412318568574</v>
      </c>
      <c r="KM57" s="109">
        <f t="shared" si="479"/>
        <v>0.84336330122209757</v>
      </c>
      <c r="KN57" s="109">
        <f t="shared" si="479"/>
        <v>0.84388892772806368</v>
      </c>
      <c r="KO57" s="109">
        <f t="shared" si="479"/>
        <v>0.84441103833766873</v>
      </c>
      <c r="KP57" s="109">
        <f t="shared" si="479"/>
        <v>0.84492966820987658</v>
      </c>
      <c r="KQ57" s="109">
        <f t="shared" si="479"/>
        <v>0.84544485203642172</v>
      </c>
      <c r="KR57" s="109">
        <f t="shared" si="479"/>
        <v>0.84595662404954619</v>
      </c>
      <c r="KS57" s="109">
        <f t="shared" si="479"/>
        <v>0.84646501802958074</v>
      </c>
      <c r="KT57" s="109">
        <f t="shared" si="479"/>
        <v>0.84697006731237812</v>
      </c>
      <c r="KU57" s="109" t="str">
        <f t="shared" si="479"/>
        <v/>
      </c>
      <c r="KV57" s="109" t="str">
        <f t="shared" si="479"/>
        <v/>
      </c>
      <c r="KW57" s="109" t="str">
        <f t="shared" si="479"/>
        <v/>
      </c>
      <c r="KX57" s="109" t="str">
        <f t="shared" si="479"/>
        <v/>
      </c>
      <c r="KY57" s="109" t="str">
        <f t="shared" si="479"/>
        <v/>
      </c>
      <c r="KZ57" s="109" t="str">
        <f t="shared" si="479"/>
        <v/>
      </c>
      <c r="LA57" s="109" t="str">
        <f t="shared" si="479"/>
        <v/>
      </c>
      <c r="LB57" s="109" t="str">
        <f t="shared" si="479"/>
        <v/>
      </c>
      <c r="LC57" s="109" t="str">
        <f t="shared" si="479"/>
        <v/>
      </c>
      <c r="LD57" s="109" t="str">
        <f t="shared" si="479"/>
        <v/>
      </c>
      <c r="LE57" s="109" t="str">
        <f t="shared" ref="LE57:NP57" si="480">IF(OR(LE$13="",LE$17="",LE$14="",LE$15="",LE$16="",LE$18="",LE$19="",LE$20="",LE$21=""),"",1-(LE84/(LE$4)))</f>
        <v/>
      </c>
      <c r="LF57" s="109" t="str">
        <f t="shared" si="480"/>
        <v/>
      </c>
      <c r="LG57" s="109" t="str">
        <f t="shared" si="480"/>
        <v/>
      </c>
      <c r="LH57" s="109" t="str">
        <f t="shared" si="480"/>
        <v/>
      </c>
      <c r="LI57" s="109" t="str">
        <f t="shared" si="480"/>
        <v/>
      </c>
      <c r="LJ57" s="109" t="str">
        <f t="shared" si="480"/>
        <v/>
      </c>
      <c r="LK57" s="109" t="str">
        <f t="shared" si="480"/>
        <v/>
      </c>
      <c r="LL57" s="109" t="str">
        <f t="shared" si="480"/>
        <v/>
      </c>
      <c r="LM57" s="109" t="str">
        <f t="shared" si="480"/>
        <v/>
      </c>
      <c r="LN57" s="109" t="str">
        <f t="shared" si="480"/>
        <v/>
      </c>
      <c r="LO57" s="109" t="str">
        <f t="shared" si="480"/>
        <v/>
      </c>
      <c r="LP57" s="109" t="str">
        <f t="shared" si="480"/>
        <v/>
      </c>
      <c r="LQ57" s="109" t="str">
        <f t="shared" si="480"/>
        <v/>
      </c>
      <c r="LR57" s="109" t="str">
        <f t="shared" si="480"/>
        <v/>
      </c>
      <c r="LS57" s="109" t="str">
        <f t="shared" si="480"/>
        <v/>
      </c>
      <c r="LT57" s="109" t="str">
        <f t="shared" si="480"/>
        <v/>
      </c>
      <c r="LU57" s="109" t="str">
        <f t="shared" si="480"/>
        <v/>
      </c>
      <c r="LV57" s="109" t="str">
        <f t="shared" si="480"/>
        <v/>
      </c>
      <c r="LW57" s="109" t="str">
        <f t="shared" si="480"/>
        <v/>
      </c>
      <c r="LX57" s="109" t="str">
        <f t="shared" si="480"/>
        <v/>
      </c>
      <c r="LY57" s="109" t="str">
        <f t="shared" si="480"/>
        <v/>
      </c>
      <c r="LZ57" s="109" t="str">
        <f t="shared" si="480"/>
        <v/>
      </c>
      <c r="MA57" s="109" t="str">
        <f t="shared" si="480"/>
        <v/>
      </c>
      <c r="MB57" s="109" t="str">
        <f t="shared" si="480"/>
        <v/>
      </c>
      <c r="MC57" s="109" t="str">
        <f t="shared" si="480"/>
        <v/>
      </c>
      <c r="MD57" s="109" t="str">
        <f t="shared" si="480"/>
        <v/>
      </c>
      <c r="ME57" s="109" t="str">
        <f t="shared" si="480"/>
        <v/>
      </c>
      <c r="MF57" s="109" t="str">
        <f t="shared" si="480"/>
        <v/>
      </c>
      <c r="MG57" s="109" t="str">
        <f t="shared" si="480"/>
        <v/>
      </c>
      <c r="MH57" s="109" t="str">
        <f t="shared" si="480"/>
        <v/>
      </c>
      <c r="MI57" s="109" t="str">
        <f t="shared" si="480"/>
        <v/>
      </c>
      <c r="MJ57" s="109" t="str">
        <f t="shared" si="480"/>
        <v/>
      </c>
      <c r="MK57" s="109" t="str">
        <f t="shared" si="480"/>
        <v/>
      </c>
      <c r="ML57" s="109" t="str">
        <f t="shared" si="480"/>
        <v/>
      </c>
      <c r="MM57" s="109" t="str">
        <f t="shared" si="480"/>
        <v/>
      </c>
      <c r="MN57" s="109" t="str">
        <f t="shared" si="480"/>
        <v/>
      </c>
      <c r="MO57" s="109" t="str">
        <f t="shared" si="480"/>
        <v/>
      </c>
      <c r="MP57" s="109" t="str">
        <f t="shared" si="480"/>
        <v/>
      </c>
      <c r="MQ57" s="109" t="str">
        <f t="shared" si="480"/>
        <v/>
      </c>
      <c r="MR57" s="109" t="str">
        <f t="shared" si="480"/>
        <v/>
      </c>
      <c r="MS57" s="109" t="str">
        <f t="shared" si="480"/>
        <v/>
      </c>
      <c r="MT57" s="109" t="str">
        <f t="shared" si="480"/>
        <v/>
      </c>
      <c r="MU57" s="109" t="str">
        <f t="shared" si="480"/>
        <v/>
      </c>
      <c r="MV57" s="109" t="str">
        <f t="shared" si="480"/>
        <v/>
      </c>
      <c r="MW57" s="109" t="str">
        <f t="shared" si="480"/>
        <v/>
      </c>
      <c r="MX57" s="109" t="str">
        <f t="shared" si="480"/>
        <v/>
      </c>
      <c r="MY57" s="109" t="str">
        <f t="shared" si="480"/>
        <v/>
      </c>
      <c r="MZ57" s="109" t="str">
        <f t="shared" si="480"/>
        <v/>
      </c>
      <c r="NA57" s="109" t="str">
        <f t="shared" si="480"/>
        <v/>
      </c>
      <c r="NB57" s="109" t="str">
        <f t="shared" si="480"/>
        <v/>
      </c>
      <c r="NC57" s="109" t="str">
        <f t="shared" si="480"/>
        <v/>
      </c>
      <c r="ND57" s="109" t="str">
        <f t="shared" si="480"/>
        <v/>
      </c>
      <c r="NE57" s="109" t="str">
        <f t="shared" si="480"/>
        <v/>
      </c>
      <c r="NF57" s="109" t="str">
        <f t="shared" si="480"/>
        <v/>
      </c>
      <c r="NG57" s="109" t="str">
        <f t="shared" si="480"/>
        <v/>
      </c>
      <c r="NH57" s="109" t="str">
        <f t="shared" si="480"/>
        <v/>
      </c>
      <c r="NI57" s="109" t="str">
        <f t="shared" si="480"/>
        <v/>
      </c>
      <c r="NJ57" s="109" t="str">
        <f t="shared" si="480"/>
        <v/>
      </c>
      <c r="NK57" s="109" t="str">
        <f t="shared" si="480"/>
        <v/>
      </c>
      <c r="NL57" s="109" t="str">
        <f t="shared" si="480"/>
        <v/>
      </c>
      <c r="NM57" s="109" t="str">
        <f t="shared" si="480"/>
        <v/>
      </c>
      <c r="NN57" s="109" t="str">
        <f t="shared" si="480"/>
        <v/>
      </c>
      <c r="NO57" s="109" t="str">
        <f t="shared" si="480"/>
        <v/>
      </c>
      <c r="NP57" s="109" t="str">
        <f t="shared" si="480"/>
        <v/>
      </c>
      <c r="NQ57" s="109" t="str">
        <f t="shared" ref="NQ57:QB57" si="481">IF(OR(NQ$13="",NQ$17="",NQ$14="",NQ$15="",NQ$16="",NQ$18="",NQ$19="",NQ$20="",NQ$21=""),"",1-(NQ84/(NQ$4)))</f>
        <v/>
      </c>
      <c r="NR57" s="109" t="str">
        <f t="shared" si="481"/>
        <v/>
      </c>
      <c r="NS57" s="109" t="str">
        <f t="shared" si="481"/>
        <v/>
      </c>
      <c r="NT57" s="109" t="str">
        <f t="shared" si="481"/>
        <v/>
      </c>
      <c r="NU57" s="109" t="str">
        <f t="shared" si="481"/>
        <v/>
      </c>
      <c r="NV57" s="109" t="str">
        <f t="shared" si="481"/>
        <v/>
      </c>
      <c r="NW57" s="109" t="str">
        <f t="shared" si="481"/>
        <v/>
      </c>
      <c r="NX57" s="109" t="str">
        <f t="shared" si="481"/>
        <v/>
      </c>
      <c r="NY57" s="109" t="str">
        <f t="shared" si="481"/>
        <v/>
      </c>
      <c r="NZ57" s="109" t="str">
        <f t="shared" si="481"/>
        <v/>
      </c>
      <c r="OA57" s="109" t="str">
        <f t="shared" si="481"/>
        <v/>
      </c>
      <c r="OB57" s="109" t="str">
        <f t="shared" si="481"/>
        <v/>
      </c>
      <c r="OC57" s="109" t="str">
        <f t="shared" si="481"/>
        <v/>
      </c>
      <c r="OD57" s="109" t="str">
        <f t="shared" si="481"/>
        <v/>
      </c>
      <c r="OE57" s="109" t="str">
        <f t="shared" si="481"/>
        <v/>
      </c>
      <c r="OF57" s="109" t="str">
        <f t="shared" si="481"/>
        <v/>
      </c>
      <c r="OG57" s="109" t="str">
        <f t="shared" si="481"/>
        <v/>
      </c>
      <c r="OH57" s="109" t="str">
        <f t="shared" si="481"/>
        <v/>
      </c>
      <c r="OI57" s="109" t="str">
        <f t="shared" si="481"/>
        <v/>
      </c>
      <c r="OJ57" s="109" t="str">
        <f t="shared" si="481"/>
        <v/>
      </c>
      <c r="OK57" s="109" t="str">
        <f t="shared" si="481"/>
        <v/>
      </c>
      <c r="OL57" s="109" t="str">
        <f t="shared" si="481"/>
        <v/>
      </c>
      <c r="OM57" s="109" t="str">
        <f t="shared" si="481"/>
        <v/>
      </c>
      <c r="ON57" s="109" t="str">
        <f t="shared" si="481"/>
        <v/>
      </c>
      <c r="OO57" s="109" t="str">
        <f t="shared" si="481"/>
        <v/>
      </c>
      <c r="OP57" s="109" t="str">
        <f t="shared" si="481"/>
        <v/>
      </c>
      <c r="OQ57" s="109" t="str">
        <f t="shared" si="481"/>
        <v/>
      </c>
      <c r="OR57" s="109" t="str">
        <f t="shared" si="481"/>
        <v/>
      </c>
      <c r="OS57" s="109" t="str">
        <f t="shared" si="481"/>
        <v/>
      </c>
      <c r="OT57" s="109" t="str">
        <f t="shared" si="481"/>
        <v/>
      </c>
      <c r="OU57" s="109" t="str">
        <f t="shared" si="481"/>
        <v/>
      </c>
      <c r="OV57" s="109" t="str">
        <f t="shared" si="481"/>
        <v/>
      </c>
      <c r="OW57" s="109" t="str">
        <f t="shared" si="481"/>
        <v/>
      </c>
      <c r="OX57" s="109" t="str">
        <f t="shared" si="481"/>
        <v/>
      </c>
      <c r="OY57" s="109" t="str">
        <f t="shared" si="481"/>
        <v/>
      </c>
      <c r="OZ57" s="109" t="str">
        <f t="shared" si="481"/>
        <v/>
      </c>
      <c r="PA57" s="109" t="str">
        <f t="shared" si="481"/>
        <v/>
      </c>
      <c r="PB57" s="109" t="str">
        <f t="shared" si="481"/>
        <v/>
      </c>
      <c r="PC57" s="109" t="str">
        <f t="shared" si="481"/>
        <v/>
      </c>
      <c r="PD57" s="109" t="str">
        <f t="shared" si="481"/>
        <v/>
      </c>
      <c r="PE57" s="109" t="str">
        <f t="shared" si="481"/>
        <v/>
      </c>
      <c r="PF57" s="109" t="str">
        <f t="shared" si="481"/>
        <v/>
      </c>
      <c r="PG57" s="109" t="str">
        <f t="shared" si="481"/>
        <v/>
      </c>
      <c r="PH57" s="109" t="str">
        <f t="shared" si="481"/>
        <v/>
      </c>
      <c r="PI57" s="109" t="str">
        <f t="shared" si="481"/>
        <v/>
      </c>
      <c r="PJ57" s="109" t="str">
        <f t="shared" si="481"/>
        <v/>
      </c>
      <c r="PK57" s="109" t="str">
        <f t="shared" si="481"/>
        <v/>
      </c>
      <c r="PL57" s="109" t="str">
        <f t="shared" si="481"/>
        <v/>
      </c>
      <c r="PM57" s="109" t="str">
        <f t="shared" si="481"/>
        <v/>
      </c>
      <c r="PN57" s="109" t="str">
        <f t="shared" si="481"/>
        <v/>
      </c>
      <c r="PO57" s="109" t="str">
        <f t="shared" si="481"/>
        <v/>
      </c>
      <c r="PP57" s="109" t="str">
        <f t="shared" si="481"/>
        <v/>
      </c>
      <c r="PQ57" s="109" t="str">
        <f t="shared" si="481"/>
        <v/>
      </c>
      <c r="PR57" s="109" t="str">
        <f t="shared" si="481"/>
        <v/>
      </c>
      <c r="PS57" s="109" t="str">
        <f t="shared" si="481"/>
        <v/>
      </c>
      <c r="PT57" s="109" t="str">
        <f t="shared" si="481"/>
        <v/>
      </c>
      <c r="PU57" s="109" t="str">
        <f t="shared" si="481"/>
        <v/>
      </c>
      <c r="PV57" s="109" t="str">
        <f t="shared" si="481"/>
        <v/>
      </c>
      <c r="PW57" s="109" t="str">
        <f t="shared" si="481"/>
        <v/>
      </c>
      <c r="PX57" s="109" t="str">
        <f t="shared" si="481"/>
        <v/>
      </c>
      <c r="PY57" s="109" t="str">
        <f t="shared" si="481"/>
        <v/>
      </c>
      <c r="PZ57" s="109" t="str">
        <f t="shared" si="481"/>
        <v/>
      </c>
      <c r="QA57" s="109" t="str">
        <f t="shared" si="481"/>
        <v/>
      </c>
      <c r="QB57" s="109" t="str">
        <f t="shared" si="481"/>
        <v/>
      </c>
      <c r="QC57" s="109" t="str">
        <f t="shared" ref="QC57:SN57" si="482">IF(OR(QC$13="",QC$17="",QC$14="",QC$15="",QC$16="",QC$18="",QC$19="",QC$20="",QC$21=""),"",1-(QC84/(QC$4)))</f>
        <v/>
      </c>
      <c r="QD57" s="109" t="str">
        <f t="shared" si="482"/>
        <v/>
      </c>
      <c r="QE57" s="109" t="str">
        <f t="shared" si="482"/>
        <v/>
      </c>
      <c r="QF57" s="109" t="str">
        <f t="shared" si="482"/>
        <v/>
      </c>
      <c r="QG57" s="109" t="str">
        <f t="shared" si="482"/>
        <v/>
      </c>
      <c r="QH57" s="109" t="str">
        <f t="shared" si="482"/>
        <v/>
      </c>
      <c r="QI57" s="109" t="str">
        <f t="shared" si="482"/>
        <v/>
      </c>
      <c r="QJ57" s="109" t="str">
        <f t="shared" si="482"/>
        <v/>
      </c>
      <c r="QK57" s="109" t="str">
        <f t="shared" si="482"/>
        <v/>
      </c>
      <c r="QL57" s="109" t="str">
        <f t="shared" si="482"/>
        <v/>
      </c>
      <c r="QM57" s="109" t="str">
        <f t="shared" si="482"/>
        <v/>
      </c>
      <c r="QN57" s="109" t="str">
        <f t="shared" si="482"/>
        <v/>
      </c>
      <c r="QO57" s="109" t="str">
        <f t="shared" si="482"/>
        <v/>
      </c>
      <c r="QP57" s="109" t="str">
        <f t="shared" si="482"/>
        <v/>
      </c>
      <c r="QQ57" s="109" t="str">
        <f t="shared" si="482"/>
        <v/>
      </c>
      <c r="QR57" s="109" t="str">
        <f t="shared" si="482"/>
        <v/>
      </c>
      <c r="QS57" s="109" t="str">
        <f t="shared" si="482"/>
        <v/>
      </c>
      <c r="QT57" s="109" t="str">
        <f t="shared" si="482"/>
        <v/>
      </c>
      <c r="QU57" s="109" t="str">
        <f t="shared" si="482"/>
        <v/>
      </c>
      <c r="QV57" s="109" t="str">
        <f t="shared" si="482"/>
        <v/>
      </c>
      <c r="QW57" s="109" t="str">
        <f t="shared" si="482"/>
        <v/>
      </c>
      <c r="QX57" s="109" t="str">
        <f t="shared" si="482"/>
        <v/>
      </c>
      <c r="QY57" s="109" t="str">
        <f t="shared" si="482"/>
        <v/>
      </c>
      <c r="QZ57" s="109" t="str">
        <f t="shared" si="482"/>
        <v/>
      </c>
      <c r="RA57" s="109" t="str">
        <f t="shared" si="482"/>
        <v/>
      </c>
      <c r="RB57" s="109" t="str">
        <f t="shared" si="482"/>
        <v/>
      </c>
      <c r="RC57" s="109" t="str">
        <f t="shared" si="482"/>
        <v/>
      </c>
      <c r="RD57" s="109" t="str">
        <f t="shared" si="482"/>
        <v/>
      </c>
      <c r="RE57" s="109" t="str">
        <f t="shared" si="482"/>
        <v/>
      </c>
      <c r="RF57" s="109" t="str">
        <f t="shared" si="482"/>
        <v/>
      </c>
      <c r="RG57" s="109" t="str">
        <f t="shared" si="482"/>
        <v/>
      </c>
      <c r="RH57" s="109" t="str">
        <f t="shared" si="482"/>
        <v/>
      </c>
      <c r="RI57" s="109" t="str">
        <f t="shared" si="482"/>
        <v/>
      </c>
      <c r="RJ57" s="109" t="str">
        <f t="shared" si="482"/>
        <v/>
      </c>
      <c r="RK57" s="109" t="str">
        <f t="shared" si="482"/>
        <v/>
      </c>
      <c r="RL57" s="109" t="str">
        <f t="shared" si="482"/>
        <v/>
      </c>
      <c r="RM57" s="109" t="str">
        <f t="shared" si="482"/>
        <v/>
      </c>
      <c r="RN57" s="109" t="str">
        <f t="shared" si="482"/>
        <v/>
      </c>
      <c r="RO57" s="109" t="str">
        <f t="shared" si="482"/>
        <v/>
      </c>
      <c r="RP57" s="109" t="str">
        <f t="shared" si="482"/>
        <v/>
      </c>
      <c r="RQ57" s="109" t="str">
        <f t="shared" si="482"/>
        <v/>
      </c>
      <c r="RR57" s="109" t="str">
        <f t="shared" si="482"/>
        <v/>
      </c>
      <c r="RS57" s="109" t="str">
        <f t="shared" si="482"/>
        <v/>
      </c>
      <c r="RT57" s="109" t="str">
        <f t="shared" si="482"/>
        <v/>
      </c>
      <c r="RU57" s="109" t="str">
        <f t="shared" si="482"/>
        <v/>
      </c>
      <c r="RV57" s="109" t="str">
        <f t="shared" si="482"/>
        <v/>
      </c>
      <c r="RW57" s="109" t="str">
        <f t="shared" si="482"/>
        <v/>
      </c>
      <c r="RX57" s="109" t="str">
        <f t="shared" si="482"/>
        <v/>
      </c>
      <c r="RY57" s="109" t="str">
        <f t="shared" si="482"/>
        <v/>
      </c>
      <c r="RZ57" s="109" t="str">
        <f t="shared" si="482"/>
        <v/>
      </c>
      <c r="SA57" s="109" t="str">
        <f t="shared" si="482"/>
        <v/>
      </c>
      <c r="SB57" s="109" t="str">
        <f t="shared" si="482"/>
        <v/>
      </c>
      <c r="SC57" s="109" t="str">
        <f t="shared" si="482"/>
        <v/>
      </c>
      <c r="SD57" s="109" t="str">
        <f t="shared" si="482"/>
        <v/>
      </c>
      <c r="SE57" s="109" t="str">
        <f t="shared" si="482"/>
        <v/>
      </c>
      <c r="SF57" s="109" t="str">
        <f t="shared" si="482"/>
        <v/>
      </c>
      <c r="SG57" s="109" t="str">
        <f t="shared" si="482"/>
        <v/>
      </c>
      <c r="SH57" s="109" t="str">
        <f t="shared" si="482"/>
        <v/>
      </c>
      <c r="SI57" s="109" t="str">
        <f t="shared" si="482"/>
        <v/>
      </c>
      <c r="SJ57" s="109" t="str">
        <f t="shared" si="482"/>
        <v/>
      </c>
      <c r="SK57" s="109" t="str">
        <f t="shared" si="482"/>
        <v/>
      </c>
      <c r="SL57" s="109" t="str">
        <f t="shared" si="482"/>
        <v/>
      </c>
      <c r="SM57" s="109" t="str">
        <f t="shared" si="482"/>
        <v/>
      </c>
      <c r="SN57" s="109" t="str">
        <f t="shared" si="482"/>
        <v/>
      </c>
      <c r="SO57" s="109" t="str">
        <f t="shared" ref="SO57:SW57" si="483">IF(OR(SO$13="",SO$17="",SO$14="",SO$15="",SO$16="",SO$18="",SO$19="",SO$20="",SO$21=""),"",1-(SO84/(SO$4)))</f>
        <v/>
      </c>
      <c r="SP57" s="109" t="str">
        <f t="shared" si="483"/>
        <v/>
      </c>
      <c r="SQ57" s="109" t="str">
        <f t="shared" si="483"/>
        <v/>
      </c>
      <c r="SR57" s="109" t="str">
        <f t="shared" si="483"/>
        <v/>
      </c>
      <c r="SS57" s="109" t="str">
        <f t="shared" si="483"/>
        <v/>
      </c>
      <c r="ST57" s="109" t="str">
        <f t="shared" si="483"/>
        <v/>
      </c>
      <c r="SU57" s="109" t="str">
        <f t="shared" si="483"/>
        <v/>
      </c>
      <c r="SV57" s="109" t="str">
        <f t="shared" si="483"/>
        <v/>
      </c>
      <c r="SW57" s="109" t="str">
        <f t="shared" si="483"/>
        <v/>
      </c>
    </row>
    <row r="58" spans="1:517" ht="24.6" customHeight="1" x14ac:dyDescent="0.2">
      <c r="A58" s="94">
        <v>777</v>
      </c>
      <c r="B58" s="117" t="s">
        <v>82</v>
      </c>
      <c r="C58" s="109">
        <f t="shared" ref="C58:AH58" si="484">IF(OR(C$13="",C$17="",C$14="",C$15="",C$16="",C$18="",C$19="",C$20="",C$21=""),"",1-(C85/(C$4)))</f>
        <v>1</v>
      </c>
      <c r="D58" s="109">
        <f t="shared" si="484"/>
        <v>-0.12750000000000017</v>
      </c>
      <c r="E58" s="109">
        <f t="shared" si="484"/>
        <v>0.24833333333333329</v>
      </c>
      <c r="F58" s="109">
        <f t="shared" si="484"/>
        <v>0.43624999999999992</v>
      </c>
      <c r="G58" s="109">
        <f t="shared" si="484"/>
        <v>0.29299999999999993</v>
      </c>
      <c r="H58" s="109">
        <f t="shared" si="484"/>
        <v>0.3611805555555555</v>
      </c>
      <c r="I58" s="109">
        <f t="shared" si="484"/>
        <v>0.45244047619047612</v>
      </c>
      <c r="J58" s="109">
        <f t="shared" si="484"/>
        <v>0.45989583333333328</v>
      </c>
      <c r="K58" s="109">
        <f t="shared" si="484"/>
        <v>0.51990740740740737</v>
      </c>
      <c r="L58" s="109">
        <f t="shared" si="484"/>
        <v>0.55449999999999999</v>
      </c>
      <c r="M58" s="109">
        <f t="shared" si="484"/>
        <v>0.59499999999999997</v>
      </c>
      <c r="N58" s="109">
        <f t="shared" si="484"/>
        <v>0.62451388888888881</v>
      </c>
      <c r="O58" s="109">
        <f t="shared" si="484"/>
        <v>0.65339743589743593</v>
      </c>
      <c r="P58" s="109">
        <f t="shared" si="484"/>
        <v>0.66869047619047617</v>
      </c>
      <c r="Q58" s="109">
        <f t="shared" si="484"/>
        <v>0.69077777777777771</v>
      </c>
      <c r="R58" s="109">
        <f t="shared" si="484"/>
        <v>0.71010416666666665</v>
      </c>
      <c r="S58" s="109">
        <f t="shared" si="484"/>
        <v>0.72715686274509794</v>
      </c>
      <c r="T58" s="109">
        <f t="shared" si="484"/>
        <v>0.74231481481481487</v>
      </c>
      <c r="U58" s="109">
        <f t="shared" si="484"/>
        <v>0.75587719298245615</v>
      </c>
      <c r="V58" s="109">
        <f t="shared" si="484"/>
        <v>0.76808333333333334</v>
      </c>
      <c r="W58" s="109">
        <f t="shared" si="484"/>
        <v>0.77912698412698411</v>
      </c>
      <c r="X58" s="109">
        <f t="shared" si="484"/>
        <v>0.78916666666666668</v>
      </c>
      <c r="Y58" s="109">
        <f t="shared" si="484"/>
        <v>0.79833333333333334</v>
      </c>
      <c r="Z58" s="109">
        <f t="shared" si="484"/>
        <v>0.80086805555555551</v>
      </c>
      <c r="AA58" s="109">
        <f t="shared" si="484"/>
        <v>0.80883333333333329</v>
      </c>
      <c r="AB58" s="109">
        <f t="shared" si="484"/>
        <v>0.81618589743589742</v>
      </c>
      <c r="AC58" s="109">
        <f t="shared" si="484"/>
        <v>0.77527777777777773</v>
      </c>
      <c r="AD58" s="109">
        <f t="shared" si="484"/>
        <v>0.78330357142857143</v>
      </c>
      <c r="AE58" s="109">
        <f t="shared" si="484"/>
        <v>0.79077586206896555</v>
      </c>
      <c r="AF58" s="109">
        <f t="shared" si="484"/>
        <v>0.79774999999999996</v>
      </c>
      <c r="AG58" s="109">
        <f t="shared" si="484"/>
        <v>0.80427419354838703</v>
      </c>
      <c r="AH58" s="109">
        <f t="shared" si="484"/>
        <v>0.81039062500000003</v>
      </c>
      <c r="AI58" s="109">
        <f t="shared" ref="AI58:BN58" si="485">IF(OR(AI$13="",AI$17="",AI$14="",AI$15="",AI$16="",AI$18="",AI$19="",AI$20="",AI$21=""),"",1-(AI85/(AI$4)))</f>
        <v>0.81613636363636366</v>
      </c>
      <c r="AJ58" s="109">
        <f t="shared" si="485"/>
        <v>0.82154411764705881</v>
      </c>
      <c r="AK58" s="109">
        <f t="shared" si="485"/>
        <v>0.82664285714285712</v>
      </c>
      <c r="AL58" s="109">
        <f t="shared" si="485"/>
        <v>0.82932870370370371</v>
      </c>
      <c r="AM58" s="109">
        <f t="shared" si="485"/>
        <v>0.83394144144144144</v>
      </c>
      <c r="AN58" s="109">
        <f t="shared" si="485"/>
        <v>0.83831140350877198</v>
      </c>
      <c r="AO58" s="109">
        <f t="shared" si="485"/>
        <v>0.84245726495726492</v>
      </c>
      <c r="AP58" s="109">
        <f t="shared" si="485"/>
        <v>0.84639583333333335</v>
      </c>
      <c r="AQ58" s="109">
        <f t="shared" si="485"/>
        <v>0.85014227642276419</v>
      </c>
      <c r="AR58" s="109">
        <f t="shared" si="485"/>
        <v>0.85371031746031745</v>
      </c>
      <c r="AS58" s="109">
        <f t="shared" si="485"/>
        <v>0.85711240310077519</v>
      </c>
      <c r="AT58" s="109">
        <f t="shared" si="485"/>
        <v>0.86035984848484848</v>
      </c>
      <c r="AU58" s="109">
        <f t="shared" si="485"/>
        <v>0.86346296296296299</v>
      </c>
      <c r="AV58" s="109">
        <f t="shared" si="485"/>
        <v>0.86643115942028981</v>
      </c>
      <c r="AW58" s="109">
        <f t="shared" si="485"/>
        <v>0.86927304964539009</v>
      </c>
      <c r="AX58" s="109">
        <f t="shared" si="485"/>
        <v>0.87199652777777781</v>
      </c>
      <c r="AY58" s="109">
        <f t="shared" si="485"/>
        <v>0.87460884353741497</v>
      </c>
      <c r="AZ58" s="109">
        <f t="shared" si="485"/>
        <v>0.87711666666666666</v>
      </c>
      <c r="BA58" s="109">
        <f t="shared" si="485"/>
        <v>0.87919934640522879</v>
      </c>
      <c r="BB58" s="109">
        <f t="shared" si="485"/>
        <v>0.88152243589743584</v>
      </c>
      <c r="BC58" s="109">
        <f t="shared" si="485"/>
        <v>0.88375786163522008</v>
      </c>
      <c r="BD58" s="109">
        <f t="shared" si="485"/>
        <v>0.8684722222222222</v>
      </c>
      <c r="BE58" s="109">
        <f t="shared" si="485"/>
        <v>0.8708636363636364</v>
      </c>
      <c r="BF58" s="109">
        <f t="shared" si="485"/>
        <v>0.87316964285714282</v>
      </c>
      <c r="BG58" s="109">
        <f t="shared" si="485"/>
        <v>0.87539473684210523</v>
      </c>
      <c r="BH58" s="109">
        <f t="shared" si="485"/>
        <v>0.87754310344827591</v>
      </c>
      <c r="BI58" s="109">
        <f t="shared" si="485"/>
        <v>0.87596751412429374</v>
      </c>
      <c r="BJ58" s="109">
        <f t="shared" si="485"/>
        <v>0.87138194444444439</v>
      </c>
      <c r="BK58" s="109">
        <f t="shared" si="485"/>
        <v>0.86825136612021858</v>
      </c>
      <c r="BL58" s="109">
        <f t="shared" si="485"/>
        <v>0.86071908602150538</v>
      </c>
      <c r="BM58" s="109">
        <f t="shared" si="485"/>
        <v>0.85780423280423279</v>
      </c>
      <c r="BN58" s="109">
        <f t="shared" si="485"/>
        <v>0.85526041666666663</v>
      </c>
      <c r="BO58" s="109">
        <f t="shared" ref="BO58:CT58" si="486">IF(OR(BO$13="",BO$17="",BO$14="",BO$15="",BO$16="",BO$18="",BO$19="",BO$20="",BO$21=""),"",1-(BO85/(BO$4)))</f>
        <v>0.83822435897435899</v>
      </c>
      <c r="BP58" s="109">
        <f t="shared" si="486"/>
        <v>0.84067550505050503</v>
      </c>
      <c r="BQ58" s="109">
        <f t="shared" si="486"/>
        <v>0.8425124378109452</v>
      </c>
      <c r="BR58" s="109">
        <f t="shared" si="486"/>
        <v>0.84269607843137251</v>
      </c>
      <c r="BS58" s="109">
        <f t="shared" si="486"/>
        <v>0.84181763285024158</v>
      </c>
      <c r="BT58" s="109">
        <f t="shared" si="486"/>
        <v>0.84407738095238094</v>
      </c>
      <c r="BU58" s="109">
        <f t="shared" si="486"/>
        <v>0.84627347417840371</v>
      </c>
      <c r="BV58" s="109">
        <f t="shared" si="486"/>
        <v>0.84840856481481475</v>
      </c>
      <c r="BW58" s="109">
        <f t="shared" si="486"/>
        <v>0.85048515981735151</v>
      </c>
      <c r="BX58" s="109">
        <f t="shared" si="486"/>
        <v>0.83851351351351344</v>
      </c>
      <c r="BY58" s="109">
        <f t="shared" si="486"/>
        <v>0.83168333333333333</v>
      </c>
      <c r="BZ58" s="109">
        <f t="shared" si="486"/>
        <v>0.83389802631578946</v>
      </c>
      <c r="CA58" s="109">
        <f t="shared" si="486"/>
        <v>0.83605519480519475</v>
      </c>
      <c r="CB58" s="109">
        <f t="shared" si="486"/>
        <v>0.83752136752136752</v>
      </c>
      <c r="CC58" s="109">
        <f t="shared" si="486"/>
        <v>0.83762658227848097</v>
      </c>
      <c r="CD58" s="109">
        <f t="shared" si="486"/>
        <v>0.83965624999999999</v>
      </c>
      <c r="CE58" s="109">
        <f t="shared" si="486"/>
        <v>0.84163580246913572</v>
      </c>
      <c r="CF58" s="109">
        <f t="shared" si="486"/>
        <v>0.84356707317073165</v>
      </c>
      <c r="CG58" s="109">
        <f t="shared" si="486"/>
        <v>0.84545180722891566</v>
      </c>
      <c r="CH58" s="109">
        <f t="shared" si="486"/>
        <v>0.84594246031746023</v>
      </c>
      <c r="CI58" s="109">
        <f t="shared" si="486"/>
        <v>0.84184803921568618</v>
      </c>
      <c r="CJ58" s="109">
        <f t="shared" si="486"/>
        <v>0.84368701550387593</v>
      </c>
      <c r="CK58" s="109">
        <f t="shared" si="486"/>
        <v>0.84548371647509568</v>
      </c>
      <c r="CL58" s="109">
        <f t="shared" si="486"/>
        <v>0.84655776515151504</v>
      </c>
      <c r="CM58" s="109">
        <f t="shared" si="486"/>
        <v>0.84828183520599243</v>
      </c>
      <c r="CN58" s="109">
        <f t="shared" si="486"/>
        <v>0.84996759259259258</v>
      </c>
      <c r="CO58" s="109">
        <f t="shared" si="486"/>
        <v>0.85161630036630032</v>
      </c>
      <c r="CP58" s="109">
        <f t="shared" si="486"/>
        <v>0.85322916666666659</v>
      </c>
      <c r="CQ58" s="109">
        <f t="shared" si="486"/>
        <v>0.85401433691756268</v>
      </c>
      <c r="CR58" s="109">
        <f t="shared" si="486"/>
        <v>0.85556737588652476</v>
      </c>
      <c r="CS58" s="109">
        <f t="shared" si="486"/>
        <v>0.85655263157894734</v>
      </c>
      <c r="CT58" s="109">
        <f t="shared" si="486"/>
        <v>0.85804687499999999</v>
      </c>
      <c r="CU58" s="109">
        <f t="shared" ref="CU58:DT58" si="487">IF(OR(CU$13="",CU$17="",CU$14="",CU$15="",CU$16="",CU$18="",CU$19="",CU$20="",CU$21=""),"",1-(CU85/(CU$4)))</f>
        <v>0.85951030927835048</v>
      </c>
      <c r="CV58" s="109">
        <f t="shared" si="487"/>
        <v>0.86094387755102031</v>
      </c>
      <c r="CW58" s="109">
        <f t="shared" si="487"/>
        <v>0.86234848484848481</v>
      </c>
      <c r="CX58" s="109">
        <f t="shared" si="487"/>
        <v>0.84848333333333326</v>
      </c>
      <c r="CY58" s="109">
        <f t="shared" si="487"/>
        <v>0.84998349834983489</v>
      </c>
      <c r="CZ58" s="109">
        <f t="shared" si="487"/>
        <v>0.85084150326797381</v>
      </c>
      <c r="DA58" s="109">
        <f t="shared" si="487"/>
        <v>0.85228964401294494</v>
      </c>
      <c r="DB58" s="109">
        <f t="shared" si="487"/>
        <v>0.84980368589743582</v>
      </c>
      <c r="DC58" s="109">
        <f t="shared" si="487"/>
        <v>0.85055952380952382</v>
      </c>
      <c r="DD58" s="109">
        <f t="shared" si="487"/>
        <v>0.85196933962264154</v>
      </c>
      <c r="DE58" s="109">
        <f t="shared" si="487"/>
        <v>0.85335280373831779</v>
      </c>
      <c r="DF58" s="109">
        <f t="shared" si="487"/>
        <v>0.85410493827160494</v>
      </c>
      <c r="DG58" s="109">
        <f t="shared" si="487"/>
        <v>0.85544342507645255</v>
      </c>
      <c r="DH58" s="109">
        <f t="shared" si="487"/>
        <v>0.85675757575757572</v>
      </c>
      <c r="DI58" s="109">
        <f t="shared" si="487"/>
        <v>0.85804804804804802</v>
      </c>
      <c r="DJ58" s="109">
        <f t="shared" si="487"/>
        <v>0.85931547619047621</v>
      </c>
      <c r="DK58" s="109">
        <f t="shared" si="487"/>
        <v>0.86056047197640118</v>
      </c>
      <c r="DL58" s="109">
        <f t="shared" si="487"/>
        <v>0.8617836257309941</v>
      </c>
      <c r="DM58" s="109">
        <f t="shared" si="487"/>
        <v>0.86298550724637679</v>
      </c>
      <c r="DN58" s="109">
        <f t="shared" si="487"/>
        <v>0.86416666666666664</v>
      </c>
      <c r="DO58" s="109">
        <f t="shared" si="487"/>
        <v>0.86532763532763535</v>
      </c>
      <c r="DP58" s="109">
        <f t="shared" si="487"/>
        <v>0.86610522598870054</v>
      </c>
      <c r="DQ58" s="109">
        <f t="shared" si="487"/>
        <v>0.86683823529411763</v>
      </c>
      <c r="DR58" s="109">
        <f t="shared" si="487"/>
        <v>0.8679479166666666</v>
      </c>
      <c r="DS58" s="109">
        <f t="shared" si="487"/>
        <v>0.86871212121212116</v>
      </c>
      <c r="DT58" s="109">
        <f t="shared" si="487"/>
        <v>0.86714139344262287</v>
      </c>
      <c r="DU58" s="109">
        <f t="shared" ref="DU58:GF58" si="488">IF(OR(DU$13="",DU$17="",DU$14="",DU$15="",DU$16="",DU$18="",DU$19="",DU$20="",DU$21=""),"",1-(DU85/(DU$4)))</f>
        <v>0.8682215447154471</v>
      </c>
      <c r="DV58" s="109">
        <f t="shared" si="488"/>
        <v>0.86928427419354837</v>
      </c>
      <c r="DW58" s="109">
        <f t="shared" si="488"/>
        <v>0.87033000000000005</v>
      </c>
      <c r="DX58" s="109">
        <f t="shared" si="488"/>
        <v>0.87135912698412699</v>
      </c>
      <c r="DY58" s="109">
        <f t="shared" si="488"/>
        <v>0.87237204724409445</v>
      </c>
      <c r="DZ58" s="109">
        <f t="shared" si="488"/>
        <v>0.87336914062499993</v>
      </c>
      <c r="EA58" s="109">
        <f t="shared" si="488"/>
        <v>0.87435077519379845</v>
      </c>
      <c r="EB58" s="109">
        <f t="shared" si="488"/>
        <v>0.8745801282051282</v>
      </c>
      <c r="EC58" s="109">
        <f t="shared" si="488"/>
        <v>0.87553753180661575</v>
      </c>
      <c r="ED58" s="109">
        <f t="shared" si="488"/>
        <v>0.87648042929292924</v>
      </c>
      <c r="EE58" s="109">
        <f t="shared" si="488"/>
        <v>0.87355576441102756</v>
      </c>
      <c r="EF58" s="109">
        <f t="shared" si="488"/>
        <v>0.87449937810945277</v>
      </c>
      <c r="EG58" s="109">
        <f t="shared" si="488"/>
        <v>0.87147839506172842</v>
      </c>
      <c r="EH58" s="109">
        <f t="shared" si="488"/>
        <v>0.87242340686274511</v>
      </c>
      <c r="EI58" s="109">
        <f t="shared" si="488"/>
        <v>0.87335462287104626</v>
      </c>
      <c r="EJ58" s="109">
        <f t="shared" si="488"/>
        <v>0.87427234299516909</v>
      </c>
      <c r="EK58" s="109">
        <f t="shared" si="488"/>
        <v>0.87517685851318938</v>
      </c>
      <c r="EL58" s="109">
        <f t="shared" si="488"/>
        <v>0.87606845238095232</v>
      </c>
      <c r="EM58" s="109">
        <f t="shared" si="488"/>
        <v>0.87608156028368789</v>
      </c>
      <c r="EN58" s="109">
        <f t="shared" si="488"/>
        <v>0.87695422535211265</v>
      </c>
      <c r="EO58" s="109">
        <f t="shared" si="488"/>
        <v>0.87781468531468532</v>
      </c>
      <c r="EP58" s="109">
        <f t="shared" si="488"/>
        <v>0.87662905092592591</v>
      </c>
      <c r="EQ58" s="109">
        <f t="shared" si="488"/>
        <v>0.87747988505747121</v>
      </c>
      <c r="ER58" s="109">
        <f t="shared" si="488"/>
        <v>0.87831906392694059</v>
      </c>
      <c r="ES58" s="109">
        <f t="shared" si="488"/>
        <v>0.87914682539682543</v>
      </c>
      <c r="ET58" s="109">
        <f t="shared" si="488"/>
        <v>0.87996340090090086</v>
      </c>
      <c r="EU58" s="109">
        <f t="shared" si="488"/>
        <v>0.88076901565995525</v>
      </c>
      <c r="EV58" s="109">
        <f t="shared" si="488"/>
        <v>0.88156388888888881</v>
      </c>
      <c r="EW58" s="109">
        <f t="shared" si="488"/>
        <v>0.88234823399558493</v>
      </c>
      <c r="EX58" s="109">
        <f t="shared" si="488"/>
        <v>0.88312225877192985</v>
      </c>
      <c r="EY58" s="109">
        <f t="shared" si="488"/>
        <v>0.88388616557734201</v>
      </c>
      <c r="EZ58" s="109">
        <f t="shared" si="488"/>
        <v>0.88464015151515152</v>
      </c>
      <c r="FA58" s="109">
        <f t="shared" si="488"/>
        <v>0.88538440860215051</v>
      </c>
      <c r="FB58" s="109">
        <f t="shared" si="488"/>
        <v>0.88611912393162395</v>
      </c>
      <c r="FC58" s="109">
        <f t="shared" si="488"/>
        <v>0.88684447983014858</v>
      </c>
      <c r="FD58" s="109">
        <f t="shared" si="488"/>
        <v>0.8864741561181434</v>
      </c>
      <c r="FE58" s="109">
        <f t="shared" si="488"/>
        <v>0.88718815513626836</v>
      </c>
      <c r="FF58" s="109">
        <f t="shared" si="488"/>
        <v>0.88776302083333336</v>
      </c>
      <c r="FG58" s="109">
        <f t="shared" si="488"/>
        <v>0.88846014492753622</v>
      </c>
      <c r="FH58" s="109">
        <f t="shared" si="488"/>
        <v>0.88914866255144032</v>
      </c>
      <c r="FI58" s="109">
        <f t="shared" si="488"/>
        <v>0.88982873210633939</v>
      </c>
      <c r="FJ58" s="109">
        <f t="shared" si="488"/>
        <v>0.8905005081300813</v>
      </c>
      <c r="FK58" s="109">
        <f t="shared" si="488"/>
        <v>0.89116414141414135</v>
      </c>
      <c r="FL58" s="109">
        <f t="shared" si="488"/>
        <v>0.89067269076305222</v>
      </c>
      <c r="FM58" s="109">
        <f t="shared" si="488"/>
        <v>0.89132734530938118</v>
      </c>
      <c r="FN58" s="109">
        <f t="shared" si="488"/>
        <v>0.89197420634920632</v>
      </c>
      <c r="FO58" s="109">
        <f t="shared" si="488"/>
        <v>0.89223126232741612</v>
      </c>
      <c r="FP58" s="109">
        <f t="shared" si="488"/>
        <v>0.8928651960784314</v>
      </c>
      <c r="FQ58" s="109">
        <f t="shared" si="488"/>
        <v>0.89348684210526319</v>
      </c>
      <c r="FR58" s="109">
        <f t="shared" si="488"/>
        <v>0.8941061046511628</v>
      </c>
      <c r="FS58" s="109">
        <f t="shared" si="488"/>
        <v>0.89471820809248559</v>
      </c>
      <c r="FT58" s="109">
        <f t="shared" si="488"/>
        <v>0.88976772030651341</v>
      </c>
      <c r="FU58" s="109">
        <f t="shared" si="488"/>
        <v>0.89039761904761905</v>
      </c>
      <c r="FV58" s="109">
        <f t="shared" si="488"/>
        <v>0.89102035984848482</v>
      </c>
      <c r="FW58" s="109">
        <f t="shared" si="488"/>
        <v>0.89163606403013185</v>
      </c>
      <c r="FX58" s="109">
        <f t="shared" si="488"/>
        <v>0.89156367041198503</v>
      </c>
      <c r="FY58" s="109">
        <f t="shared" si="488"/>
        <v>0.8921694599627561</v>
      </c>
      <c r="FZ58" s="109">
        <f t="shared" si="488"/>
        <v>0.89276851851851846</v>
      </c>
      <c r="GA58" s="109">
        <f t="shared" si="433"/>
        <v>0.89336095764272561</v>
      </c>
      <c r="GB58" s="109">
        <f t="shared" si="433"/>
        <v>0.89302426739926744</v>
      </c>
      <c r="GC58" s="109">
        <f t="shared" si="488"/>
        <v>0.89360883424408011</v>
      </c>
      <c r="GD58" s="109">
        <f t="shared" si="488"/>
        <v>0.89418704710144925</v>
      </c>
      <c r="GE58" s="109">
        <f t="shared" si="488"/>
        <v>0.89475900900900895</v>
      </c>
      <c r="GF58" s="109">
        <f t="shared" si="488"/>
        <v>0.89262992831541221</v>
      </c>
      <c r="GG58" s="109">
        <f t="shared" ref="GG58:IR58" si="489">IF(OR(GG$13="",GG$17="",GG$14="",GG$15="",GG$16="",GG$18="",GG$19="",GG$20="",GG$21=""),"",1-(GG85/(GG$4)))</f>
        <v>0.89283422459893047</v>
      </c>
      <c r="GH58" s="109">
        <f t="shared" si="489"/>
        <v>0.89340425531914891</v>
      </c>
      <c r="GI58" s="109">
        <f t="shared" si="489"/>
        <v>0.89396825396825397</v>
      </c>
      <c r="GJ58" s="109">
        <f t="shared" si="489"/>
        <v>0.89356578947368415</v>
      </c>
      <c r="GK58" s="109">
        <f t="shared" si="489"/>
        <v>0.89412303664921466</v>
      </c>
      <c r="GL58" s="109">
        <f t="shared" si="489"/>
        <v>0.89467447916666665</v>
      </c>
      <c r="GM58" s="109">
        <f t="shared" si="489"/>
        <v>0.89522020725388596</v>
      </c>
      <c r="GN58" s="109">
        <f t="shared" si="489"/>
        <v>0.89576030927835049</v>
      </c>
      <c r="GO58" s="109">
        <f t="shared" si="489"/>
        <v>0.89629487179487177</v>
      </c>
      <c r="GP58" s="109">
        <f t="shared" si="489"/>
        <v>0.89682397959183668</v>
      </c>
      <c r="GQ58" s="109">
        <f t="shared" si="489"/>
        <v>0.89734771573604055</v>
      </c>
      <c r="GR58" s="109">
        <f t="shared" si="489"/>
        <v>0.8974179292929293</v>
      </c>
      <c r="GS58" s="109">
        <f t="shared" si="489"/>
        <v>0.89793341708542718</v>
      </c>
      <c r="GT58" s="109">
        <f t="shared" si="489"/>
        <v>0.89844374999999999</v>
      </c>
      <c r="GU58" s="109">
        <f t="shared" si="489"/>
        <v>0.89894900497512431</v>
      </c>
      <c r="GV58" s="109">
        <f t="shared" si="489"/>
        <v>0.89944925742574255</v>
      </c>
      <c r="GW58" s="109">
        <f t="shared" si="489"/>
        <v>0.89838054187192118</v>
      </c>
      <c r="GX58" s="109">
        <f t="shared" si="489"/>
        <v>0.89887867647058828</v>
      </c>
      <c r="GY58" s="109">
        <f t="shared" si="489"/>
        <v>0.89937195121951219</v>
      </c>
      <c r="GZ58" s="109">
        <f t="shared" si="489"/>
        <v>0.89986043689320383</v>
      </c>
      <c r="HA58" s="109">
        <f t="shared" si="489"/>
        <v>0.90034420289855066</v>
      </c>
      <c r="HB58" s="109">
        <f t="shared" si="489"/>
        <v>0.90082331730769227</v>
      </c>
      <c r="HC58" s="109">
        <f t="shared" si="489"/>
        <v>0.90129784688995218</v>
      </c>
      <c r="HD58" s="109">
        <f t="shared" si="489"/>
        <v>0.90176785714285712</v>
      </c>
      <c r="HE58" s="109">
        <f t="shared" si="489"/>
        <v>0.90223341232227483</v>
      </c>
      <c r="HF58" s="109">
        <f t="shared" si="489"/>
        <v>0.90269457547169807</v>
      </c>
      <c r="HG58" s="109">
        <f t="shared" si="489"/>
        <v>0.90315140845070419</v>
      </c>
      <c r="HH58" s="109">
        <f t="shared" si="489"/>
        <v>0.90360397196261677</v>
      </c>
      <c r="HI58" s="109">
        <f t="shared" si="489"/>
        <v>0.90405232558139537</v>
      </c>
      <c r="HJ58" s="109">
        <f t="shared" si="489"/>
        <v>0.90449652777777778</v>
      </c>
      <c r="HK58" s="109">
        <f t="shared" si="489"/>
        <v>0.90103003925584568</v>
      </c>
      <c r="HL58" s="109">
        <f t="shared" si="489"/>
        <v>0.89689687393815831</v>
      </c>
      <c r="HM58" s="109">
        <f t="shared" si="489"/>
        <v>0.89343348342634876</v>
      </c>
      <c r="HN58" s="109">
        <f t="shared" si="489"/>
        <v>0.89381907617845113</v>
      </c>
      <c r="HO58" s="109">
        <f t="shared" si="489"/>
        <v>0.89429953284732699</v>
      </c>
      <c r="HP58" s="109">
        <f t="shared" si="489"/>
        <v>0.89477566107774442</v>
      </c>
      <c r="HQ58" s="109">
        <f t="shared" si="489"/>
        <v>0.89524751909981726</v>
      </c>
      <c r="HR58" s="109">
        <f t="shared" si="489"/>
        <v>0.895715164103836</v>
      </c>
      <c r="HS58" s="109">
        <f t="shared" si="489"/>
        <v>0.89444711934156373</v>
      </c>
      <c r="HT58" s="109">
        <f t="shared" si="489"/>
        <v>0.89491416748607011</v>
      </c>
      <c r="HU58" s="109">
        <f t="shared" si="489"/>
        <v>0.89537710066895082</v>
      </c>
      <c r="HV58" s="109">
        <f t="shared" si="489"/>
        <v>0.89583597303443796</v>
      </c>
      <c r="HW58" s="109">
        <f t="shared" si="489"/>
        <v>0.89578825004043339</v>
      </c>
      <c r="HX58" s="109">
        <f t="shared" si="489"/>
        <v>0.896241344605475</v>
      </c>
      <c r="HY58" s="109">
        <f t="shared" si="489"/>
        <v>0.89669051627384955</v>
      </c>
      <c r="HZ58" s="109">
        <f t="shared" si="489"/>
        <v>0.89568920617816095</v>
      </c>
      <c r="IA58" s="109">
        <f t="shared" si="489"/>
        <v>0.89613689198855506</v>
      </c>
      <c r="IB58" s="109">
        <f t="shared" si="489"/>
        <v>0.89658075142450144</v>
      </c>
      <c r="IC58" s="109">
        <f t="shared" si="489"/>
        <v>0.89702083333333327</v>
      </c>
      <c r="ID58" s="109">
        <f t="shared" si="489"/>
        <v>0.89706876765536725</v>
      </c>
      <c r="IE58" s="109">
        <f t="shared" si="489"/>
        <v>0.89750307665260198</v>
      </c>
      <c r="IF58" s="109">
        <f t="shared" si="489"/>
        <v>0.89705313375350137</v>
      </c>
      <c r="IG58" s="109">
        <f t="shared" si="489"/>
        <v>0.89748387377963734</v>
      </c>
      <c r="IH58" s="109">
        <f t="shared" si="489"/>
        <v>0.89791102430555547</v>
      </c>
      <c r="II58" s="109">
        <f t="shared" si="489"/>
        <v>0.89833463001383129</v>
      </c>
      <c r="IJ58" s="109">
        <f t="shared" si="489"/>
        <v>0.89875473484848478</v>
      </c>
      <c r="IK58" s="109">
        <f t="shared" si="489"/>
        <v>0.89849551326017374</v>
      </c>
      <c r="IL58" s="109">
        <f t="shared" si="489"/>
        <v>0.89891151525500912</v>
      </c>
      <c r="IM58" s="109">
        <f t="shared" si="489"/>
        <v>0.89932412131519268</v>
      </c>
      <c r="IN58" s="109">
        <f t="shared" si="489"/>
        <v>0.89907153342366752</v>
      </c>
      <c r="IO58" s="109">
        <f t="shared" si="489"/>
        <v>0.89948015069725595</v>
      </c>
      <c r="IP58" s="109">
        <f t="shared" si="489"/>
        <v>0.89988547267025087</v>
      </c>
      <c r="IQ58" s="109">
        <f t="shared" si="489"/>
        <v>0.90003244459318754</v>
      </c>
      <c r="IR58" s="109">
        <f t="shared" si="489"/>
        <v>0.90043231481481478</v>
      </c>
      <c r="IS58" s="109">
        <f t="shared" ref="IS58:LD58" si="490">IF(OR(IS$13="",IS$17="",IS$14="",IS$15="",IS$16="",IS$18="",IS$19="",IS$20="",IS$21=""),"",1-(IS85/(IS$4)))</f>
        <v>0.90081811642319609</v>
      </c>
      <c r="IT58" s="109">
        <f t="shared" si="490"/>
        <v>0.90121169532627865</v>
      </c>
      <c r="IU58" s="109">
        <f t="shared" si="490"/>
        <v>0.90160216293368467</v>
      </c>
      <c r="IV58" s="109">
        <f t="shared" si="490"/>
        <v>0.90197246828521427</v>
      </c>
      <c r="IW58" s="109">
        <f t="shared" si="490"/>
        <v>0.90234145787944808</v>
      </c>
      <c r="IX58" s="109">
        <f t="shared" si="490"/>
        <v>0.90272293655960645</v>
      </c>
      <c r="IY58" s="109">
        <f t="shared" si="490"/>
        <v>0.90308910685977806</v>
      </c>
      <c r="IZ58" s="109">
        <f t="shared" si="490"/>
        <v>0.90345625179443001</v>
      </c>
      <c r="JA58" s="109">
        <f t="shared" si="490"/>
        <v>0.90354358823108816</v>
      </c>
      <c r="JB58" s="109">
        <f t="shared" si="490"/>
        <v>0.90296634615384608</v>
      </c>
      <c r="JC58" s="109">
        <f t="shared" si="490"/>
        <v>0.90333812260536395</v>
      </c>
      <c r="JD58" s="109">
        <f t="shared" si="490"/>
        <v>0.90370706106870224</v>
      </c>
      <c r="JE58" s="109">
        <f t="shared" si="490"/>
        <v>0.90407319391634977</v>
      </c>
      <c r="JF58" s="109">
        <f t="shared" si="490"/>
        <v>0.90443655303030301</v>
      </c>
      <c r="JG58" s="109">
        <f t="shared" si="490"/>
        <v>0.90479716981132075</v>
      </c>
      <c r="JH58" s="109">
        <f t="shared" si="490"/>
        <v>0.90439497180451123</v>
      </c>
      <c r="JI58" s="109">
        <f t="shared" si="490"/>
        <v>0.90422180607573865</v>
      </c>
      <c r="JJ58" s="109">
        <f t="shared" si="490"/>
        <v>0.90408016341901598</v>
      </c>
      <c r="JK58" s="109">
        <f t="shared" si="490"/>
        <v>0.90321750653999722</v>
      </c>
      <c r="JL58" s="109">
        <f t="shared" si="490"/>
        <v>0.90216542352537721</v>
      </c>
      <c r="JM58" s="109">
        <f t="shared" si="490"/>
        <v>0.90165090713407126</v>
      </c>
      <c r="JN58" s="109">
        <f t="shared" si="490"/>
        <v>0.90185929840686274</v>
      </c>
      <c r="JO58" s="109">
        <f t="shared" si="490"/>
        <v>0.90206616300366294</v>
      </c>
      <c r="JP58" s="109">
        <f t="shared" si="490"/>
        <v>0.90227151763990265</v>
      </c>
      <c r="JQ58" s="109">
        <f t="shared" si="490"/>
        <v>0.90247537878787876</v>
      </c>
      <c r="JR58" s="109">
        <f t="shared" si="490"/>
        <v>0.9026777626811594</v>
      </c>
      <c r="JS58" s="109">
        <f t="shared" si="490"/>
        <v>0.901570021058965</v>
      </c>
      <c r="JT58" s="109">
        <f t="shared" si="490"/>
        <v>0.90132456534772176</v>
      </c>
      <c r="JU58" s="109">
        <f t="shared" si="490"/>
        <v>0.90162895758661887</v>
      </c>
      <c r="JV58" s="109">
        <f t="shared" si="490"/>
        <v>0.90183147321428569</v>
      </c>
      <c r="JW58" s="109">
        <f t="shared" si="490"/>
        <v>0.90218082740213523</v>
      </c>
      <c r="JX58" s="109">
        <f t="shared" si="490"/>
        <v>0.90252770390070913</v>
      </c>
      <c r="JY58" s="109">
        <f t="shared" si="490"/>
        <v>0.90287212897526492</v>
      </c>
      <c r="JZ58" s="109">
        <f t="shared" si="490"/>
        <v>0.9032141285211267</v>
      </c>
      <c r="KA58" s="109">
        <f t="shared" si="490"/>
        <v>0.90355372807017542</v>
      </c>
      <c r="KB58" s="109">
        <f t="shared" si="490"/>
        <v>0.90389095279720277</v>
      </c>
      <c r="KC58" s="109">
        <f t="shared" si="490"/>
        <v>0.90422582752613234</v>
      </c>
      <c r="KD58" s="109">
        <f t="shared" si="490"/>
        <v>0.90455837673611106</v>
      </c>
      <c r="KE58" s="109">
        <f t="shared" si="490"/>
        <v>0.90488862456747399</v>
      </c>
      <c r="KF58" s="109">
        <f t="shared" si="490"/>
        <v>0.9052165948275861</v>
      </c>
      <c r="KG58" s="109">
        <f t="shared" si="490"/>
        <v>0.90554231099656357</v>
      </c>
      <c r="KH58" s="109">
        <f t="shared" si="490"/>
        <v>0.90586579623287666</v>
      </c>
      <c r="KI58" s="109">
        <f t="shared" si="490"/>
        <v>0.90618707337883952</v>
      </c>
      <c r="KJ58" s="109">
        <f t="shared" si="490"/>
        <v>0.90650616496598635</v>
      </c>
      <c r="KK58" s="109">
        <f t="shared" si="490"/>
        <v>0.90682309322033894</v>
      </c>
      <c r="KL58" s="109">
        <f t="shared" si="490"/>
        <v>0.90713788006756757</v>
      </c>
      <c r="KM58" s="109">
        <f t="shared" si="490"/>
        <v>0.90745054713804707</v>
      </c>
      <c r="KN58" s="109">
        <f t="shared" si="490"/>
        <v>0.90776111577181207</v>
      </c>
      <c r="KO58" s="109">
        <f t="shared" si="490"/>
        <v>0.90806960702341133</v>
      </c>
      <c r="KP58" s="109">
        <f t="shared" si="490"/>
        <v>0.90837604166666663</v>
      </c>
      <c r="KQ58" s="109">
        <f t="shared" si="490"/>
        <v>0.90868044019933547</v>
      </c>
      <c r="KR58" s="109">
        <f t="shared" si="490"/>
        <v>0.90898282284768206</v>
      </c>
      <c r="KS58" s="109">
        <f t="shared" si="490"/>
        <v>0.9092832095709571</v>
      </c>
      <c r="KT58" s="109">
        <f t="shared" si="490"/>
        <v>0.90958162006578946</v>
      </c>
      <c r="KU58" s="109" t="str">
        <f t="shared" si="490"/>
        <v/>
      </c>
      <c r="KV58" s="109" t="str">
        <f t="shared" si="490"/>
        <v/>
      </c>
      <c r="KW58" s="109" t="str">
        <f t="shared" si="490"/>
        <v/>
      </c>
      <c r="KX58" s="109" t="str">
        <f t="shared" si="490"/>
        <v/>
      </c>
      <c r="KY58" s="109" t="str">
        <f t="shared" si="490"/>
        <v/>
      </c>
      <c r="KZ58" s="109" t="str">
        <f t="shared" si="490"/>
        <v/>
      </c>
      <c r="LA58" s="109" t="str">
        <f t="shared" si="490"/>
        <v/>
      </c>
      <c r="LB58" s="109" t="str">
        <f t="shared" si="490"/>
        <v/>
      </c>
      <c r="LC58" s="109" t="str">
        <f t="shared" si="490"/>
        <v/>
      </c>
      <c r="LD58" s="109" t="str">
        <f t="shared" si="490"/>
        <v/>
      </c>
      <c r="LE58" s="109" t="str">
        <f t="shared" ref="LE58:NP58" si="491">IF(OR(LE$13="",LE$17="",LE$14="",LE$15="",LE$16="",LE$18="",LE$19="",LE$20="",LE$21=""),"",1-(LE85/(LE$4)))</f>
        <v/>
      </c>
      <c r="LF58" s="109" t="str">
        <f t="shared" si="491"/>
        <v/>
      </c>
      <c r="LG58" s="109" t="str">
        <f t="shared" si="491"/>
        <v/>
      </c>
      <c r="LH58" s="109" t="str">
        <f t="shared" si="491"/>
        <v/>
      </c>
      <c r="LI58" s="109" t="str">
        <f t="shared" si="491"/>
        <v/>
      </c>
      <c r="LJ58" s="109" t="str">
        <f t="shared" si="491"/>
        <v/>
      </c>
      <c r="LK58" s="109" t="str">
        <f t="shared" si="491"/>
        <v/>
      </c>
      <c r="LL58" s="109" t="str">
        <f t="shared" si="491"/>
        <v/>
      </c>
      <c r="LM58" s="109" t="str">
        <f t="shared" si="491"/>
        <v/>
      </c>
      <c r="LN58" s="109" t="str">
        <f t="shared" si="491"/>
        <v/>
      </c>
      <c r="LO58" s="109" t="str">
        <f t="shared" si="491"/>
        <v/>
      </c>
      <c r="LP58" s="109" t="str">
        <f t="shared" si="491"/>
        <v/>
      </c>
      <c r="LQ58" s="109" t="str">
        <f t="shared" si="491"/>
        <v/>
      </c>
      <c r="LR58" s="109" t="str">
        <f t="shared" si="491"/>
        <v/>
      </c>
      <c r="LS58" s="109" t="str">
        <f t="shared" si="491"/>
        <v/>
      </c>
      <c r="LT58" s="109" t="str">
        <f t="shared" si="491"/>
        <v/>
      </c>
      <c r="LU58" s="109" t="str">
        <f t="shared" si="491"/>
        <v/>
      </c>
      <c r="LV58" s="109" t="str">
        <f t="shared" si="491"/>
        <v/>
      </c>
      <c r="LW58" s="109" t="str">
        <f t="shared" si="491"/>
        <v/>
      </c>
      <c r="LX58" s="109" t="str">
        <f t="shared" si="491"/>
        <v/>
      </c>
      <c r="LY58" s="109" t="str">
        <f t="shared" si="491"/>
        <v/>
      </c>
      <c r="LZ58" s="109" t="str">
        <f t="shared" si="491"/>
        <v/>
      </c>
      <c r="MA58" s="109" t="str">
        <f t="shared" si="491"/>
        <v/>
      </c>
      <c r="MB58" s="109" t="str">
        <f t="shared" si="491"/>
        <v/>
      </c>
      <c r="MC58" s="109" t="str">
        <f t="shared" si="491"/>
        <v/>
      </c>
      <c r="MD58" s="109" t="str">
        <f t="shared" si="491"/>
        <v/>
      </c>
      <c r="ME58" s="109" t="str">
        <f t="shared" si="491"/>
        <v/>
      </c>
      <c r="MF58" s="109" t="str">
        <f t="shared" si="491"/>
        <v/>
      </c>
      <c r="MG58" s="109" t="str">
        <f t="shared" si="491"/>
        <v/>
      </c>
      <c r="MH58" s="109" t="str">
        <f t="shared" si="491"/>
        <v/>
      </c>
      <c r="MI58" s="109" t="str">
        <f t="shared" si="491"/>
        <v/>
      </c>
      <c r="MJ58" s="109" t="str">
        <f t="shared" si="491"/>
        <v/>
      </c>
      <c r="MK58" s="109" t="str">
        <f t="shared" si="491"/>
        <v/>
      </c>
      <c r="ML58" s="109" t="str">
        <f t="shared" si="491"/>
        <v/>
      </c>
      <c r="MM58" s="109" t="str">
        <f t="shared" si="491"/>
        <v/>
      </c>
      <c r="MN58" s="109" t="str">
        <f t="shared" si="491"/>
        <v/>
      </c>
      <c r="MO58" s="109" t="str">
        <f t="shared" si="491"/>
        <v/>
      </c>
      <c r="MP58" s="109" t="str">
        <f t="shared" si="491"/>
        <v/>
      </c>
      <c r="MQ58" s="109" t="str">
        <f t="shared" si="491"/>
        <v/>
      </c>
      <c r="MR58" s="109" t="str">
        <f t="shared" si="491"/>
        <v/>
      </c>
      <c r="MS58" s="109" t="str">
        <f t="shared" si="491"/>
        <v/>
      </c>
      <c r="MT58" s="109" t="str">
        <f t="shared" si="491"/>
        <v/>
      </c>
      <c r="MU58" s="109" t="str">
        <f t="shared" si="491"/>
        <v/>
      </c>
      <c r="MV58" s="109" t="str">
        <f t="shared" si="491"/>
        <v/>
      </c>
      <c r="MW58" s="109" t="str">
        <f t="shared" si="491"/>
        <v/>
      </c>
      <c r="MX58" s="109" t="str">
        <f t="shared" si="491"/>
        <v/>
      </c>
      <c r="MY58" s="109" t="str">
        <f t="shared" si="491"/>
        <v/>
      </c>
      <c r="MZ58" s="109" t="str">
        <f t="shared" si="491"/>
        <v/>
      </c>
      <c r="NA58" s="109" t="str">
        <f t="shared" si="491"/>
        <v/>
      </c>
      <c r="NB58" s="109" t="str">
        <f t="shared" si="491"/>
        <v/>
      </c>
      <c r="NC58" s="109" t="str">
        <f t="shared" si="491"/>
        <v/>
      </c>
      <c r="ND58" s="109" t="str">
        <f t="shared" si="491"/>
        <v/>
      </c>
      <c r="NE58" s="109" t="str">
        <f t="shared" si="491"/>
        <v/>
      </c>
      <c r="NF58" s="109" t="str">
        <f t="shared" si="491"/>
        <v/>
      </c>
      <c r="NG58" s="109" t="str">
        <f t="shared" si="491"/>
        <v/>
      </c>
      <c r="NH58" s="109" t="str">
        <f t="shared" si="491"/>
        <v/>
      </c>
      <c r="NI58" s="109" t="str">
        <f t="shared" si="491"/>
        <v/>
      </c>
      <c r="NJ58" s="109" t="str">
        <f t="shared" si="491"/>
        <v/>
      </c>
      <c r="NK58" s="109" t="str">
        <f t="shared" si="491"/>
        <v/>
      </c>
      <c r="NL58" s="109" t="str">
        <f t="shared" si="491"/>
        <v/>
      </c>
      <c r="NM58" s="109" t="str">
        <f t="shared" si="491"/>
        <v/>
      </c>
      <c r="NN58" s="109" t="str">
        <f t="shared" si="491"/>
        <v/>
      </c>
      <c r="NO58" s="109" t="str">
        <f t="shared" si="491"/>
        <v/>
      </c>
      <c r="NP58" s="109" t="str">
        <f t="shared" si="491"/>
        <v/>
      </c>
      <c r="NQ58" s="109" t="str">
        <f t="shared" ref="NQ58:QB58" si="492">IF(OR(NQ$13="",NQ$17="",NQ$14="",NQ$15="",NQ$16="",NQ$18="",NQ$19="",NQ$20="",NQ$21=""),"",1-(NQ85/(NQ$4)))</f>
        <v/>
      </c>
      <c r="NR58" s="109" t="str">
        <f t="shared" si="492"/>
        <v/>
      </c>
      <c r="NS58" s="109" t="str">
        <f t="shared" si="492"/>
        <v/>
      </c>
      <c r="NT58" s="109" t="str">
        <f t="shared" si="492"/>
        <v/>
      </c>
      <c r="NU58" s="109" t="str">
        <f t="shared" si="492"/>
        <v/>
      </c>
      <c r="NV58" s="109" t="str">
        <f t="shared" si="492"/>
        <v/>
      </c>
      <c r="NW58" s="109" t="str">
        <f t="shared" si="492"/>
        <v/>
      </c>
      <c r="NX58" s="109" t="str">
        <f t="shared" si="492"/>
        <v/>
      </c>
      <c r="NY58" s="109" t="str">
        <f t="shared" si="492"/>
        <v/>
      </c>
      <c r="NZ58" s="109" t="str">
        <f t="shared" si="492"/>
        <v/>
      </c>
      <c r="OA58" s="109" t="str">
        <f t="shared" si="492"/>
        <v/>
      </c>
      <c r="OB58" s="109" t="str">
        <f t="shared" si="492"/>
        <v/>
      </c>
      <c r="OC58" s="109" t="str">
        <f t="shared" si="492"/>
        <v/>
      </c>
      <c r="OD58" s="109" t="str">
        <f t="shared" si="492"/>
        <v/>
      </c>
      <c r="OE58" s="109" t="str">
        <f t="shared" si="492"/>
        <v/>
      </c>
      <c r="OF58" s="109" t="str">
        <f t="shared" si="492"/>
        <v/>
      </c>
      <c r="OG58" s="109" t="str">
        <f t="shared" si="492"/>
        <v/>
      </c>
      <c r="OH58" s="109" t="str">
        <f t="shared" si="492"/>
        <v/>
      </c>
      <c r="OI58" s="109" t="str">
        <f t="shared" si="492"/>
        <v/>
      </c>
      <c r="OJ58" s="109" t="str">
        <f t="shared" si="492"/>
        <v/>
      </c>
      <c r="OK58" s="109" t="str">
        <f t="shared" si="492"/>
        <v/>
      </c>
      <c r="OL58" s="109" t="str">
        <f t="shared" si="492"/>
        <v/>
      </c>
      <c r="OM58" s="109" t="str">
        <f t="shared" si="492"/>
        <v/>
      </c>
      <c r="ON58" s="109" t="str">
        <f t="shared" si="492"/>
        <v/>
      </c>
      <c r="OO58" s="109" t="str">
        <f t="shared" si="492"/>
        <v/>
      </c>
      <c r="OP58" s="109" t="str">
        <f t="shared" si="492"/>
        <v/>
      </c>
      <c r="OQ58" s="109" t="str">
        <f t="shared" si="492"/>
        <v/>
      </c>
      <c r="OR58" s="109" t="str">
        <f t="shared" si="492"/>
        <v/>
      </c>
      <c r="OS58" s="109" t="str">
        <f t="shared" si="492"/>
        <v/>
      </c>
      <c r="OT58" s="109" t="str">
        <f t="shared" si="492"/>
        <v/>
      </c>
      <c r="OU58" s="109" t="str">
        <f t="shared" si="492"/>
        <v/>
      </c>
      <c r="OV58" s="109" t="str">
        <f t="shared" si="492"/>
        <v/>
      </c>
      <c r="OW58" s="109" t="str">
        <f t="shared" si="492"/>
        <v/>
      </c>
      <c r="OX58" s="109" t="str">
        <f t="shared" si="492"/>
        <v/>
      </c>
      <c r="OY58" s="109" t="str">
        <f t="shared" si="492"/>
        <v/>
      </c>
      <c r="OZ58" s="109" t="str">
        <f t="shared" si="492"/>
        <v/>
      </c>
      <c r="PA58" s="109" t="str">
        <f t="shared" si="492"/>
        <v/>
      </c>
      <c r="PB58" s="109" t="str">
        <f t="shared" si="492"/>
        <v/>
      </c>
      <c r="PC58" s="109" t="str">
        <f t="shared" si="492"/>
        <v/>
      </c>
      <c r="PD58" s="109" t="str">
        <f t="shared" si="492"/>
        <v/>
      </c>
      <c r="PE58" s="109" t="str">
        <f t="shared" si="492"/>
        <v/>
      </c>
      <c r="PF58" s="109" t="str">
        <f t="shared" si="492"/>
        <v/>
      </c>
      <c r="PG58" s="109" t="str">
        <f t="shared" si="492"/>
        <v/>
      </c>
      <c r="PH58" s="109" t="str">
        <f t="shared" si="492"/>
        <v/>
      </c>
      <c r="PI58" s="109" t="str">
        <f t="shared" si="492"/>
        <v/>
      </c>
      <c r="PJ58" s="109" t="str">
        <f t="shared" si="492"/>
        <v/>
      </c>
      <c r="PK58" s="109" t="str">
        <f t="shared" si="492"/>
        <v/>
      </c>
      <c r="PL58" s="109" t="str">
        <f t="shared" si="492"/>
        <v/>
      </c>
      <c r="PM58" s="109" t="str">
        <f t="shared" si="492"/>
        <v/>
      </c>
      <c r="PN58" s="109" t="str">
        <f t="shared" si="492"/>
        <v/>
      </c>
      <c r="PO58" s="109" t="str">
        <f t="shared" si="492"/>
        <v/>
      </c>
      <c r="PP58" s="109" t="str">
        <f t="shared" si="492"/>
        <v/>
      </c>
      <c r="PQ58" s="109" t="str">
        <f t="shared" si="492"/>
        <v/>
      </c>
      <c r="PR58" s="109" t="str">
        <f t="shared" si="492"/>
        <v/>
      </c>
      <c r="PS58" s="109" t="str">
        <f t="shared" si="492"/>
        <v/>
      </c>
      <c r="PT58" s="109" t="str">
        <f t="shared" si="492"/>
        <v/>
      </c>
      <c r="PU58" s="109" t="str">
        <f t="shared" si="492"/>
        <v/>
      </c>
      <c r="PV58" s="109" t="str">
        <f t="shared" si="492"/>
        <v/>
      </c>
      <c r="PW58" s="109" t="str">
        <f t="shared" si="492"/>
        <v/>
      </c>
      <c r="PX58" s="109" t="str">
        <f t="shared" si="492"/>
        <v/>
      </c>
      <c r="PY58" s="109" t="str">
        <f t="shared" si="492"/>
        <v/>
      </c>
      <c r="PZ58" s="109" t="str">
        <f t="shared" si="492"/>
        <v/>
      </c>
      <c r="QA58" s="109" t="str">
        <f t="shared" si="492"/>
        <v/>
      </c>
      <c r="QB58" s="109" t="str">
        <f t="shared" si="492"/>
        <v/>
      </c>
      <c r="QC58" s="109" t="str">
        <f t="shared" ref="QC58:SN58" si="493">IF(OR(QC$13="",QC$17="",QC$14="",QC$15="",QC$16="",QC$18="",QC$19="",QC$20="",QC$21=""),"",1-(QC85/(QC$4)))</f>
        <v/>
      </c>
      <c r="QD58" s="109" t="str">
        <f t="shared" si="493"/>
        <v/>
      </c>
      <c r="QE58" s="109" t="str">
        <f t="shared" si="493"/>
        <v/>
      </c>
      <c r="QF58" s="109" t="str">
        <f t="shared" si="493"/>
        <v/>
      </c>
      <c r="QG58" s="109" t="str">
        <f t="shared" si="493"/>
        <v/>
      </c>
      <c r="QH58" s="109" t="str">
        <f t="shared" si="493"/>
        <v/>
      </c>
      <c r="QI58" s="109" t="str">
        <f t="shared" si="493"/>
        <v/>
      </c>
      <c r="QJ58" s="109" t="str">
        <f t="shared" si="493"/>
        <v/>
      </c>
      <c r="QK58" s="109" t="str">
        <f t="shared" si="493"/>
        <v/>
      </c>
      <c r="QL58" s="109" t="str">
        <f t="shared" si="493"/>
        <v/>
      </c>
      <c r="QM58" s="109" t="str">
        <f t="shared" si="493"/>
        <v/>
      </c>
      <c r="QN58" s="109" t="str">
        <f t="shared" si="493"/>
        <v/>
      </c>
      <c r="QO58" s="109" t="str">
        <f t="shared" si="493"/>
        <v/>
      </c>
      <c r="QP58" s="109" t="str">
        <f t="shared" si="493"/>
        <v/>
      </c>
      <c r="QQ58" s="109" t="str">
        <f t="shared" si="493"/>
        <v/>
      </c>
      <c r="QR58" s="109" t="str">
        <f t="shared" si="493"/>
        <v/>
      </c>
      <c r="QS58" s="109" t="str">
        <f t="shared" si="493"/>
        <v/>
      </c>
      <c r="QT58" s="109" t="str">
        <f t="shared" si="493"/>
        <v/>
      </c>
      <c r="QU58" s="109" t="str">
        <f t="shared" si="493"/>
        <v/>
      </c>
      <c r="QV58" s="109" t="str">
        <f t="shared" si="493"/>
        <v/>
      </c>
      <c r="QW58" s="109" t="str">
        <f t="shared" si="493"/>
        <v/>
      </c>
      <c r="QX58" s="109" t="str">
        <f t="shared" si="493"/>
        <v/>
      </c>
      <c r="QY58" s="109" t="str">
        <f t="shared" si="493"/>
        <v/>
      </c>
      <c r="QZ58" s="109" t="str">
        <f t="shared" si="493"/>
        <v/>
      </c>
      <c r="RA58" s="109" t="str">
        <f t="shared" si="493"/>
        <v/>
      </c>
      <c r="RB58" s="109" t="str">
        <f t="shared" si="493"/>
        <v/>
      </c>
      <c r="RC58" s="109" t="str">
        <f t="shared" si="493"/>
        <v/>
      </c>
      <c r="RD58" s="109" t="str">
        <f t="shared" si="493"/>
        <v/>
      </c>
      <c r="RE58" s="109" t="str">
        <f t="shared" si="493"/>
        <v/>
      </c>
      <c r="RF58" s="109" t="str">
        <f t="shared" si="493"/>
        <v/>
      </c>
      <c r="RG58" s="109" t="str">
        <f t="shared" si="493"/>
        <v/>
      </c>
      <c r="RH58" s="109" t="str">
        <f t="shared" si="493"/>
        <v/>
      </c>
      <c r="RI58" s="109" t="str">
        <f t="shared" si="493"/>
        <v/>
      </c>
      <c r="RJ58" s="109" t="str">
        <f t="shared" si="493"/>
        <v/>
      </c>
      <c r="RK58" s="109" t="str">
        <f t="shared" si="493"/>
        <v/>
      </c>
      <c r="RL58" s="109" t="str">
        <f t="shared" si="493"/>
        <v/>
      </c>
      <c r="RM58" s="109" t="str">
        <f t="shared" si="493"/>
        <v/>
      </c>
      <c r="RN58" s="109" t="str">
        <f t="shared" si="493"/>
        <v/>
      </c>
      <c r="RO58" s="109" t="str">
        <f t="shared" si="493"/>
        <v/>
      </c>
      <c r="RP58" s="109" t="str">
        <f t="shared" si="493"/>
        <v/>
      </c>
      <c r="RQ58" s="109" t="str">
        <f t="shared" si="493"/>
        <v/>
      </c>
      <c r="RR58" s="109" t="str">
        <f t="shared" si="493"/>
        <v/>
      </c>
      <c r="RS58" s="109" t="str">
        <f t="shared" si="493"/>
        <v/>
      </c>
      <c r="RT58" s="109" t="str">
        <f t="shared" si="493"/>
        <v/>
      </c>
      <c r="RU58" s="109" t="str">
        <f t="shared" si="493"/>
        <v/>
      </c>
      <c r="RV58" s="109" t="str">
        <f t="shared" si="493"/>
        <v/>
      </c>
      <c r="RW58" s="109" t="str">
        <f t="shared" si="493"/>
        <v/>
      </c>
      <c r="RX58" s="109" t="str">
        <f t="shared" si="493"/>
        <v/>
      </c>
      <c r="RY58" s="109" t="str">
        <f t="shared" si="493"/>
        <v/>
      </c>
      <c r="RZ58" s="109" t="str">
        <f t="shared" si="493"/>
        <v/>
      </c>
      <c r="SA58" s="109" t="str">
        <f t="shared" si="493"/>
        <v/>
      </c>
      <c r="SB58" s="109" t="str">
        <f t="shared" si="493"/>
        <v/>
      </c>
      <c r="SC58" s="109" t="str">
        <f t="shared" si="493"/>
        <v/>
      </c>
      <c r="SD58" s="109" t="str">
        <f t="shared" si="493"/>
        <v/>
      </c>
      <c r="SE58" s="109" t="str">
        <f t="shared" si="493"/>
        <v/>
      </c>
      <c r="SF58" s="109" t="str">
        <f t="shared" si="493"/>
        <v/>
      </c>
      <c r="SG58" s="109" t="str">
        <f t="shared" si="493"/>
        <v/>
      </c>
      <c r="SH58" s="109" t="str">
        <f t="shared" si="493"/>
        <v/>
      </c>
      <c r="SI58" s="109" t="str">
        <f t="shared" si="493"/>
        <v/>
      </c>
      <c r="SJ58" s="109" t="str">
        <f t="shared" si="493"/>
        <v/>
      </c>
      <c r="SK58" s="109" t="str">
        <f t="shared" si="493"/>
        <v/>
      </c>
      <c r="SL58" s="109" t="str">
        <f t="shared" si="493"/>
        <v/>
      </c>
      <c r="SM58" s="109" t="str">
        <f t="shared" si="493"/>
        <v/>
      </c>
      <c r="SN58" s="109" t="str">
        <f t="shared" si="493"/>
        <v/>
      </c>
      <c r="SO58" s="109" t="str">
        <f t="shared" ref="SO58:SW58" si="494">IF(OR(SO$13="",SO$17="",SO$14="",SO$15="",SO$16="",SO$18="",SO$19="",SO$20="",SO$21=""),"",1-(SO85/(SO$4)))</f>
        <v/>
      </c>
      <c r="SP58" s="109" t="str">
        <f t="shared" si="494"/>
        <v/>
      </c>
      <c r="SQ58" s="109" t="str">
        <f t="shared" si="494"/>
        <v/>
      </c>
      <c r="SR58" s="109" t="str">
        <f t="shared" si="494"/>
        <v/>
      </c>
      <c r="SS58" s="109" t="str">
        <f t="shared" si="494"/>
        <v/>
      </c>
      <c r="ST58" s="109" t="str">
        <f t="shared" si="494"/>
        <v/>
      </c>
      <c r="SU58" s="109" t="str">
        <f t="shared" si="494"/>
        <v/>
      </c>
      <c r="SV58" s="109" t="str">
        <f t="shared" si="494"/>
        <v/>
      </c>
      <c r="SW58" s="109" t="str">
        <f t="shared" si="494"/>
        <v/>
      </c>
    </row>
    <row r="59" spans="1:517" ht="24.6" customHeight="1" x14ac:dyDescent="0.2">
      <c r="A59" s="94">
        <v>777</v>
      </c>
      <c r="B59" s="117" t="s">
        <v>83</v>
      </c>
      <c r="C59" s="109">
        <f t="shared" ref="C59:AH59" si="495">IF(OR(C$13="",C$17="",C$14="",C$15="",C$16="",C$18="",C$19="",C$20="",C$21=""),"",1-(C86/(C$4)))</f>
        <v>1</v>
      </c>
      <c r="D59" s="109">
        <f t="shared" si="495"/>
        <v>1</v>
      </c>
      <c r="E59" s="109">
        <f t="shared" si="495"/>
        <v>1</v>
      </c>
      <c r="F59" s="109">
        <f t="shared" si="495"/>
        <v>1</v>
      </c>
      <c r="G59" s="109">
        <f t="shared" si="495"/>
        <v>1</v>
      </c>
      <c r="H59" s="109">
        <f t="shared" si="495"/>
        <v>1</v>
      </c>
      <c r="I59" s="109">
        <f t="shared" si="495"/>
        <v>1</v>
      </c>
      <c r="J59" s="109">
        <f t="shared" si="495"/>
        <v>1</v>
      </c>
      <c r="K59" s="109">
        <f t="shared" si="495"/>
        <v>0.98356481481481484</v>
      </c>
      <c r="L59" s="109">
        <f t="shared" si="495"/>
        <v>0.93987500000000002</v>
      </c>
      <c r="M59" s="109">
        <f t="shared" si="495"/>
        <v>0.94534090909090907</v>
      </c>
      <c r="N59" s="109">
        <f t="shared" si="495"/>
        <v>0.94989583333333338</v>
      </c>
      <c r="O59" s="109">
        <f t="shared" si="495"/>
        <v>0.95374999999999999</v>
      </c>
      <c r="P59" s="109">
        <f t="shared" si="495"/>
        <v>0.95705357142857139</v>
      </c>
      <c r="Q59" s="109">
        <f t="shared" si="495"/>
        <v>0.95991666666666664</v>
      </c>
      <c r="R59" s="109">
        <f t="shared" si="495"/>
        <v>0.95578125000000003</v>
      </c>
      <c r="S59" s="109">
        <f t="shared" si="495"/>
        <v>0.95838235294117646</v>
      </c>
      <c r="T59" s="109">
        <f t="shared" si="495"/>
        <v>0.96069444444444441</v>
      </c>
      <c r="U59" s="109">
        <f t="shared" si="495"/>
        <v>0.94412280701754381</v>
      </c>
      <c r="V59" s="109">
        <f t="shared" si="495"/>
        <v>0.92889583333333337</v>
      </c>
      <c r="W59" s="109">
        <f t="shared" si="495"/>
        <v>0.93228174603174607</v>
      </c>
      <c r="X59" s="109">
        <f t="shared" si="495"/>
        <v>0.93535984848484843</v>
      </c>
      <c r="Y59" s="109">
        <f t="shared" si="495"/>
        <v>0.93817028985507245</v>
      </c>
      <c r="Z59" s="109">
        <f t="shared" si="495"/>
        <v>0.94074652777777779</v>
      </c>
      <c r="AA59" s="109">
        <f t="shared" si="495"/>
        <v>0.94311666666666671</v>
      </c>
      <c r="AB59" s="109">
        <f t="shared" si="495"/>
        <v>0.94530448717948712</v>
      </c>
      <c r="AC59" s="109">
        <f t="shared" si="495"/>
        <v>0.94643518518518521</v>
      </c>
      <c r="AD59" s="109">
        <f t="shared" si="495"/>
        <v>0.94834821428571425</v>
      </c>
      <c r="AE59" s="109">
        <f t="shared" si="495"/>
        <v>0.95012931034482762</v>
      </c>
      <c r="AF59" s="109">
        <f t="shared" si="495"/>
        <v>0.9517916666666667</v>
      </c>
      <c r="AG59" s="109">
        <f t="shared" si="495"/>
        <v>0.95334677419354841</v>
      </c>
      <c r="AH59" s="109">
        <f t="shared" si="495"/>
        <v>0.95480468750000003</v>
      </c>
      <c r="AI59" s="109">
        <f t="shared" ref="AI59:BN59" si="496">IF(OR(AI$13="",AI$17="",AI$14="",AI$15="",AI$16="",AI$18="",AI$19="",AI$20="",AI$21=""),"",1-(AI86/(AI$4)))</f>
        <v>0.95617424242424243</v>
      </c>
      <c r="AJ59" s="109">
        <f t="shared" si="496"/>
        <v>0.9574632352941177</v>
      </c>
      <c r="AK59" s="109">
        <f t="shared" si="496"/>
        <v>0.95867857142857138</v>
      </c>
      <c r="AL59" s="109">
        <f t="shared" si="496"/>
        <v>0.95545138888888892</v>
      </c>
      <c r="AM59" s="109">
        <f t="shared" si="496"/>
        <v>0.95609234234234231</v>
      </c>
      <c r="AN59" s="109">
        <f t="shared" si="496"/>
        <v>0.95724780701754386</v>
      </c>
      <c r="AO59" s="109">
        <f t="shared" si="496"/>
        <v>0.95834401709401706</v>
      </c>
      <c r="AP59" s="109">
        <f t="shared" si="496"/>
        <v>0.95938541666666666</v>
      </c>
      <c r="AQ59" s="109">
        <f t="shared" si="496"/>
        <v>0.95907520325203255</v>
      </c>
      <c r="AR59" s="109">
        <f t="shared" si="496"/>
        <v>0.95776785714285717</v>
      </c>
      <c r="AS59" s="109">
        <f t="shared" si="496"/>
        <v>0.94781976744186047</v>
      </c>
      <c r="AT59" s="109">
        <f t="shared" si="496"/>
        <v>0.9317897727272727</v>
      </c>
      <c r="AU59" s="109">
        <f t="shared" si="496"/>
        <v>0.93330555555555561</v>
      </c>
      <c r="AV59" s="109">
        <f t="shared" si="496"/>
        <v>0.9347554347826087</v>
      </c>
      <c r="AW59" s="109">
        <f t="shared" si="496"/>
        <v>0.93614361702127658</v>
      </c>
      <c r="AX59" s="109">
        <f t="shared" si="496"/>
        <v>0.93219618055555553</v>
      </c>
      <c r="AY59" s="109">
        <f t="shared" si="496"/>
        <v>0.9335799319727891</v>
      </c>
      <c r="AZ59" s="109">
        <f t="shared" si="496"/>
        <v>0.93490833333333334</v>
      </c>
      <c r="BA59" s="109">
        <f t="shared" si="496"/>
        <v>0.93618464052287576</v>
      </c>
      <c r="BB59" s="109">
        <f t="shared" si="496"/>
        <v>0.93306891025641026</v>
      </c>
      <c r="BC59" s="109">
        <f t="shared" si="496"/>
        <v>0.89937106918238996</v>
      </c>
      <c r="BD59" s="109">
        <f t="shared" si="496"/>
        <v>0.90123456790123457</v>
      </c>
      <c r="BE59" s="109">
        <f t="shared" si="496"/>
        <v>0.90217424242424249</v>
      </c>
      <c r="BF59" s="109">
        <f t="shared" si="496"/>
        <v>0.89959077380952379</v>
      </c>
      <c r="BG59" s="109">
        <f t="shared" si="496"/>
        <v>0.90135233918128654</v>
      </c>
      <c r="BH59" s="109">
        <f t="shared" si="496"/>
        <v>0.90305316091954024</v>
      </c>
      <c r="BI59" s="109">
        <f t="shared" si="496"/>
        <v>0.90469632768361585</v>
      </c>
      <c r="BJ59" s="109">
        <f t="shared" si="496"/>
        <v>0.90628472222222223</v>
      </c>
      <c r="BK59" s="109">
        <f t="shared" si="496"/>
        <v>0.90782103825136617</v>
      </c>
      <c r="BL59" s="109">
        <f t="shared" si="496"/>
        <v>0.90771505376344086</v>
      </c>
      <c r="BM59" s="109">
        <f t="shared" si="496"/>
        <v>0.9091798941798942</v>
      </c>
      <c r="BN59" s="109">
        <f t="shared" si="496"/>
        <v>0.91059895833333337</v>
      </c>
      <c r="BO59" s="109">
        <f t="shared" ref="BO59:CT59" si="497">IF(OR(BO$13="",BO$17="",BO$14="",BO$15="",BO$16="",BO$18="",BO$19="",BO$20="",BO$21=""),"",1-(BO86/(BO$4)))</f>
        <v>0.91197435897435897</v>
      </c>
      <c r="BP59" s="109">
        <f t="shared" si="497"/>
        <v>0.91330808080808079</v>
      </c>
      <c r="BQ59" s="109">
        <f t="shared" si="497"/>
        <v>0.91460199004975129</v>
      </c>
      <c r="BR59" s="109">
        <f t="shared" si="497"/>
        <v>0.90943627450980391</v>
      </c>
      <c r="BS59" s="109">
        <f t="shared" si="497"/>
        <v>0.9107487922705314</v>
      </c>
      <c r="BT59" s="109">
        <f t="shared" si="497"/>
        <v>0.91202380952380957</v>
      </c>
      <c r="BU59" s="109">
        <f t="shared" si="497"/>
        <v>0.91326291079812205</v>
      </c>
      <c r="BV59" s="109">
        <f t="shared" si="497"/>
        <v>0.91446759259259258</v>
      </c>
      <c r="BW59" s="109">
        <f t="shared" si="497"/>
        <v>0.91563926940639273</v>
      </c>
      <c r="BX59" s="109">
        <f t="shared" si="497"/>
        <v>0.91677927927927927</v>
      </c>
      <c r="BY59" s="109">
        <f t="shared" si="497"/>
        <v>0.91788888888888887</v>
      </c>
      <c r="BZ59" s="109">
        <f t="shared" si="497"/>
        <v>0.91896929824561402</v>
      </c>
      <c r="CA59" s="109">
        <f t="shared" si="497"/>
        <v>0.92002164502164507</v>
      </c>
      <c r="CB59" s="109">
        <f t="shared" si="497"/>
        <v>0.92104700854700861</v>
      </c>
      <c r="CC59" s="109">
        <f t="shared" si="497"/>
        <v>0.9220464135021097</v>
      </c>
      <c r="CD59" s="109">
        <f t="shared" si="497"/>
        <v>0.9230208333333334</v>
      </c>
      <c r="CE59" s="109">
        <f t="shared" si="497"/>
        <v>0.92397119341563783</v>
      </c>
      <c r="CF59" s="109">
        <f t="shared" si="497"/>
        <v>0.91859756097560974</v>
      </c>
      <c r="CG59" s="109">
        <f t="shared" si="497"/>
        <v>0.91957831325301209</v>
      </c>
      <c r="CH59" s="109">
        <f t="shared" si="497"/>
        <v>0.92053571428571423</v>
      </c>
      <c r="CI59" s="109">
        <f t="shared" si="497"/>
        <v>0.91658333333333331</v>
      </c>
      <c r="CJ59" s="109">
        <f t="shared" si="497"/>
        <v>0.91755329457364343</v>
      </c>
      <c r="CK59" s="109">
        <f t="shared" si="497"/>
        <v>0.91850095785440611</v>
      </c>
      <c r="CL59" s="109">
        <f t="shared" si="497"/>
        <v>0.91942708333333334</v>
      </c>
      <c r="CM59" s="109">
        <f t="shared" si="497"/>
        <v>0.91788389513108615</v>
      </c>
      <c r="CN59" s="109">
        <f t="shared" si="497"/>
        <v>0.91879629629629633</v>
      </c>
      <c r="CO59" s="109">
        <f t="shared" si="497"/>
        <v>0.91258241758241754</v>
      </c>
      <c r="CP59" s="109">
        <f t="shared" si="497"/>
        <v>0.91336050724637685</v>
      </c>
      <c r="CQ59" s="109">
        <f t="shared" si="497"/>
        <v>0.91429211469534055</v>
      </c>
      <c r="CR59" s="109">
        <f t="shared" si="497"/>
        <v>0.91520390070921986</v>
      </c>
      <c r="CS59" s="109">
        <f t="shared" si="497"/>
        <v>0.91140350877192988</v>
      </c>
      <c r="CT59" s="109">
        <f t="shared" si="497"/>
        <v>0.91232638888888884</v>
      </c>
      <c r="CU59" s="109">
        <f t="shared" ref="CU59:DT59" si="498">IF(OR(CU$13="",CU$17="",CU$14="",CU$15="",CU$16="",CU$18="",CU$19="",CU$20="",CU$21=""),"",1-(CU86/(CU$4)))</f>
        <v>0.91323024054982815</v>
      </c>
      <c r="CV59" s="109">
        <f t="shared" si="498"/>
        <v>0.91411564625850339</v>
      </c>
      <c r="CW59" s="109">
        <f t="shared" si="498"/>
        <v>0.91354377104377105</v>
      </c>
      <c r="CX59" s="109">
        <f t="shared" si="498"/>
        <v>0.91440833333333338</v>
      </c>
      <c r="CY59" s="109">
        <f t="shared" si="498"/>
        <v>0.91525577557755777</v>
      </c>
      <c r="CZ59" s="109">
        <f t="shared" si="498"/>
        <v>0.91608660130718955</v>
      </c>
      <c r="DA59" s="109">
        <f t="shared" si="498"/>
        <v>0.91649676375404532</v>
      </c>
      <c r="DB59" s="109">
        <f t="shared" si="498"/>
        <v>0.9172996794871795</v>
      </c>
      <c r="DC59" s="109">
        <f t="shared" si="498"/>
        <v>0.91808730158730156</v>
      </c>
      <c r="DD59" s="109">
        <f t="shared" si="498"/>
        <v>0.91880896226415099</v>
      </c>
      <c r="DE59" s="109">
        <f t="shared" si="498"/>
        <v>0.91956775700934579</v>
      </c>
      <c r="DF59" s="109">
        <f t="shared" si="498"/>
        <v>0.91870370370370369</v>
      </c>
      <c r="DG59" s="109">
        <f t="shared" si="498"/>
        <v>0.9194495412844037</v>
      </c>
      <c r="DH59" s="109">
        <f t="shared" si="498"/>
        <v>0.91929166666666673</v>
      </c>
      <c r="DI59" s="109">
        <f t="shared" si="498"/>
        <v>0.91867492492492497</v>
      </c>
      <c r="DJ59" s="109">
        <f t="shared" si="498"/>
        <v>0.85605654761904759</v>
      </c>
      <c r="DK59" s="109">
        <f t="shared" si="498"/>
        <v>0.85733038348082591</v>
      </c>
      <c r="DL59" s="109">
        <f t="shared" si="498"/>
        <v>0.85858187134502928</v>
      </c>
      <c r="DM59" s="109">
        <f t="shared" si="498"/>
        <v>0.85981159420289854</v>
      </c>
      <c r="DN59" s="109">
        <f t="shared" si="498"/>
        <v>0.86102011494252872</v>
      </c>
      <c r="DO59" s="109">
        <f t="shared" si="498"/>
        <v>0.86220797720797726</v>
      </c>
      <c r="DP59" s="109">
        <f t="shared" si="498"/>
        <v>0.86337570621468929</v>
      </c>
      <c r="DQ59" s="109">
        <f t="shared" si="498"/>
        <v>0.86452380952380947</v>
      </c>
      <c r="DR59" s="109">
        <f t="shared" si="498"/>
        <v>0.86565277777777783</v>
      </c>
      <c r="DS59" s="109">
        <f t="shared" si="498"/>
        <v>0.86676308539944902</v>
      </c>
      <c r="DT59" s="109">
        <f t="shared" si="498"/>
        <v>0.86757172131147542</v>
      </c>
      <c r="DU59" s="109">
        <f t="shared" ref="DU59:GF59" si="499">IF(OR(DU$13="",DU$17="",DU$14="",DU$15="",DU$16="",DU$18="",DU$19="",DU$20="",DU$21=""),"",1-(DU86/(DU$4)))</f>
        <v>0.86584688346883465</v>
      </c>
      <c r="DV59" s="109">
        <f t="shared" si="499"/>
        <v>0.86602150537634415</v>
      </c>
      <c r="DW59" s="109">
        <f t="shared" si="499"/>
        <v>0.8536866666666667</v>
      </c>
      <c r="DX59" s="109">
        <f t="shared" si="499"/>
        <v>0.85484788359788366</v>
      </c>
      <c r="DY59" s="109">
        <f t="shared" si="499"/>
        <v>0.85599081364829399</v>
      </c>
      <c r="DZ59" s="109">
        <f t="shared" si="499"/>
        <v>0.85711588541666672</v>
      </c>
      <c r="EA59" s="109">
        <f t="shared" si="499"/>
        <v>0.85785206718346252</v>
      </c>
      <c r="EB59" s="109">
        <f t="shared" si="499"/>
        <v>0.85894551282051279</v>
      </c>
      <c r="EC59" s="109">
        <f t="shared" si="499"/>
        <v>0.86002226463104325</v>
      </c>
      <c r="ED59" s="109">
        <f t="shared" si="499"/>
        <v>0.8610827020202021</v>
      </c>
      <c r="EE59" s="109">
        <f t="shared" si="499"/>
        <v>0.8621271929824561</v>
      </c>
      <c r="EF59" s="109">
        <f t="shared" si="499"/>
        <v>0.8628917910447762</v>
      </c>
      <c r="EG59" s="109">
        <f t="shared" si="499"/>
        <v>0.86091358024691367</v>
      </c>
      <c r="EH59" s="109">
        <f t="shared" si="499"/>
        <v>0.86193627450980392</v>
      </c>
      <c r="EI59" s="109">
        <f t="shared" si="499"/>
        <v>0.8628071776155718</v>
      </c>
      <c r="EJ59" s="109">
        <f t="shared" si="499"/>
        <v>0.86380132850241553</v>
      </c>
      <c r="EK59" s="109">
        <f t="shared" si="499"/>
        <v>0.86478117505995211</v>
      </c>
      <c r="EL59" s="109">
        <f t="shared" si="499"/>
        <v>0.86574702380952384</v>
      </c>
      <c r="EM59" s="109">
        <f t="shared" si="499"/>
        <v>0.86666371158392441</v>
      </c>
      <c r="EN59" s="109">
        <f t="shared" si="499"/>
        <v>0.86760269953051639</v>
      </c>
      <c r="EO59" s="109">
        <f t="shared" si="499"/>
        <v>0.86852855477855484</v>
      </c>
      <c r="EP59" s="109">
        <f t="shared" si="499"/>
        <v>0.8694415509259259</v>
      </c>
      <c r="EQ59" s="109">
        <f t="shared" si="499"/>
        <v>0.87008333333333332</v>
      </c>
      <c r="ER59" s="109">
        <f t="shared" si="499"/>
        <v>0.8709731735159818</v>
      </c>
      <c r="ES59" s="109">
        <f t="shared" si="499"/>
        <v>0.87185090702947843</v>
      </c>
      <c r="ET59" s="109">
        <f t="shared" si="499"/>
        <v>0.87271677927927938</v>
      </c>
      <c r="EU59" s="109">
        <f t="shared" si="499"/>
        <v>0.87273210290827741</v>
      </c>
      <c r="EV59" s="109">
        <f t="shared" si="499"/>
        <v>0.87358055555555558</v>
      </c>
      <c r="EW59" s="109">
        <f t="shared" si="499"/>
        <v>0.87441777041942603</v>
      </c>
      <c r="EX59" s="109">
        <f t="shared" si="499"/>
        <v>0.87524396929824566</v>
      </c>
      <c r="EY59" s="109">
        <f t="shared" si="499"/>
        <v>0.87605936819172114</v>
      </c>
      <c r="EZ59" s="109">
        <f t="shared" si="499"/>
        <v>0.87686417748917755</v>
      </c>
      <c r="FA59" s="109">
        <f t="shared" si="499"/>
        <v>0.8776586021505377</v>
      </c>
      <c r="FB59" s="109">
        <f t="shared" si="499"/>
        <v>0.87844284188034194</v>
      </c>
      <c r="FC59" s="109">
        <f t="shared" si="499"/>
        <v>0.87921709129511683</v>
      </c>
      <c r="FD59" s="109">
        <f t="shared" si="499"/>
        <v>0.87807753164556968</v>
      </c>
      <c r="FE59" s="109">
        <f t="shared" si="499"/>
        <v>0.87575209643605867</v>
      </c>
      <c r="FF59" s="109">
        <f t="shared" si="499"/>
        <v>0.87652864583333334</v>
      </c>
      <c r="FG59" s="109">
        <f t="shared" si="499"/>
        <v>0.87482142857142864</v>
      </c>
      <c r="FH59" s="109">
        <f t="shared" si="499"/>
        <v>0.87377572016460903</v>
      </c>
      <c r="FI59" s="109">
        <f t="shared" si="499"/>
        <v>0.87419734151329243</v>
      </c>
      <c r="FJ59" s="109">
        <f t="shared" si="499"/>
        <v>0.87496443089430898</v>
      </c>
      <c r="FK59" s="109">
        <f t="shared" si="499"/>
        <v>0.87572222222222229</v>
      </c>
      <c r="FL59" s="109">
        <f t="shared" si="499"/>
        <v>0.8764708835341366</v>
      </c>
      <c r="FM59" s="109">
        <f t="shared" si="499"/>
        <v>0.87721057884231535</v>
      </c>
      <c r="FN59" s="109">
        <f t="shared" si="499"/>
        <v>0.87794146825396824</v>
      </c>
      <c r="FO59" s="109">
        <f t="shared" si="499"/>
        <v>0.87866370808678507</v>
      </c>
      <c r="FP59" s="109">
        <f t="shared" si="499"/>
        <v>0.87937745098039222</v>
      </c>
      <c r="FQ59" s="109">
        <f t="shared" si="499"/>
        <v>0.88008284600389863</v>
      </c>
      <c r="FR59" s="109">
        <f t="shared" si="499"/>
        <v>0.88078003875968991</v>
      </c>
      <c r="FS59" s="109">
        <f t="shared" si="499"/>
        <v>0.88146917148362236</v>
      </c>
      <c r="FT59" s="109">
        <f t="shared" si="499"/>
        <v>0.88215038314176253</v>
      </c>
      <c r="FU59" s="109">
        <f t="shared" si="499"/>
        <v>0.88282380952380957</v>
      </c>
      <c r="FV59" s="109">
        <f t="shared" si="499"/>
        <v>0.88348958333333338</v>
      </c>
      <c r="FW59" s="109">
        <f t="shared" si="499"/>
        <v>0.88277071563088516</v>
      </c>
      <c r="FX59" s="109">
        <f t="shared" si="499"/>
        <v>0.8834293071161049</v>
      </c>
      <c r="FY59" s="109">
        <f t="shared" si="499"/>
        <v>0.88408054003724401</v>
      </c>
      <c r="FZ59" s="109">
        <f t="shared" si="499"/>
        <v>0.88468287037037041</v>
      </c>
      <c r="GA59" s="109">
        <f t="shared" si="433"/>
        <v>0.88531998158379377</v>
      </c>
      <c r="GB59" s="109">
        <f t="shared" si="433"/>
        <v>0.88595009157509153</v>
      </c>
      <c r="GC59" s="109">
        <f t="shared" si="499"/>
        <v>0.8865733151183971</v>
      </c>
      <c r="GD59" s="109">
        <f t="shared" si="499"/>
        <v>0.88718976449275366</v>
      </c>
      <c r="GE59" s="109">
        <f t="shared" si="499"/>
        <v>0.88737837837837841</v>
      </c>
      <c r="GF59" s="109">
        <f t="shared" si="499"/>
        <v>0.8879838709677419</v>
      </c>
      <c r="GG59" s="109">
        <f t="shared" ref="GG59:IR59" si="500">IF(OR(GG$13="",GG$17="",GG$14="",GG$15="",GG$16="",GG$18="",GG$19="",GG$20="",GG$21=""),"",1-(GG86/(GG$4)))</f>
        <v>0.88858288770053473</v>
      </c>
      <c r="GH59" s="109">
        <f t="shared" si="500"/>
        <v>0.88917553191489362</v>
      </c>
      <c r="GI59" s="109">
        <f t="shared" si="500"/>
        <v>0.88976190476190475</v>
      </c>
      <c r="GJ59" s="109">
        <f t="shared" si="500"/>
        <v>0.89034210526315793</v>
      </c>
      <c r="GK59" s="109">
        <f t="shared" si="500"/>
        <v>0.89091623036649215</v>
      </c>
      <c r="GL59" s="109">
        <f t="shared" si="500"/>
        <v>0.891484375</v>
      </c>
      <c r="GM59" s="109">
        <f t="shared" si="500"/>
        <v>0.89204663212435231</v>
      </c>
      <c r="GN59" s="109">
        <f t="shared" si="500"/>
        <v>0.89260309278350514</v>
      </c>
      <c r="GO59" s="109">
        <f t="shared" si="500"/>
        <v>0.89315384615384619</v>
      </c>
      <c r="GP59" s="109">
        <f t="shared" si="500"/>
        <v>0.89369897959183675</v>
      </c>
      <c r="GQ59" s="109">
        <f t="shared" si="500"/>
        <v>0.89373730964467002</v>
      </c>
      <c r="GR59" s="109">
        <f t="shared" si="500"/>
        <v>0.89301136363636369</v>
      </c>
      <c r="GS59" s="109">
        <f t="shared" si="500"/>
        <v>0.89354899497487439</v>
      </c>
      <c r="GT59" s="109">
        <f t="shared" si="500"/>
        <v>0.89252916666666671</v>
      </c>
      <c r="GU59" s="109">
        <f t="shared" si="500"/>
        <v>0.89306384742951905</v>
      </c>
      <c r="GV59" s="109">
        <f t="shared" si="500"/>
        <v>0.86196163366336631</v>
      </c>
      <c r="GW59" s="109">
        <f t="shared" si="500"/>
        <v>0.86264162561576352</v>
      </c>
      <c r="GX59" s="109">
        <f t="shared" si="500"/>
        <v>0.86331495098039213</v>
      </c>
      <c r="GY59" s="109">
        <f t="shared" si="500"/>
        <v>0.86398170731707313</v>
      </c>
      <c r="GZ59" s="109">
        <f t="shared" si="500"/>
        <v>0.8646419902912621</v>
      </c>
      <c r="HA59" s="109">
        <f t="shared" si="500"/>
        <v>0.86529589371980675</v>
      </c>
      <c r="HB59" s="109">
        <f t="shared" si="500"/>
        <v>0.83687700320512826</v>
      </c>
      <c r="HC59" s="109">
        <f t="shared" si="500"/>
        <v>0.83765749601275918</v>
      </c>
      <c r="HD59" s="109">
        <f t="shared" si="500"/>
        <v>0.83843055555555557</v>
      </c>
      <c r="HE59" s="109">
        <f t="shared" si="500"/>
        <v>0.83919628751974717</v>
      </c>
      <c r="HF59" s="109">
        <f t="shared" si="500"/>
        <v>0.83995479559748421</v>
      </c>
      <c r="HG59" s="109">
        <f t="shared" si="500"/>
        <v>0.84070618153364629</v>
      </c>
      <c r="HH59" s="109">
        <f t="shared" si="500"/>
        <v>0.84145054517133955</v>
      </c>
      <c r="HI59" s="109">
        <f t="shared" si="500"/>
        <v>0.84218798449612398</v>
      </c>
      <c r="HJ59" s="109">
        <f t="shared" si="500"/>
        <v>0.84291859567901239</v>
      </c>
      <c r="HK59" s="109">
        <f t="shared" si="500"/>
        <v>0.84344582053251405</v>
      </c>
      <c r="HL59" s="109">
        <f t="shared" si="500"/>
        <v>0.84416395897043828</v>
      </c>
      <c r="HM59" s="109">
        <f t="shared" si="500"/>
        <v>0.84420672670387287</v>
      </c>
      <c r="HN59" s="109">
        <f t="shared" si="500"/>
        <v>0.84471406776094271</v>
      </c>
      <c r="HO59" s="109">
        <f t="shared" si="500"/>
        <v>0.84541671903804261</v>
      </c>
      <c r="HP59" s="109">
        <f t="shared" si="500"/>
        <v>0.84611304012345678</v>
      </c>
      <c r="HQ59" s="109">
        <f t="shared" si="500"/>
        <v>0.84680311617671489</v>
      </c>
      <c r="HR59" s="109">
        <f t="shared" si="500"/>
        <v>0.84748703083664023</v>
      </c>
      <c r="HS59" s="109">
        <f t="shared" si="500"/>
        <v>0.84345437242798349</v>
      </c>
      <c r="HT59" s="109">
        <f t="shared" si="500"/>
        <v>0.83972227343493933</v>
      </c>
      <c r="HU59" s="109">
        <f t="shared" si="500"/>
        <v>0.83602305637134933</v>
      </c>
      <c r="HV59" s="109">
        <f t="shared" si="500"/>
        <v>0.83303849902534111</v>
      </c>
      <c r="HW59" s="109">
        <f t="shared" si="500"/>
        <v>0.83367251940805431</v>
      </c>
      <c r="HX59" s="109">
        <f t="shared" si="500"/>
        <v>0.83439568236714978</v>
      </c>
      <c r="HY59" s="109">
        <f t="shared" si="500"/>
        <v>0.83446533790283794</v>
      </c>
      <c r="HZ59" s="109">
        <f t="shared" si="500"/>
        <v>0.83517884937739462</v>
      </c>
      <c r="IA59" s="109">
        <f t="shared" si="500"/>
        <v>0.83588623628993797</v>
      </c>
      <c r="IB59" s="109">
        <f t="shared" si="500"/>
        <v>0.8360538837448559</v>
      </c>
      <c r="IC59" s="109">
        <f t="shared" si="500"/>
        <v>0.83675152679275011</v>
      </c>
      <c r="ID59" s="109">
        <f t="shared" si="500"/>
        <v>0.82250152032328938</v>
      </c>
      <c r="IE59" s="109">
        <f t="shared" si="500"/>
        <v>0.8232504590561025</v>
      </c>
      <c r="IF59" s="109">
        <f t="shared" si="500"/>
        <v>0.82399310418611882</v>
      </c>
      <c r="IG59" s="109">
        <f t="shared" si="500"/>
        <v>0.82472953471253674</v>
      </c>
      <c r="IH59" s="109">
        <f t="shared" si="500"/>
        <v>0.82502232831790123</v>
      </c>
      <c r="II59" s="109">
        <f t="shared" si="500"/>
        <v>0.82574837674811741</v>
      </c>
      <c r="IJ59" s="109">
        <f t="shared" si="500"/>
        <v>0.8264684247780838</v>
      </c>
      <c r="IK59" s="109">
        <f t="shared" si="500"/>
        <v>0.82718254648681599</v>
      </c>
      <c r="IL59" s="109">
        <f t="shared" si="500"/>
        <v>0.82789081473891923</v>
      </c>
      <c r="IM59" s="109">
        <f t="shared" si="500"/>
        <v>0.82859330120937269</v>
      </c>
      <c r="IN59" s="109">
        <f t="shared" si="500"/>
        <v>0.82929007640770847</v>
      </c>
      <c r="IO59" s="109">
        <f t="shared" si="500"/>
        <v>0.82953867708801921</v>
      </c>
      <c r="IP59" s="109">
        <f t="shared" si="500"/>
        <v>0.83022602113201915</v>
      </c>
      <c r="IQ59" s="109">
        <f t="shared" si="500"/>
        <v>0.83090784434032428</v>
      </c>
      <c r="IR59" s="109">
        <f t="shared" si="500"/>
        <v>0.82758421296296292</v>
      </c>
      <c r="IS59" s="109">
        <f t="shared" ref="IS59:LD59" si="501">IF(OR(IS$13="",IS$17="",IS$14="",IS$15="",IS$16="",IS$18="",IS$19="",IS$20="",IS$21=""),"",1-(IS86/(IS$4)))</f>
        <v>0.82428706470414637</v>
      </c>
      <c r="IT59" s="109">
        <f t="shared" si="501"/>
        <v>0.8210160842886538</v>
      </c>
      <c r="IU59" s="109">
        <f t="shared" si="501"/>
        <v>0.820579252671644</v>
      </c>
      <c r="IV59" s="109">
        <f t="shared" si="501"/>
        <v>0.82128563356663753</v>
      </c>
      <c r="IW59" s="109">
        <f t="shared" si="501"/>
        <v>0.82198647421931736</v>
      </c>
      <c r="IX59" s="109">
        <f t="shared" si="501"/>
        <v>0.82268183955439811</v>
      </c>
      <c r="IY59" s="109">
        <f t="shared" si="501"/>
        <v>0.82278228130854592</v>
      </c>
      <c r="IZ59" s="109">
        <f t="shared" si="501"/>
        <v>0.82346917169107092</v>
      </c>
      <c r="JA59" s="109">
        <f t="shared" si="501"/>
        <v>0.8241412394537394</v>
      </c>
      <c r="JB59" s="109">
        <f t="shared" si="501"/>
        <v>0.82481761930199426</v>
      </c>
      <c r="JC59" s="109">
        <f t="shared" si="501"/>
        <v>0.82547741946927777</v>
      </c>
      <c r="JD59" s="109">
        <f t="shared" si="501"/>
        <v>0.82614353618886061</v>
      </c>
      <c r="JE59" s="109">
        <f t="shared" si="501"/>
        <v>0.82680458738205886</v>
      </c>
      <c r="JF59" s="109">
        <f t="shared" si="501"/>
        <v>0.8274606306116723</v>
      </c>
      <c r="JG59" s="109">
        <f t="shared" si="501"/>
        <v>0.82811172257162824</v>
      </c>
      <c r="JH59" s="109">
        <f t="shared" si="501"/>
        <v>0.8280901472431077</v>
      </c>
      <c r="JI59" s="109">
        <f t="shared" si="501"/>
        <v>0.8287326172145929</v>
      </c>
      <c r="JJ59" s="109">
        <f t="shared" si="501"/>
        <v>0.82937167461304595</v>
      </c>
      <c r="JK59" s="109">
        <f t="shared" si="501"/>
        <v>0.82947447680022024</v>
      </c>
      <c r="JL59" s="109">
        <f t="shared" si="501"/>
        <v>0.82936492626886138</v>
      </c>
      <c r="JM59" s="109">
        <f t="shared" si="501"/>
        <v>0.8294641331829985</v>
      </c>
      <c r="JN59" s="109">
        <f t="shared" si="501"/>
        <v>0.83002676504629624</v>
      </c>
      <c r="JO59" s="109">
        <f t="shared" si="501"/>
        <v>0.83049675247591914</v>
      </c>
      <c r="JP59" s="109">
        <f t="shared" si="501"/>
        <v>0.83096330934036222</v>
      </c>
      <c r="JQ59" s="109">
        <f t="shared" si="501"/>
        <v>0.8313976851851852</v>
      </c>
      <c r="JR59" s="109">
        <f t="shared" si="501"/>
        <v>0.83185759695383787</v>
      </c>
      <c r="JS59" s="109">
        <f t="shared" si="501"/>
        <v>0.83115594497927525</v>
      </c>
      <c r="JT59" s="109">
        <f t="shared" si="501"/>
        <v>0.83130616340261121</v>
      </c>
      <c r="JU59" s="109">
        <f t="shared" si="501"/>
        <v>0.83191080080977031</v>
      </c>
      <c r="JV59" s="109">
        <f t="shared" si="501"/>
        <v>0.83236230985449733</v>
      </c>
      <c r="JW59" s="109">
        <f t="shared" si="501"/>
        <v>0.83295888526426776</v>
      </c>
      <c r="JX59" s="109">
        <f t="shared" si="501"/>
        <v>0.83355122964276329</v>
      </c>
      <c r="JY59" s="109">
        <f t="shared" si="501"/>
        <v>0.83413938784190544</v>
      </c>
      <c r="JZ59" s="109">
        <f t="shared" si="501"/>
        <v>0.83472340408189871</v>
      </c>
      <c r="KA59" s="109">
        <f t="shared" si="501"/>
        <v>0.83530332196231316</v>
      </c>
      <c r="KB59" s="109">
        <f t="shared" si="501"/>
        <v>0.83587918447293441</v>
      </c>
      <c r="KC59" s="109">
        <f t="shared" si="501"/>
        <v>0.83645103400438758</v>
      </c>
      <c r="KD59" s="109">
        <f t="shared" si="501"/>
        <v>0.83701891235853909</v>
      </c>
      <c r="KE59" s="109">
        <f t="shared" si="501"/>
        <v>0.83758286075868249</v>
      </c>
      <c r="KF59" s="109">
        <f t="shared" si="501"/>
        <v>0.83814291985951472</v>
      </c>
      <c r="KG59" s="109">
        <f t="shared" si="501"/>
        <v>0.83869912975690464</v>
      </c>
      <c r="KH59" s="109">
        <f t="shared" si="501"/>
        <v>0.83925152999746322</v>
      </c>
      <c r="KI59" s="109">
        <f t="shared" si="501"/>
        <v>0.83980015958791554</v>
      </c>
      <c r="KJ59" s="109">
        <f t="shared" si="501"/>
        <v>0.84034505700428319</v>
      </c>
      <c r="KK59" s="109">
        <f t="shared" si="501"/>
        <v>0.84088626020087887</v>
      </c>
      <c r="KL59" s="109">
        <f t="shared" si="501"/>
        <v>0.84142380661911909</v>
      </c>
      <c r="KM59" s="109">
        <f t="shared" si="501"/>
        <v>0.84195773319615907</v>
      </c>
      <c r="KN59" s="109">
        <f t="shared" si="501"/>
        <v>0.84248807637335321</v>
      </c>
      <c r="KO59" s="109">
        <f t="shared" si="501"/>
        <v>0.84301487210454595</v>
      </c>
      <c r="KP59" s="109">
        <f t="shared" si="501"/>
        <v>0.84353815586419745</v>
      </c>
      <c r="KQ59" s="109">
        <f t="shared" si="501"/>
        <v>0.84405796265534638</v>
      </c>
      <c r="KR59" s="109">
        <f t="shared" si="501"/>
        <v>0.84457432701741475</v>
      </c>
      <c r="KS59" s="109">
        <f t="shared" si="501"/>
        <v>0.84508728303385894</v>
      </c>
      <c r="KT59" s="109">
        <f t="shared" si="501"/>
        <v>0.84559686433966852</v>
      </c>
      <c r="KU59" s="109" t="str">
        <f t="shared" si="501"/>
        <v/>
      </c>
      <c r="KV59" s="109" t="str">
        <f t="shared" si="501"/>
        <v/>
      </c>
      <c r="KW59" s="109" t="str">
        <f t="shared" si="501"/>
        <v/>
      </c>
      <c r="KX59" s="109" t="str">
        <f t="shared" si="501"/>
        <v/>
      </c>
      <c r="KY59" s="109" t="str">
        <f t="shared" si="501"/>
        <v/>
      </c>
      <c r="KZ59" s="109" t="str">
        <f t="shared" si="501"/>
        <v/>
      </c>
      <c r="LA59" s="109" t="str">
        <f t="shared" si="501"/>
        <v/>
      </c>
      <c r="LB59" s="109" t="str">
        <f t="shared" si="501"/>
        <v/>
      </c>
      <c r="LC59" s="109" t="str">
        <f t="shared" si="501"/>
        <v/>
      </c>
      <c r="LD59" s="109" t="str">
        <f t="shared" si="501"/>
        <v/>
      </c>
      <c r="LE59" s="109" t="str">
        <f t="shared" ref="LE59:NP59" si="502">IF(OR(LE$13="",LE$17="",LE$14="",LE$15="",LE$16="",LE$18="",LE$19="",LE$20="",LE$21=""),"",1-(LE86/(LE$4)))</f>
        <v/>
      </c>
      <c r="LF59" s="109" t="str">
        <f t="shared" si="502"/>
        <v/>
      </c>
      <c r="LG59" s="109" t="str">
        <f t="shared" si="502"/>
        <v/>
      </c>
      <c r="LH59" s="109" t="str">
        <f t="shared" si="502"/>
        <v/>
      </c>
      <c r="LI59" s="109" t="str">
        <f t="shared" si="502"/>
        <v/>
      </c>
      <c r="LJ59" s="109" t="str">
        <f t="shared" si="502"/>
        <v/>
      </c>
      <c r="LK59" s="109" t="str">
        <f t="shared" si="502"/>
        <v/>
      </c>
      <c r="LL59" s="109" t="str">
        <f t="shared" si="502"/>
        <v/>
      </c>
      <c r="LM59" s="109" t="str">
        <f t="shared" si="502"/>
        <v/>
      </c>
      <c r="LN59" s="109" t="str">
        <f t="shared" si="502"/>
        <v/>
      </c>
      <c r="LO59" s="109" t="str">
        <f t="shared" si="502"/>
        <v/>
      </c>
      <c r="LP59" s="109" t="str">
        <f t="shared" si="502"/>
        <v/>
      </c>
      <c r="LQ59" s="109" t="str">
        <f t="shared" si="502"/>
        <v/>
      </c>
      <c r="LR59" s="109" t="str">
        <f t="shared" si="502"/>
        <v/>
      </c>
      <c r="LS59" s="109" t="str">
        <f t="shared" si="502"/>
        <v/>
      </c>
      <c r="LT59" s="109" t="str">
        <f t="shared" si="502"/>
        <v/>
      </c>
      <c r="LU59" s="109" t="str">
        <f t="shared" si="502"/>
        <v/>
      </c>
      <c r="LV59" s="109" t="str">
        <f t="shared" si="502"/>
        <v/>
      </c>
      <c r="LW59" s="109" t="str">
        <f t="shared" si="502"/>
        <v/>
      </c>
      <c r="LX59" s="109" t="str">
        <f t="shared" si="502"/>
        <v/>
      </c>
      <c r="LY59" s="109" t="str">
        <f t="shared" si="502"/>
        <v/>
      </c>
      <c r="LZ59" s="109" t="str">
        <f t="shared" si="502"/>
        <v/>
      </c>
      <c r="MA59" s="109" t="str">
        <f t="shared" si="502"/>
        <v/>
      </c>
      <c r="MB59" s="109" t="str">
        <f t="shared" si="502"/>
        <v/>
      </c>
      <c r="MC59" s="109" t="str">
        <f t="shared" si="502"/>
        <v/>
      </c>
      <c r="MD59" s="109" t="str">
        <f t="shared" si="502"/>
        <v/>
      </c>
      <c r="ME59" s="109" t="str">
        <f t="shared" si="502"/>
        <v/>
      </c>
      <c r="MF59" s="109" t="str">
        <f t="shared" si="502"/>
        <v/>
      </c>
      <c r="MG59" s="109" t="str">
        <f t="shared" si="502"/>
        <v/>
      </c>
      <c r="MH59" s="109" t="str">
        <f t="shared" si="502"/>
        <v/>
      </c>
      <c r="MI59" s="109" t="str">
        <f t="shared" si="502"/>
        <v/>
      </c>
      <c r="MJ59" s="109" t="str">
        <f t="shared" si="502"/>
        <v/>
      </c>
      <c r="MK59" s="109" t="str">
        <f t="shared" si="502"/>
        <v/>
      </c>
      <c r="ML59" s="109" t="str">
        <f t="shared" si="502"/>
        <v/>
      </c>
      <c r="MM59" s="109" t="str">
        <f t="shared" si="502"/>
        <v/>
      </c>
      <c r="MN59" s="109" t="str">
        <f t="shared" si="502"/>
        <v/>
      </c>
      <c r="MO59" s="109" t="str">
        <f t="shared" si="502"/>
        <v/>
      </c>
      <c r="MP59" s="109" t="str">
        <f t="shared" si="502"/>
        <v/>
      </c>
      <c r="MQ59" s="109" t="str">
        <f t="shared" si="502"/>
        <v/>
      </c>
      <c r="MR59" s="109" t="str">
        <f t="shared" si="502"/>
        <v/>
      </c>
      <c r="MS59" s="109" t="str">
        <f t="shared" si="502"/>
        <v/>
      </c>
      <c r="MT59" s="109" t="str">
        <f t="shared" si="502"/>
        <v/>
      </c>
      <c r="MU59" s="109" t="str">
        <f t="shared" si="502"/>
        <v/>
      </c>
      <c r="MV59" s="109" t="str">
        <f t="shared" si="502"/>
        <v/>
      </c>
      <c r="MW59" s="109" t="str">
        <f t="shared" si="502"/>
        <v/>
      </c>
      <c r="MX59" s="109" t="str">
        <f t="shared" si="502"/>
        <v/>
      </c>
      <c r="MY59" s="109" t="str">
        <f t="shared" si="502"/>
        <v/>
      </c>
      <c r="MZ59" s="109" t="str">
        <f t="shared" si="502"/>
        <v/>
      </c>
      <c r="NA59" s="109" t="str">
        <f t="shared" si="502"/>
        <v/>
      </c>
      <c r="NB59" s="109" t="str">
        <f t="shared" si="502"/>
        <v/>
      </c>
      <c r="NC59" s="109" t="str">
        <f t="shared" si="502"/>
        <v/>
      </c>
      <c r="ND59" s="109" t="str">
        <f t="shared" si="502"/>
        <v/>
      </c>
      <c r="NE59" s="109" t="str">
        <f t="shared" si="502"/>
        <v/>
      </c>
      <c r="NF59" s="109" t="str">
        <f t="shared" si="502"/>
        <v/>
      </c>
      <c r="NG59" s="109" t="str">
        <f t="shared" si="502"/>
        <v/>
      </c>
      <c r="NH59" s="109" t="str">
        <f t="shared" si="502"/>
        <v/>
      </c>
      <c r="NI59" s="109" t="str">
        <f t="shared" si="502"/>
        <v/>
      </c>
      <c r="NJ59" s="109" t="str">
        <f t="shared" si="502"/>
        <v/>
      </c>
      <c r="NK59" s="109" t="str">
        <f t="shared" si="502"/>
        <v/>
      </c>
      <c r="NL59" s="109" t="str">
        <f t="shared" si="502"/>
        <v/>
      </c>
      <c r="NM59" s="109" t="str">
        <f t="shared" si="502"/>
        <v/>
      </c>
      <c r="NN59" s="109" t="str">
        <f t="shared" si="502"/>
        <v/>
      </c>
      <c r="NO59" s="109" t="str">
        <f t="shared" si="502"/>
        <v/>
      </c>
      <c r="NP59" s="109" t="str">
        <f t="shared" si="502"/>
        <v/>
      </c>
      <c r="NQ59" s="109" t="str">
        <f t="shared" ref="NQ59:QB59" si="503">IF(OR(NQ$13="",NQ$17="",NQ$14="",NQ$15="",NQ$16="",NQ$18="",NQ$19="",NQ$20="",NQ$21=""),"",1-(NQ86/(NQ$4)))</f>
        <v/>
      </c>
      <c r="NR59" s="109" t="str">
        <f t="shared" si="503"/>
        <v/>
      </c>
      <c r="NS59" s="109" t="str">
        <f t="shared" si="503"/>
        <v/>
      </c>
      <c r="NT59" s="109" t="str">
        <f t="shared" si="503"/>
        <v/>
      </c>
      <c r="NU59" s="109" t="str">
        <f t="shared" si="503"/>
        <v/>
      </c>
      <c r="NV59" s="109" t="str">
        <f t="shared" si="503"/>
        <v/>
      </c>
      <c r="NW59" s="109" t="str">
        <f t="shared" si="503"/>
        <v/>
      </c>
      <c r="NX59" s="109" t="str">
        <f t="shared" si="503"/>
        <v/>
      </c>
      <c r="NY59" s="109" t="str">
        <f t="shared" si="503"/>
        <v/>
      </c>
      <c r="NZ59" s="109" t="str">
        <f t="shared" si="503"/>
        <v/>
      </c>
      <c r="OA59" s="109" t="str">
        <f t="shared" si="503"/>
        <v/>
      </c>
      <c r="OB59" s="109" t="str">
        <f t="shared" si="503"/>
        <v/>
      </c>
      <c r="OC59" s="109" t="str">
        <f t="shared" si="503"/>
        <v/>
      </c>
      <c r="OD59" s="109" t="str">
        <f t="shared" si="503"/>
        <v/>
      </c>
      <c r="OE59" s="109" t="str">
        <f t="shared" si="503"/>
        <v/>
      </c>
      <c r="OF59" s="109" t="str">
        <f t="shared" si="503"/>
        <v/>
      </c>
      <c r="OG59" s="109" t="str">
        <f t="shared" si="503"/>
        <v/>
      </c>
      <c r="OH59" s="109" t="str">
        <f t="shared" si="503"/>
        <v/>
      </c>
      <c r="OI59" s="109" t="str">
        <f t="shared" si="503"/>
        <v/>
      </c>
      <c r="OJ59" s="109" t="str">
        <f t="shared" si="503"/>
        <v/>
      </c>
      <c r="OK59" s="109" t="str">
        <f t="shared" si="503"/>
        <v/>
      </c>
      <c r="OL59" s="109" t="str">
        <f t="shared" si="503"/>
        <v/>
      </c>
      <c r="OM59" s="109" t="str">
        <f t="shared" si="503"/>
        <v/>
      </c>
      <c r="ON59" s="109" t="str">
        <f t="shared" si="503"/>
        <v/>
      </c>
      <c r="OO59" s="109" t="str">
        <f t="shared" si="503"/>
        <v/>
      </c>
      <c r="OP59" s="109" t="str">
        <f t="shared" si="503"/>
        <v/>
      </c>
      <c r="OQ59" s="109" t="str">
        <f t="shared" si="503"/>
        <v/>
      </c>
      <c r="OR59" s="109" t="str">
        <f t="shared" si="503"/>
        <v/>
      </c>
      <c r="OS59" s="109" t="str">
        <f t="shared" si="503"/>
        <v/>
      </c>
      <c r="OT59" s="109" t="str">
        <f t="shared" si="503"/>
        <v/>
      </c>
      <c r="OU59" s="109" t="str">
        <f t="shared" si="503"/>
        <v/>
      </c>
      <c r="OV59" s="109" t="str">
        <f t="shared" si="503"/>
        <v/>
      </c>
      <c r="OW59" s="109" t="str">
        <f t="shared" si="503"/>
        <v/>
      </c>
      <c r="OX59" s="109" t="str">
        <f t="shared" si="503"/>
        <v/>
      </c>
      <c r="OY59" s="109" t="str">
        <f t="shared" si="503"/>
        <v/>
      </c>
      <c r="OZ59" s="109" t="str">
        <f t="shared" si="503"/>
        <v/>
      </c>
      <c r="PA59" s="109" t="str">
        <f t="shared" si="503"/>
        <v/>
      </c>
      <c r="PB59" s="109" t="str">
        <f t="shared" si="503"/>
        <v/>
      </c>
      <c r="PC59" s="109" t="str">
        <f t="shared" si="503"/>
        <v/>
      </c>
      <c r="PD59" s="109" t="str">
        <f t="shared" si="503"/>
        <v/>
      </c>
      <c r="PE59" s="109" t="str">
        <f t="shared" si="503"/>
        <v/>
      </c>
      <c r="PF59" s="109" t="str">
        <f t="shared" si="503"/>
        <v/>
      </c>
      <c r="PG59" s="109" t="str">
        <f t="shared" si="503"/>
        <v/>
      </c>
      <c r="PH59" s="109" t="str">
        <f t="shared" si="503"/>
        <v/>
      </c>
      <c r="PI59" s="109" t="str">
        <f t="shared" si="503"/>
        <v/>
      </c>
      <c r="PJ59" s="109" t="str">
        <f t="shared" si="503"/>
        <v/>
      </c>
      <c r="PK59" s="109" t="str">
        <f t="shared" si="503"/>
        <v/>
      </c>
      <c r="PL59" s="109" t="str">
        <f t="shared" si="503"/>
        <v/>
      </c>
      <c r="PM59" s="109" t="str">
        <f t="shared" si="503"/>
        <v/>
      </c>
      <c r="PN59" s="109" t="str">
        <f t="shared" si="503"/>
        <v/>
      </c>
      <c r="PO59" s="109" t="str">
        <f t="shared" si="503"/>
        <v/>
      </c>
      <c r="PP59" s="109" t="str">
        <f t="shared" si="503"/>
        <v/>
      </c>
      <c r="PQ59" s="109" t="str">
        <f t="shared" si="503"/>
        <v/>
      </c>
      <c r="PR59" s="109" t="str">
        <f t="shared" si="503"/>
        <v/>
      </c>
      <c r="PS59" s="109" t="str">
        <f t="shared" si="503"/>
        <v/>
      </c>
      <c r="PT59" s="109" t="str">
        <f t="shared" si="503"/>
        <v/>
      </c>
      <c r="PU59" s="109" t="str">
        <f t="shared" si="503"/>
        <v/>
      </c>
      <c r="PV59" s="109" t="str">
        <f t="shared" si="503"/>
        <v/>
      </c>
      <c r="PW59" s="109" t="str">
        <f t="shared" si="503"/>
        <v/>
      </c>
      <c r="PX59" s="109" t="str">
        <f t="shared" si="503"/>
        <v/>
      </c>
      <c r="PY59" s="109" t="str">
        <f t="shared" si="503"/>
        <v/>
      </c>
      <c r="PZ59" s="109" t="str">
        <f t="shared" si="503"/>
        <v/>
      </c>
      <c r="QA59" s="109" t="str">
        <f t="shared" si="503"/>
        <v/>
      </c>
      <c r="QB59" s="109" t="str">
        <f t="shared" si="503"/>
        <v/>
      </c>
      <c r="QC59" s="109" t="str">
        <f t="shared" ref="QC59:SN59" si="504">IF(OR(QC$13="",QC$17="",QC$14="",QC$15="",QC$16="",QC$18="",QC$19="",QC$20="",QC$21=""),"",1-(QC86/(QC$4)))</f>
        <v/>
      </c>
      <c r="QD59" s="109" t="str">
        <f t="shared" si="504"/>
        <v/>
      </c>
      <c r="QE59" s="109" t="str">
        <f t="shared" si="504"/>
        <v/>
      </c>
      <c r="QF59" s="109" t="str">
        <f t="shared" si="504"/>
        <v/>
      </c>
      <c r="QG59" s="109" t="str">
        <f t="shared" si="504"/>
        <v/>
      </c>
      <c r="QH59" s="109" t="str">
        <f t="shared" si="504"/>
        <v/>
      </c>
      <c r="QI59" s="109" t="str">
        <f t="shared" si="504"/>
        <v/>
      </c>
      <c r="QJ59" s="109" t="str">
        <f t="shared" si="504"/>
        <v/>
      </c>
      <c r="QK59" s="109" t="str">
        <f t="shared" si="504"/>
        <v/>
      </c>
      <c r="QL59" s="109" t="str">
        <f t="shared" si="504"/>
        <v/>
      </c>
      <c r="QM59" s="109" t="str">
        <f t="shared" si="504"/>
        <v/>
      </c>
      <c r="QN59" s="109" t="str">
        <f t="shared" si="504"/>
        <v/>
      </c>
      <c r="QO59" s="109" t="str">
        <f t="shared" si="504"/>
        <v/>
      </c>
      <c r="QP59" s="109" t="str">
        <f t="shared" si="504"/>
        <v/>
      </c>
      <c r="QQ59" s="109" t="str">
        <f t="shared" si="504"/>
        <v/>
      </c>
      <c r="QR59" s="109" t="str">
        <f t="shared" si="504"/>
        <v/>
      </c>
      <c r="QS59" s="109" t="str">
        <f t="shared" si="504"/>
        <v/>
      </c>
      <c r="QT59" s="109" t="str">
        <f t="shared" si="504"/>
        <v/>
      </c>
      <c r="QU59" s="109" t="str">
        <f t="shared" si="504"/>
        <v/>
      </c>
      <c r="QV59" s="109" t="str">
        <f t="shared" si="504"/>
        <v/>
      </c>
      <c r="QW59" s="109" t="str">
        <f t="shared" si="504"/>
        <v/>
      </c>
      <c r="QX59" s="109" t="str">
        <f t="shared" si="504"/>
        <v/>
      </c>
      <c r="QY59" s="109" t="str">
        <f t="shared" si="504"/>
        <v/>
      </c>
      <c r="QZ59" s="109" t="str">
        <f t="shared" si="504"/>
        <v/>
      </c>
      <c r="RA59" s="109" t="str">
        <f t="shared" si="504"/>
        <v/>
      </c>
      <c r="RB59" s="109" t="str">
        <f t="shared" si="504"/>
        <v/>
      </c>
      <c r="RC59" s="109" t="str">
        <f t="shared" si="504"/>
        <v/>
      </c>
      <c r="RD59" s="109" t="str">
        <f t="shared" si="504"/>
        <v/>
      </c>
      <c r="RE59" s="109" t="str">
        <f t="shared" si="504"/>
        <v/>
      </c>
      <c r="RF59" s="109" t="str">
        <f t="shared" si="504"/>
        <v/>
      </c>
      <c r="RG59" s="109" t="str">
        <f t="shared" si="504"/>
        <v/>
      </c>
      <c r="RH59" s="109" t="str">
        <f t="shared" si="504"/>
        <v/>
      </c>
      <c r="RI59" s="109" t="str">
        <f t="shared" si="504"/>
        <v/>
      </c>
      <c r="RJ59" s="109" t="str">
        <f t="shared" si="504"/>
        <v/>
      </c>
      <c r="RK59" s="109" t="str">
        <f t="shared" si="504"/>
        <v/>
      </c>
      <c r="RL59" s="109" t="str">
        <f t="shared" si="504"/>
        <v/>
      </c>
      <c r="RM59" s="109" t="str">
        <f t="shared" si="504"/>
        <v/>
      </c>
      <c r="RN59" s="109" t="str">
        <f t="shared" si="504"/>
        <v/>
      </c>
      <c r="RO59" s="109" t="str">
        <f t="shared" si="504"/>
        <v/>
      </c>
      <c r="RP59" s="109" t="str">
        <f t="shared" si="504"/>
        <v/>
      </c>
      <c r="RQ59" s="109" t="str">
        <f t="shared" si="504"/>
        <v/>
      </c>
      <c r="RR59" s="109" t="str">
        <f t="shared" si="504"/>
        <v/>
      </c>
      <c r="RS59" s="109" t="str">
        <f t="shared" si="504"/>
        <v/>
      </c>
      <c r="RT59" s="109" t="str">
        <f t="shared" si="504"/>
        <v/>
      </c>
      <c r="RU59" s="109" t="str">
        <f t="shared" si="504"/>
        <v/>
      </c>
      <c r="RV59" s="109" t="str">
        <f t="shared" si="504"/>
        <v/>
      </c>
      <c r="RW59" s="109" t="str">
        <f t="shared" si="504"/>
        <v/>
      </c>
      <c r="RX59" s="109" t="str">
        <f t="shared" si="504"/>
        <v/>
      </c>
      <c r="RY59" s="109" t="str">
        <f t="shared" si="504"/>
        <v/>
      </c>
      <c r="RZ59" s="109" t="str">
        <f t="shared" si="504"/>
        <v/>
      </c>
      <c r="SA59" s="109" t="str">
        <f t="shared" si="504"/>
        <v/>
      </c>
      <c r="SB59" s="109" t="str">
        <f t="shared" si="504"/>
        <v/>
      </c>
      <c r="SC59" s="109" t="str">
        <f t="shared" si="504"/>
        <v/>
      </c>
      <c r="SD59" s="109" t="str">
        <f t="shared" si="504"/>
        <v/>
      </c>
      <c r="SE59" s="109" t="str">
        <f t="shared" si="504"/>
        <v/>
      </c>
      <c r="SF59" s="109" t="str">
        <f t="shared" si="504"/>
        <v/>
      </c>
      <c r="SG59" s="109" t="str">
        <f t="shared" si="504"/>
        <v/>
      </c>
      <c r="SH59" s="109" t="str">
        <f t="shared" si="504"/>
        <v/>
      </c>
      <c r="SI59" s="109" t="str">
        <f t="shared" si="504"/>
        <v/>
      </c>
      <c r="SJ59" s="109" t="str">
        <f t="shared" si="504"/>
        <v/>
      </c>
      <c r="SK59" s="109" t="str">
        <f t="shared" si="504"/>
        <v/>
      </c>
      <c r="SL59" s="109" t="str">
        <f t="shared" si="504"/>
        <v/>
      </c>
      <c r="SM59" s="109" t="str">
        <f t="shared" si="504"/>
        <v/>
      </c>
      <c r="SN59" s="109" t="str">
        <f t="shared" si="504"/>
        <v/>
      </c>
      <c r="SO59" s="109" t="str">
        <f t="shared" ref="SO59:SW59" si="505">IF(OR(SO$13="",SO$17="",SO$14="",SO$15="",SO$16="",SO$18="",SO$19="",SO$20="",SO$21=""),"",1-(SO86/(SO$4)))</f>
        <v/>
      </c>
      <c r="SP59" s="109" t="str">
        <f t="shared" si="505"/>
        <v/>
      </c>
      <c r="SQ59" s="109" t="str">
        <f t="shared" si="505"/>
        <v/>
      </c>
      <c r="SR59" s="109" t="str">
        <f t="shared" si="505"/>
        <v/>
      </c>
      <c r="SS59" s="109" t="str">
        <f t="shared" si="505"/>
        <v/>
      </c>
      <c r="ST59" s="109" t="str">
        <f t="shared" si="505"/>
        <v/>
      </c>
      <c r="SU59" s="109" t="str">
        <f t="shared" si="505"/>
        <v/>
      </c>
      <c r="SV59" s="109" t="str">
        <f t="shared" si="505"/>
        <v/>
      </c>
      <c r="SW59" s="109" t="str">
        <f t="shared" si="505"/>
        <v/>
      </c>
    </row>
    <row r="60" spans="1:517" ht="24.6" customHeight="1" x14ac:dyDescent="0.2">
      <c r="A60" s="94">
        <v>777</v>
      </c>
      <c r="B60" s="117" t="s">
        <v>84</v>
      </c>
      <c r="C60" s="109">
        <f t="shared" ref="C60:AH60" si="506">IF(OR(C$13="",C$17="",C$14="",C$15="",C$16="",C$18="",C$19="",C$20="",C$21=""),"",1-(C87/(C$4)))</f>
        <v>1</v>
      </c>
      <c r="D60" s="109">
        <f t="shared" si="506"/>
        <v>1</v>
      </c>
      <c r="E60" s="109">
        <f t="shared" si="506"/>
        <v>0.94374999999999998</v>
      </c>
      <c r="F60" s="109">
        <f t="shared" si="506"/>
        <v>0.95781249999999996</v>
      </c>
      <c r="G60" s="109">
        <f t="shared" si="506"/>
        <v>0.96624999999999994</v>
      </c>
      <c r="H60" s="109">
        <f t="shared" si="506"/>
        <v>0.94256944444444446</v>
      </c>
      <c r="I60" s="109">
        <f t="shared" si="506"/>
        <v>0.8923214285714286</v>
      </c>
      <c r="J60" s="109">
        <f t="shared" si="506"/>
        <v>0.81125000000000003</v>
      </c>
      <c r="K60" s="109">
        <f t="shared" si="506"/>
        <v>0.8322222222222222</v>
      </c>
      <c r="L60" s="109">
        <f t="shared" si="506"/>
        <v>0.84899999999999998</v>
      </c>
      <c r="M60" s="109">
        <f t="shared" si="506"/>
        <v>0.64329545454545456</v>
      </c>
      <c r="N60" s="109">
        <f t="shared" si="506"/>
        <v>0.6730208333333334</v>
      </c>
      <c r="O60" s="109">
        <f t="shared" si="506"/>
        <v>0.69817307692307695</v>
      </c>
      <c r="P60" s="109">
        <f t="shared" si="506"/>
        <v>0.68616071428571423</v>
      </c>
      <c r="Q60" s="109">
        <f t="shared" si="506"/>
        <v>0.66452777777777783</v>
      </c>
      <c r="R60" s="109">
        <f t="shared" si="506"/>
        <v>0.68549479166666671</v>
      </c>
      <c r="S60" s="109">
        <f t="shared" si="506"/>
        <v>0.70399509803921567</v>
      </c>
      <c r="T60" s="109">
        <f t="shared" si="506"/>
        <v>0.70185185185185184</v>
      </c>
      <c r="U60" s="109">
        <f t="shared" si="506"/>
        <v>0.70043859649122808</v>
      </c>
      <c r="V60" s="109">
        <f t="shared" si="506"/>
        <v>0.70937499999999987</v>
      </c>
      <c r="W60" s="109">
        <f t="shared" si="506"/>
        <v>0.71884920634920624</v>
      </c>
      <c r="X60" s="109">
        <f t="shared" si="506"/>
        <v>0.72969696969696962</v>
      </c>
      <c r="Y60" s="109">
        <f t="shared" si="506"/>
        <v>0.73827898550724635</v>
      </c>
      <c r="Z60" s="109">
        <f t="shared" si="506"/>
        <v>0.74918402777777771</v>
      </c>
      <c r="AA60" s="109">
        <f t="shared" si="506"/>
        <v>0.75921666666666665</v>
      </c>
      <c r="AB60" s="109">
        <f t="shared" si="506"/>
        <v>0.76847756410256407</v>
      </c>
      <c r="AC60" s="109">
        <f t="shared" si="506"/>
        <v>0.77705246913580239</v>
      </c>
      <c r="AD60" s="109">
        <f t="shared" si="506"/>
        <v>0.78501488095238092</v>
      </c>
      <c r="AE60" s="109">
        <f t="shared" si="506"/>
        <v>0.79242816091954016</v>
      </c>
      <c r="AF60" s="109">
        <f t="shared" si="506"/>
        <v>0.79934722222222221</v>
      </c>
      <c r="AG60" s="109">
        <f t="shared" si="506"/>
        <v>0.80408602150537634</v>
      </c>
      <c r="AH60" s="109">
        <f t="shared" si="506"/>
        <v>0.80190104166666665</v>
      </c>
      <c r="AI60" s="109">
        <f t="shared" ref="AI60:BN60" si="507">IF(OR(AI$13="",AI$17="",AI$14="",AI$15="",AI$16="",AI$18="",AI$19="",AI$20="",AI$21=""),"",1-(AI87/(AI$4)))</f>
        <v>0.8079040404040404</v>
      </c>
      <c r="AJ60" s="109">
        <f t="shared" si="507"/>
        <v>0.81355392156862738</v>
      </c>
      <c r="AK60" s="109">
        <f t="shared" si="507"/>
        <v>0.81888095238095238</v>
      </c>
      <c r="AL60" s="109">
        <f t="shared" si="507"/>
        <v>0.82391203703703697</v>
      </c>
      <c r="AM60" s="109">
        <f t="shared" si="507"/>
        <v>0.82867117117117117</v>
      </c>
      <c r="AN60" s="109">
        <f t="shared" si="507"/>
        <v>0.83116228070175435</v>
      </c>
      <c r="AO60" s="109">
        <f t="shared" si="507"/>
        <v>0.835491452991453</v>
      </c>
      <c r="AP60" s="109">
        <f t="shared" si="507"/>
        <v>0.83960416666666671</v>
      </c>
      <c r="AQ60" s="109">
        <f t="shared" si="507"/>
        <v>0.84176829268292686</v>
      </c>
      <c r="AR60" s="109">
        <f t="shared" si="507"/>
        <v>0.84553571428571428</v>
      </c>
      <c r="AS60" s="109">
        <f t="shared" si="507"/>
        <v>0.84912790697674412</v>
      </c>
      <c r="AT60" s="109">
        <f t="shared" si="507"/>
        <v>0.85255681818181817</v>
      </c>
      <c r="AU60" s="109">
        <f t="shared" si="507"/>
        <v>0.85583333333333333</v>
      </c>
      <c r="AV60" s="109">
        <f t="shared" si="507"/>
        <v>0.85896739130434785</v>
      </c>
      <c r="AW60" s="109">
        <f t="shared" si="507"/>
        <v>0.8619680851063829</v>
      </c>
      <c r="AX60" s="109">
        <f t="shared" si="507"/>
        <v>0.86484375000000002</v>
      </c>
      <c r="AY60" s="109">
        <f t="shared" si="507"/>
        <v>0.86760204081632653</v>
      </c>
      <c r="AZ60" s="109">
        <f t="shared" si="507"/>
        <v>0.87024999999999997</v>
      </c>
      <c r="BA60" s="109">
        <f t="shared" si="507"/>
        <v>0.86388888888888893</v>
      </c>
      <c r="BB60" s="109">
        <f t="shared" si="507"/>
        <v>0.86650641025641018</v>
      </c>
      <c r="BC60" s="109">
        <f t="shared" si="507"/>
        <v>0.86902515723270435</v>
      </c>
      <c r="BD60" s="109">
        <f t="shared" si="507"/>
        <v>0.86815586419753088</v>
      </c>
      <c r="BE60" s="109">
        <f t="shared" si="507"/>
        <v>0.87055303030303022</v>
      </c>
      <c r="BF60" s="109">
        <f t="shared" si="507"/>
        <v>0.87286458333333328</v>
      </c>
      <c r="BG60" s="109">
        <f t="shared" si="507"/>
        <v>0.87509502923976612</v>
      </c>
      <c r="BH60" s="109">
        <f t="shared" si="507"/>
        <v>0.87724856321839084</v>
      </c>
      <c r="BI60" s="109">
        <f t="shared" si="507"/>
        <v>0.87932909604519771</v>
      </c>
      <c r="BJ60" s="109">
        <f t="shared" si="507"/>
        <v>0.87675694444444441</v>
      </c>
      <c r="BK60" s="109">
        <f t="shared" si="507"/>
        <v>0.87877732240437156</v>
      </c>
      <c r="BL60" s="109">
        <f t="shared" si="507"/>
        <v>0.88000672043010753</v>
      </c>
      <c r="BM60" s="109">
        <f t="shared" si="507"/>
        <v>0.87869047619047613</v>
      </c>
      <c r="BN60" s="109">
        <f t="shared" si="507"/>
        <v>0.88058593750000003</v>
      </c>
      <c r="BO60" s="109">
        <f t="shared" ref="BO60:CT60" si="508">IF(OR(BO$13="",BO$17="",BO$14="",BO$15="",BO$16="",BO$18="",BO$19="",BO$20="",BO$21=""),"",1-(BO87/(BO$4)))</f>
        <v>0.879301282051282</v>
      </c>
      <c r="BP60" s="109">
        <f t="shared" si="508"/>
        <v>0.87742424242424244</v>
      </c>
      <c r="BQ60" s="109">
        <f t="shared" si="508"/>
        <v>0.87925373134328355</v>
      </c>
      <c r="BR60" s="109">
        <f t="shared" si="508"/>
        <v>0.88102941176470584</v>
      </c>
      <c r="BS60" s="109">
        <f t="shared" si="508"/>
        <v>0.88181763285024151</v>
      </c>
      <c r="BT60" s="109">
        <f t="shared" si="508"/>
        <v>0.87182142857142852</v>
      </c>
      <c r="BU60" s="109">
        <f t="shared" si="508"/>
        <v>0.87362676056338029</v>
      </c>
      <c r="BV60" s="109">
        <f t="shared" si="508"/>
        <v>0.87538194444444439</v>
      </c>
      <c r="BW60" s="109">
        <f t="shared" si="508"/>
        <v>0.87708904109589036</v>
      </c>
      <c r="BX60" s="109">
        <f t="shared" si="508"/>
        <v>0.87874999999999992</v>
      </c>
      <c r="BY60" s="109">
        <f t="shared" si="508"/>
        <v>0.88036666666666663</v>
      </c>
      <c r="BZ60" s="109">
        <f t="shared" si="508"/>
        <v>0.88194078947368415</v>
      </c>
      <c r="CA60" s="109">
        <f t="shared" si="508"/>
        <v>0.88347402597402591</v>
      </c>
      <c r="CB60" s="109">
        <f t="shared" si="508"/>
        <v>0.8849679487179487</v>
      </c>
      <c r="CC60" s="109">
        <f t="shared" si="508"/>
        <v>0.88642405063291141</v>
      </c>
      <c r="CD60" s="109">
        <f t="shared" si="508"/>
        <v>0.88784374999999993</v>
      </c>
      <c r="CE60" s="109">
        <f t="shared" si="508"/>
        <v>0.88922839506172835</v>
      </c>
      <c r="CF60" s="109">
        <f t="shared" si="508"/>
        <v>0.8884451219512195</v>
      </c>
      <c r="CG60" s="109">
        <f t="shared" si="508"/>
        <v>0.88978915662650604</v>
      </c>
      <c r="CH60" s="109">
        <f t="shared" si="508"/>
        <v>0.89110119047619041</v>
      </c>
      <c r="CI60" s="109">
        <f t="shared" si="508"/>
        <v>0.8923823529411764</v>
      </c>
      <c r="CJ60" s="109">
        <f t="shared" si="508"/>
        <v>0.89363372093023252</v>
      </c>
      <c r="CK60" s="109">
        <f t="shared" si="508"/>
        <v>0.89437739463601529</v>
      </c>
      <c r="CL60" s="109">
        <f t="shared" si="508"/>
        <v>0.89557765151515145</v>
      </c>
      <c r="CM60" s="109">
        <f t="shared" si="508"/>
        <v>0.89675093632958802</v>
      </c>
      <c r="CN60" s="109">
        <f t="shared" si="508"/>
        <v>0.89789814814814817</v>
      </c>
      <c r="CO60" s="109">
        <f t="shared" si="508"/>
        <v>0.8990201465201465</v>
      </c>
      <c r="CP60" s="109">
        <f t="shared" si="508"/>
        <v>0.89975543478260867</v>
      </c>
      <c r="CQ60" s="109">
        <f t="shared" si="508"/>
        <v>0.8999820788530466</v>
      </c>
      <c r="CR60" s="109">
        <f t="shared" si="508"/>
        <v>0.90104609929078006</v>
      </c>
      <c r="CS60" s="109">
        <f t="shared" si="508"/>
        <v>0.9020877192982456</v>
      </c>
      <c r="CT60" s="109">
        <f t="shared" si="508"/>
        <v>0.90144965277777778</v>
      </c>
      <c r="CU60" s="109">
        <f t="shared" ref="CU60:DT60" si="509">IF(OR(CU$13="",CU$17="",CU$14="",CU$15="",CU$16="",CU$18="",CU$19="",CU$20="",CU$21=""),"",1-(CU87/(CU$4)))</f>
        <v>0.90246563573883165</v>
      </c>
      <c r="CV60" s="109">
        <f t="shared" si="509"/>
        <v>0.90165391156462582</v>
      </c>
      <c r="CW60" s="109">
        <f t="shared" si="509"/>
        <v>0.90201599326599324</v>
      </c>
      <c r="CX60" s="109">
        <f t="shared" si="509"/>
        <v>0.90299583333333333</v>
      </c>
      <c r="CY60" s="109">
        <f t="shared" si="509"/>
        <v>0.90395627062706274</v>
      </c>
      <c r="CZ60" s="109">
        <f t="shared" si="509"/>
        <v>0.90489787581699344</v>
      </c>
      <c r="DA60" s="109">
        <f t="shared" si="509"/>
        <v>0.9058211974110032</v>
      </c>
      <c r="DB60" s="109">
        <f t="shared" si="509"/>
        <v>0.90672676282051279</v>
      </c>
      <c r="DC60" s="109">
        <f t="shared" si="509"/>
        <v>0.90761507936507935</v>
      </c>
      <c r="DD60" s="109">
        <f t="shared" si="509"/>
        <v>0.9073545597484276</v>
      </c>
      <c r="DE60" s="109">
        <f t="shared" si="509"/>
        <v>0.89995716510903423</v>
      </c>
      <c r="DF60" s="109">
        <f t="shared" si="509"/>
        <v>0.88944444444444448</v>
      </c>
      <c r="DG60" s="109">
        <f t="shared" si="509"/>
        <v>0.89045871559633027</v>
      </c>
      <c r="DH60" s="109">
        <f t="shared" si="509"/>
        <v>0.89145454545454539</v>
      </c>
      <c r="DI60" s="109">
        <f t="shared" si="509"/>
        <v>0.89228228228228224</v>
      </c>
      <c r="DJ60" s="109">
        <f t="shared" si="509"/>
        <v>0.88978422619047615</v>
      </c>
      <c r="DK60" s="109">
        <f t="shared" si="509"/>
        <v>0.89075958702064895</v>
      </c>
      <c r="DL60" s="109">
        <f t="shared" si="509"/>
        <v>0.89171783625730994</v>
      </c>
      <c r="DM60" s="109">
        <f t="shared" si="509"/>
        <v>0.89265942028985501</v>
      </c>
      <c r="DN60" s="109">
        <f t="shared" si="509"/>
        <v>0.89204741379310348</v>
      </c>
      <c r="DO60" s="109">
        <f t="shared" si="509"/>
        <v>0.8929700854700855</v>
      </c>
      <c r="DP60" s="109">
        <f t="shared" si="509"/>
        <v>0.89349576271186437</v>
      </c>
      <c r="DQ60" s="109">
        <f t="shared" si="509"/>
        <v>0.89360994397759108</v>
      </c>
      <c r="DR60" s="109">
        <f t="shared" si="509"/>
        <v>0.89436805555555554</v>
      </c>
      <c r="DS60" s="109">
        <f t="shared" si="509"/>
        <v>0.8948037190082645</v>
      </c>
      <c r="DT60" s="109">
        <f t="shared" si="509"/>
        <v>0.89566598360655736</v>
      </c>
      <c r="DU60" s="109">
        <f t="shared" ref="DU60:GF60" si="510">IF(OR(DU$13="",DU$17="",DU$14="",DU$15="",DU$16="",DU$18="",DU$19="",DU$20="",DU$21=""),"",1-(DU87/(DU$4)))</f>
        <v>0.89451558265582654</v>
      </c>
      <c r="DV60" s="109">
        <f t="shared" si="510"/>
        <v>0.8949327956989247</v>
      </c>
      <c r="DW60" s="109">
        <f t="shared" si="510"/>
        <v>0.89577333333333331</v>
      </c>
      <c r="DX60" s="109">
        <f t="shared" si="510"/>
        <v>0.89660052910052912</v>
      </c>
      <c r="DY60" s="109">
        <f t="shared" si="510"/>
        <v>0.89741469816272967</v>
      </c>
      <c r="DZ60" s="109">
        <f t="shared" si="510"/>
        <v>0.89821614583333331</v>
      </c>
      <c r="EA60" s="109">
        <f t="shared" si="510"/>
        <v>0.89900516795865637</v>
      </c>
      <c r="EB60" s="109">
        <f t="shared" si="510"/>
        <v>0.89798076923076919</v>
      </c>
      <c r="EC60" s="109">
        <f t="shared" si="510"/>
        <v>0.89875954198473285</v>
      </c>
      <c r="ED60" s="109">
        <f t="shared" si="510"/>
        <v>0.89952651515151516</v>
      </c>
      <c r="EE60" s="109">
        <f t="shared" si="510"/>
        <v>0.90028195488721807</v>
      </c>
      <c r="EF60" s="109">
        <f t="shared" si="510"/>
        <v>0.89884950248756224</v>
      </c>
      <c r="EG60" s="109">
        <f t="shared" si="510"/>
        <v>0.89270370370370367</v>
      </c>
      <c r="EH60" s="109">
        <f t="shared" si="510"/>
        <v>0.89037990196078431</v>
      </c>
      <c r="EI60" s="109">
        <f t="shared" si="510"/>
        <v>0.88568430656934305</v>
      </c>
      <c r="EJ60" s="109">
        <f t="shared" si="510"/>
        <v>0.88651268115942028</v>
      </c>
      <c r="EK60" s="109">
        <f t="shared" si="510"/>
        <v>0.8873291366906475</v>
      </c>
      <c r="EL60" s="109">
        <f t="shared" si="510"/>
        <v>0.88099107142857147</v>
      </c>
      <c r="EM60" s="109">
        <f t="shared" si="510"/>
        <v>0.87474290780141839</v>
      </c>
      <c r="EN60" s="109">
        <f t="shared" si="510"/>
        <v>0.86858274647887324</v>
      </c>
      <c r="EO60" s="109">
        <f t="shared" si="510"/>
        <v>0.86600524475524476</v>
      </c>
      <c r="EP60" s="109">
        <f t="shared" si="510"/>
        <v>0.86693576388888882</v>
      </c>
      <c r="EQ60" s="109">
        <f t="shared" si="510"/>
        <v>0.86785344827586208</v>
      </c>
      <c r="ER60" s="109">
        <f t="shared" si="510"/>
        <v>0.86875856164383558</v>
      </c>
      <c r="ES60" s="109">
        <f t="shared" si="510"/>
        <v>0.86801303854875278</v>
      </c>
      <c r="ET60" s="109">
        <f t="shared" si="510"/>
        <v>0.86645551801801801</v>
      </c>
      <c r="EU60" s="109">
        <f t="shared" si="510"/>
        <v>0.86735178970917226</v>
      </c>
      <c r="EV60" s="109">
        <f t="shared" si="510"/>
        <v>0.8682361111111111</v>
      </c>
      <c r="EW60" s="109">
        <f t="shared" si="510"/>
        <v>0.86910871964679914</v>
      </c>
      <c r="EX60" s="109">
        <f t="shared" si="510"/>
        <v>0.8699698464912281</v>
      </c>
      <c r="EY60" s="109">
        <f t="shared" si="510"/>
        <v>0.87081971677559911</v>
      </c>
      <c r="EZ60" s="109">
        <f t="shared" si="510"/>
        <v>0.87165854978354984</v>
      </c>
      <c r="FA60" s="109">
        <f t="shared" si="510"/>
        <v>0.87248655913978501</v>
      </c>
      <c r="FB60" s="109">
        <f t="shared" si="510"/>
        <v>0.87330395299145303</v>
      </c>
      <c r="FC60" s="109">
        <f t="shared" si="510"/>
        <v>0.87411093418259023</v>
      </c>
      <c r="FD60" s="109">
        <f t="shared" si="510"/>
        <v>0.87251318565400848</v>
      </c>
      <c r="FE60" s="109">
        <f t="shared" si="510"/>
        <v>0.86947589098532496</v>
      </c>
      <c r="FF60" s="109">
        <f t="shared" si="510"/>
        <v>0.87029166666666669</v>
      </c>
      <c r="FG60" s="109">
        <f t="shared" si="510"/>
        <v>0.87109730848861289</v>
      </c>
      <c r="FH60" s="109">
        <f t="shared" si="510"/>
        <v>0.87189300411522641</v>
      </c>
      <c r="FI60" s="109">
        <f t="shared" si="510"/>
        <v>0.87267893660531692</v>
      </c>
      <c r="FJ60" s="109">
        <f t="shared" si="510"/>
        <v>0.87278201219512197</v>
      </c>
      <c r="FK60" s="109">
        <f t="shared" si="510"/>
        <v>0.87355303030303033</v>
      </c>
      <c r="FL60" s="109">
        <f t="shared" si="510"/>
        <v>0.87431475903614464</v>
      </c>
      <c r="FM60" s="109">
        <f t="shared" si="510"/>
        <v>0.87506736526946116</v>
      </c>
      <c r="FN60" s="109">
        <f t="shared" si="510"/>
        <v>0.87581101190476196</v>
      </c>
      <c r="FO60" s="109">
        <f t="shared" si="510"/>
        <v>0.87555473372781067</v>
      </c>
      <c r="FP60" s="109">
        <f t="shared" si="510"/>
        <v>0.8762867647058824</v>
      </c>
      <c r="FQ60" s="109">
        <f t="shared" si="510"/>
        <v>0.87701023391812871</v>
      </c>
      <c r="FR60" s="109">
        <f t="shared" si="510"/>
        <v>0.87772529069767447</v>
      </c>
      <c r="FS60" s="109">
        <f t="shared" si="510"/>
        <v>0.87407273603082858</v>
      </c>
      <c r="FT60" s="109">
        <f t="shared" si="510"/>
        <v>0.87187978927203069</v>
      </c>
      <c r="FU60" s="109">
        <f t="shared" si="510"/>
        <v>0.87261190476190476</v>
      </c>
      <c r="FV60" s="109">
        <f t="shared" si="510"/>
        <v>0.87212121212121219</v>
      </c>
      <c r="FW60" s="109">
        <f t="shared" si="510"/>
        <v>0.87110875706214697</v>
      </c>
      <c r="FX60" s="109">
        <f t="shared" si="510"/>
        <v>0.87183286516853942</v>
      </c>
      <c r="FY60" s="109">
        <f t="shared" si="510"/>
        <v>0.87254888268156428</v>
      </c>
      <c r="FZ60" s="109">
        <f t="shared" si="510"/>
        <v>0.87325694444444446</v>
      </c>
      <c r="GA60" s="109">
        <f t="shared" si="433"/>
        <v>0.87395718232044206</v>
      </c>
      <c r="GB60" s="109">
        <f t="shared" si="433"/>
        <v>0.87464972527472529</v>
      </c>
      <c r="GC60" s="109">
        <f t="shared" si="510"/>
        <v>0.87533469945355191</v>
      </c>
      <c r="GD60" s="109">
        <f t="shared" si="510"/>
        <v>0.87601222826086955</v>
      </c>
      <c r="GE60" s="109">
        <f t="shared" si="510"/>
        <v>0.87668243243243249</v>
      </c>
      <c r="GF60" s="109">
        <f t="shared" si="510"/>
        <v>0.87734543010752697</v>
      </c>
      <c r="GG60" s="109">
        <f t="shared" ref="GG60:IR60" si="511">IF(OR(GG$13="",GG$17="",GG$14="",GG$15="",GG$16="",GG$18="",GG$19="",GG$20="",GG$21=""),"",1-(GG87/(GG$4)))</f>
        <v>0.87800133689839577</v>
      </c>
      <c r="GH60" s="109">
        <f t="shared" si="511"/>
        <v>0.87865026595744689</v>
      </c>
      <c r="GI60" s="109">
        <f t="shared" si="511"/>
        <v>0.87929232804232804</v>
      </c>
      <c r="GJ60" s="109">
        <f t="shared" si="511"/>
        <v>0.87992763157894738</v>
      </c>
      <c r="GK60" s="109">
        <f t="shared" si="511"/>
        <v>0.87917757417102971</v>
      </c>
      <c r="GL60" s="109">
        <f t="shared" si="511"/>
        <v>0.87980685763888888</v>
      </c>
      <c r="GM60" s="109">
        <f t="shared" si="511"/>
        <v>0.88042962003454228</v>
      </c>
      <c r="GN60" s="109">
        <f t="shared" si="511"/>
        <v>0.88104596219931275</v>
      </c>
      <c r="GO60" s="109">
        <f t="shared" si="511"/>
        <v>0.8816559829059829</v>
      </c>
      <c r="GP60" s="109">
        <f t="shared" si="511"/>
        <v>0.88225977891156471</v>
      </c>
      <c r="GQ60" s="109">
        <f t="shared" si="511"/>
        <v>0.88285744500846031</v>
      </c>
      <c r="GR60" s="109">
        <f t="shared" si="511"/>
        <v>0.88344907407407414</v>
      </c>
      <c r="GS60" s="109">
        <f t="shared" si="511"/>
        <v>0.88403475711892798</v>
      </c>
      <c r="GT60" s="109">
        <f t="shared" si="511"/>
        <v>0.88461458333333332</v>
      </c>
      <c r="GU60" s="109">
        <f t="shared" si="511"/>
        <v>0.88518864013266996</v>
      </c>
      <c r="GV60" s="109">
        <f t="shared" si="511"/>
        <v>0.88575701320132016</v>
      </c>
      <c r="GW60" s="109">
        <f t="shared" si="511"/>
        <v>0.88631978653530386</v>
      </c>
      <c r="GX60" s="109">
        <f t="shared" si="511"/>
        <v>0.88687704248366017</v>
      </c>
      <c r="GY60" s="109">
        <f t="shared" si="511"/>
        <v>0.88742886178861791</v>
      </c>
      <c r="GZ60" s="109">
        <f t="shared" si="511"/>
        <v>0.88797532362459553</v>
      </c>
      <c r="HA60" s="109">
        <f t="shared" si="511"/>
        <v>0.88851650563607087</v>
      </c>
      <c r="HB60" s="109">
        <f t="shared" si="511"/>
        <v>0.88905248397435899</v>
      </c>
      <c r="HC60" s="109">
        <f t="shared" si="511"/>
        <v>0.88958333333333339</v>
      </c>
      <c r="HD60" s="109">
        <f t="shared" si="511"/>
        <v>0.89010912698412703</v>
      </c>
      <c r="HE60" s="109">
        <f t="shared" si="511"/>
        <v>0.89062993680884683</v>
      </c>
      <c r="HF60" s="109">
        <f t="shared" si="511"/>
        <v>0.8911458333333333</v>
      </c>
      <c r="HG60" s="109">
        <f t="shared" si="511"/>
        <v>0.89165688575899849</v>
      </c>
      <c r="HH60" s="109">
        <f t="shared" si="511"/>
        <v>0.89216316199376955</v>
      </c>
      <c r="HI60" s="109">
        <f t="shared" si="511"/>
        <v>0.89266472868217051</v>
      </c>
      <c r="HJ60" s="109">
        <f t="shared" si="511"/>
        <v>0.89316165123456792</v>
      </c>
      <c r="HK60" s="109">
        <f t="shared" si="511"/>
        <v>0.89365399385560673</v>
      </c>
      <c r="HL60" s="109">
        <f t="shared" si="511"/>
        <v>0.89414181957186545</v>
      </c>
      <c r="HM60" s="109">
        <f t="shared" si="511"/>
        <v>0.89381569211905976</v>
      </c>
      <c r="HN60" s="109">
        <f t="shared" si="511"/>
        <v>0.89429834806397313</v>
      </c>
      <c r="HO60" s="109">
        <f t="shared" si="511"/>
        <v>0.89477663608178315</v>
      </c>
      <c r="HP60" s="109">
        <f t="shared" si="511"/>
        <v>0.89525061519853188</v>
      </c>
      <c r="HQ60" s="109">
        <f t="shared" si="511"/>
        <v>0.89572034338149809</v>
      </c>
      <c r="HR60" s="109">
        <f t="shared" si="511"/>
        <v>0.89618587756283075</v>
      </c>
      <c r="HS60" s="109">
        <f t="shared" si="511"/>
        <v>0.89664727366255148</v>
      </c>
      <c r="HT60" s="109">
        <f t="shared" si="511"/>
        <v>0.89710458661094727</v>
      </c>
      <c r="HU60" s="109">
        <f t="shared" si="511"/>
        <v>0.89755787037037038</v>
      </c>
      <c r="HV60" s="109">
        <f t="shared" si="511"/>
        <v>0.89759751665042242</v>
      </c>
      <c r="HW60" s="109">
        <f t="shared" si="511"/>
        <v>0.89796730955846682</v>
      </c>
      <c r="HX60" s="109">
        <f t="shared" si="511"/>
        <v>0.89514985909822875</v>
      </c>
      <c r="HY60" s="109">
        <f t="shared" si="511"/>
        <v>0.89127475148308488</v>
      </c>
      <c r="HZ60" s="109">
        <f t="shared" si="511"/>
        <v>0.89124047134418904</v>
      </c>
      <c r="IA60" s="109">
        <f t="shared" si="511"/>
        <v>0.89170725043713239</v>
      </c>
      <c r="IB60" s="109">
        <f t="shared" si="511"/>
        <v>0.89217003996517885</v>
      </c>
      <c r="IC60" s="109">
        <f t="shared" si="511"/>
        <v>0.89262889085894415</v>
      </c>
      <c r="ID60" s="109">
        <f t="shared" si="511"/>
        <v>0.89291259612366602</v>
      </c>
      <c r="IE60" s="109">
        <f t="shared" si="511"/>
        <v>0.89015593256758874</v>
      </c>
      <c r="IF60" s="109">
        <f t="shared" si="511"/>
        <v>0.8906174622626829</v>
      </c>
      <c r="IG60" s="109">
        <f t="shared" si="511"/>
        <v>0.89107512978459635</v>
      </c>
      <c r="IH60" s="109">
        <f t="shared" si="511"/>
        <v>0.8915289834104938</v>
      </c>
      <c r="II60" s="109">
        <f t="shared" si="511"/>
        <v>0.89197907061625947</v>
      </c>
      <c r="IJ60" s="109">
        <f t="shared" si="511"/>
        <v>0.88902839952555868</v>
      </c>
      <c r="IK60" s="109">
        <f t="shared" si="511"/>
        <v>0.88916157026367937</v>
      </c>
      <c r="IL60" s="109">
        <f t="shared" si="511"/>
        <v>0.88801495142683673</v>
      </c>
      <c r="IM60" s="109">
        <f t="shared" si="511"/>
        <v>0.88817195767195767</v>
      </c>
      <c r="IN60" s="109">
        <f t="shared" si="511"/>
        <v>0.88862654320987655</v>
      </c>
      <c r="IO60" s="109">
        <f t="shared" si="511"/>
        <v>0.88737029539661116</v>
      </c>
      <c r="IP60" s="109">
        <f t="shared" si="511"/>
        <v>0.88667828741039434</v>
      </c>
      <c r="IQ60" s="109">
        <f t="shared" si="511"/>
        <v>0.88397385839654918</v>
      </c>
      <c r="IR60" s="109">
        <f t="shared" si="511"/>
        <v>0.88443796296296306</v>
      </c>
      <c r="IS60" s="109">
        <f t="shared" ref="IS60:LD60" si="512">IF(OR(IS$13="",IS$17="",IS$14="",IS$15="",IS$16="",IS$18="",IS$19="",IS$20="",IS$21=""),"",1-(IS87/(IS$4)))</f>
        <v>0.88274743618120122</v>
      </c>
      <c r="IT60" s="109">
        <f t="shared" si="512"/>
        <v>0.88022009112286892</v>
      </c>
      <c r="IU60" s="109">
        <f t="shared" si="512"/>
        <v>0.87714596142585277</v>
      </c>
      <c r="IV60" s="109">
        <f t="shared" si="512"/>
        <v>0.87707244276757079</v>
      </c>
      <c r="IW60" s="109">
        <f t="shared" si="512"/>
        <v>0.87755451161946263</v>
      </c>
      <c r="IX60" s="109">
        <f t="shared" si="512"/>
        <v>0.87745221173321764</v>
      </c>
      <c r="IY60" s="109">
        <f t="shared" si="512"/>
        <v>0.87792905137627908</v>
      </c>
      <c r="IZ60" s="109">
        <f t="shared" si="512"/>
        <v>0.87840219458799895</v>
      </c>
      <c r="JA60" s="109">
        <f t="shared" si="512"/>
        <v>0.87887168418418427</v>
      </c>
      <c r="JB60" s="109">
        <f t="shared" si="512"/>
        <v>0.87933756232193738</v>
      </c>
      <c r="JC60" s="109">
        <f t="shared" si="512"/>
        <v>0.87962914183340435</v>
      </c>
      <c r="JD60" s="109">
        <f t="shared" si="512"/>
        <v>0.88005764949109422</v>
      </c>
      <c r="JE60" s="109">
        <f t="shared" si="512"/>
        <v>0.8805137040557669</v>
      </c>
      <c r="JF60" s="109">
        <f t="shared" si="512"/>
        <v>0.88096630366161621</v>
      </c>
      <c r="JG60" s="109">
        <f t="shared" si="512"/>
        <v>0.88101550489168423</v>
      </c>
      <c r="JH60" s="109">
        <f t="shared" si="512"/>
        <v>0.88051522034252305</v>
      </c>
      <c r="JI60" s="109">
        <f t="shared" si="512"/>
        <v>0.88090897662643919</v>
      </c>
      <c r="JJ60" s="109">
        <f t="shared" si="512"/>
        <v>0.88089724986180218</v>
      </c>
      <c r="JK60" s="109">
        <f t="shared" si="512"/>
        <v>0.88134001101473225</v>
      </c>
      <c r="JL60" s="109">
        <f t="shared" si="512"/>
        <v>0.88177096193415649</v>
      </c>
      <c r="JM60" s="109">
        <f t="shared" si="512"/>
        <v>0.88136407509908432</v>
      </c>
      <c r="JN60" s="109">
        <f t="shared" si="512"/>
        <v>0.87946567776416129</v>
      </c>
      <c r="JO60" s="109">
        <f t="shared" si="512"/>
        <v>0.87975457027540371</v>
      </c>
      <c r="JP60" s="109">
        <f t="shared" si="512"/>
        <v>0.88004135408218442</v>
      </c>
      <c r="JQ60" s="109">
        <f t="shared" si="512"/>
        <v>0.8803260521885522</v>
      </c>
      <c r="JR60" s="109">
        <f t="shared" si="512"/>
        <v>0.88060868726516373</v>
      </c>
      <c r="JS60" s="109">
        <f t="shared" si="512"/>
        <v>0.88088928165530156</v>
      </c>
      <c r="JT60" s="109">
        <f t="shared" si="512"/>
        <v>0.88072571109778852</v>
      </c>
      <c r="JU60" s="109">
        <f t="shared" si="512"/>
        <v>0.8811338029337582</v>
      </c>
      <c r="JV60" s="109">
        <f t="shared" si="512"/>
        <v>0.88140951554232805</v>
      </c>
      <c r="JW60" s="109">
        <f t="shared" si="512"/>
        <v>0.88183154573612765</v>
      </c>
      <c r="JX60" s="109">
        <f t="shared" si="512"/>
        <v>0.8822505828079853</v>
      </c>
      <c r="JY60" s="109">
        <f t="shared" si="512"/>
        <v>0.88266665848710901</v>
      </c>
      <c r="JZ60" s="109">
        <f t="shared" si="512"/>
        <v>0.88307980405581643</v>
      </c>
      <c r="KA60" s="109">
        <f t="shared" si="512"/>
        <v>0.88349005035737493</v>
      </c>
      <c r="KB60" s="109">
        <f t="shared" si="512"/>
        <v>0.88389742780367786</v>
      </c>
      <c r="KC60" s="109">
        <f t="shared" si="512"/>
        <v>0.88430196638275915</v>
      </c>
      <c r="KD60" s="109">
        <f t="shared" si="512"/>
        <v>0.88470369566615226</v>
      </c>
      <c r="KE60" s="109">
        <f t="shared" si="512"/>
        <v>0.88510264481609646</v>
      </c>
      <c r="KF60" s="109">
        <f t="shared" si="512"/>
        <v>0.88549884259259259</v>
      </c>
      <c r="KG60" s="109">
        <f t="shared" si="512"/>
        <v>0.88589231736031571</v>
      </c>
      <c r="KH60" s="109">
        <f t="shared" si="512"/>
        <v>0.88628309709538311</v>
      </c>
      <c r="KI60" s="109">
        <f t="shared" si="512"/>
        <v>0.88667120939198585</v>
      </c>
      <c r="KJ60" s="109">
        <f t="shared" si="512"/>
        <v>0.88705668146888383</v>
      </c>
      <c r="KK60" s="109">
        <f t="shared" si="512"/>
        <v>0.88743954017576909</v>
      </c>
      <c r="KL60" s="109">
        <f t="shared" si="512"/>
        <v>0.88781981199949955</v>
      </c>
      <c r="KM60" s="109">
        <f t="shared" si="512"/>
        <v>0.88819752307020827</v>
      </c>
      <c r="KN60" s="109">
        <f t="shared" si="512"/>
        <v>0.88857269916728809</v>
      </c>
      <c r="KO60" s="109">
        <f t="shared" si="512"/>
        <v>0.88894536572525706</v>
      </c>
      <c r="KP60" s="109">
        <f t="shared" si="512"/>
        <v>0.88931554783950617</v>
      </c>
      <c r="KQ60" s="109">
        <f t="shared" si="512"/>
        <v>0.88968327027193306</v>
      </c>
      <c r="KR60" s="109">
        <f t="shared" si="512"/>
        <v>0.89004855745646316</v>
      </c>
      <c r="KS60" s="109">
        <f t="shared" si="512"/>
        <v>0.89041143350446161</v>
      </c>
      <c r="KT60" s="109">
        <f t="shared" si="512"/>
        <v>0.89077192221003898</v>
      </c>
      <c r="KU60" s="109" t="str">
        <f t="shared" si="512"/>
        <v/>
      </c>
      <c r="KV60" s="109" t="str">
        <f t="shared" si="512"/>
        <v/>
      </c>
      <c r="KW60" s="109" t="str">
        <f t="shared" si="512"/>
        <v/>
      </c>
      <c r="KX60" s="109" t="str">
        <f t="shared" si="512"/>
        <v/>
      </c>
      <c r="KY60" s="109" t="str">
        <f t="shared" si="512"/>
        <v/>
      </c>
      <c r="KZ60" s="109" t="str">
        <f t="shared" si="512"/>
        <v/>
      </c>
      <c r="LA60" s="109" t="str">
        <f t="shared" si="512"/>
        <v/>
      </c>
      <c r="LB60" s="109" t="str">
        <f t="shared" si="512"/>
        <v/>
      </c>
      <c r="LC60" s="109" t="str">
        <f t="shared" si="512"/>
        <v/>
      </c>
      <c r="LD60" s="109" t="str">
        <f t="shared" si="512"/>
        <v/>
      </c>
      <c r="LE60" s="109" t="str">
        <f t="shared" ref="LE60:NP60" si="513">IF(OR(LE$13="",LE$17="",LE$14="",LE$15="",LE$16="",LE$18="",LE$19="",LE$20="",LE$21=""),"",1-(LE87/(LE$4)))</f>
        <v/>
      </c>
      <c r="LF60" s="109" t="str">
        <f t="shared" si="513"/>
        <v/>
      </c>
      <c r="LG60" s="109" t="str">
        <f t="shared" si="513"/>
        <v/>
      </c>
      <c r="LH60" s="109" t="str">
        <f t="shared" si="513"/>
        <v/>
      </c>
      <c r="LI60" s="109" t="str">
        <f t="shared" si="513"/>
        <v/>
      </c>
      <c r="LJ60" s="109" t="str">
        <f t="shared" si="513"/>
        <v/>
      </c>
      <c r="LK60" s="109" t="str">
        <f t="shared" si="513"/>
        <v/>
      </c>
      <c r="LL60" s="109" t="str">
        <f t="shared" si="513"/>
        <v/>
      </c>
      <c r="LM60" s="109" t="str">
        <f t="shared" si="513"/>
        <v/>
      </c>
      <c r="LN60" s="109" t="str">
        <f t="shared" si="513"/>
        <v/>
      </c>
      <c r="LO60" s="109" t="str">
        <f t="shared" si="513"/>
        <v/>
      </c>
      <c r="LP60" s="109" t="str">
        <f t="shared" si="513"/>
        <v/>
      </c>
      <c r="LQ60" s="109" t="str">
        <f t="shared" si="513"/>
        <v/>
      </c>
      <c r="LR60" s="109" t="str">
        <f t="shared" si="513"/>
        <v/>
      </c>
      <c r="LS60" s="109" t="str">
        <f t="shared" si="513"/>
        <v/>
      </c>
      <c r="LT60" s="109" t="str">
        <f t="shared" si="513"/>
        <v/>
      </c>
      <c r="LU60" s="109" t="str">
        <f t="shared" si="513"/>
        <v/>
      </c>
      <c r="LV60" s="109" t="str">
        <f t="shared" si="513"/>
        <v/>
      </c>
      <c r="LW60" s="109" t="str">
        <f t="shared" si="513"/>
        <v/>
      </c>
      <c r="LX60" s="109" t="str">
        <f t="shared" si="513"/>
        <v/>
      </c>
      <c r="LY60" s="109" t="str">
        <f t="shared" si="513"/>
        <v/>
      </c>
      <c r="LZ60" s="109" t="str">
        <f t="shared" si="513"/>
        <v/>
      </c>
      <c r="MA60" s="109" t="str">
        <f t="shared" si="513"/>
        <v/>
      </c>
      <c r="MB60" s="109" t="str">
        <f t="shared" si="513"/>
        <v/>
      </c>
      <c r="MC60" s="109" t="str">
        <f t="shared" si="513"/>
        <v/>
      </c>
      <c r="MD60" s="109" t="str">
        <f t="shared" si="513"/>
        <v/>
      </c>
      <c r="ME60" s="109" t="str">
        <f t="shared" si="513"/>
        <v/>
      </c>
      <c r="MF60" s="109" t="str">
        <f t="shared" si="513"/>
        <v/>
      </c>
      <c r="MG60" s="109" t="str">
        <f t="shared" si="513"/>
        <v/>
      </c>
      <c r="MH60" s="109" t="str">
        <f t="shared" si="513"/>
        <v/>
      </c>
      <c r="MI60" s="109" t="str">
        <f t="shared" si="513"/>
        <v/>
      </c>
      <c r="MJ60" s="109" t="str">
        <f t="shared" si="513"/>
        <v/>
      </c>
      <c r="MK60" s="109" t="str">
        <f t="shared" si="513"/>
        <v/>
      </c>
      <c r="ML60" s="109" t="str">
        <f t="shared" si="513"/>
        <v/>
      </c>
      <c r="MM60" s="109" t="str">
        <f t="shared" si="513"/>
        <v/>
      </c>
      <c r="MN60" s="109" t="str">
        <f t="shared" si="513"/>
        <v/>
      </c>
      <c r="MO60" s="109" t="str">
        <f t="shared" si="513"/>
        <v/>
      </c>
      <c r="MP60" s="109" t="str">
        <f t="shared" si="513"/>
        <v/>
      </c>
      <c r="MQ60" s="109" t="str">
        <f t="shared" si="513"/>
        <v/>
      </c>
      <c r="MR60" s="109" t="str">
        <f t="shared" si="513"/>
        <v/>
      </c>
      <c r="MS60" s="109" t="str">
        <f t="shared" si="513"/>
        <v/>
      </c>
      <c r="MT60" s="109" t="str">
        <f t="shared" si="513"/>
        <v/>
      </c>
      <c r="MU60" s="109" t="str">
        <f t="shared" si="513"/>
        <v/>
      </c>
      <c r="MV60" s="109" t="str">
        <f t="shared" si="513"/>
        <v/>
      </c>
      <c r="MW60" s="109" t="str">
        <f t="shared" si="513"/>
        <v/>
      </c>
      <c r="MX60" s="109" t="str">
        <f t="shared" si="513"/>
        <v/>
      </c>
      <c r="MY60" s="109" t="str">
        <f t="shared" si="513"/>
        <v/>
      </c>
      <c r="MZ60" s="109" t="str">
        <f t="shared" si="513"/>
        <v/>
      </c>
      <c r="NA60" s="109" t="str">
        <f t="shared" si="513"/>
        <v/>
      </c>
      <c r="NB60" s="109" t="str">
        <f t="shared" si="513"/>
        <v/>
      </c>
      <c r="NC60" s="109" t="str">
        <f t="shared" si="513"/>
        <v/>
      </c>
      <c r="ND60" s="109" t="str">
        <f t="shared" si="513"/>
        <v/>
      </c>
      <c r="NE60" s="109" t="str">
        <f t="shared" si="513"/>
        <v/>
      </c>
      <c r="NF60" s="109" t="str">
        <f t="shared" si="513"/>
        <v/>
      </c>
      <c r="NG60" s="109" t="str">
        <f t="shared" si="513"/>
        <v/>
      </c>
      <c r="NH60" s="109" t="str">
        <f t="shared" si="513"/>
        <v/>
      </c>
      <c r="NI60" s="109" t="str">
        <f t="shared" si="513"/>
        <v/>
      </c>
      <c r="NJ60" s="109" t="str">
        <f t="shared" si="513"/>
        <v/>
      </c>
      <c r="NK60" s="109" t="str">
        <f t="shared" si="513"/>
        <v/>
      </c>
      <c r="NL60" s="109" t="str">
        <f t="shared" si="513"/>
        <v/>
      </c>
      <c r="NM60" s="109" t="str">
        <f t="shared" si="513"/>
        <v/>
      </c>
      <c r="NN60" s="109" t="str">
        <f t="shared" si="513"/>
        <v/>
      </c>
      <c r="NO60" s="109" t="str">
        <f t="shared" si="513"/>
        <v/>
      </c>
      <c r="NP60" s="109" t="str">
        <f t="shared" si="513"/>
        <v/>
      </c>
      <c r="NQ60" s="109" t="str">
        <f t="shared" ref="NQ60:QB60" si="514">IF(OR(NQ$13="",NQ$17="",NQ$14="",NQ$15="",NQ$16="",NQ$18="",NQ$19="",NQ$20="",NQ$21=""),"",1-(NQ87/(NQ$4)))</f>
        <v/>
      </c>
      <c r="NR60" s="109" t="str">
        <f t="shared" si="514"/>
        <v/>
      </c>
      <c r="NS60" s="109" t="str">
        <f t="shared" si="514"/>
        <v/>
      </c>
      <c r="NT60" s="109" t="str">
        <f t="shared" si="514"/>
        <v/>
      </c>
      <c r="NU60" s="109" t="str">
        <f t="shared" si="514"/>
        <v/>
      </c>
      <c r="NV60" s="109" t="str">
        <f t="shared" si="514"/>
        <v/>
      </c>
      <c r="NW60" s="109" t="str">
        <f t="shared" si="514"/>
        <v/>
      </c>
      <c r="NX60" s="109" t="str">
        <f t="shared" si="514"/>
        <v/>
      </c>
      <c r="NY60" s="109" t="str">
        <f t="shared" si="514"/>
        <v/>
      </c>
      <c r="NZ60" s="109" t="str">
        <f t="shared" si="514"/>
        <v/>
      </c>
      <c r="OA60" s="109" t="str">
        <f t="shared" si="514"/>
        <v/>
      </c>
      <c r="OB60" s="109" t="str">
        <f t="shared" si="514"/>
        <v/>
      </c>
      <c r="OC60" s="109" t="str">
        <f t="shared" si="514"/>
        <v/>
      </c>
      <c r="OD60" s="109" t="str">
        <f t="shared" si="514"/>
        <v/>
      </c>
      <c r="OE60" s="109" t="str">
        <f t="shared" si="514"/>
        <v/>
      </c>
      <c r="OF60" s="109" t="str">
        <f t="shared" si="514"/>
        <v/>
      </c>
      <c r="OG60" s="109" t="str">
        <f t="shared" si="514"/>
        <v/>
      </c>
      <c r="OH60" s="109" t="str">
        <f t="shared" si="514"/>
        <v/>
      </c>
      <c r="OI60" s="109" t="str">
        <f t="shared" si="514"/>
        <v/>
      </c>
      <c r="OJ60" s="109" t="str">
        <f t="shared" si="514"/>
        <v/>
      </c>
      <c r="OK60" s="109" t="str">
        <f t="shared" si="514"/>
        <v/>
      </c>
      <c r="OL60" s="109" t="str">
        <f t="shared" si="514"/>
        <v/>
      </c>
      <c r="OM60" s="109" t="str">
        <f t="shared" si="514"/>
        <v/>
      </c>
      <c r="ON60" s="109" t="str">
        <f t="shared" si="514"/>
        <v/>
      </c>
      <c r="OO60" s="109" t="str">
        <f t="shared" si="514"/>
        <v/>
      </c>
      <c r="OP60" s="109" t="str">
        <f t="shared" si="514"/>
        <v/>
      </c>
      <c r="OQ60" s="109" t="str">
        <f t="shared" si="514"/>
        <v/>
      </c>
      <c r="OR60" s="109" t="str">
        <f t="shared" si="514"/>
        <v/>
      </c>
      <c r="OS60" s="109" t="str">
        <f t="shared" si="514"/>
        <v/>
      </c>
      <c r="OT60" s="109" t="str">
        <f t="shared" si="514"/>
        <v/>
      </c>
      <c r="OU60" s="109" t="str">
        <f t="shared" si="514"/>
        <v/>
      </c>
      <c r="OV60" s="109" t="str">
        <f t="shared" si="514"/>
        <v/>
      </c>
      <c r="OW60" s="109" t="str">
        <f t="shared" si="514"/>
        <v/>
      </c>
      <c r="OX60" s="109" t="str">
        <f t="shared" si="514"/>
        <v/>
      </c>
      <c r="OY60" s="109" t="str">
        <f t="shared" si="514"/>
        <v/>
      </c>
      <c r="OZ60" s="109" t="str">
        <f t="shared" si="514"/>
        <v/>
      </c>
      <c r="PA60" s="109" t="str">
        <f t="shared" si="514"/>
        <v/>
      </c>
      <c r="PB60" s="109" t="str">
        <f t="shared" si="514"/>
        <v/>
      </c>
      <c r="PC60" s="109" t="str">
        <f t="shared" si="514"/>
        <v/>
      </c>
      <c r="PD60" s="109" t="str">
        <f t="shared" si="514"/>
        <v/>
      </c>
      <c r="PE60" s="109" t="str">
        <f t="shared" si="514"/>
        <v/>
      </c>
      <c r="PF60" s="109" t="str">
        <f t="shared" si="514"/>
        <v/>
      </c>
      <c r="PG60" s="109" t="str">
        <f t="shared" si="514"/>
        <v/>
      </c>
      <c r="PH60" s="109" t="str">
        <f t="shared" si="514"/>
        <v/>
      </c>
      <c r="PI60" s="109" t="str">
        <f t="shared" si="514"/>
        <v/>
      </c>
      <c r="PJ60" s="109" t="str">
        <f t="shared" si="514"/>
        <v/>
      </c>
      <c r="PK60" s="109" t="str">
        <f t="shared" si="514"/>
        <v/>
      </c>
      <c r="PL60" s="109" t="str">
        <f t="shared" si="514"/>
        <v/>
      </c>
      <c r="PM60" s="109" t="str">
        <f t="shared" si="514"/>
        <v/>
      </c>
      <c r="PN60" s="109" t="str">
        <f t="shared" si="514"/>
        <v/>
      </c>
      <c r="PO60" s="109" t="str">
        <f t="shared" si="514"/>
        <v/>
      </c>
      <c r="PP60" s="109" t="str">
        <f t="shared" si="514"/>
        <v/>
      </c>
      <c r="PQ60" s="109" t="str">
        <f t="shared" si="514"/>
        <v/>
      </c>
      <c r="PR60" s="109" t="str">
        <f t="shared" si="514"/>
        <v/>
      </c>
      <c r="PS60" s="109" t="str">
        <f t="shared" si="514"/>
        <v/>
      </c>
      <c r="PT60" s="109" t="str">
        <f t="shared" si="514"/>
        <v/>
      </c>
      <c r="PU60" s="109" t="str">
        <f t="shared" si="514"/>
        <v/>
      </c>
      <c r="PV60" s="109" t="str">
        <f t="shared" si="514"/>
        <v/>
      </c>
      <c r="PW60" s="109" t="str">
        <f t="shared" si="514"/>
        <v/>
      </c>
      <c r="PX60" s="109" t="str">
        <f t="shared" si="514"/>
        <v/>
      </c>
      <c r="PY60" s="109" t="str">
        <f t="shared" si="514"/>
        <v/>
      </c>
      <c r="PZ60" s="109" t="str">
        <f t="shared" si="514"/>
        <v/>
      </c>
      <c r="QA60" s="109" t="str">
        <f t="shared" si="514"/>
        <v/>
      </c>
      <c r="QB60" s="109" t="str">
        <f t="shared" si="514"/>
        <v/>
      </c>
      <c r="QC60" s="109" t="str">
        <f t="shared" ref="QC60:SN60" si="515">IF(OR(QC$13="",QC$17="",QC$14="",QC$15="",QC$16="",QC$18="",QC$19="",QC$20="",QC$21=""),"",1-(QC87/(QC$4)))</f>
        <v/>
      </c>
      <c r="QD60" s="109" t="str">
        <f t="shared" si="515"/>
        <v/>
      </c>
      <c r="QE60" s="109" t="str">
        <f t="shared" si="515"/>
        <v/>
      </c>
      <c r="QF60" s="109" t="str">
        <f t="shared" si="515"/>
        <v/>
      </c>
      <c r="QG60" s="109" t="str">
        <f t="shared" si="515"/>
        <v/>
      </c>
      <c r="QH60" s="109" t="str">
        <f t="shared" si="515"/>
        <v/>
      </c>
      <c r="QI60" s="109" t="str">
        <f t="shared" si="515"/>
        <v/>
      </c>
      <c r="QJ60" s="109" t="str">
        <f t="shared" si="515"/>
        <v/>
      </c>
      <c r="QK60" s="109" t="str">
        <f t="shared" si="515"/>
        <v/>
      </c>
      <c r="QL60" s="109" t="str">
        <f t="shared" si="515"/>
        <v/>
      </c>
      <c r="QM60" s="109" t="str">
        <f t="shared" si="515"/>
        <v/>
      </c>
      <c r="QN60" s="109" t="str">
        <f t="shared" si="515"/>
        <v/>
      </c>
      <c r="QO60" s="109" t="str">
        <f t="shared" si="515"/>
        <v/>
      </c>
      <c r="QP60" s="109" t="str">
        <f t="shared" si="515"/>
        <v/>
      </c>
      <c r="QQ60" s="109" t="str">
        <f t="shared" si="515"/>
        <v/>
      </c>
      <c r="QR60" s="109" t="str">
        <f t="shared" si="515"/>
        <v/>
      </c>
      <c r="QS60" s="109" t="str">
        <f t="shared" si="515"/>
        <v/>
      </c>
      <c r="QT60" s="109" t="str">
        <f t="shared" si="515"/>
        <v/>
      </c>
      <c r="QU60" s="109" t="str">
        <f t="shared" si="515"/>
        <v/>
      </c>
      <c r="QV60" s="109" t="str">
        <f t="shared" si="515"/>
        <v/>
      </c>
      <c r="QW60" s="109" t="str">
        <f t="shared" si="515"/>
        <v/>
      </c>
      <c r="QX60" s="109" t="str">
        <f t="shared" si="515"/>
        <v/>
      </c>
      <c r="QY60" s="109" t="str">
        <f t="shared" si="515"/>
        <v/>
      </c>
      <c r="QZ60" s="109" t="str">
        <f t="shared" si="515"/>
        <v/>
      </c>
      <c r="RA60" s="109" t="str">
        <f t="shared" si="515"/>
        <v/>
      </c>
      <c r="RB60" s="109" t="str">
        <f t="shared" si="515"/>
        <v/>
      </c>
      <c r="RC60" s="109" t="str">
        <f t="shared" si="515"/>
        <v/>
      </c>
      <c r="RD60" s="109" t="str">
        <f t="shared" si="515"/>
        <v/>
      </c>
      <c r="RE60" s="109" t="str">
        <f t="shared" si="515"/>
        <v/>
      </c>
      <c r="RF60" s="109" t="str">
        <f t="shared" si="515"/>
        <v/>
      </c>
      <c r="RG60" s="109" t="str">
        <f t="shared" si="515"/>
        <v/>
      </c>
      <c r="RH60" s="109" t="str">
        <f t="shared" si="515"/>
        <v/>
      </c>
      <c r="RI60" s="109" t="str">
        <f t="shared" si="515"/>
        <v/>
      </c>
      <c r="RJ60" s="109" t="str">
        <f t="shared" si="515"/>
        <v/>
      </c>
      <c r="RK60" s="109" t="str">
        <f t="shared" si="515"/>
        <v/>
      </c>
      <c r="RL60" s="109" t="str">
        <f t="shared" si="515"/>
        <v/>
      </c>
      <c r="RM60" s="109" t="str">
        <f t="shared" si="515"/>
        <v/>
      </c>
      <c r="RN60" s="109" t="str">
        <f t="shared" si="515"/>
        <v/>
      </c>
      <c r="RO60" s="109" t="str">
        <f t="shared" si="515"/>
        <v/>
      </c>
      <c r="RP60" s="109" t="str">
        <f t="shared" si="515"/>
        <v/>
      </c>
      <c r="RQ60" s="109" t="str">
        <f t="shared" si="515"/>
        <v/>
      </c>
      <c r="RR60" s="109" t="str">
        <f t="shared" si="515"/>
        <v/>
      </c>
      <c r="RS60" s="109" t="str">
        <f t="shared" si="515"/>
        <v/>
      </c>
      <c r="RT60" s="109" t="str">
        <f t="shared" si="515"/>
        <v/>
      </c>
      <c r="RU60" s="109" t="str">
        <f t="shared" si="515"/>
        <v/>
      </c>
      <c r="RV60" s="109" t="str">
        <f t="shared" si="515"/>
        <v/>
      </c>
      <c r="RW60" s="109" t="str">
        <f t="shared" si="515"/>
        <v/>
      </c>
      <c r="RX60" s="109" t="str">
        <f t="shared" si="515"/>
        <v/>
      </c>
      <c r="RY60" s="109" t="str">
        <f t="shared" si="515"/>
        <v/>
      </c>
      <c r="RZ60" s="109" t="str">
        <f t="shared" si="515"/>
        <v/>
      </c>
      <c r="SA60" s="109" t="str">
        <f t="shared" si="515"/>
        <v/>
      </c>
      <c r="SB60" s="109" t="str">
        <f t="shared" si="515"/>
        <v/>
      </c>
      <c r="SC60" s="109" t="str">
        <f t="shared" si="515"/>
        <v/>
      </c>
      <c r="SD60" s="109" t="str">
        <f t="shared" si="515"/>
        <v/>
      </c>
      <c r="SE60" s="109" t="str">
        <f t="shared" si="515"/>
        <v/>
      </c>
      <c r="SF60" s="109" t="str">
        <f t="shared" si="515"/>
        <v/>
      </c>
      <c r="SG60" s="109" t="str">
        <f t="shared" si="515"/>
        <v/>
      </c>
      <c r="SH60" s="109" t="str">
        <f t="shared" si="515"/>
        <v/>
      </c>
      <c r="SI60" s="109" t="str">
        <f t="shared" si="515"/>
        <v/>
      </c>
      <c r="SJ60" s="109" t="str">
        <f t="shared" si="515"/>
        <v/>
      </c>
      <c r="SK60" s="109" t="str">
        <f t="shared" si="515"/>
        <v/>
      </c>
      <c r="SL60" s="109" t="str">
        <f t="shared" si="515"/>
        <v/>
      </c>
      <c r="SM60" s="109" t="str">
        <f t="shared" si="515"/>
        <v/>
      </c>
      <c r="SN60" s="109" t="str">
        <f t="shared" si="515"/>
        <v/>
      </c>
      <c r="SO60" s="109" t="str">
        <f t="shared" ref="SO60:SW60" si="516">IF(OR(SO$13="",SO$17="",SO$14="",SO$15="",SO$16="",SO$18="",SO$19="",SO$20="",SO$21=""),"",1-(SO87/(SO$4)))</f>
        <v/>
      </c>
      <c r="SP60" s="109" t="str">
        <f t="shared" si="516"/>
        <v/>
      </c>
      <c r="SQ60" s="109" t="str">
        <f t="shared" si="516"/>
        <v/>
      </c>
      <c r="SR60" s="109" t="str">
        <f t="shared" si="516"/>
        <v/>
      </c>
      <c r="SS60" s="109" t="str">
        <f t="shared" si="516"/>
        <v/>
      </c>
      <c r="ST60" s="109" t="str">
        <f t="shared" si="516"/>
        <v/>
      </c>
      <c r="SU60" s="109" t="str">
        <f t="shared" si="516"/>
        <v/>
      </c>
      <c r="SV60" s="109" t="str">
        <f t="shared" si="516"/>
        <v/>
      </c>
      <c r="SW60" s="109" t="str">
        <f t="shared" si="516"/>
        <v/>
      </c>
    </row>
    <row r="61" spans="1:517" ht="24.6" customHeight="1" x14ac:dyDescent="0.2">
      <c r="A61" s="94">
        <v>777</v>
      </c>
      <c r="B61" s="117" t="s">
        <v>85</v>
      </c>
      <c r="C61" s="109">
        <f t="shared" ref="C61:AH61" si="517">IF(OR(C$13="",C$17="",C$14="",C$15="",C$16="",C$18="",C$19="",C$20="",C$21=""),"",1-(C88/(C$4)))</f>
        <v>1</v>
      </c>
      <c r="D61" s="109">
        <f t="shared" si="517"/>
        <v>1</v>
      </c>
      <c r="E61" s="109">
        <f t="shared" si="517"/>
        <v>1</v>
      </c>
      <c r="F61" s="109">
        <f t="shared" si="517"/>
        <v>1</v>
      </c>
      <c r="G61" s="109">
        <f t="shared" si="517"/>
        <v>1</v>
      </c>
      <c r="H61" s="109">
        <f t="shared" si="517"/>
        <v>1</v>
      </c>
      <c r="I61" s="109">
        <f t="shared" si="517"/>
        <v>1</v>
      </c>
      <c r="J61" s="109">
        <f t="shared" si="517"/>
        <v>1</v>
      </c>
      <c r="K61" s="109">
        <f t="shared" si="517"/>
        <v>1</v>
      </c>
      <c r="L61" s="109">
        <f t="shared" si="517"/>
        <v>1</v>
      </c>
      <c r="M61" s="109">
        <f t="shared" si="517"/>
        <v>1</v>
      </c>
      <c r="N61" s="109">
        <f t="shared" si="517"/>
        <v>0.99652777777777779</v>
      </c>
      <c r="O61" s="109">
        <f t="shared" si="517"/>
        <v>0.99679487179487181</v>
      </c>
      <c r="P61" s="109">
        <f t="shared" si="517"/>
        <v>0.96523809523809523</v>
      </c>
      <c r="Q61" s="109">
        <f t="shared" si="517"/>
        <v>0.9675555555555555</v>
      </c>
      <c r="R61" s="109">
        <f t="shared" si="517"/>
        <v>0.96958333333333335</v>
      </c>
      <c r="S61" s="109">
        <f t="shared" si="517"/>
        <v>0.9713725490196079</v>
      </c>
      <c r="T61" s="109">
        <f t="shared" si="517"/>
        <v>0.97296296296296292</v>
      </c>
      <c r="U61" s="109">
        <f t="shared" si="517"/>
        <v>0.97438596491228069</v>
      </c>
      <c r="V61" s="109">
        <f t="shared" si="517"/>
        <v>0.97566666666666668</v>
      </c>
      <c r="W61" s="109">
        <f t="shared" si="517"/>
        <v>0.97682539682539682</v>
      </c>
      <c r="X61" s="109">
        <f t="shared" si="517"/>
        <v>0.9778787878787879</v>
      </c>
      <c r="Y61" s="109">
        <f t="shared" si="517"/>
        <v>0.97884057971014493</v>
      </c>
      <c r="Z61" s="109">
        <f t="shared" si="517"/>
        <v>0.97972222222222227</v>
      </c>
      <c r="AA61" s="109">
        <f t="shared" si="517"/>
        <v>0.94278333333333331</v>
      </c>
      <c r="AB61" s="109">
        <f t="shared" si="517"/>
        <v>0.94498397435897441</v>
      </c>
      <c r="AC61" s="109">
        <f t="shared" si="517"/>
        <v>0.94702160493827159</v>
      </c>
      <c r="AD61" s="109">
        <f t="shared" si="517"/>
        <v>0.94891369047619045</v>
      </c>
      <c r="AE61" s="109">
        <f t="shared" si="517"/>
        <v>0.94708333333333328</v>
      </c>
      <c r="AF61" s="109">
        <f t="shared" si="517"/>
        <v>0.94884722222222218</v>
      </c>
      <c r="AG61" s="109">
        <f t="shared" si="517"/>
        <v>0.95049731182795694</v>
      </c>
      <c r="AH61" s="109">
        <f t="shared" si="517"/>
        <v>0.95204427083333332</v>
      </c>
      <c r="AI61" s="109">
        <f t="shared" ref="AI61:BN61" si="518">IF(OR(AI$13="",AI$17="",AI$14="",AI$15="",AI$16="",AI$18="",AI$19="",AI$20="",AI$21=""),"",1-(AI88/(AI$4)))</f>
        <v>0.95146464646464646</v>
      </c>
      <c r="AJ61" s="109">
        <f t="shared" si="518"/>
        <v>0.95289215686274509</v>
      </c>
      <c r="AK61" s="109">
        <f t="shared" si="518"/>
        <v>0.95423809523809522</v>
      </c>
      <c r="AL61" s="109">
        <f t="shared" si="518"/>
        <v>0.95550925925925922</v>
      </c>
      <c r="AM61" s="109">
        <f t="shared" si="518"/>
        <v>0.9555855855855856</v>
      </c>
      <c r="AN61" s="109">
        <f t="shared" si="518"/>
        <v>0.95675438596491225</v>
      </c>
      <c r="AO61" s="109">
        <f t="shared" si="518"/>
        <v>0.95786324786324784</v>
      </c>
      <c r="AP61" s="109">
        <f t="shared" si="518"/>
        <v>0.95891666666666664</v>
      </c>
      <c r="AQ61" s="109">
        <f t="shared" si="518"/>
        <v>0.95744918699186987</v>
      </c>
      <c r="AR61" s="109">
        <f t="shared" si="518"/>
        <v>0.95846230158730161</v>
      </c>
      <c r="AS61" s="109">
        <f t="shared" si="518"/>
        <v>0.95942829457364343</v>
      </c>
      <c r="AT61" s="109">
        <f t="shared" si="518"/>
        <v>0.95133522727272724</v>
      </c>
      <c r="AU61" s="109">
        <f t="shared" si="518"/>
        <v>0.95241666666666669</v>
      </c>
      <c r="AV61" s="109">
        <f t="shared" si="518"/>
        <v>0.9534510869565217</v>
      </c>
      <c r="AW61" s="109">
        <f t="shared" si="518"/>
        <v>0.95444148936170214</v>
      </c>
      <c r="AX61" s="109">
        <f t="shared" si="518"/>
        <v>0.95539062500000005</v>
      </c>
      <c r="AY61" s="109">
        <f t="shared" si="518"/>
        <v>0.95630102040816323</v>
      </c>
      <c r="AZ61" s="109">
        <f t="shared" si="518"/>
        <v>0.956175</v>
      </c>
      <c r="BA61" s="109">
        <f t="shared" si="518"/>
        <v>0.95703431372549019</v>
      </c>
      <c r="BB61" s="109">
        <f t="shared" si="518"/>
        <v>0.95786057692307691</v>
      </c>
      <c r="BC61" s="109">
        <f t="shared" si="518"/>
        <v>0.9586556603773585</v>
      </c>
      <c r="BD61" s="109">
        <f t="shared" si="518"/>
        <v>0.95942129629629624</v>
      </c>
      <c r="BE61" s="109">
        <f t="shared" si="518"/>
        <v>0.96015909090909091</v>
      </c>
      <c r="BF61" s="109">
        <f t="shared" si="518"/>
        <v>0.94827380952380946</v>
      </c>
      <c r="BG61" s="109">
        <f t="shared" si="518"/>
        <v>0.94918128654970757</v>
      </c>
      <c r="BH61" s="109">
        <f t="shared" si="518"/>
        <v>0.95005747126436779</v>
      </c>
      <c r="BI61" s="109">
        <f t="shared" si="518"/>
        <v>0.95090395480225987</v>
      </c>
      <c r="BJ61" s="109">
        <f t="shared" si="518"/>
        <v>0.95172222222222225</v>
      </c>
      <c r="BK61" s="109">
        <f t="shared" si="518"/>
        <v>0.95251366120218584</v>
      </c>
      <c r="BL61" s="109">
        <f t="shared" si="518"/>
        <v>0.95327956989247309</v>
      </c>
      <c r="BM61" s="109">
        <f t="shared" si="518"/>
        <v>0.95402116402116399</v>
      </c>
      <c r="BN61" s="109">
        <f t="shared" si="518"/>
        <v>0.9546223958333333</v>
      </c>
      <c r="BO61" s="109">
        <f t="shared" ref="BO61:CT61" si="519">IF(OR(BO$13="",BO$17="",BO$14="",BO$15="",BO$16="",BO$18="",BO$19="",BO$20="",BO$21=""),"",1-(BO88/(BO$4)))</f>
        <v>0.95532051282051278</v>
      </c>
      <c r="BP61" s="109">
        <f t="shared" si="519"/>
        <v>0.94749368686868685</v>
      </c>
      <c r="BQ61" s="109">
        <f t="shared" si="519"/>
        <v>0.94827736318407962</v>
      </c>
      <c r="BR61" s="109">
        <f t="shared" si="519"/>
        <v>0.94303308823529408</v>
      </c>
      <c r="BS61" s="109">
        <f t="shared" si="519"/>
        <v>0.94321859903381644</v>
      </c>
      <c r="BT61" s="109">
        <f t="shared" si="519"/>
        <v>0.94402976190476184</v>
      </c>
      <c r="BU61" s="109">
        <f t="shared" si="519"/>
        <v>0.94481807511737093</v>
      </c>
      <c r="BV61" s="109">
        <f t="shared" si="519"/>
        <v>0.94558449074074069</v>
      </c>
      <c r="BW61" s="109">
        <f t="shared" si="519"/>
        <v>0.94632990867579903</v>
      </c>
      <c r="BX61" s="109">
        <f t="shared" si="519"/>
        <v>0.9470551801801802</v>
      </c>
      <c r="BY61" s="109">
        <f t="shared" si="519"/>
        <v>0.94776111111111105</v>
      </c>
      <c r="BZ61" s="109">
        <f t="shared" si="519"/>
        <v>0.94844846491228074</v>
      </c>
      <c r="CA61" s="109">
        <f t="shared" si="519"/>
        <v>0.94897186147186141</v>
      </c>
      <c r="CB61" s="109">
        <f t="shared" si="519"/>
        <v>0.94962606837606833</v>
      </c>
      <c r="CC61" s="109">
        <f t="shared" si="519"/>
        <v>0.94413502109704639</v>
      </c>
      <c r="CD61" s="109">
        <f t="shared" si="519"/>
        <v>0.9448333333333333</v>
      </c>
      <c r="CE61" s="109">
        <f t="shared" si="519"/>
        <v>0.94551440329218106</v>
      </c>
      <c r="CF61" s="109">
        <f t="shared" si="519"/>
        <v>0.94617886178861788</v>
      </c>
      <c r="CG61" s="109">
        <f t="shared" si="519"/>
        <v>0.9468273092369478</v>
      </c>
      <c r="CH61" s="109">
        <f t="shared" si="519"/>
        <v>0.94746031746031745</v>
      </c>
      <c r="CI61" s="109">
        <f t="shared" si="519"/>
        <v>0.94807843137254899</v>
      </c>
      <c r="CJ61" s="109">
        <f t="shared" si="519"/>
        <v>0.94124515503875972</v>
      </c>
      <c r="CK61" s="109">
        <f t="shared" si="519"/>
        <v>0.94192049808429124</v>
      </c>
      <c r="CL61" s="109">
        <f t="shared" si="519"/>
        <v>0.94258049242424247</v>
      </c>
      <c r="CM61" s="109">
        <f t="shared" si="519"/>
        <v>0.94322565543071157</v>
      </c>
      <c r="CN61" s="109">
        <f t="shared" si="519"/>
        <v>0.94385648148148149</v>
      </c>
      <c r="CO61" s="109">
        <f t="shared" si="519"/>
        <v>0.94447344322344318</v>
      </c>
      <c r="CP61" s="109">
        <f t="shared" si="519"/>
        <v>0.94507699275362322</v>
      </c>
      <c r="CQ61" s="109">
        <f t="shared" si="519"/>
        <v>0.94566756272401431</v>
      </c>
      <c r="CR61" s="109">
        <f t="shared" si="519"/>
        <v>0.9462455673758865</v>
      </c>
      <c r="CS61" s="109">
        <f t="shared" si="519"/>
        <v>0.94681140350877191</v>
      </c>
      <c r="CT61" s="109">
        <f t="shared" si="519"/>
        <v>0.94736545138888884</v>
      </c>
      <c r="CU61" s="109">
        <f t="shared" ref="CU61:DT61" si="520">IF(OR(CU$13="",CU$17="",CU$14="",CU$15="",CU$16="",CU$18="",CU$19="",CU$20="",CU$21=""),"",1-(CU88/(CU$4)))</f>
        <v>0.94790807560137458</v>
      </c>
      <c r="CV61" s="109">
        <f t="shared" si="520"/>
        <v>0.94843962585034014</v>
      </c>
      <c r="CW61" s="109">
        <f t="shared" si="520"/>
        <v>0.9489604377104377</v>
      </c>
      <c r="CX61" s="109">
        <f t="shared" si="520"/>
        <v>0.94947083333333337</v>
      </c>
      <c r="CY61" s="109">
        <f t="shared" si="520"/>
        <v>0.94997112211221124</v>
      </c>
      <c r="CZ61" s="109">
        <f t="shared" si="520"/>
        <v>0.9504616013071896</v>
      </c>
      <c r="DA61" s="109">
        <f t="shared" si="520"/>
        <v>0.95072815533980581</v>
      </c>
      <c r="DB61" s="109">
        <f t="shared" si="520"/>
        <v>0.95120192307692308</v>
      </c>
      <c r="DC61" s="109">
        <f t="shared" si="520"/>
        <v>0.94812698412698415</v>
      </c>
      <c r="DD61" s="109">
        <f t="shared" si="520"/>
        <v>0.94861635220125784</v>
      </c>
      <c r="DE61" s="109">
        <f t="shared" si="520"/>
        <v>0.94909657320872276</v>
      </c>
      <c r="DF61" s="109">
        <f t="shared" si="520"/>
        <v>0.94956790123456791</v>
      </c>
      <c r="DG61" s="109">
        <f t="shared" si="520"/>
        <v>0.95003058103975535</v>
      </c>
      <c r="DH61" s="109">
        <f t="shared" si="520"/>
        <v>0.95048484848484849</v>
      </c>
      <c r="DI61" s="109">
        <f t="shared" si="520"/>
        <v>0.95093093093093095</v>
      </c>
      <c r="DJ61" s="109">
        <f t="shared" si="520"/>
        <v>0.95136904761904761</v>
      </c>
      <c r="DK61" s="109">
        <f t="shared" si="520"/>
        <v>0.95179941002949853</v>
      </c>
      <c r="DL61" s="109">
        <f t="shared" si="520"/>
        <v>0.95172880116959069</v>
      </c>
      <c r="DM61" s="109">
        <f t="shared" si="520"/>
        <v>0.94923913043478259</v>
      </c>
      <c r="DN61" s="109">
        <f t="shared" si="520"/>
        <v>0.94967672413793103</v>
      </c>
      <c r="DO61" s="109">
        <f t="shared" si="520"/>
        <v>0.95010683760683756</v>
      </c>
      <c r="DP61" s="109">
        <f t="shared" si="520"/>
        <v>0.95052966101694913</v>
      </c>
      <c r="DQ61" s="109">
        <f t="shared" si="520"/>
        <v>0.95094537815126046</v>
      </c>
      <c r="DR61" s="109">
        <f t="shared" si="520"/>
        <v>0.95135416666666672</v>
      </c>
      <c r="DS61" s="109">
        <f t="shared" si="520"/>
        <v>0.95175619834710745</v>
      </c>
      <c r="DT61" s="109">
        <f t="shared" si="520"/>
        <v>0.95215163934426228</v>
      </c>
      <c r="DU61" s="109">
        <f t="shared" ref="DU61:GF61" si="521">IF(OR(DU$13="",DU$17="",DU$14="",DU$15="",DU$16="",DU$18="",DU$19="",DU$20="",DU$21=""),"",1-(DU88/(DU$4)))</f>
        <v>0.95254065040650404</v>
      </c>
      <c r="DV61" s="109">
        <f t="shared" si="521"/>
        <v>0.95058803763440858</v>
      </c>
      <c r="DW61" s="109">
        <f t="shared" si="521"/>
        <v>0.95044666666666666</v>
      </c>
      <c r="DX61" s="109">
        <f t="shared" si="521"/>
        <v>0.95083994708994712</v>
      </c>
      <c r="DY61" s="109">
        <f t="shared" si="521"/>
        <v>0.95122703412073495</v>
      </c>
      <c r="DZ61" s="109">
        <f t="shared" si="521"/>
        <v>0.94814453124999998</v>
      </c>
      <c r="EA61" s="109">
        <f t="shared" si="521"/>
        <v>0.94729328165374671</v>
      </c>
      <c r="EB61" s="109">
        <f t="shared" si="521"/>
        <v>0.94769871794871796</v>
      </c>
      <c r="EC61" s="109">
        <f t="shared" si="521"/>
        <v>0.94421755725190837</v>
      </c>
      <c r="ED61" s="109">
        <f t="shared" si="521"/>
        <v>0.94464015151515146</v>
      </c>
      <c r="EE61" s="109">
        <f t="shared" si="521"/>
        <v>0.94505639097744365</v>
      </c>
      <c r="EF61" s="109">
        <f t="shared" si="521"/>
        <v>0.94546641791044772</v>
      </c>
      <c r="EG61" s="109">
        <f t="shared" si="521"/>
        <v>0.94587037037037036</v>
      </c>
      <c r="EH61" s="109">
        <f t="shared" si="521"/>
        <v>0.9462683823529412</v>
      </c>
      <c r="EI61" s="109">
        <f t="shared" si="521"/>
        <v>0.94666058394160579</v>
      </c>
      <c r="EJ61" s="109">
        <f t="shared" si="521"/>
        <v>0.9470471014492754</v>
      </c>
      <c r="EK61" s="109">
        <f t="shared" si="521"/>
        <v>0.94742805755395687</v>
      </c>
      <c r="EL61" s="109">
        <f t="shared" si="521"/>
        <v>0.94780357142857141</v>
      </c>
      <c r="EM61" s="109">
        <f t="shared" si="521"/>
        <v>0.94817375886524824</v>
      </c>
      <c r="EN61" s="109">
        <f t="shared" si="521"/>
        <v>0.94604460093896714</v>
      </c>
      <c r="EO61" s="109">
        <f t="shared" si="521"/>
        <v>0.94595571095571096</v>
      </c>
      <c r="EP61" s="109">
        <f t="shared" si="521"/>
        <v>0.94633101851851853</v>
      </c>
      <c r="EQ61" s="109">
        <f t="shared" si="521"/>
        <v>0.94524425287356317</v>
      </c>
      <c r="ER61" s="109">
        <f t="shared" si="521"/>
        <v>0.9456192922374429</v>
      </c>
      <c r="ES61" s="109">
        <f t="shared" si="521"/>
        <v>0.94263605442176868</v>
      </c>
      <c r="ET61" s="109">
        <f t="shared" si="521"/>
        <v>0.94050394144144145</v>
      </c>
      <c r="EU61" s="109">
        <f t="shared" si="521"/>
        <v>0.94090324384787472</v>
      </c>
      <c r="EV61" s="109">
        <f t="shared" si="521"/>
        <v>0.94129722222222223</v>
      </c>
      <c r="EW61" s="109">
        <f t="shared" si="521"/>
        <v>0.94168598233995582</v>
      </c>
      <c r="EX61" s="109">
        <f t="shared" si="521"/>
        <v>0.94206962719298248</v>
      </c>
      <c r="EY61" s="109">
        <f t="shared" si="521"/>
        <v>0.94244825708060997</v>
      </c>
      <c r="EZ61" s="109">
        <f t="shared" si="521"/>
        <v>0.94282196969696974</v>
      </c>
      <c r="FA61" s="109">
        <f t="shared" si="521"/>
        <v>0.94319086021505372</v>
      </c>
      <c r="FB61" s="109">
        <f t="shared" si="521"/>
        <v>0.94355502136752134</v>
      </c>
      <c r="FC61" s="109">
        <f t="shared" si="521"/>
        <v>0.94391454352441617</v>
      </c>
      <c r="FD61" s="109">
        <f t="shared" si="521"/>
        <v>0.94220727848101271</v>
      </c>
      <c r="FE61" s="109">
        <f t="shared" si="521"/>
        <v>0.94105083857442351</v>
      </c>
      <c r="FF61" s="109">
        <f t="shared" si="521"/>
        <v>0.94141927083333332</v>
      </c>
      <c r="FG61" s="109">
        <f t="shared" si="521"/>
        <v>0.94126811594202897</v>
      </c>
      <c r="FH61" s="109">
        <f t="shared" si="521"/>
        <v>0.94163065843621396</v>
      </c>
      <c r="FI61" s="109">
        <f t="shared" si="521"/>
        <v>0.94198875255623726</v>
      </c>
      <c r="FJ61" s="109">
        <f t="shared" si="521"/>
        <v>0.94234247967479678</v>
      </c>
      <c r="FK61" s="109">
        <f t="shared" si="521"/>
        <v>0.94269191919191919</v>
      </c>
      <c r="FL61" s="109">
        <f t="shared" si="521"/>
        <v>0.94303714859437748</v>
      </c>
      <c r="FM61" s="109">
        <f t="shared" si="521"/>
        <v>0.93970309381237527</v>
      </c>
      <c r="FN61" s="109">
        <f t="shared" si="521"/>
        <v>0.94006200396825401</v>
      </c>
      <c r="FO61" s="109">
        <f t="shared" si="521"/>
        <v>0.94041666666666668</v>
      </c>
      <c r="FP61" s="109">
        <f t="shared" si="521"/>
        <v>0.94076715686274515</v>
      </c>
      <c r="FQ61" s="109">
        <f t="shared" si="521"/>
        <v>0.94093323586744637</v>
      </c>
      <c r="FR61" s="109">
        <f t="shared" si="521"/>
        <v>0.9412766472868217</v>
      </c>
      <c r="FS61" s="109">
        <f t="shared" si="521"/>
        <v>0.94161608863198454</v>
      </c>
      <c r="FT61" s="109">
        <f t="shared" si="521"/>
        <v>0.94116139846743296</v>
      </c>
      <c r="FU61" s="109">
        <f t="shared" si="521"/>
        <v>0.94149761904761908</v>
      </c>
      <c r="FV61" s="109">
        <f t="shared" si="521"/>
        <v>0.94183001893939389</v>
      </c>
      <c r="FW61" s="109">
        <f t="shared" si="521"/>
        <v>0.94215866290018835</v>
      </c>
      <c r="FX61" s="109">
        <f t="shared" si="521"/>
        <v>0.94248361423220972</v>
      </c>
      <c r="FY61" s="109">
        <f t="shared" si="521"/>
        <v>0.94280493482309125</v>
      </c>
      <c r="FZ61" s="109">
        <f t="shared" si="521"/>
        <v>0.94312268518518516</v>
      </c>
      <c r="GA61" s="109">
        <f t="shared" si="433"/>
        <v>0.93404465930018421</v>
      </c>
      <c r="GB61" s="109">
        <f t="shared" si="433"/>
        <v>0.93021749084249084</v>
      </c>
      <c r="GC61" s="109">
        <f t="shared" si="521"/>
        <v>0.93059881602914385</v>
      </c>
      <c r="GD61" s="109">
        <f t="shared" si="521"/>
        <v>0.93097599637681161</v>
      </c>
      <c r="GE61" s="109">
        <f t="shared" si="521"/>
        <v>0.93121846846846845</v>
      </c>
      <c r="GF61" s="109">
        <f t="shared" si="521"/>
        <v>0.93158826164874553</v>
      </c>
      <c r="GG61" s="109">
        <f t="shared" ref="GG61:IR61" si="522">IF(OR(GG$13="",GG$17="",GG$14="",GG$15="",GG$16="",GG$18="",GG$19="",GG$20="",GG$21=""),"",1-(GG88/(GG$4)))</f>
        <v>0.93195409982174693</v>
      </c>
      <c r="GH61" s="109">
        <f t="shared" si="522"/>
        <v>0.93231604609929075</v>
      </c>
      <c r="GI61" s="109">
        <f t="shared" si="522"/>
        <v>0.93152116402116403</v>
      </c>
      <c r="GJ61" s="109">
        <f t="shared" si="522"/>
        <v>0.93188157894736845</v>
      </c>
      <c r="GK61" s="109">
        <f t="shared" si="522"/>
        <v>0.93223821989528799</v>
      </c>
      <c r="GL61" s="109">
        <f t="shared" si="522"/>
        <v>0.93259114583333336</v>
      </c>
      <c r="GM61" s="109">
        <f t="shared" si="522"/>
        <v>0.93294041450777199</v>
      </c>
      <c r="GN61" s="109">
        <f t="shared" si="522"/>
        <v>0.93328608247422684</v>
      </c>
      <c r="GO61" s="109">
        <f t="shared" si="522"/>
        <v>0.9336282051282051</v>
      </c>
      <c r="GP61" s="109">
        <f t="shared" si="522"/>
        <v>0.93396683673469383</v>
      </c>
      <c r="GQ61" s="109">
        <f t="shared" si="522"/>
        <v>0.9341264805414552</v>
      </c>
      <c r="GR61" s="109">
        <f t="shared" si="522"/>
        <v>0.93445917508417509</v>
      </c>
      <c r="GS61" s="109">
        <f t="shared" si="522"/>
        <v>0.9347885259631491</v>
      </c>
      <c r="GT61" s="109">
        <f t="shared" si="522"/>
        <v>0.9351145833333333</v>
      </c>
      <c r="GU61" s="109">
        <f t="shared" si="522"/>
        <v>0.93543739635157541</v>
      </c>
      <c r="GV61" s="109">
        <f t="shared" si="522"/>
        <v>0.9357570132013201</v>
      </c>
      <c r="GW61" s="109">
        <f t="shared" si="522"/>
        <v>0.9360734811165845</v>
      </c>
      <c r="GX61" s="109">
        <f t="shared" si="522"/>
        <v>0.93638684640522873</v>
      </c>
      <c r="GY61" s="109">
        <f t="shared" si="522"/>
        <v>0.93669715447154478</v>
      </c>
      <c r="GZ61" s="109">
        <f t="shared" si="522"/>
        <v>0.93700444983818776</v>
      </c>
      <c r="HA61" s="109">
        <f t="shared" si="522"/>
        <v>0.93730877616747188</v>
      </c>
      <c r="HB61" s="109">
        <f t="shared" si="522"/>
        <v>0.93761017628205123</v>
      </c>
      <c r="HC61" s="109">
        <f t="shared" si="522"/>
        <v>0.93790869218500794</v>
      </c>
      <c r="HD61" s="109">
        <f t="shared" si="522"/>
        <v>0.93820436507936511</v>
      </c>
      <c r="HE61" s="109">
        <f t="shared" si="522"/>
        <v>0.93849723538704577</v>
      </c>
      <c r="HF61" s="109">
        <f t="shared" si="522"/>
        <v>0.93878734276729559</v>
      </c>
      <c r="HG61" s="109">
        <f t="shared" si="522"/>
        <v>0.93907472613458531</v>
      </c>
      <c r="HH61" s="109">
        <f t="shared" si="522"/>
        <v>0.93935942367601244</v>
      </c>
      <c r="HI61" s="109">
        <f t="shared" si="522"/>
        <v>0.93964147286821709</v>
      </c>
      <c r="HJ61" s="109">
        <f t="shared" si="522"/>
        <v>0.93990826474622768</v>
      </c>
      <c r="HK61" s="109">
        <f t="shared" si="522"/>
        <v>0.94018518518518523</v>
      </c>
      <c r="HL61" s="109">
        <f t="shared" si="522"/>
        <v>0.94045956506965678</v>
      </c>
      <c r="HM61" s="109">
        <f t="shared" si="522"/>
        <v>0.94073143920175883</v>
      </c>
      <c r="HN61" s="109">
        <f t="shared" si="522"/>
        <v>0.94085506102693606</v>
      </c>
      <c r="HO61" s="109">
        <f t="shared" si="522"/>
        <v>0.94112268518518516</v>
      </c>
      <c r="HP61" s="109">
        <f t="shared" si="522"/>
        <v>0.94138789831498171</v>
      </c>
      <c r="HQ61" s="109">
        <f t="shared" si="522"/>
        <v>0.94089712049493435</v>
      </c>
      <c r="HR61" s="109">
        <f t="shared" si="522"/>
        <v>0.94116097263558196</v>
      </c>
      <c r="HS61" s="109">
        <f t="shared" si="522"/>
        <v>0.93999326131687244</v>
      </c>
      <c r="HT61" s="109">
        <f t="shared" si="522"/>
        <v>0.94025877785971812</v>
      </c>
      <c r="HU61" s="109">
        <f t="shared" si="522"/>
        <v>0.94052195504976344</v>
      </c>
      <c r="HV61" s="109">
        <f t="shared" si="522"/>
        <v>0.94078282366796617</v>
      </c>
      <c r="HW61" s="109">
        <f t="shared" si="522"/>
        <v>0.94104141395762575</v>
      </c>
      <c r="HX61" s="109">
        <f t="shared" si="522"/>
        <v>0.94129775563607088</v>
      </c>
      <c r="HY61" s="109">
        <f t="shared" si="522"/>
        <v>0.94155187790604455</v>
      </c>
      <c r="HZ61" s="109">
        <f t="shared" si="522"/>
        <v>0.94180380946679443</v>
      </c>
      <c r="IA61" s="109">
        <f t="shared" si="522"/>
        <v>0.94205357852487681</v>
      </c>
      <c r="IB61" s="109">
        <f t="shared" si="522"/>
        <v>0.94230121280468504</v>
      </c>
      <c r="IC61" s="109">
        <f t="shared" si="522"/>
        <v>0.9425467395587076</v>
      </c>
      <c r="ID61" s="109">
        <f t="shared" si="522"/>
        <v>0.9427901855775267</v>
      </c>
      <c r="IE61" s="109">
        <f t="shared" si="522"/>
        <v>0.94243734372558208</v>
      </c>
      <c r="IF61" s="109">
        <f t="shared" si="522"/>
        <v>0.94267920362589486</v>
      </c>
      <c r="IG61" s="109">
        <f t="shared" si="522"/>
        <v>0.9428458178366651</v>
      </c>
      <c r="IH61" s="109">
        <f t="shared" si="522"/>
        <v>0.94308396026234564</v>
      </c>
      <c r="II61" s="109">
        <f t="shared" si="522"/>
        <v>0.94332012640233598</v>
      </c>
      <c r="IJ61" s="109">
        <f t="shared" si="522"/>
        <v>0.94355434075604527</v>
      </c>
      <c r="IK61" s="109">
        <f t="shared" si="522"/>
        <v>0.94378662741960062</v>
      </c>
      <c r="IL61" s="109">
        <f t="shared" si="522"/>
        <v>0.9418114374620522</v>
      </c>
      <c r="IM61" s="109">
        <f t="shared" si="522"/>
        <v>0.93796730914588056</v>
      </c>
      <c r="IN61" s="109">
        <f t="shared" si="522"/>
        <v>0.93415443390545017</v>
      </c>
      <c r="IO61" s="109">
        <f t="shared" si="522"/>
        <v>0.93037243214874787</v>
      </c>
      <c r="IP61" s="109">
        <f t="shared" si="522"/>
        <v>0.92662093040621263</v>
      </c>
      <c r="IQ61" s="109">
        <f t="shared" si="522"/>
        <v>0.92616665737022164</v>
      </c>
      <c r="IR61" s="109">
        <f t="shared" si="522"/>
        <v>0.9229647685185185</v>
      </c>
      <c r="IS61" s="109">
        <f t="shared" ref="IS61:LD61" si="523">IF(OR(IS$13="",IS$17="",IS$14="",IS$15="",IS$16="",IS$18="",IS$19="",IS$20="",IS$21=""),"",1-(IS88/(IS$4)))</f>
        <v>0.91924759296148739</v>
      </c>
      <c r="IT61" s="109">
        <f t="shared" si="523"/>
        <v>0.91596441431510878</v>
      </c>
      <c r="IU61" s="109">
        <f t="shared" si="523"/>
        <v>0.91525595630215195</v>
      </c>
      <c r="IV61" s="109">
        <f t="shared" si="523"/>
        <v>0.91558959426946629</v>
      </c>
      <c r="IW61" s="109">
        <f t="shared" si="523"/>
        <v>0.91591407952069714</v>
      </c>
      <c r="IX61" s="109">
        <f t="shared" si="523"/>
        <v>0.91624254014756945</v>
      </c>
      <c r="IY61" s="109">
        <f t="shared" si="523"/>
        <v>0.91571403480328573</v>
      </c>
      <c r="IZ61" s="109">
        <f t="shared" si="523"/>
        <v>0.91599617786391041</v>
      </c>
      <c r="JA61" s="109">
        <f t="shared" si="523"/>
        <v>0.91632051694551697</v>
      </c>
      <c r="JB61" s="109">
        <f t="shared" si="523"/>
        <v>0.91664236111111108</v>
      </c>
      <c r="JC61" s="109">
        <f t="shared" si="523"/>
        <v>0.91639939868028941</v>
      </c>
      <c r="JD61" s="109">
        <f t="shared" si="523"/>
        <v>0.91434663910093295</v>
      </c>
      <c r="JE61" s="109">
        <f t="shared" si="523"/>
        <v>0.91365652724968316</v>
      </c>
      <c r="JF61" s="109">
        <f t="shared" si="523"/>
        <v>0.91362899831649824</v>
      </c>
      <c r="JG61" s="109">
        <f t="shared" si="523"/>
        <v>0.91385390461215932</v>
      </c>
      <c r="JH61" s="109">
        <f t="shared" si="523"/>
        <v>0.91417776211361734</v>
      </c>
      <c r="JI61" s="109">
        <f t="shared" si="523"/>
        <v>0.91449919371618804</v>
      </c>
      <c r="JJ61" s="109">
        <f t="shared" si="523"/>
        <v>0.91481822657545608</v>
      </c>
      <c r="JK61" s="109">
        <f t="shared" si="523"/>
        <v>0.91446987298636928</v>
      </c>
      <c r="JL61" s="109">
        <f t="shared" si="523"/>
        <v>0.91378450788751708</v>
      </c>
      <c r="JM61" s="109">
        <f t="shared" si="523"/>
        <v>0.91404563003963368</v>
      </c>
      <c r="JN61" s="109">
        <f t="shared" si="523"/>
        <v>0.91420845247821347</v>
      </c>
      <c r="JO61" s="109">
        <f t="shared" si="523"/>
        <v>0.91437008207841541</v>
      </c>
      <c r="JP61" s="109">
        <f t="shared" si="523"/>
        <v>0.91391161462557446</v>
      </c>
      <c r="JQ61" s="109">
        <f t="shared" si="523"/>
        <v>0.91407314814814811</v>
      </c>
      <c r="JR61" s="109">
        <f t="shared" si="523"/>
        <v>0.91431956186258723</v>
      </c>
      <c r="JS61" s="109">
        <f t="shared" si="523"/>
        <v>0.91447845634443103</v>
      </c>
      <c r="JT61" s="109">
        <f t="shared" si="523"/>
        <v>0.9147231381561417</v>
      </c>
      <c r="JU61" s="109">
        <f t="shared" si="523"/>
        <v>0.91308733240408868</v>
      </c>
      <c r="JV61" s="109">
        <f t="shared" si="523"/>
        <v>0.91324892526455026</v>
      </c>
      <c r="JW61" s="109">
        <f t="shared" si="523"/>
        <v>0.91355764795044148</v>
      </c>
      <c r="JX61" s="109">
        <f t="shared" si="523"/>
        <v>0.91386418111373779</v>
      </c>
      <c r="JY61" s="109">
        <f t="shared" si="523"/>
        <v>0.91416854796492608</v>
      </c>
      <c r="JZ61" s="109">
        <f t="shared" si="523"/>
        <v>0.91447077138758481</v>
      </c>
      <c r="KA61" s="109">
        <f t="shared" si="523"/>
        <v>0.9147708739441196</v>
      </c>
      <c r="KB61" s="109">
        <f t="shared" si="523"/>
        <v>0.91506887788137792</v>
      </c>
      <c r="KC61" s="109">
        <f t="shared" si="523"/>
        <v>0.9153648051361466</v>
      </c>
      <c r="KD61" s="109">
        <f t="shared" si="523"/>
        <v>0.91565867734053497</v>
      </c>
      <c r="KE61" s="109">
        <f t="shared" si="523"/>
        <v>0.91595051582724596</v>
      </c>
      <c r="KF61" s="109">
        <f t="shared" si="523"/>
        <v>0.91624034163473822</v>
      </c>
      <c r="KG61" s="109">
        <f t="shared" si="523"/>
        <v>0.91652817551228205</v>
      </c>
      <c r="KH61" s="109">
        <f t="shared" si="523"/>
        <v>0.91681403792491123</v>
      </c>
      <c r="KI61" s="109">
        <f t="shared" si="523"/>
        <v>0.91709794905827324</v>
      </c>
      <c r="KJ61" s="109">
        <f t="shared" si="523"/>
        <v>0.91737992882338115</v>
      </c>
      <c r="KK61" s="109">
        <f t="shared" si="523"/>
        <v>0.91765999686126798</v>
      </c>
      <c r="KL61" s="109">
        <f t="shared" si="523"/>
        <v>0.9179381725475475</v>
      </c>
      <c r="KM61" s="109">
        <f t="shared" si="523"/>
        <v>0.91821447499688236</v>
      </c>
      <c r="KN61" s="109">
        <f t="shared" si="523"/>
        <v>0.91848892306736263</v>
      </c>
      <c r="KO61" s="109">
        <f t="shared" si="523"/>
        <v>0.91876153536479621</v>
      </c>
      <c r="KP61" s="109">
        <f t="shared" si="523"/>
        <v>0.91903233024691355</v>
      </c>
      <c r="KQ61" s="109">
        <f t="shared" si="523"/>
        <v>0.91930132582748858</v>
      </c>
      <c r="KR61" s="109">
        <f t="shared" si="523"/>
        <v>0.91956853998037769</v>
      </c>
      <c r="KS61" s="109">
        <f t="shared" si="523"/>
        <v>0.91983399034347879</v>
      </c>
      <c r="KT61" s="109">
        <f t="shared" si="523"/>
        <v>0.92009769432261201</v>
      </c>
      <c r="KU61" s="109" t="str">
        <f t="shared" si="523"/>
        <v/>
      </c>
      <c r="KV61" s="109" t="str">
        <f t="shared" si="523"/>
        <v/>
      </c>
      <c r="KW61" s="109" t="str">
        <f t="shared" si="523"/>
        <v/>
      </c>
      <c r="KX61" s="109" t="str">
        <f t="shared" si="523"/>
        <v/>
      </c>
      <c r="KY61" s="109" t="str">
        <f t="shared" si="523"/>
        <v/>
      </c>
      <c r="KZ61" s="109" t="str">
        <f t="shared" si="523"/>
        <v/>
      </c>
      <c r="LA61" s="109" t="str">
        <f t="shared" si="523"/>
        <v/>
      </c>
      <c r="LB61" s="109" t="str">
        <f t="shared" si="523"/>
        <v/>
      </c>
      <c r="LC61" s="109" t="str">
        <f t="shared" si="523"/>
        <v/>
      </c>
      <c r="LD61" s="109" t="str">
        <f t="shared" si="523"/>
        <v/>
      </c>
      <c r="LE61" s="109" t="str">
        <f t="shared" ref="LE61:NP61" si="524">IF(OR(LE$13="",LE$17="",LE$14="",LE$15="",LE$16="",LE$18="",LE$19="",LE$20="",LE$21=""),"",1-(LE88/(LE$4)))</f>
        <v/>
      </c>
      <c r="LF61" s="109" t="str">
        <f t="shared" si="524"/>
        <v/>
      </c>
      <c r="LG61" s="109" t="str">
        <f t="shared" si="524"/>
        <v/>
      </c>
      <c r="LH61" s="109" t="str">
        <f t="shared" si="524"/>
        <v/>
      </c>
      <c r="LI61" s="109" t="str">
        <f t="shared" si="524"/>
        <v/>
      </c>
      <c r="LJ61" s="109" t="str">
        <f t="shared" si="524"/>
        <v/>
      </c>
      <c r="LK61" s="109" t="str">
        <f t="shared" si="524"/>
        <v/>
      </c>
      <c r="LL61" s="109" t="str">
        <f t="shared" si="524"/>
        <v/>
      </c>
      <c r="LM61" s="109" t="str">
        <f t="shared" si="524"/>
        <v/>
      </c>
      <c r="LN61" s="109" t="str">
        <f t="shared" si="524"/>
        <v/>
      </c>
      <c r="LO61" s="109" t="str">
        <f t="shared" si="524"/>
        <v/>
      </c>
      <c r="LP61" s="109" t="str">
        <f t="shared" si="524"/>
        <v/>
      </c>
      <c r="LQ61" s="109" t="str">
        <f t="shared" si="524"/>
        <v/>
      </c>
      <c r="LR61" s="109" t="str">
        <f t="shared" si="524"/>
        <v/>
      </c>
      <c r="LS61" s="109" t="str">
        <f t="shared" si="524"/>
        <v/>
      </c>
      <c r="LT61" s="109" t="str">
        <f t="shared" si="524"/>
        <v/>
      </c>
      <c r="LU61" s="109" t="str">
        <f t="shared" si="524"/>
        <v/>
      </c>
      <c r="LV61" s="109" t="str">
        <f t="shared" si="524"/>
        <v/>
      </c>
      <c r="LW61" s="109" t="str">
        <f t="shared" si="524"/>
        <v/>
      </c>
      <c r="LX61" s="109" t="str">
        <f t="shared" si="524"/>
        <v/>
      </c>
      <c r="LY61" s="109" t="str">
        <f t="shared" si="524"/>
        <v/>
      </c>
      <c r="LZ61" s="109" t="str">
        <f t="shared" si="524"/>
        <v/>
      </c>
      <c r="MA61" s="109" t="str">
        <f t="shared" si="524"/>
        <v/>
      </c>
      <c r="MB61" s="109" t="str">
        <f t="shared" si="524"/>
        <v/>
      </c>
      <c r="MC61" s="109" t="str">
        <f t="shared" si="524"/>
        <v/>
      </c>
      <c r="MD61" s="109" t="str">
        <f t="shared" si="524"/>
        <v/>
      </c>
      <c r="ME61" s="109" t="str">
        <f t="shared" si="524"/>
        <v/>
      </c>
      <c r="MF61" s="109" t="str">
        <f t="shared" si="524"/>
        <v/>
      </c>
      <c r="MG61" s="109" t="str">
        <f t="shared" si="524"/>
        <v/>
      </c>
      <c r="MH61" s="109" t="str">
        <f t="shared" si="524"/>
        <v/>
      </c>
      <c r="MI61" s="109" t="str">
        <f t="shared" si="524"/>
        <v/>
      </c>
      <c r="MJ61" s="109" t="str">
        <f t="shared" si="524"/>
        <v/>
      </c>
      <c r="MK61" s="109" t="str">
        <f t="shared" si="524"/>
        <v/>
      </c>
      <c r="ML61" s="109" t="str">
        <f t="shared" si="524"/>
        <v/>
      </c>
      <c r="MM61" s="109" t="str">
        <f t="shared" si="524"/>
        <v/>
      </c>
      <c r="MN61" s="109" t="str">
        <f t="shared" si="524"/>
        <v/>
      </c>
      <c r="MO61" s="109" t="str">
        <f t="shared" si="524"/>
        <v/>
      </c>
      <c r="MP61" s="109" t="str">
        <f t="shared" si="524"/>
        <v/>
      </c>
      <c r="MQ61" s="109" t="str">
        <f t="shared" si="524"/>
        <v/>
      </c>
      <c r="MR61" s="109" t="str">
        <f t="shared" si="524"/>
        <v/>
      </c>
      <c r="MS61" s="109" t="str">
        <f t="shared" si="524"/>
        <v/>
      </c>
      <c r="MT61" s="109" t="str">
        <f t="shared" si="524"/>
        <v/>
      </c>
      <c r="MU61" s="109" t="str">
        <f t="shared" si="524"/>
        <v/>
      </c>
      <c r="MV61" s="109" t="str">
        <f t="shared" si="524"/>
        <v/>
      </c>
      <c r="MW61" s="109" t="str">
        <f t="shared" si="524"/>
        <v/>
      </c>
      <c r="MX61" s="109" t="str">
        <f t="shared" si="524"/>
        <v/>
      </c>
      <c r="MY61" s="109" t="str">
        <f t="shared" si="524"/>
        <v/>
      </c>
      <c r="MZ61" s="109" t="str">
        <f t="shared" si="524"/>
        <v/>
      </c>
      <c r="NA61" s="109" t="str">
        <f t="shared" si="524"/>
        <v/>
      </c>
      <c r="NB61" s="109" t="str">
        <f t="shared" si="524"/>
        <v/>
      </c>
      <c r="NC61" s="109" t="str">
        <f t="shared" si="524"/>
        <v/>
      </c>
      <c r="ND61" s="109" t="str">
        <f t="shared" si="524"/>
        <v/>
      </c>
      <c r="NE61" s="109" t="str">
        <f t="shared" si="524"/>
        <v/>
      </c>
      <c r="NF61" s="109" t="str">
        <f t="shared" si="524"/>
        <v/>
      </c>
      <c r="NG61" s="109" t="str">
        <f t="shared" si="524"/>
        <v/>
      </c>
      <c r="NH61" s="109" t="str">
        <f t="shared" si="524"/>
        <v/>
      </c>
      <c r="NI61" s="109" t="str">
        <f t="shared" si="524"/>
        <v/>
      </c>
      <c r="NJ61" s="109" t="str">
        <f t="shared" si="524"/>
        <v/>
      </c>
      <c r="NK61" s="109" t="str">
        <f t="shared" si="524"/>
        <v/>
      </c>
      <c r="NL61" s="109" t="str">
        <f t="shared" si="524"/>
        <v/>
      </c>
      <c r="NM61" s="109" t="str">
        <f t="shared" si="524"/>
        <v/>
      </c>
      <c r="NN61" s="109" t="str">
        <f t="shared" si="524"/>
        <v/>
      </c>
      <c r="NO61" s="109" t="str">
        <f t="shared" si="524"/>
        <v/>
      </c>
      <c r="NP61" s="109" t="str">
        <f t="shared" si="524"/>
        <v/>
      </c>
      <c r="NQ61" s="109" t="str">
        <f t="shared" ref="NQ61:QB61" si="525">IF(OR(NQ$13="",NQ$17="",NQ$14="",NQ$15="",NQ$16="",NQ$18="",NQ$19="",NQ$20="",NQ$21=""),"",1-(NQ88/(NQ$4)))</f>
        <v/>
      </c>
      <c r="NR61" s="109" t="str">
        <f t="shared" si="525"/>
        <v/>
      </c>
      <c r="NS61" s="109" t="str">
        <f t="shared" si="525"/>
        <v/>
      </c>
      <c r="NT61" s="109" t="str">
        <f t="shared" si="525"/>
        <v/>
      </c>
      <c r="NU61" s="109" t="str">
        <f t="shared" si="525"/>
        <v/>
      </c>
      <c r="NV61" s="109" t="str">
        <f t="shared" si="525"/>
        <v/>
      </c>
      <c r="NW61" s="109" t="str">
        <f t="shared" si="525"/>
        <v/>
      </c>
      <c r="NX61" s="109" t="str">
        <f t="shared" si="525"/>
        <v/>
      </c>
      <c r="NY61" s="109" t="str">
        <f t="shared" si="525"/>
        <v/>
      </c>
      <c r="NZ61" s="109" t="str">
        <f t="shared" si="525"/>
        <v/>
      </c>
      <c r="OA61" s="109" t="str">
        <f t="shared" si="525"/>
        <v/>
      </c>
      <c r="OB61" s="109" t="str">
        <f t="shared" si="525"/>
        <v/>
      </c>
      <c r="OC61" s="109" t="str">
        <f t="shared" si="525"/>
        <v/>
      </c>
      <c r="OD61" s="109" t="str">
        <f t="shared" si="525"/>
        <v/>
      </c>
      <c r="OE61" s="109" t="str">
        <f t="shared" si="525"/>
        <v/>
      </c>
      <c r="OF61" s="109" t="str">
        <f t="shared" si="525"/>
        <v/>
      </c>
      <c r="OG61" s="109" t="str">
        <f t="shared" si="525"/>
        <v/>
      </c>
      <c r="OH61" s="109" t="str">
        <f t="shared" si="525"/>
        <v/>
      </c>
      <c r="OI61" s="109" t="str">
        <f t="shared" si="525"/>
        <v/>
      </c>
      <c r="OJ61" s="109" t="str">
        <f t="shared" si="525"/>
        <v/>
      </c>
      <c r="OK61" s="109" t="str">
        <f t="shared" si="525"/>
        <v/>
      </c>
      <c r="OL61" s="109" t="str">
        <f t="shared" si="525"/>
        <v/>
      </c>
      <c r="OM61" s="109" t="str">
        <f t="shared" si="525"/>
        <v/>
      </c>
      <c r="ON61" s="109" t="str">
        <f t="shared" si="525"/>
        <v/>
      </c>
      <c r="OO61" s="109" t="str">
        <f t="shared" si="525"/>
        <v/>
      </c>
      <c r="OP61" s="109" t="str">
        <f t="shared" si="525"/>
        <v/>
      </c>
      <c r="OQ61" s="109" t="str">
        <f t="shared" si="525"/>
        <v/>
      </c>
      <c r="OR61" s="109" t="str">
        <f t="shared" si="525"/>
        <v/>
      </c>
      <c r="OS61" s="109" t="str">
        <f t="shared" si="525"/>
        <v/>
      </c>
      <c r="OT61" s="109" t="str">
        <f t="shared" si="525"/>
        <v/>
      </c>
      <c r="OU61" s="109" t="str">
        <f t="shared" si="525"/>
        <v/>
      </c>
      <c r="OV61" s="109" t="str">
        <f t="shared" si="525"/>
        <v/>
      </c>
      <c r="OW61" s="109" t="str">
        <f t="shared" si="525"/>
        <v/>
      </c>
      <c r="OX61" s="109" t="str">
        <f t="shared" si="525"/>
        <v/>
      </c>
      <c r="OY61" s="109" t="str">
        <f t="shared" si="525"/>
        <v/>
      </c>
      <c r="OZ61" s="109" t="str">
        <f t="shared" si="525"/>
        <v/>
      </c>
      <c r="PA61" s="109" t="str">
        <f t="shared" si="525"/>
        <v/>
      </c>
      <c r="PB61" s="109" t="str">
        <f t="shared" si="525"/>
        <v/>
      </c>
      <c r="PC61" s="109" t="str">
        <f t="shared" si="525"/>
        <v/>
      </c>
      <c r="PD61" s="109" t="str">
        <f t="shared" si="525"/>
        <v/>
      </c>
      <c r="PE61" s="109" t="str">
        <f t="shared" si="525"/>
        <v/>
      </c>
      <c r="PF61" s="109" t="str">
        <f t="shared" si="525"/>
        <v/>
      </c>
      <c r="PG61" s="109" t="str">
        <f t="shared" si="525"/>
        <v/>
      </c>
      <c r="PH61" s="109" t="str">
        <f t="shared" si="525"/>
        <v/>
      </c>
      <c r="PI61" s="109" t="str">
        <f t="shared" si="525"/>
        <v/>
      </c>
      <c r="PJ61" s="109" t="str">
        <f t="shared" si="525"/>
        <v/>
      </c>
      <c r="PK61" s="109" t="str">
        <f t="shared" si="525"/>
        <v/>
      </c>
      <c r="PL61" s="109" t="str">
        <f t="shared" si="525"/>
        <v/>
      </c>
      <c r="PM61" s="109" t="str">
        <f t="shared" si="525"/>
        <v/>
      </c>
      <c r="PN61" s="109" t="str">
        <f t="shared" si="525"/>
        <v/>
      </c>
      <c r="PO61" s="109" t="str">
        <f t="shared" si="525"/>
        <v/>
      </c>
      <c r="PP61" s="109" t="str">
        <f t="shared" si="525"/>
        <v/>
      </c>
      <c r="PQ61" s="109" t="str">
        <f t="shared" si="525"/>
        <v/>
      </c>
      <c r="PR61" s="109" t="str">
        <f t="shared" si="525"/>
        <v/>
      </c>
      <c r="PS61" s="109" t="str">
        <f t="shared" si="525"/>
        <v/>
      </c>
      <c r="PT61" s="109" t="str">
        <f t="shared" si="525"/>
        <v/>
      </c>
      <c r="PU61" s="109" t="str">
        <f t="shared" si="525"/>
        <v/>
      </c>
      <c r="PV61" s="109" t="str">
        <f t="shared" si="525"/>
        <v/>
      </c>
      <c r="PW61" s="109" t="str">
        <f t="shared" si="525"/>
        <v/>
      </c>
      <c r="PX61" s="109" t="str">
        <f t="shared" si="525"/>
        <v/>
      </c>
      <c r="PY61" s="109" t="str">
        <f t="shared" si="525"/>
        <v/>
      </c>
      <c r="PZ61" s="109" t="str">
        <f t="shared" si="525"/>
        <v/>
      </c>
      <c r="QA61" s="109" t="str">
        <f t="shared" si="525"/>
        <v/>
      </c>
      <c r="QB61" s="109" t="str">
        <f t="shared" si="525"/>
        <v/>
      </c>
      <c r="QC61" s="109" t="str">
        <f t="shared" ref="QC61:SN61" si="526">IF(OR(QC$13="",QC$17="",QC$14="",QC$15="",QC$16="",QC$18="",QC$19="",QC$20="",QC$21=""),"",1-(QC88/(QC$4)))</f>
        <v/>
      </c>
      <c r="QD61" s="109" t="str">
        <f t="shared" si="526"/>
        <v/>
      </c>
      <c r="QE61" s="109" t="str">
        <f t="shared" si="526"/>
        <v/>
      </c>
      <c r="QF61" s="109" t="str">
        <f t="shared" si="526"/>
        <v/>
      </c>
      <c r="QG61" s="109" t="str">
        <f t="shared" si="526"/>
        <v/>
      </c>
      <c r="QH61" s="109" t="str">
        <f t="shared" si="526"/>
        <v/>
      </c>
      <c r="QI61" s="109" t="str">
        <f t="shared" si="526"/>
        <v/>
      </c>
      <c r="QJ61" s="109" t="str">
        <f t="shared" si="526"/>
        <v/>
      </c>
      <c r="QK61" s="109" t="str">
        <f t="shared" si="526"/>
        <v/>
      </c>
      <c r="QL61" s="109" t="str">
        <f t="shared" si="526"/>
        <v/>
      </c>
      <c r="QM61" s="109" t="str">
        <f t="shared" si="526"/>
        <v/>
      </c>
      <c r="QN61" s="109" t="str">
        <f t="shared" si="526"/>
        <v/>
      </c>
      <c r="QO61" s="109" t="str">
        <f t="shared" si="526"/>
        <v/>
      </c>
      <c r="QP61" s="109" t="str">
        <f t="shared" si="526"/>
        <v/>
      </c>
      <c r="QQ61" s="109" t="str">
        <f t="shared" si="526"/>
        <v/>
      </c>
      <c r="QR61" s="109" t="str">
        <f t="shared" si="526"/>
        <v/>
      </c>
      <c r="QS61" s="109" t="str">
        <f t="shared" si="526"/>
        <v/>
      </c>
      <c r="QT61" s="109" t="str">
        <f t="shared" si="526"/>
        <v/>
      </c>
      <c r="QU61" s="109" t="str">
        <f t="shared" si="526"/>
        <v/>
      </c>
      <c r="QV61" s="109" t="str">
        <f t="shared" si="526"/>
        <v/>
      </c>
      <c r="QW61" s="109" t="str">
        <f t="shared" si="526"/>
        <v/>
      </c>
      <c r="QX61" s="109" t="str">
        <f t="shared" si="526"/>
        <v/>
      </c>
      <c r="QY61" s="109" t="str">
        <f t="shared" si="526"/>
        <v/>
      </c>
      <c r="QZ61" s="109" t="str">
        <f t="shared" si="526"/>
        <v/>
      </c>
      <c r="RA61" s="109" t="str">
        <f t="shared" si="526"/>
        <v/>
      </c>
      <c r="RB61" s="109" t="str">
        <f t="shared" si="526"/>
        <v/>
      </c>
      <c r="RC61" s="109" t="str">
        <f t="shared" si="526"/>
        <v/>
      </c>
      <c r="RD61" s="109" t="str">
        <f t="shared" si="526"/>
        <v/>
      </c>
      <c r="RE61" s="109" t="str">
        <f t="shared" si="526"/>
        <v/>
      </c>
      <c r="RF61" s="109" t="str">
        <f t="shared" si="526"/>
        <v/>
      </c>
      <c r="RG61" s="109" t="str">
        <f t="shared" si="526"/>
        <v/>
      </c>
      <c r="RH61" s="109" t="str">
        <f t="shared" si="526"/>
        <v/>
      </c>
      <c r="RI61" s="109" t="str">
        <f t="shared" si="526"/>
        <v/>
      </c>
      <c r="RJ61" s="109" t="str">
        <f t="shared" si="526"/>
        <v/>
      </c>
      <c r="RK61" s="109" t="str">
        <f t="shared" si="526"/>
        <v/>
      </c>
      <c r="RL61" s="109" t="str">
        <f t="shared" si="526"/>
        <v/>
      </c>
      <c r="RM61" s="109" t="str">
        <f t="shared" si="526"/>
        <v/>
      </c>
      <c r="RN61" s="109" t="str">
        <f t="shared" si="526"/>
        <v/>
      </c>
      <c r="RO61" s="109" t="str">
        <f t="shared" si="526"/>
        <v/>
      </c>
      <c r="RP61" s="109" t="str">
        <f t="shared" si="526"/>
        <v/>
      </c>
      <c r="RQ61" s="109" t="str">
        <f t="shared" si="526"/>
        <v/>
      </c>
      <c r="RR61" s="109" t="str">
        <f t="shared" si="526"/>
        <v/>
      </c>
      <c r="RS61" s="109" t="str">
        <f t="shared" si="526"/>
        <v/>
      </c>
      <c r="RT61" s="109" t="str">
        <f t="shared" si="526"/>
        <v/>
      </c>
      <c r="RU61" s="109" t="str">
        <f t="shared" si="526"/>
        <v/>
      </c>
      <c r="RV61" s="109" t="str">
        <f t="shared" si="526"/>
        <v/>
      </c>
      <c r="RW61" s="109" t="str">
        <f t="shared" si="526"/>
        <v/>
      </c>
      <c r="RX61" s="109" t="str">
        <f t="shared" si="526"/>
        <v/>
      </c>
      <c r="RY61" s="109" t="str">
        <f t="shared" si="526"/>
        <v/>
      </c>
      <c r="RZ61" s="109" t="str">
        <f t="shared" si="526"/>
        <v/>
      </c>
      <c r="SA61" s="109" t="str">
        <f t="shared" si="526"/>
        <v/>
      </c>
      <c r="SB61" s="109" t="str">
        <f t="shared" si="526"/>
        <v/>
      </c>
      <c r="SC61" s="109" t="str">
        <f t="shared" si="526"/>
        <v/>
      </c>
      <c r="SD61" s="109" t="str">
        <f t="shared" si="526"/>
        <v/>
      </c>
      <c r="SE61" s="109" t="str">
        <f t="shared" si="526"/>
        <v/>
      </c>
      <c r="SF61" s="109" t="str">
        <f t="shared" si="526"/>
        <v/>
      </c>
      <c r="SG61" s="109" t="str">
        <f t="shared" si="526"/>
        <v/>
      </c>
      <c r="SH61" s="109" t="str">
        <f t="shared" si="526"/>
        <v/>
      </c>
      <c r="SI61" s="109" t="str">
        <f t="shared" si="526"/>
        <v/>
      </c>
      <c r="SJ61" s="109" t="str">
        <f t="shared" si="526"/>
        <v/>
      </c>
      <c r="SK61" s="109" t="str">
        <f t="shared" si="526"/>
        <v/>
      </c>
      <c r="SL61" s="109" t="str">
        <f t="shared" si="526"/>
        <v/>
      </c>
      <c r="SM61" s="109" t="str">
        <f t="shared" si="526"/>
        <v/>
      </c>
      <c r="SN61" s="109" t="str">
        <f t="shared" si="526"/>
        <v/>
      </c>
      <c r="SO61" s="109" t="str">
        <f t="shared" ref="SO61:SW61" si="527">IF(OR(SO$13="",SO$17="",SO$14="",SO$15="",SO$16="",SO$18="",SO$19="",SO$20="",SO$21=""),"",1-(SO88/(SO$4)))</f>
        <v/>
      </c>
      <c r="SP61" s="109" t="str">
        <f t="shared" si="527"/>
        <v/>
      </c>
      <c r="SQ61" s="109" t="str">
        <f t="shared" si="527"/>
        <v/>
      </c>
      <c r="SR61" s="109" t="str">
        <f t="shared" si="527"/>
        <v/>
      </c>
      <c r="SS61" s="109" t="str">
        <f t="shared" si="527"/>
        <v/>
      </c>
      <c r="ST61" s="109" t="str">
        <f t="shared" si="527"/>
        <v/>
      </c>
      <c r="SU61" s="109" t="str">
        <f t="shared" si="527"/>
        <v/>
      </c>
      <c r="SV61" s="109" t="str">
        <f t="shared" si="527"/>
        <v/>
      </c>
      <c r="SW61" s="109" t="str">
        <f t="shared" si="527"/>
        <v/>
      </c>
    </row>
    <row r="62" spans="1:517" ht="24.6" customHeight="1" x14ac:dyDescent="0.2">
      <c r="A62" s="94">
        <f>COUNTIF(A53:A61,B62)</f>
        <v>5</v>
      </c>
      <c r="B62" s="115" t="s">
        <v>86</v>
      </c>
      <c r="C62" s="118">
        <f t="shared" ref="C62:L63" si="528">IF(OR(C$13="",C$17="",C$14="",C$15="",C$16="",C$18="",C$19="",C$20="",C$21=""),"",1-(SUMIFS(C$80:C$88,$A$80:$A$88,$B62)/(COUNTIFS($A$53:$A$61,$B62)*C$4)))</f>
        <v>1</v>
      </c>
      <c r="D62" s="118">
        <f t="shared" si="528"/>
        <v>1</v>
      </c>
      <c r="E62" s="118">
        <f t="shared" si="528"/>
        <v>0.99333333333333329</v>
      </c>
      <c r="F62" s="118">
        <f t="shared" si="528"/>
        <v>0.995</v>
      </c>
      <c r="G62" s="118">
        <f t="shared" si="528"/>
        <v>0.996</v>
      </c>
      <c r="H62" s="118">
        <f t="shared" si="528"/>
        <v>0.98663888888888884</v>
      </c>
      <c r="I62" s="118">
        <f t="shared" si="528"/>
        <v>0.98679761904761909</v>
      </c>
      <c r="J62" s="118">
        <f t="shared" si="528"/>
        <v>0.96084375</v>
      </c>
      <c r="K62" s="118">
        <f t="shared" si="528"/>
        <v>0.96403703703703703</v>
      </c>
      <c r="L62" s="118">
        <f t="shared" si="528"/>
        <v>0.96077500000000005</v>
      </c>
      <c r="M62" s="118">
        <f t="shared" ref="M62:V63" si="529">IF(OR(M$13="",M$17="",M$14="",M$15="",M$16="",M$18="",M$19="",M$20="",M$21=""),"",1-(SUMIFS(M$80:M$88,$A$80:$A$88,$B62)/(COUNTIFS($A$53:$A$61,$B62)*M$4)))</f>
        <v>0.93678787878787873</v>
      </c>
      <c r="N62" s="118">
        <f t="shared" si="529"/>
        <v>0.93608333333333338</v>
      </c>
      <c r="O62" s="118">
        <f t="shared" si="529"/>
        <v>0.913551282051282</v>
      </c>
      <c r="P62" s="118">
        <f t="shared" si="529"/>
        <v>0.91972619047619042</v>
      </c>
      <c r="Q62" s="118">
        <f t="shared" si="529"/>
        <v>0.92149444444444439</v>
      </c>
      <c r="R62" s="118">
        <f t="shared" si="529"/>
        <v>0.91071875000000002</v>
      </c>
      <c r="S62" s="118">
        <f t="shared" si="529"/>
        <v>0.91547058823529415</v>
      </c>
      <c r="T62" s="118">
        <f t="shared" si="529"/>
        <v>0.91765277777777776</v>
      </c>
      <c r="U62" s="118">
        <f t="shared" si="529"/>
        <v>0.9205526315789474</v>
      </c>
      <c r="V62" s="118">
        <f t="shared" si="529"/>
        <v>0.91878749999999998</v>
      </c>
      <c r="W62" s="118">
        <f t="shared" ref="W62:AF63" si="530">IF(OR(W$13="",W$17="",W$14="",W$15="",W$16="",W$18="",W$19="",W$20="",W$21=""),"",1-(SUMIFS(W$80:W$88,$A$80:$A$88,$B62)/(COUNTIFS($A$53:$A$61,$B62)*W$4)))</f>
        <v>0.92256746031746029</v>
      </c>
      <c r="X62" s="118">
        <f t="shared" si="530"/>
        <v>0.91625378787878786</v>
      </c>
      <c r="Y62" s="118">
        <f t="shared" si="530"/>
        <v>0.89976811594202899</v>
      </c>
      <c r="Z62" s="118">
        <f t="shared" si="530"/>
        <v>0.9006805555555556</v>
      </c>
      <c r="AA62" s="118">
        <f t="shared" si="530"/>
        <v>0.90347</v>
      </c>
      <c r="AB62" s="118">
        <f t="shared" si="530"/>
        <v>0.90718269230769233</v>
      </c>
      <c r="AC62" s="118">
        <f t="shared" si="530"/>
        <v>0.91026234567901232</v>
      </c>
      <c r="AD62" s="118">
        <f t="shared" si="530"/>
        <v>0.90081845238095237</v>
      </c>
      <c r="AE62" s="118">
        <f t="shared" si="530"/>
        <v>0.9042385057471265</v>
      </c>
      <c r="AF62" s="118">
        <f t="shared" si="530"/>
        <v>0.9032</v>
      </c>
      <c r="AG62" s="118">
        <f t="shared" ref="AG62:AP63" si="531">IF(OR(AG$13="",AG$17="",AG$14="",AG$15="",AG$16="",AG$18="",AG$19="",AG$20="",AG$21=""),"",1-(SUMIFS(AG$80:AG$88,$A$80:$A$88,$B62)/(COUNTIFS($A$53:$A$61,$B62)*AG$4)))</f>
        <v>0.90471505376344086</v>
      </c>
      <c r="AH62" s="118">
        <f t="shared" si="531"/>
        <v>0.9071796875</v>
      </c>
      <c r="AI62" s="118">
        <f t="shared" si="531"/>
        <v>0.90423737373737367</v>
      </c>
      <c r="AJ62" s="118">
        <f t="shared" si="531"/>
        <v>0.90557843137254901</v>
      </c>
      <c r="AK62" s="118">
        <f t="shared" si="531"/>
        <v>0.9064023809523809</v>
      </c>
      <c r="AL62" s="118">
        <f t="shared" si="531"/>
        <v>0.9074861111111111</v>
      </c>
      <c r="AM62" s="118">
        <f t="shared" si="531"/>
        <v>0.90504054054054051</v>
      </c>
      <c r="AN62" s="118">
        <f t="shared" si="531"/>
        <v>0.90645175438596493</v>
      </c>
      <c r="AO62" s="118">
        <f t="shared" si="531"/>
        <v>0.90581623931623934</v>
      </c>
      <c r="AP62" s="118">
        <f t="shared" si="531"/>
        <v>0.90448541666666671</v>
      </c>
      <c r="AQ62" s="118">
        <f t="shared" ref="AQ62:AZ63" si="532">IF(OR(AQ$13="",AQ$17="",AQ$14="",AQ$15="",AQ$16="",AQ$18="",AQ$19="",AQ$20="",AQ$21=""),"",1-(SUMIFS(AQ$80:AQ$88,$A$80:$A$88,$B62)/(COUNTIFS($A$53:$A$61,$B62)*AQ$4)))</f>
        <v>0.90307317073170734</v>
      </c>
      <c r="AR62" s="118">
        <f t="shared" si="532"/>
        <v>0.9020853174603175</v>
      </c>
      <c r="AS62" s="118">
        <f t="shared" si="532"/>
        <v>0.90065116279069768</v>
      </c>
      <c r="AT62" s="118">
        <f t="shared" si="532"/>
        <v>0.90237689393939391</v>
      </c>
      <c r="AU62" s="118">
        <f t="shared" si="532"/>
        <v>0.90076481481481485</v>
      </c>
      <c r="AV62" s="118">
        <f t="shared" si="532"/>
        <v>0.89775543478260866</v>
      </c>
      <c r="AW62" s="118">
        <f t="shared" si="532"/>
        <v>0.89751063829787237</v>
      </c>
      <c r="AX62" s="118">
        <f t="shared" si="532"/>
        <v>0.89909201388888893</v>
      </c>
      <c r="AY62" s="118">
        <f t="shared" si="532"/>
        <v>0.89525850340136048</v>
      </c>
      <c r="AZ62" s="118">
        <f t="shared" si="532"/>
        <v>0.89337166666666668</v>
      </c>
      <c r="BA62" s="118">
        <f t="shared" ref="BA62:BJ63" si="533">IF(OR(BA$13="",BA$17="",BA$14="",BA$15="",BA$16="",BA$18="",BA$19="",BA$20="",BA$21=""),"",1-(SUMIFS(BA$80:BA$88,$A$80:$A$88,$B62)/(COUNTIFS($A$53:$A$61,$B62)*BA$4)))</f>
        <v>0.89110620915032679</v>
      </c>
      <c r="BB62" s="118">
        <f t="shared" si="533"/>
        <v>0.89275480769230764</v>
      </c>
      <c r="BC62" s="118">
        <f t="shared" si="533"/>
        <v>0.89294496855345917</v>
      </c>
      <c r="BD62" s="118">
        <f t="shared" si="533"/>
        <v>0.89442283950617285</v>
      </c>
      <c r="BE62" s="118">
        <f t="shared" si="533"/>
        <v>0.89562878787878786</v>
      </c>
      <c r="BF62" s="118">
        <f t="shared" si="533"/>
        <v>0.89690922619047619</v>
      </c>
      <c r="BG62" s="118">
        <f t="shared" si="533"/>
        <v>0.89801169590643271</v>
      </c>
      <c r="BH62" s="118">
        <f t="shared" si="533"/>
        <v>0.89922413793103451</v>
      </c>
      <c r="BI62" s="118">
        <f t="shared" si="533"/>
        <v>0.89969915254237287</v>
      </c>
      <c r="BJ62" s="118">
        <f t="shared" si="533"/>
        <v>0.89704722222222222</v>
      </c>
      <c r="BK62" s="118">
        <f t="shared" ref="BK62:BT63" si="534">IF(OR(BK$13="",BK$17="",BK$14="",BK$15="",BK$16="",BK$18="",BK$19="",BK$20="",BK$21=""),"",1-(SUMIFS(BK$80:BK$88,$A$80:$A$88,$B62)/(COUNTIFS($A$53:$A$61,$B62)*BK$4)))</f>
        <v>0.8948265027322404</v>
      </c>
      <c r="BL62" s="118">
        <f t="shared" si="534"/>
        <v>0.89073655913978489</v>
      </c>
      <c r="BM62" s="118">
        <f t="shared" si="534"/>
        <v>0.89247089947089941</v>
      </c>
      <c r="BN62" s="118">
        <f t="shared" si="534"/>
        <v>0.8909348958333333</v>
      </c>
      <c r="BO62" s="118">
        <f t="shared" si="534"/>
        <v>0.88947051282051282</v>
      </c>
      <c r="BP62" s="118">
        <f t="shared" si="534"/>
        <v>0.89063510101010102</v>
      </c>
      <c r="BQ62" s="118">
        <f t="shared" si="534"/>
        <v>0.89152238805970152</v>
      </c>
      <c r="BR62" s="118">
        <f t="shared" si="534"/>
        <v>0.89081004901960781</v>
      </c>
      <c r="BS62" s="118">
        <f t="shared" si="534"/>
        <v>0.88962922705314007</v>
      </c>
      <c r="BT62" s="118">
        <f t="shared" si="534"/>
        <v>0.89047142857142858</v>
      </c>
      <c r="BU62" s="118">
        <f t="shared" ref="BU62:CD63" si="535">IF(OR(BU$13="",BU$17="",BU$14="",BU$15="",BU$16="",BU$18="",BU$19="",BU$20="",BU$21=""),"",1-(SUMIFS(BU$80:BU$88,$A$80:$A$88,$B62)/(COUNTIFS($A$53:$A$61,$B62)*BU$4)))</f>
        <v>0.89133568075117364</v>
      </c>
      <c r="BV62" s="118">
        <f t="shared" si="535"/>
        <v>0.89076041666666661</v>
      </c>
      <c r="BW62" s="118">
        <f t="shared" si="535"/>
        <v>0.89086415525114149</v>
      </c>
      <c r="BX62" s="118">
        <f t="shared" si="535"/>
        <v>0.89205518018018015</v>
      </c>
      <c r="BY62" s="118">
        <f t="shared" si="535"/>
        <v>0.89291666666666658</v>
      </c>
      <c r="BZ62" s="118">
        <f t="shared" si="535"/>
        <v>0.89393859649122809</v>
      </c>
      <c r="CA62" s="118">
        <f t="shared" si="535"/>
        <v>0.8939220779220779</v>
      </c>
      <c r="CB62" s="118">
        <f t="shared" si="535"/>
        <v>0.88860790598290595</v>
      </c>
      <c r="CC62" s="118">
        <f t="shared" si="535"/>
        <v>0.88478691983122359</v>
      </c>
      <c r="CD62" s="118">
        <f t="shared" si="535"/>
        <v>0.88541562500000004</v>
      </c>
      <c r="CE62" s="118">
        <f t="shared" ref="CE62:CN63" si="536">IF(OR(CE$13="",CE$17="",CE$14="",CE$15="",CE$16="",CE$18="",CE$19="",CE$20="",CE$21=""),"",1-(SUMIFS(CE$80:CE$88,$A$80:$A$88,$B62)/(COUNTIFS($A$53:$A$61,$B62)*CE$4)))</f>
        <v>0.88683024691358026</v>
      </c>
      <c r="CF62" s="118">
        <f t="shared" si="536"/>
        <v>0.88641565040650405</v>
      </c>
      <c r="CG62" s="118">
        <f t="shared" si="536"/>
        <v>0.8877520080321285</v>
      </c>
      <c r="CH62" s="118">
        <f t="shared" si="536"/>
        <v>0.88860218253968248</v>
      </c>
      <c r="CI62" s="118">
        <f t="shared" si="536"/>
        <v>0.88877058823529409</v>
      </c>
      <c r="CJ62" s="118">
        <f t="shared" si="536"/>
        <v>0.88906976744186039</v>
      </c>
      <c r="CK62" s="118">
        <f t="shared" si="536"/>
        <v>0.89034482758620692</v>
      </c>
      <c r="CL62" s="118">
        <f t="shared" si="536"/>
        <v>0.89139393939393941</v>
      </c>
      <c r="CM62" s="118">
        <f t="shared" si="536"/>
        <v>0.88995411985018724</v>
      </c>
      <c r="CN62" s="118">
        <f t="shared" si="536"/>
        <v>0.89018148148148146</v>
      </c>
      <c r="CO62" s="118">
        <f t="shared" ref="CO62:CX63" si="537">IF(OR(CO$13="",CO$17="",CO$14="",CO$15="",CO$16="",CO$18="",CO$19="",CO$20="",CO$21=""),"",1-(SUMIFS(CO$80:CO$88,$A$80:$A$88,$B62)/(COUNTIFS($A$53:$A$61,$B62)*CO$4)))</f>
        <v>0.88818681318681314</v>
      </c>
      <c r="CP62" s="118">
        <f t="shared" si="537"/>
        <v>0.8884184782608695</v>
      </c>
      <c r="CQ62" s="118">
        <f t="shared" si="537"/>
        <v>0.88803046594982082</v>
      </c>
      <c r="CR62" s="118">
        <f t="shared" si="537"/>
        <v>0.88629787234042556</v>
      </c>
      <c r="CS62" s="118">
        <f t="shared" si="537"/>
        <v>0.88475964912280702</v>
      </c>
      <c r="CT62" s="118">
        <f t="shared" si="537"/>
        <v>0.88439756944444448</v>
      </c>
      <c r="CU62" s="118">
        <f t="shared" si="537"/>
        <v>0.88468986254295534</v>
      </c>
      <c r="CV62" s="118">
        <f t="shared" si="537"/>
        <v>0.88574489795918365</v>
      </c>
      <c r="CW62" s="118">
        <f t="shared" si="537"/>
        <v>0.88689898989898985</v>
      </c>
      <c r="CX62" s="118">
        <f t="shared" si="537"/>
        <v>0.88802999999999999</v>
      </c>
      <c r="CY62" s="118">
        <f t="shared" ref="CY62:DH63" si="538">IF(OR(CY$13="",CY$17="",CY$14="",CY$15="",CY$16="",CY$18="",CY$19="",CY$20="",CY$21=""),"",1-(SUMIFS(CY$80:CY$88,$A$80:$A$88,$B62)/(COUNTIFS($A$53:$A$61,$B62)*CY$4)))</f>
        <v>0.88774174917491744</v>
      </c>
      <c r="CZ62" s="118">
        <f t="shared" si="538"/>
        <v>0.88884232026143795</v>
      </c>
      <c r="DA62" s="118">
        <f t="shared" si="538"/>
        <v>0.88851456310679611</v>
      </c>
      <c r="DB62" s="118">
        <f t="shared" si="538"/>
        <v>0.88923557692307698</v>
      </c>
      <c r="DC62" s="118">
        <f t="shared" si="538"/>
        <v>0.89029047619047619</v>
      </c>
      <c r="DD62" s="118">
        <f t="shared" si="538"/>
        <v>0.89023977987421388</v>
      </c>
      <c r="DE62" s="118">
        <f t="shared" si="538"/>
        <v>0.89035436137071655</v>
      </c>
      <c r="DF62" s="118">
        <f t="shared" si="538"/>
        <v>0.89121527777777776</v>
      </c>
      <c r="DG62" s="118">
        <f t="shared" si="538"/>
        <v>0.8910474006116208</v>
      </c>
      <c r="DH62" s="118">
        <f t="shared" si="538"/>
        <v>0.8886484848484848</v>
      </c>
      <c r="DI62" s="118">
        <f t="shared" ref="DI62:DR63" si="539">IF(OR(DI$13="",DI$17="",DI$14="",DI$15="",DI$16="",DI$18="",DI$19="",DI$20="",DI$21=""),"",1-(SUMIFS(DI$80:DI$88,$A$80:$A$88,$B62)/(COUNTIFS($A$53:$A$61,$B62)*DI$4)))</f>
        <v>0.88951351351351349</v>
      </c>
      <c r="DJ62" s="118">
        <f t="shared" si="539"/>
        <v>0.89003422619047623</v>
      </c>
      <c r="DK62" s="118">
        <f t="shared" si="539"/>
        <v>0.89073525073746318</v>
      </c>
      <c r="DL62" s="118">
        <f t="shared" si="539"/>
        <v>0.89142909356725142</v>
      </c>
      <c r="DM62" s="118">
        <f t="shared" si="539"/>
        <v>0.89237318840579705</v>
      </c>
      <c r="DN62" s="118">
        <f t="shared" si="539"/>
        <v>0.89330100574712645</v>
      </c>
      <c r="DO62" s="118">
        <f t="shared" si="539"/>
        <v>0.89358974358974363</v>
      </c>
      <c r="DP62" s="118">
        <f t="shared" si="539"/>
        <v>0.89391949152542372</v>
      </c>
      <c r="DQ62" s="118">
        <f t="shared" si="539"/>
        <v>0.8947317927170868</v>
      </c>
      <c r="DR62" s="118">
        <f t="shared" si="539"/>
        <v>0.89310763888888889</v>
      </c>
      <c r="DS62" s="118">
        <f t="shared" ref="DS62:EB63" si="540">IF(OR(DS$13="",DS$17="",DS$14="",DS$15="",DS$16="",DS$18="",DS$19="",DS$20="",DS$21=""),"",1-(SUMIFS(DS$80:DS$88,$A$80:$A$88,$B62)/(COUNTIFS($A$53:$A$61,$B62)*DS$4)))</f>
        <v>0.89286294765840224</v>
      </c>
      <c r="DT62" s="118">
        <f t="shared" si="540"/>
        <v>0.89340232240437156</v>
      </c>
      <c r="DU62" s="118">
        <f t="shared" si="540"/>
        <v>0.89183333333333337</v>
      </c>
      <c r="DV62" s="118">
        <f t="shared" si="540"/>
        <v>0.89231249999999995</v>
      </c>
      <c r="DW62" s="118">
        <f t="shared" si="540"/>
        <v>0.89308933333333329</v>
      </c>
      <c r="DX62" s="118">
        <f t="shared" si="540"/>
        <v>0.89300859788359788</v>
      </c>
      <c r="DY62" s="118">
        <f t="shared" si="540"/>
        <v>0.89354986876640419</v>
      </c>
      <c r="DZ62" s="118">
        <f t="shared" si="540"/>
        <v>0.89309049479166669</v>
      </c>
      <c r="EA62" s="118">
        <f t="shared" si="540"/>
        <v>0.89391925064599487</v>
      </c>
      <c r="EB62" s="118">
        <f t="shared" si="540"/>
        <v>0.8942230769230769</v>
      </c>
      <c r="EC62" s="118">
        <f t="shared" ref="EC62:EL63" si="541">IF(OR(EC$13="",EC$17="",EC$14="",EC$15="",EC$16="",EC$18="",EC$19="",EC$20="",EC$21=""),"",1-(SUMIFS(EC$80:EC$88,$A$80:$A$88,$B62)/(COUNTIFS($A$53:$A$61,$B62)*EC$4)))</f>
        <v>0.89231806615776077</v>
      </c>
      <c r="ED62" s="118">
        <f t="shared" si="541"/>
        <v>0.89224368686868682</v>
      </c>
      <c r="EE62" s="118">
        <f t="shared" si="541"/>
        <v>0.89009461152882208</v>
      </c>
      <c r="EF62" s="118">
        <f t="shared" si="541"/>
        <v>0.89091480099502485</v>
      </c>
      <c r="EG62" s="118">
        <f t="shared" si="541"/>
        <v>0.88925864197530857</v>
      </c>
      <c r="EH62" s="118">
        <f t="shared" si="541"/>
        <v>0.89005024509803921</v>
      </c>
      <c r="EI62" s="118">
        <f t="shared" si="541"/>
        <v>0.88909610705596109</v>
      </c>
      <c r="EJ62" s="118">
        <f t="shared" si="541"/>
        <v>0.88908695652173919</v>
      </c>
      <c r="EK62" s="118">
        <f t="shared" si="541"/>
        <v>0.88941127098321338</v>
      </c>
      <c r="EL62" s="118">
        <f t="shared" si="541"/>
        <v>0.88870416666666663</v>
      </c>
      <c r="EM62" s="118">
        <f t="shared" ref="EM62:EV63" si="542">IF(OR(EM$13="",EM$17="",EM$14="",EM$15="",EM$16="",EM$18="",EM$19="",EM$20="",EM$21=""),"",1-(SUMIFS(EM$80:EM$88,$A$80:$A$88,$B62)/(COUNTIFS($A$53:$A$61,$B62)*EM$4)))</f>
        <v>0.88886879432624111</v>
      </c>
      <c r="EN62" s="118">
        <f t="shared" si="542"/>
        <v>0.88952816901408449</v>
      </c>
      <c r="EO62" s="118">
        <f t="shared" si="542"/>
        <v>0.88867307692307695</v>
      </c>
      <c r="EP62" s="118">
        <f t="shared" si="542"/>
        <v>0.88742824074074078</v>
      </c>
      <c r="EQ62" s="118">
        <f t="shared" si="542"/>
        <v>0.88801034482758623</v>
      </c>
      <c r="ER62" s="118">
        <f t="shared" si="542"/>
        <v>0.88824086757990872</v>
      </c>
      <c r="ES62" s="118">
        <f t="shared" si="542"/>
        <v>0.88856179138322</v>
      </c>
      <c r="ET62" s="118">
        <f t="shared" si="542"/>
        <v>0.88894707207207202</v>
      </c>
      <c r="EU62" s="118">
        <f t="shared" si="542"/>
        <v>0.88969239373601794</v>
      </c>
      <c r="EV62" s="118">
        <f t="shared" si="542"/>
        <v>0.89042777777777782</v>
      </c>
      <c r="EW62" s="118">
        <f t="shared" ref="EW62:FF63" si="543">IF(OR(EW$13="",EW$17="",EW$14="",EW$15="",EW$16="",EW$18="",EW$19="",EW$20="",EW$21=""),"",1-(SUMIFS(EW$80:EW$88,$A$80:$A$88,$B62)/(COUNTIFS($A$53:$A$61,$B62)*EW$4)))</f>
        <v>0.89115342163355404</v>
      </c>
      <c r="EX62" s="118">
        <f t="shared" si="543"/>
        <v>0.89186951754385968</v>
      </c>
      <c r="EY62" s="118">
        <f t="shared" si="543"/>
        <v>0.89257625272331154</v>
      </c>
      <c r="EZ62" s="118">
        <f t="shared" si="543"/>
        <v>0.89327380952380953</v>
      </c>
      <c r="FA62" s="118">
        <f t="shared" si="543"/>
        <v>0.89396236559139786</v>
      </c>
      <c r="FB62" s="118">
        <f t="shared" si="543"/>
        <v>0.89464209401709405</v>
      </c>
      <c r="FC62" s="118">
        <f t="shared" si="543"/>
        <v>0.89531316348195333</v>
      </c>
      <c r="FD62" s="118">
        <f t="shared" si="543"/>
        <v>0.8957357594936709</v>
      </c>
      <c r="FE62" s="118">
        <f t="shared" si="543"/>
        <v>0.8949696016771489</v>
      </c>
      <c r="FF62" s="118">
        <f t="shared" si="543"/>
        <v>0.89502760416666671</v>
      </c>
      <c r="FG62" s="118">
        <f t="shared" ref="FG62:FP63" si="544">IF(OR(FG$13="",FG$17="",FG$14="",FG$15="",FG$16="",FG$18="",FG$19="",FG$20="",FG$21=""),"",1-(SUMIFS(FG$80:FG$88,$A$80:$A$88,$B62)/(COUNTIFS($A$53:$A$61,$B62)*FG$4)))</f>
        <v>0.89440476190476192</v>
      </c>
      <c r="FH62" s="118">
        <f t="shared" si="544"/>
        <v>0.89446244855967083</v>
      </c>
      <c r="FI62" s="118">
        <f t="shared" si="544"/>
        <v>0.89394836400818001</v>
      </c>
      <c r="FJ62" s="118">
        <f t="shared" si="544"/>
        <v>0.89424034552845533</v>
      </c>
      <c r="FK62" s="118">
        <f t="shared" si="544"/>
        <v>0.89372828282828287</v>
      </c>
      <c r="FL62" s="118">
        <f t="shared" si="544"/>
        <v>0.89420783132530124</v>
      </c>
      <c r="FM62" s="118">
        <f t="shared" si="544"/>
        <v>0.89458582834331335</v>
      </c>
      <c r="FN62" s="118">
        <f t="shared" si="544"/>
        <v>0.89521329365079361</v>
      </c>
      <c r="FO62" s="118">
        <f t="shared" si="544"/>
        <v>0.89427218934911246</v>
      </c>
      <c r="FP62" s="118">
        <f t="shared" si="544"/>
        <v>0.89173529411764707</v>
      </c>
      <c r="FQ62" s="118">
        <f t="shared" ref="FQ62:FZ63" si="545">IF(OR(FQ$13="",FQ$17="",FQ$14="",FQ$15="",FQ$16="",FQ$18="",FQ$19="",FQ$20="",FQ$21=""),"",1-(SUMIFS(FQ$80:FQ$88,$A$80:$A$88,$B62)/(COUNTIFS($A$53:$A$61,$B62)*FQ$4)))</f>
        <v>0.89191861598440547</v>
      </c>
      <c r="FR62" s="118">
        <f t="shared" si="545"/>
        <v>0.88508478682170544</v>
      </c>
      <c r="FS62" s="118">
        <f t="shared" si="545"/>
        <v>0.88505202312138731</v>
      </c>
      <c r="FT62" s="118">
        <f t="shared" si="545"/>
        <v>0.88443007662835249</v>
      </c>
      <c r="FU62" s="118">
        <f t="shared" si="545"/>
        <v>0.8840514285714286</v>
      </c>
      <c r="FV62" s="118">
        <f t="shared" si="545"/>
        <v>0.88371070075757574</v>
      </c>
      <c r="FW62" s="118">
        <f t="shared" si="545"/>
        <v>0.88341619585687381</v>
      </c>
      <c r="FX62" s="118">
        <f t="shared" si="545"/>
        <v>0.88320458801498125</v>
      </c>
      <c r="FY62" s="118">
        <f t="shared" si="545"/>
        <v>0.87094459962756055</v>
      </c>
      <c r="FZ62" s="118">
        <f t="shared" si="545"/>
        <v>0.8711282407407408</v>
      </c>
      <c r="GA62" s="118">
        <f>IF(OR(GA$13="",GA$17="",GA$14="",GA$15="",GA$16="",GA$18="",GA$19="",GA$20="",GA$21=""),"",1-(SUMIFS(GA$80:GA$88,$A$80:$A$88,$B62)/(COUNTIFS($A$53:$A$61,$B62)*GA$4)))</f>
        <v>0.87178038674033154</v>
      </c>
      <c r="GB62" s="118">
        <f>IF(OR(GB$13="",GB$17="",GB$14="",GB$15="",GB$16="",GB$18="",GB$19="",GB$20="",GB$21=""),"",1-(SUMIFS(GB$80:GB$88,$A$80:$A$88,$B62)/(COUNTIFS($A$53:$A$61,$B62)*GB$4)))</f>
        <v>0.86954761904761901</v>
      </c>
      <c r="GC62" s="118">
        <f t="shared" ref="GC62:GJ63" si="546">IF(OR(GC$13="",GC$17="",GC$14="",GC$15="",GC$16="",GC$18="",GC$19="",GC$20="",GC$21=""),"",1-(SUMIFS(GC$80:GC$88,$A$80:$A$88,$B62)/(COUNTIFS($A$53:$A$61,$B62)*GC$4)))</f>
        <v>0.86958333333333337</v>
      </c>
      <c r="GD62" s="118">
        <f t="shared" si="546"/>
        <v>0.86919384057971016</v>
      </c>
      <c r="GE62" s="118">
        <f t="shared" si="546"/>
        <v>0.86829729729729732</v>
      </c>
      <c r="GF62" s="118">
        <f t="shared" si="546"/>
        <v>0.86857302867383512</v>
      </c>
      <c r="GG62" s="118">
        <f t="shared" si="546"/>
        <v>0.86521167557932266</v>
      </c>
      <c r="GH62" s="118">
        <f t="shared" si="546"/>
        <v>0.86488696808510634</v>
      </c>
      <c r="GI62" s="118">
        <f t="shared" si="546"/>
        <v>0.86531878306878307</v>
      </c>
      <c r="GJ62" s="118">
        <f t="shared" si="546"/>
        <v>0.8657473684210526</v>
      </c>
      <c r="GK62" s="118">
        <f t="shared" ref="GK62:GT63" si="547">IF(OR(GK$13="",GK$17="",GK$14="",GK$15="",GK$16="",GK$18="",GK$19="",GK$20="",GK$21=""),"",1-(SUMIFS(GK$80:GK$88,$A$80:$A$88,$B62)/(COUNTIFS($A$53:$A$61,$B62)*GK$4)))</f>
        <v>0.86645026178010465</v>
      </c>
      <c r="GL62" s="118">
        <f t="shared" si="547"/>
        <v>0.85886111111111108</v>
      </c>
      <c r="GM62" s="118">
        <f t="shared" si="547"/>
        <v>0.85903497409326424</v>
      </c>
      <c r="GN62" s="118">
        <f t="shared" si="547"/>
        <v>0.85976159793814433</v>
      </c>
      <c r="GO62" s="118">
        <f t="shared" si="547"/>
        <v>0.86048076923076922</v>
      </c>
      <c r="GP62" s="118">
        <f t="shared" si="547"/>
        <v>0.86119260204081638</v>
      </c>
      <c r="GQ62" s="118">
        <f t="shared" si="547"/>
        <v>0.86189720812182746</v>
      </c>
      <c r="GR62" s="118">
        <f t="shared" si="547"/>
        <v>0.86057786195286201</v>
      </c>
      <c r="GS62" s="118">
        <f t="shared" si="547"/>
        <v>0.86127847571189287</v>
      </c>
      <c r="GT62" s="118">
        <f t="shared" si="547"/>
        <v>0.86148958333333336</v>
      </c>
      <c r="GU62" s="118">
        <f t="shared" ref="GU62:HD63" si="548">IF(OR(GU$13="",GU$17="",GU$14="",GU$15="",GU$16="",GU$18="",GU$19="",GU$20="",GU$21=""),"",1-(SUMIFS(GU$80:GU$88,$A$80:$A$88,$B62)/(COUNTIFS($A$53:$A$61,$B62)*GU$4)))</f>
        <v>0.8601961028192372</v>
      </c>
      <c r="GV62" s="118">
        <f t="shared" si="548"/>
        <v>0.860888201320132</v>
      </c>
      <c r="GW62" s="118">
        <f t="shared" si="548"/>
        <v>0.85978448275862074</v>
      </c>
      <c r="GX62" s="118">
        <f t="shared" si="548"/>
        <v>0.8604718137254902</v>
      </c>
      <c r="GY62" s="118">
        <f t="shared" si="548"/>
        <v>0.8611524390243902</v>
      </c>
      <c r="GZ62" s="118">
        <f t="shared" si="548"/>
        <v>0.86182645631067967</v>
      </c>
      <c r="HA62" s="118">
        <f t="shared" si="548"/>
        <v>0.86249396135265699</v>
      </c>
      <c r="HB62" s="118">
        <f t="shared" si="548"/>
        <v>0.86304807692307695</v>
      </c>
      <c r="HC62" s="118">
        <f t="shared" si="548"/>
        <v>0.86290789473684204</v>
      </c>
      <c r="HD62" s="118">
        <f t="shared" si="548"/>
        <v>0.86285912698412703</v>
      </c>
      <c r="HE62" s="118">
        <f t="shared" ref="HE62:HN63" si="549">IF(OR(HE$13="",HE$17="",HE$14="",HE$15="",HE$16="",HE$18="",HE$19="",HE$20="",HE$21=""),"",1-(SUMIFS(HE$80:HE$88,$A$80:$A$88,$B62)/(COUNTIFS($A$53:$A$61,$B62)*HE$4)))</f>
        <v>0.86350908372827806</v>
      </c>
      <c r="HF62" s="118">
        <f t="shared" si="549"/>
        <v>0.86355149371069184</v>
      </c>
      <c r="HG62" s="118">
        <f t="shared" si="549"/>
        <v>0.86352088767170931</v>
      </c>
      <c r="HH62" s="118">
        <f t="shared" si="549"/>
        <v>0.86394450934579436</v>
      </c>
      <c r="HI62" s="118">
        <f t="shared" si="549"/>
        <v>0.8635112833763996</v>
      </c>
      <c r="HJ62" s="118">
        <f t="shared" si="549"/>
        <v>0.86382868227023324</v>
      </c>
      <c r="HK62" s="118">
        <f t="shared" si="549"/>
        <v>0.86366621863799287</v>
      </c>
      <c r="HL62" s="118">
        <f t="shared" si="549"/>
        <v>0.86349451027862723</v>
      </c>
      <c r="HM62" s="118">
        <f t="shared" si="549"/>
        <v>0.86308390410958902</v>
      </c>
      <c r="HN62" s="118">
        <f t="shared" si="549"/>
        <v>0.8631330913299663</v>
      </c>
      <c r="HO62" s="118">
        <f t="shared" ref="HO62:HX63" si="550">IF(OR(HO$13="",HO$17="",HO$14="",HO$15="",HO$16="",HO$18="",HO$19="",HO$20="",HO$21=""),"",1-(SUMIFS(HO$80:HO$88,$A$80:$A$88,$B62)/(COUNTIFS($A$53:$A$61,$B62)*HO$4)))</f>
        <v>0.86373865635997982</v>
      </c>
      <c r="HP62" s="118">
        <f t="shared" si="550"/>
        <v>0.86301978019686354</v>
      </c>
      <c r="HQ62" s="118">
        <f t="shared" si="550"/>
        <v>0.86356561410064769</v>
      </c>
      <c r="HR62" s="118">
        <f t="shared" si="550"/>
        <v>0.86333163855820105</v>
      </c>
      <c r="HS62" s="118">
        <f t="shared" si="550"/>
        <v>0.86333343621399172</v>
      </c>
      <c r="HT62" s="118">
        <f t="shared" si="550"/>
        <v>0.86364041502785971</v>
      </c>
      <c r="HU62" s="118">
        <f t="shared" si="550"/>
        <v>0.86380748286833087</v>
      </c>
      <c r="HV62" s="118">
        <f t="shared" si="550"/>
        <v>0.86431782001299551</v>
      </c>
      <c r="HW62" s="118">
        <f t="shared" si="550"/>
        <v>0.86448329087821452</v>
      </c>
      <c r="HX62" s="118">
        <f t="shared" si="550"/>
        <v>0.86434903381642514</v>
      </c>
      <c r="HY62" s="118">
        <f t="shared" ref="HY62:IH63" si="551">IF(OR(HY$13="",HY$17="",HY$14="",HY$15="",HY$16="",HY$18="",HY$19="",HY$20="",HY$21=""),"",1-(SUMIFS(HY$80:HY$88,$A$80:$A$88,$B62)/(COUNTIFS($A$53:$A$61,$B62)*HY$4)))</f>
        <v>0.86440013227513224</v>
      </c>
      <c r="HZ62" s="118">
        <f t="shared" si="551"/>
        <v>0.86296569683908042</v>
      </c>
      <c r="IA62" s="118">
        <f t="shared" si="551"/>
        <v>0.86323408440629468</v>
      </c>
      <c r="IB62" s="118">
        <f t="shared" si="551"/>
        <v>0.8635954910572966</v>
      </c>
      <c r="IC62" s="118">
        <f t="shared" si="551"/>
        <v>0.86337309889676916</v>
      </c>
      <c r="ID62" s="118">
        <f t="shared" si="551"/>
        <v>0.86377123548336465</v>
      </c>
      <c r="IE62" s="118">
        <f t="shared" si="551"/>
        <v>0.86390581536177524</v>
      </c>
      <c r="IF62" s="118">
        <f t="shared" si="551"/>
        <v>0.86413205143168381</v>
      </c>
      <c r="IG62" s="118">
        <f t="shared" si="551"/>
        <v>0.86446239152332249</v>
      </c>
      <c r="IH62" s="118">
        <f t="shared" si="551"/>
        <v>0.86189171489197536</v>
      </c>
      <c r="II62" s="118">
        <f t="shared" ref="II62:IR63" si="552">IF(OR(II$13="",II$17="",II$14="",II$15="",II$16="",II$18="",II$19="",II$20="",II$21=""),"",1-(SUMIFS(II$80:II$88,$A$80:$A$88,$B62)/(COUNTIFS($A$53:$A$61,$B62)*II$4)))</f>
        <v>0.86246477831566004</v>
      </c>
      <c r="IJ62" s="118">
        <f t="shared" si="552"/>
        <v>0.8605782158708295</v>
      </c>
      <c r="IK62" s="118">
        <f t="shared" si="552"/>
        <v>0.86066337067520193</v>
      </c>
      <c r="IL62" s="118">
        <f t="shared" si="552"/>
        <v>0.86092302292046141</v>
      </c>
      <c r="IM62" s="118">
        <f t="shared" si="552"/>
        <v>0.86111241496598634</v>
      </c>
      <c r="IN62" s="118">
        <f t="shared" si="552"/>
        <v>0.86065404810298096</v>
      </c>
      <c r="IO62" s="118">
        <f t="shared" si="552"/>
        <v>0.86066444556905086</v>
      </c>
      <c r="IP62" s="118">
        <f t="shared" si="552"/>
        <v>0.86086687948028673</v>
      </c>
      <c r="IQ62" s="118">
        <f t="shared" si="552"/>
        <v>0.86106450803212853</v>
      </c>
      <c r="IR62" s="118">
        <f t="shared" si="552"/>
        <v>0.86120378703703704</v>
      </c>
      <c r="IS62" s="118">
        <f t="shared" ref="IS62:JB63" si="553">IF(OR(IS$13="",IS$17="",IS$14="",IS$15="",IS$16="",IS$18="",IS$19="",IS$20="",IS$21=""),"",1-(SUMIFS(IS$80:IS$88,$A$80:$A$88,$B62)/(COUNTIFS($A$53:$A$61,$B62)*IS$4)))</f>
        <v>0.86156897410358568</v>
      </c>
      <c r="IT62" s="118">
        <f t="shared" si="553"/>
        <v>0.86146048280423282</v>
      </c>
      <c r="IU62" s="118">
        <f t="shared" si="553"/>
        <v>0.8606238654662568</v>
      </c>
      <c r="IV62" s="118">
        <f t="shared" si="553"/>
        <v>0.86007603346456696</v>
      </c>
      <c r="IW62" s="118">
        <f t="shared" si="553"/>
        <v>0.85950740740740739</v>
      </c>
      <c r="IX62" s="118">
        <f t="shared" si="553"/>
        <v>0.85828542751736114</v>
      </c>
      <c r="IY62" s="118">
        <f t="shared" si="553"/>
        <v>0.85744733571119758</v>
      </c>
      <c r="IZ62" s="118">
        <f t="shared" si="553"/>
        <v>0.85742775624461676</v>
      </c>
      <c r="JA62" s="118">
        <f t="shared" si="553"/>
        <v>0.85736520449020448</v>
      </c>
      <c r="JB62" s="118">
        <f t="shared" si="553"/>
        <v>0.85787503561253564</v>
      </c>
      <c r="JC62" s="118">
        <f t="shared" ref="JC62:JL63" si="554">IF(OR(JC$13="",JC$17="",JC$14="",JC$15="",JC$16="",JC$18="",JC$19="",JC$20="",JC$21=""),"",1-(SUMIFS(JC$80:JC$88,$A$80:$A$88,$B62)/(COUNTIFS($A$53:$A$61,$B62)*JC$4)))</f>
        <v>0.8583884809138641</v>
      </c>
      <c r="JD62" s="118">
        <f t="shared" si="554"/>
        <v>0.85861820575346348</v>
      </c>
      <c r="JE62" s="118">
        <f t="shared" si="554"/>
        <v>0.85907720743557248</v>
      </c>
      <c r="JF62" s="118">
        <f t="shared" si="554"/>
        <v>0.85961100589225592</v>
      </c>
      <c r="JG62" s="118">
        <f t="shared" si="554"/>
        <v>0.86014077568134173</v>
      </c>
      <c r="JH62" s="118">
        <f t="shared" si="554"/>
        <v>0.8603558549150655</v>
      </c>
      <c r="JI62" s="118">
        <f t="shared" si="554"/>
        <v>0.86003827680676936</v>
      </c>
      <c r="JJ62" s="118">
        <f t="shared" si="554"/>
        <v>0.85965154263405197</v>
      </c>
      <c r="JK62" s="118">
        <f t="shared" si="554"/>
        <v>0.85988390644361834</v>
      </c>
      <c r="JL62" s="118">
        <f t="shared" si="554"/>
        <v>0.86020749314128941</v>
      </c>
      <c r="JM62" s="118">
        <f t="shared" ref="JM62:JV63" si="555">IF(OR(JM$13="",JM$17="",JM$14="",JM$15="",JM$16="",JM$18="",JM$19="",JM$20="",JM$21=""),"",1-(SUMIFS(JM$80:JM$88,$A$80:$A$88,$B62)/(COUNTIFS($A$53:$A$61,$B62)*JM$4)))</f>
        <v>0.86049516536832038</v>
      </c>
      <c r="JN62" s="118">
        <f t="shared" si="555"/>
        <v>0.86043467456427014</v>
      </c>
      <c r="JO62" s="118">
        <f t="shared" si="555"/>
        <v>0.8607932777099444</v>
      </c>
      <c r="JP62" s="118">
        <f t="shared" si="555"/>
        <v>0.86086177852122192</v>
      </c>
      <c r="JQ62" s="118">
        <f t="shared" si="555"/>
        <v>0.8609683417508418</v>
      </c>
      <c r="JR62" s="118">
        <f t="shared" si="555"/>
        <v>0.85954753757380575</v>
      </c>
      <c r="JS62" s="118">
        <f t="shared" si="555"/>
        <v>0.85980322402727638</v>
      </c>
      <c r="JT62" s="118">
        <f t="shared" si="555"/>
        <v>0.86023918365307761</v>
      </c>
      <c r="JU62" s="118">
        <f t="shared" si="555"/>
        <v>0.86060690461967349</v>
      </c>
      <c r="JV62" s="118">
        <f t="shared" si="555"/>
        <v>0.86103628472222227</v>
      </c>
      <c r="JW62" s="118">
        <f t="shared" ref="JW62:KF63" si="556">IF(OR(JW$13="",JW$17="",JW$14="",JW$15="",JW$16="",JW$18="",JW$19="",JW$20="",JW$21=""),"",1-(SUMIFS(JW$80:JW$88,$A$80:$A$88,$B62)/(COUNTIFS($A$53:$A$61,$B62)*JW$4)))</f>
        <v>0.86153081751680505</v>
      </c>
      <c r="JX62" s="118">
        <f t="shared" si="556"/>
        <v>0.86190363967691097</v>
      </c>
      <c r="JY62" s="118">
        <f t="shared" si="556"/>
        <v>0.86168489890066746</v>
      </c>
      <c r="JZ62" s="118">
        <f t="shared" si="556"/>
        <v>0.86146769855242566</v>
      </c>
      <c r="KA62" s="118">
        <f t="shared" si="556"/>
        <v>0.86195377680311891</v>
      </c>
      <c r="KB62" s="118">
        <f t="shared" si="556"/>
        <v>0.8624364559052059</v>
      </c>
      <c r="KC62" s="118">
        <f t="shared" si="556"/>
        <v>0.86221890727835848</v>
      </c>
      <c r="KD62" s="118">
        <f t="shared" si="556"/>
        <v>0.86252370273919754</v>
      </c>
      <c r="KE62" s="118">
        <f t="shared" si="556"/>
        <v>0.86299939926951175</v>
      </c>
      <c r="KF62" s="118">
        <f t="shared" si="556"/>
        <v>0.86347181513409965</v>
      </c>
      <c r="KG62" s="118">
        <f t="shared" ref="KG62:KP63" si="557">IF(OR(KG$13="",KG$17="",KG$14="",KG$15="",KG$16="",KG$18="",KG$19="",KG$20="",KG$21=""),"",1-(SUMIFS(KG$80:KG$88,$A$80:$A$88,$B62)/(COUNTIFS($A$53:$A$61,$B62)*KG$4)))</f>
        <v>0.86394098415425735</v>
      </c>
      <c r="KH62" s="118">
        <f t="shared" si="557"/>
        <v>0.86337954242770165</v>
      </c>
      <c r="KI62" s="118">
        <f t="shared" si="557"/>
        <v>0.86384582385286313</v>
      </c>
      <c r="KJ62" s="118">
        <f t="shared" si="557"/>
        <v>0.8641388652683295</v>
      </c>
      <c r="KK62" s="118">
        <f t="shared" si="557"/>
        <v>0.86459941148775898</v>
      </c>
      <c r="KL62" s="118">
        <f t="shared" si="557"/>
        <v>0.86505684590840848</v>
      </c>
      <c r="KM62" s="118">
        <f t="shared" si="557"/>
        <v>0.86551119996258885</v>
      </c>
      <c r="KN62" s="118">
        <f t="shared" si="557"/>
        <v>0.86596250466070102</v>
      </c>
      <c r="KO62" s="118">
        <f t="shared" si="557"/>
        <v>0.86641079059829063</v>
      </c>
      <c r="KP62" s="118">
        <f t="shared" si="557"/>
        <v>0.86685608796296298</v>
      </c>
      <c r="KQ62" s="118">
        <f t="shared" ref="KQ62:KZ63" si="558">IF(OR(KQ$13="",KQ$17="",KQ$14="",KQ$15="",KQ$16="",KQ$18="",KQ$19="",KQ$20="",KQ$21=""),"",1-(SUMIFS(KQ$80:KQ$88,$A$80:$A$88,$B62)/(COUNTIFS($A$53:$A$61,$B62)*KQ$4)))</f>
        <v>0.86729842654115907</v>
      </c>
      <c r="KR62" s="118">
        <f t="shared" si="558"/>
        <v>0.86773783572479768</v>
      </c>
      <c r="KS62" s="118">
        <f t="shared" si="558"/>
        <v>0.86817434451778519</v>
      </c>
      <c r="KT62" s="118">
        <f t="shared" si="558"/>
        <v>0.86860798154239771</v>
      </c>
      <c r="KU62" s="118" t="str">
        <f t="shared" si="558"/>
        <v/>
      </c>
      <c r="KV62" s="118" t="str">
        <f t="shared" si="558"/>
        <v/>
      </c>
      <c r="KW62" s="118" t="str">
        <f t="shared" si="558"/>
        <v/>
      </c>
      <c r="KX62" s="118" t="str">
        <f t="shared" si="558"/>
        <v/>
      </c>
      <c r="KY62" s="118" t="str">
        <f t="shared" si="558"/>
        <v/>
      </c>
      <c r="KZ62" s="118" t="str">
        <f t="shared" si="558"/>
        <v/>
      </c>
      <c r="LA62" s="118" t="str">
        <f t="shared" ref="LA62:LJ63" si="559">IF(OR(LA$13="",LA$17="",LA$14="",LA$15="",LA$16="",LA$18="",LA$19="",LA$20="",LA$21=""),"",1-(SUMIFS(LA$80:LA$88,$A$80:$A$88,$B62)/(COUNTIFS($A$53:$A$61,$B62)*LA$4)))</f>
        <v/>
      </c>
      <c r="LB62" s="118" t="str">
        <f t="shared" si="559"/>
        <v/>
      </c>
      <c r="LC62" s="118" t="str">
        <f t="shared" si="559"/>
        <v/>
      </c>
      <c r="LD62" s="118" t="str">
        <f t="shared" si="559"/>
        <v/>
      </c>
      <c r="LE62" s="118" t="str">
        <f t="shared" si="559"/>
        <v/>
      </c>
      <c r="LF62" s="118" t="str">
        <f t="shared" si="559"/>
        <v/>
      </c>
      <c r="LG62" s="118" t="str">
        <f t="shared" si="559"/>
        <v/>
      </c>
      <c r="LH62" s="118" t="str">
        <f t="shared" si="559"/>
        <v/>
      </c>
      <c r="LI62" s="118" t="str">
        <f t="shared" si="559"/>
        <v/>
      </c>
      <c r="LJ62" s="118" t="str">
        <f t="shared" si="559"/>
        <v/>
      </c>
      <c r="LK62" s="118" t="str">
        <f t="shared" ref="LK62:LT63" si="560">IF(OR(LK$13="",LK$17="",LK$14="",LK$15="",LK$16="",LK$18="",LK$19="",LK$20="",LK$21=""),"",1-(SUMIFS(LK$80:LK$88,$A$80:$A$88,$B62)/(COUNTIFS($A$53:$A$61,$B62)*LK$4)))</f>
        <v/>
      </c>
      <c r="LL62" s="118" t="str">
        <f t="shared" si="560"/>
        <v/>
      </c>
      <c r="LM62" s="118" t="str">
        <f t="shared" si="560"/>
        <v/>
      </c>
      <c r="LN62" s="118" t="str">
        <f t="shared" si="560"/>
        <v/>
      </c>
      <c r="LO62" s="118" t="str">
        <f t="shared" si="560"/>
        <v/>
      </c>
      <c r="LP62" s="118" t="str">
        <f t="shared" si="560"/>
        <v/>
      </c>
      <c r="LQ62" s="118" t="str">
        <f t="shared" si="560"/>
        <v/>
      </c>
      <c r="LR62" s="118" t="str">
        <f t="shared" si="560"/>
        <v/>
      </c>
      <c r="LS62" s="118" t="str">
        <f t="shared" si="560"/>
        <v/>
      </c>
      <c r="LT62" s="118" t="str">
        <f t="shared" si="560"/>
        <v/>
      </c>
      <c r="LU62" s="118" t="str">
        <f t="shared" ref="LU62:MD63" si="561">IF(OR(LU$13="",LU$17="",LU$14="",LU$15="",LU$16="",LU$18="",LU$19="",LU$20="",LU$21=""),"",1-(SUMIFS(LU$80:LU$88,$A$80:$A$88,$B62)/(COUNTIFS($A$53:$A$61,$B62)*LU$4)))</f>
        <v/>
      </c>
      <c r="LV62" s="118" t="str">
        <f t="shared" si="561"/>
        <v/>
      </c>
      <c r="LW62" s="118" t="str">
        <f t="shared" si="561"/>
        <v/>
      </c>
      <c r="LX62" s="118" t="str">
        <f t="shared" si="561"/>
        <v/>
      </c>
      <c r="LY62" s="118" t="str">
        <f t="shared" si="561"/>
        <v/>
      </c>
      <c r="LZ62" s="118" t="str">
        <f t="shared" si="561"/>
        <v/>
      </c>
      <c r="MA62" s="118" t="str">
        <f t="shared" si="561"/>
        <v/>
      </c>
      <c r="MB62" s="118" t="str">
        <f t="shared" si="561"/>
        <v/>
      </c>
      <c r="MC62" s="118" t="str">
        <f t="shared" si="561"/>
        <v/>
      </c>
      <c r="MD62" s="118" t="str">
        <f t="shared" si="561"/>
        <v/>
      </c>
      <c r="ME62" s="118" t="str">
        <f t="shared" ref="ME62:MN63" si="562">IF(OR(ME$13="",ME$17="",ME$14="",ME$15="",ME$16="",ME$18="",ME$19="",ME$20="",ME$21=""),"",1-(SUMIFS(ME$80:ME$88,$A$80:$A$88,$B62)/(COUNTIFS($A$53:$A$61,$B62)*ME$4)))</f>
        <v/>
      </c>
      <c r="MF62" s="118" t="str">
        <f t="shared" si="562"/>
        <v/>
      </c>
      <c r="MG62" s="118" t="str">
        <f t="shared" si="562"/>
        <v/>
      </c>
      <c r="MH62" s="118" t="str">
        <f t="shared" si="562"/>
        <v/>
      </c>
      <c r="MI62" s="118" t="str">
        <f t="shared" si="562"/>
        <v/>
      </c>
      <c r="MJ62" s="118" t="str">
        <f t="shared" si="562"/>
        <v/>
      </c>
      <c r="MK62" s="118" t="str">
        <f t="shared" si="562"/>
        <v/>
      </c>
      <c r="ML62" s="118" t="str">
        <f t="shared" si="562"/>
        <v/>
      </c>
      <c r="MM62" s="118" t="str">
        <f t="shared" si="562"/>
        <v/>
      </c>
      <c r="MN62" s="118" t="str">
        <f t="shared" si="562"/>
        <v/>
      </c>
      <c r="MO62" s="118" t="str">
        <f t="shared" ref="MO62:MX63" si="563">IF(OR(MO$13="",MO$17="",MO$14="",MO$15="",MO$16="",MO$18="",MO$19="",MO$20="",MO$21=""),"",1-(SUMIFS(MO$80:MO$88,$A$80:$A$88,$B62)/(COUNTIFS($A$53:$A$61,$B62)*MO$4)))</f>
        <v/>
      </c>
      <c r="MP62" s="118" t="str">
        <f t="shared" si="563"/>
        <v/>
      </c>
      <c r="MQ62" s="118" t="str">
        <f t="shared" si="563"/>
        <v/>
      </c>
      <c r="MR62" s="118" t="str">
        <f t="shared" si="563"/>
        <v/>
      </c>
      <c r="MS62" s="118" t="str">
        <f t="shared" si="563"/>
        <v/>
      </c>
      <c r="MT62" s="118" t="str">
        <f t="shared" si="563"/>
        <v/>
      </c>
      <c r="MU62" s="118" t="str">
        <f t="shared" si="563"/>
        <v/>
      </c>
      <c r="MV62" s="118" t="str">
        <f t="shared" si="563"/>
        <v/>
      </c>
      <c r="MW62" s="118" t="str">
        <f t="shared" si="563"/>
        <v/>
      </c>
      <c r="MX62" s="118" t="str">
        <f t="shared" si="563"/>
        <v/>
      </c>
      <c r="MY62" s="118" t="str">
        <f t="shared" ref="MY62:NH63" si="564">IF(OR(MY$13="",MY$17="",MY$14="",MY$15="",MY$16="",MY$18="",MY$19="",MY$20="",MY$21=""),"",1-(SUMIFS(MY$80:MY$88,$A$80:$A$88,$B62)/(COUNTIFS($A$53:$A$61,$B62)*MY$4)))</f>
        <v/>
      </c>
      <c r="MZ62" s="118" t="str">
        <f t="shared" si="564"/>
        <v/>
      </c>
      <c r="NA62" s="118" t="str">
        <f t="shared" si="564"/>
        <v/>
      </c>
      <c r="NB62" s="118" t="str">
        <f t="shared" si="564"/>
        <v/>
      </c>
      <c r="NC62" s="118" t="str">
        <f t="shared" si="564"/>
        <v/>
      </c>
      <c r="ND62" s="118" t="str">
        <f t="shared" si="564"/>
        <v/>
      </c>
      <c r="NE62" s="118" t="str">
        <f t="shared" si="564"/>
        <v/>
      </c>
      <c r="NF62" s="118" t="str">
        <f t="shared" si="564"/>
        <v/>
      </c>
      <c r="NG62" s="118" t="str">
        <f t="shared" si="564"/>
        <v/>
      </c>
      <c r="NH62" s="118" t="str">
        <f t="shared" si="564"/>
        <v/>
      </c>
      <c r="NI62" s="118" t="str">
        <f t="shared" ref="NI62:NR63" si="565">IF(OR(NI$13="",NI$17="",NI$14="",NI$15="",NI$16="",NI$18="",NI$19="",NI$20="",NI$21=""),"",1-(SUMIFS(NI$80:NI$88,$A$80:$A$88,$B62)/(COUNTIFS($A$53:$A$61,$B62)*NI$4)))</f>
        <v/>
      </c>
      <c r="NJ62" s="118" t="str">
        <f t="shared" si="565"/>
        <v/>
      </c>
      <c r="NK62" s="118" t="str">
        <f t="shared" si="565"/>
        <v/>
      </c>
      <c r="NL62" s="118" t="str">
        <f t="shared" si="565"/>
        <v/>
      </c>
      <c r="NM62" s="118" t="str">
        <f t="shared" si="565"/>
        <v/>
      </c>
      <c r="NN62" s="118" t="str">
        <f t="shared" si="565"/>
        <v/>
      </c>
      <c r="NO62" s="118" t="str">
        <f t="shared" si="565"/>
        <v/>
      </c>
      <c r="NP62" s="118" t="str">
        <f t="shared" si="565"/>
        <v/>
      </c>
      <c r="NQ62" s="118" t="str">
        <f t="shared" si="565"/>
        <v/>
      </c>
      <c r="NR62" s="118" t="str">
        <f t="shared" si="565"/>
        <v/>
      </c>
      <c r="NS62" s="118" t="str">
        <f t="shared" ref="NS62:OB63" si="566">IF(OR(NS$13="",NS$17="",NS$14="",NS$15="",NS$16="",NS$18="",NS$19="",NS$20="",NS$21=""),"",1-(SUMIFS(NS$80:NS$88,$A$80:$A$88,$B62)/(COUNTIFS($A$53:$A$61,$B62)*NS$4)))</f>
        <v/>
      </c>
      <c r="NT62" s="118" t="str">
        <f t="shared" si="566"/>
        <v/>
      </c>
      <c r="NU62" s="118" t="str">
        <f t="shared" si="566"/>
        <v/>
      </c>
      <c r="NV62" s="118" t="str">
        <f t="shared" si="566"/>
        <v/>
      </c>
      <c r="NW62" s="118" t="str">
        <f t="shared" si="566"/>
        <v/>
      </c>
      <c r="NX62" s="118" t="str">
        <f t="shared" si="566"/>
        <v/>
      </c>
      <c r="NY62" s="118" t="str">
        <f t="shared" si="566"/>
        <v/>
      </c>
      <c r="NZ62" s="118" t="str">
        <f t="shared" si="566"/>
        <v/>
      </c>
      <c r="OA62" s="118" t="str">
        <f t="shared" si="566"/>
        <v/>
      </c>
      <c r="OB62" s="118" t="str">
        <f t="shared" si="566"/>
        <v/>
      </c>
      <c r="OC62" s="118" t="str">
        <f t="shared" ref="OC62:OL63" si="567">IF(OR(OC$13="",OC$17="",OC$14="",OC$15="",OC$16="",OC$18="",OC$19="",OC$20="",OC$21=""),"",1-(SUMIFS(OC$80:OC$88,$A$80:$A$88,$B62)/(COUNTIFS($A$53:$A$61,$B62)*OC$4)))</f>
        <v/>
      </c>
      <c r="OD62" s="118" t="str">
        <f t="shared" si="567"/>
        <v/>
      </c>
      <c r="OE62" s="118" t="str">
        <f t="shared" si="567"/>
        <v/>
      </c>
      <c r="OF62" s="118" t="str">
        <f t="shared" si="567"/>
        <v/>
      </c>
      <c r="OG62" s="118" t="str">
        <f t="shared" si="567"/>
        <v/>
      </c>
      <c r="OH62" s="118" t="str">
        <f t="shared" si="567"/>
        <v/>
      </c>
      <c r="OI62" s="118" t="str">
        <f t="shared" si="567"/>
        <v/>
      </c>
      <c r="OJ62" s="118" t="str">
        <f t="shared" si="567"/>
        <v/>
      </c>
      <c r="OK62" s="118" t="str">
        <f t="shared" si="567"/>
        <v/>
      </c>
      <c r="OL62" s="118" t="str">
        <f t="shared" si="567"/>
        <v/>
      </c>
      <c r="OM62" s="118" t="str">
        <f t="shared" ref="OM62:OV63" si="568">IF(OR(OM$13="",OM$17="",OM$14="",OM$15="",OM$16="",OM$18="",OM$19="",OM$20="",OM$21=""),"",1-(SUMIFS(OM$80:OM$88,$A$80:$A$88,$B62)/(COUNTIFS($A$53:$A$61,$B62)*OM$4)))</f>
        <v/>
      </c>
      <c r="ON62" s="118" t="str">
        <f t="shared" si="568"/>
        <v/>
      </c>
      <c r="OO62" s="118" t="str">
        <f t="shared" si="568"/>
        <v/>
      </c>
      <c r="OP62" s="118" t="str">
        <f t="shared" si="568"/>
        <v/>
      </c>
      <c r="OQ62" s="118" t="str">
        <f t="shared" si="568"/>
        <v/>
      </c>
      <c r="OR62" s="118" t="str">
        <f t="shared" si="568"/>
        <v/>
      </c>
      <c r="OS62" s="118" t="str">
        <f t="shared" si="568"/>
        <v/>
      </c>
      <c r="OT62" s="118" t="str">
        <f t="shared" si="568"/>
        <v/>
      </c>
      <c r="OU62" s="118" t="str">
        <f t="shared" si="568"/>
        <v/>
      </c>
      <c r="OV62" s="118" t="str">
        <f t="shared" si="568"/>
        <v/>
      </c>
      <c r="OW62" s="118" t="str">
        <f t="shared" ref="OW62:PF63" si="569">IF(OR(OW$13="",OW$17="",OW$14="",OW$15="",OW$16="",OW$18="",OW$19="",OW$20="",OW$21=""),"",1-(SUMIFS(OW$80:OW$88,$A$80:$A$88,$B62)/(COUNTIFS($A$53:$A$61,$B62)*OW$4)))</f>
        <v/>
      </c>
      <c r="OX62" s="118" t="str">
        <f t="shared" si="569"/>
        <v/>
      </c>
      <c r="OY62" s="118" t="str">
        <f t="shared" si="569"/>
        <v/>
      </c>
      <c r="OZ62" s="118" t="str">
        <f t="shared" si="569"/>
        <v/>
      </c>
      <c r="PA62" s="118" t="str">
        <f t="shared" si="569"/>
        <v/>
      </c>
      <c r="PB62" s="118" t="str">
        <f t="shared" si="569"/>
        <v/>
      </c>
      <c r="PC62" s="118" t="str">
        <f t="shared" si="569"/>
        <v/>
      </c>
      <c r="PD62" s="118" t="str">
        <f t="shared" si="569"/>
        <v/>
      </c>
      <c r="PE62" s="118" t="str">
        <f t="shared" si="569"/>
        <v/>
      </c>
      <c r="PF62" s="118" t="str">
        <f t="shared" si="569"/>
        <v/>
      </c>
      <c r="PG62" s="118" t="str">
        <f t="shared" ref="PG62:PP63" si="570">IF(OR(PG$13="",PG$17="",PG$14="",PG$15="",PG$16="",PG$18="",PG$19="",PG$20="",PG$21=""),"",1-(SUMIFS(PG$80:PG$88,$A$80:$A$88,$B62)/(COUNTIFS($A$53:$A$61,$B62)*PG$4)))</f>
        <v/>
      </c>
      <c r="PH62" s="118" t="str">
        <f t="shared" si="570"/>
        <v/>
      </c>
      <c r="PI62" s="118" t="str">
        <f t="shared" si="570"/>
        <v/>
      </c>
      <c r="PJ62" s="118" t="str">
        <f t="shared" si="570"/>
        <v/>
      </c>
      <c r="PK62" s="118" t="str">
        <f t="shared" si="570"/>
        <v/>
      </c>
      <c r="PL62" s="118" t="str">
        <f t="shared" si="570"/>
        <v/>
      </c>
      <c r="PM62" s="118" t="str">
        <f t="shared" si="570"/>
        <v/>
      </c>
      <c r="PN62" s="118" t="str">
        <f t="shared" si="570"/>
        <v/>
      </c>
      <c r="PO62" s="118" t="str">
        <f t="shared" si="570"/>
        <v/>
      </c>
      <c r="PP62" s="118" t="str">
        <f t="shared" si="570"/>
        <v/>
      </c>
      <c r="PQ62" s="118" t="str">
        <f t="shared" ref="PQ62:PZ63" si="571">IF(OR(PQ$13="",PQ$17="",PQ$14="",PQ$15="",PQ$16="",PQ$18="",PQ$19="",PQ$20="",PQ$21=""),"",1-(SUMIFS(PQ$80:PQ$88,$A$80:$A$88,$B62)/(COUNTIFS($A$53:$A$61,$B62)*PQ$4)))</f>
        <v/>
      </c>
      <c r="PR62" s="118" t="str">
        <f t="shared" si="571"/>
        <v/>
      </c>
      <c r="PS62" s="118" t="str">
        <f t="shared" si="571"/>
        <v/>
      </c>
      <c r="PT62" s="118" t="str">
        <f t="shared" si="571"/>
        <v/>
      </c>
      <c r="PU62" s="118" t="str">
        <f t="shared" si="571"/>
        <v/>
      </c>
      <c r="PV62" s="118" t="str">
        <f t="shared" si="571"/>
        <v/>
      </c>
      <c r="PW62" s="118" t="str">
        <f t="shared" si="571"/>
        <v/>
      </c>
      <c r="PX62" s="118" t="str">
        <f t="shared" si="571"/>
        <v/>
      </c>
      <c r="PY62" s="118" t="str">
        <f t="shared" si="571"/>
        <v/>
      </c>
      <c r="PZ62" s="118" t="str">
        <f t="shared" si="571"/>
        <v/>
      </c>
      <c r="QA62" s="118" t="str">
        <f t="shared" ref="QA62:QJ63" si="572">IF(OR(QA$13="",QA$17="",QA$14="",QA$15="",QA$16="",QA$18="",QA$19="",QA$20="",QA$21=""),"",1-(SUMIFS(QA$80:QA$88,$A$80:$A$88,$B62)/(COUNTIFS($A$53:$A$61,$B62)*QA$4)))</f>
        <v/>
      </c>
      <c r="QB62" s="118" t="str">
        <f t="shared" si="572"/>
        <v/>
      </c>
      <c r="QC62" s="118" t="str">
        <f t="shared" si="572"/>
        <v/>
      </c>
      <c r="QD62" s="118" t="str">
        <f t="shared" si="572"/>
        <v/>
      </c>
      <c r="QE62" s="118" t="str">
        <f t="shared" si="572"/>
        <v/>
      </c>
      <c r="QF62" s="118" t="str">
        <f t="shared" si="572"/>
        <v/>
      </c>
      <c r="QG62" s="118" t="str">
        <f t="shared" si="572"/>
        <v/>
      </c>
      <c r="QH62" s="118" t="str">
        <f t="shared" si="572"/>
        <v/>
      </c>
      <c r="QI62" s="118" t="str">
        <f t="shared" si="572"/>
        <v/>
      </c>
      <c r="QJ62" s="118" t="str">
        <f t="shared" si="572"/>
        <v/>
      </c>
      <c r="QK62" s="118" t="str">
        <f t="shared" ref="QK62:QT63" si="573">IF(OR(QK$13="",QK$17="",QK$14="",QK$15="",QK$16="",QK$18="",QK$19="",QK$20="",QK$21=""),"",1-(SUMIFS(QK$80:QK$88,$A$80:$A$88,$B62)/(COUNTIFS($A$53:$A$61,$B62)*QK$4)))</f>
        <v/>
      </c>
      <c r="QL62" s="118" t="str">
        <f t="shared" si="573"/>
        <v/>
      </c>
      <c r="QM62" s="118" t="str">
        <f t="shared" si="573"/>
        <v/>
      </c>
      <c r="QN62" s="118" t="str">
        <f t="shared" si="573"/>
        <v/>
      </c>
      <c r="QO62" s="118" t="str">
        <f t="shared" si="573"/>
        <v/>
      </c>
      <c r="QP62" s="118" t="str">
        <f t="shared" si="573"/>
        <v/>
      </c>
      <c r="QQ62" s="118" t="str">
        <f t="shared" si="573"/>
        <v/>
      </c>
      <c r="QR62" s="118" t="str">
        <f t="shared" si="573"/>
        <v/>
      </c>
      <c r="QS62" s="118" t="str">
        <f t="shared" si="573"/>
        <v/>
      </c>
      <c r="QT62" s="118" t="str">
        <f t="shared" si="573"/>
        <v/>
      </c>
      <c r="QU62" s="118" t="str">
        <f t="shared" ref="QU62:RD63" si="574">IF(OR(QU$13="",QU$17="",QU$14="",QU$15="",QU$16="",QU$18="",QU$19="",QU$20="",QU$21=""),"",1-(SUMIFS(QU$80:QU$88,$A$80:$A$88,$B62)/(COUNTIFS($A$53:$A$61,$B62)*QU$4)))</f>
        <v/>
      </c>
      <c r="QV62" s="118" t="str">
        <f t="shared" si="574"/>
        <v/>
      </c>
      <c r="QW62" s="118" t="str">
        <f t="shared" si="574"/>
        <v/>
      </c>
      <c r="QX62" s="118" t="str">
        <f t="shared" si="574"/>
        <v/>
      </c>
      <c r="QY62" s="118" t="str">
        <f t="shared" si="574"/>
        <v/>
      </c>
      <c r="QZ62" s="118" t="str">
        <f t="shared" si="574"/>
        <v/>
      </c>
      <c r="RA62" s="118" t="str">
        <f t="shared" si="574"/>
        <v/>
      </c>
      <c r="RB62" s="118" t="str">
        <f t="shared" si="574"/>
        <v/>
      </c>
      <c r="RC62" s="118" t="str">
        <f t="shared" si="574"/>
        <v/>
      </c>
      <c r="RD62" s="118" t="str">
        <f t="shared" si="574"/>
        <v/>
      </c>
      <c r="RE62" s="118" t="str">
        <f t="shared" ref="RE62:RN63" si="575">IF(OR(RE$13="",RE$17="",RE$14="",RE$15="",RE$16="",RE$18="",RE$19="",RE$20="",RE$21=""),"",1-(SUMIFS(RE$80:RE$88,$A$80:$A$88,$B62)/(COUNTIFS($A$53:$A$61,$B62)*RE$4)))</f>
        <v/>
      </c>
      <c r="RF62" s="118" t="str">
        <f t="shared" si="575"/>
        <v/>
      </c>
      <c r="RG62" s="118" t="str">
        <f t="shared" si="575"/>
        <v/>
      </c>
      <c r="RH62" s="118" t="str">
        <f t="shared" si="575"/>
        <v/>
      </c>
      <c r="RI62" s="118" t="str">
        <f t="shared" si="575"/>
        <v/>
      </c>
      <c r="RJ62" s="118" t="str">
        <f t="shared" si="575"/>
        <v/>
      </c>
      <c r="RK62" s="118" t="str">
        <f t="shared" si="575"/>
        <v/>
      </c>
      <c r="RL62" s="118" t="str">
        <f t="shared" si="575"/>
        <v/>
      </c>
      <c r="RM62" s="118" t="str">
        <f t="shared" si="575"/>
        <v/>
      </c>
      <c r="RN62" s="118" t="str">
        <f t="shared" si="575"/>
        <v/>
      </c>
      <c r="RO62" s="118" t="str">
        <f t="shared" ref="RO62:RX63" si="576">IF(OR(RO$13="",RO$17="",RO$14="",RO$15="",RO$16="",RO$18="",RO$19="",RO$20="",RO$21=""),"",1-(SUMIFS(RO$80:RO$88,$A$80:$A$88,$B62)/(COUNTIFS($A$53:$A$61,$B62)*RO$4)))</f>
        <v/>
      </c>
      <c r="RP62" s="118" t="str">
        <f t="shared" si="576"/>
        <v/>
      </c>
      <c r="RQ62" s="118" t="str">
        <f t="shared" si="576"/>
        <v/>
      </c>
      <c r="RR62" s="118" t="str">
        <f t="shared" si="576"/>
        <v/>
      </c>
      <c r="RS62" s="118" t="str">
        <f t="shared" si="576"/>
        <v/>
      </c>
      <c r="RT62" s="118" t="str">
        <f t="shared" si="576"/>
        <v/>
      </c>
      <c r="RU62" s="118" t="str">
        <f t="shared" si="576"/>
        <v/>
      </c>
      <c r="RV62" s="118" t="str">
        <f t="shared" si="576"/>
        <v/>
      </c>
      <c r="RW62" s="118" t="str">
        <f t="shared" si="576"/>
        <v/>
      </c>
      <c r="RX62" s="118" t="str">
        <f t="shared" si="576"/>
        <v/>
      </c>
      <c r="RY62" s="118" t="str">
        <f t="shared" ref="RY62:SH63" si="577">IF(OR(RY$13="",RY$17="",RY$14="",RY$15="",RY$16="",RY$18="",RY$19="",RY$20="",RY$21=""),"",1-(SUMIFS(RY$80:RY$88,$A$80:$A$88,$B62)/(COUNTIFS($A$53:$A$61,$B62)*RY$4)))</f>
        <v/>
      </c>
      <c r="RZ62" s="118" t="str">
        <f t="shared" si="577"/>
        <v/>
      </c>
      <c r="SA62" s="118" t="str">
        <f t="shared" si="577"/>
        <v/>
      </c>
      <c r="SB62" s="118" t="str">
        <f t="shared" si="577"/>
        <v/>
      </c>
      <c r="SC62" s="118" t="str">
        <f t="shared" si="577"/>
        <v/>
      </c>
      <c r="SD62" s="118" t="str">
        <f t="shared" si="577"/>
        <v/>
      </c>
      <c r="SE62" s="118" t="str">
        <f t="shared" si="577"/>
        <v/>
      </c>
      <c r="SF62" s="118" t="str">
        <f t="shared" si="577"/>
        <v/>
      </c>
      <c r="SG62" s="118" t="str">
        <f t="shared" si="577"/>
        <v/>
      </c>
      <c r="SH62" s="118" t="str">
        <f t="shared" si="577"/>
        <v/>
      </c>
      <c r="SI62" s="118" t="str">
        <f t="shared" ref="SI62:SW63" si="578">IF(OR(SI$13="",SI$17="",SI$14="",SI$15="",SI$16="",SI$18="",SI$19="",SI$20="",SI$21=""),"",1-(SUMIFS(SI$80:SI$88,$A$80:$A$88,$B62)/(COUNTIFS($A$53:$A$61,$B62)*SI$4)))</f>
        <v/>
      </c>
      <c r="SJ62" s="118" t="str">
        <f t="shared" si="578"/>
        <v/>
      </c>
      <c r="SK62" s="118" t="str">
        <f t="shared" si="578"/>
        <v/>
      </c>
      <c r="SL62" s="118" t="str">
        <f t="shared" si="578"/>
        <v/>
      </c>
      <c r="SM62" s="118" t="str">
        <f t="shared" si="578"/>
        <v/>
      </c>
      <c r="SN62" s="118" t="str">
        <f t="shared" si="578"/>
        <v/>
      </c>
      <c r="SO62" s="118" t="str">
        <f t="shared" si="578"/>
        <v/>
      </c>
      <c r="SP62" s="118" t="str">
        <f t="shared" si="578"/>
        <v/>
      </c>
      <c r="SQ62" s="118" t="str">
        <f t="shared" si="578"/>
        <v/>
      </c>
      <c r="SR62" s="118" t="str">
        <f t="shared" si="578"/>
        <v/>
      </c>
      <c r="SS62" s="118" t="str">
        <f t="shared" si="578"/>
        <v/>
      </c>
      <c r="ST62" s="118" t="str">
        <f t="shared" si="578"/>
        <v/>
      </c>
      <c r="SU62" s="118" t="str">
        <f t="shared" si="578"/>
        <v/>
      </c>
      <c r="SV62" s="118" t="str">
        <f t="shared" si="578"/>
        <v/>
      </c>
      <c r="SW62" s="118" t="str">
        <f t="shared" si="578"/>
        <v/>
      </c>
    </row>
    <row r="63" spans="1:517" ht="24.6" customHeight="1" x14ac:dyDescent="0.2">
      <c r="A63" s="94">
        <f>COUNTIF(A53:A61,B63)</f>
        <v>4</v>
      </c>
      <c r="B63" s="115">
        <v>777</v>
      </c>
      <c r="C63" s="118">
        <f t="shared" si="528"/>
        <v>1</v>
      </c>
      <c r="D63" s="118">
        <f t="shared" si="528"/>
        <v>0.7181249999999999</v>
      </c>
      <c r="E63" s="118">
        <f t="shared" si="528"/>
        <v>0.79802083333333329</v>
      </c>
      <c r="F63" s="118">
        <f t="shared" si="528"/>
        <v>0.848515625</v>
      </c>
      <c r="G63" s="118">
        <f t="shared" si="528"/>
        <v>0.81481249999999994</v>
      </c>
      <c r="H63" s="118">
        <f t="shared" si="528"/>
        <v>0.82593749999999999</v>
      </c>
      <c r="I63" s="118">
        <f t="shared" si="528"/>
        <v>0.83619047619047615</v>
      </c>
      <c r="J63" s="118">
        <f t="shared" si="528"/>
        <v>0.8177864583333333</v>
      </c>
      <c r="K63" s="118">
        <f t="shared" si="528"/>
        <v>0.83392361111111113</v>
      </c>
      <c r="L63" s="118">
        <f t="shared" si="528"/>
        <v>0.83584375</v>
      </c>
      <c r="M63" s="118">
        <f t="shared" si="529"/>
        <v>0.7959090909090909</v>
      </c>
      <c r="N63" s="118">
        <f t="shared" si="529"/>
        <v>0.81098958333333337</v>
      </c>
      <c r="O63" s="118">
        <f t="shared" si="529"/>
        <v>0.82552884615384614</v>
      </c>
      <c r="P63" s="118">
        <f t="shared" si="529"/>
        <v>0.81928571428571428</v>
      </c>
      <c r="Q63" s="118">
        <f t="shared" si="529"/>
        <v>0.82069444444444439</v>
      </c>
      <c r="R63" s="118">
        <f t="shared" si="529"/>
        <v>0.83024088541666663</v>
      </c>
      <c r="S63" s="118">
        <f t="shared" si="529"/>
        <v>0.84022671568627449</v>
      </c>
      <c r="T63" s="118">
        <f t="shared" si="529"/>
        <v>0.84445601851851848</v>
      </c>
      <c r="U63" s="118">
        <f t="shared" si="529"/>
        <v>0.84370614035087721</v>
      </c>
      <c r="V63" s="118">
        <f t="shared" si="529"/>
        <v>0.84550520833333331</v>
      </c>
      <c r="W63" s="118">
        <f t="shared" si="530"/>
        <v>0.85177083333333337</v>
      </c>
      <c r="X63" s="118">
        <f t="shared" si="530"/>
        <v>0.85802556818181808</v>
      </c>
      <c r="Y63" s="118">
        <f t="shared" si="530"/>
        <v>0.86340579710144927</v>
      </c>
      <c r="Z63" s="118">
        <f t="shared" si="530"/>
        <v>0.86763020833333326</v>
      </c>
      <c r="AA63" s="118">
        <f t="shared" si="530"/>
        <v>0.86348749999999996</v>
      </c>
      <c r="AB63" s="118">
        <f t="shared" si="530"/>
        <v>0.86873798076923081</v>
      </c>
      <c r="AC63" s="118">
        <f t="shared" si="530"/>
        <v>0.86144675925925918</v>
      </c>
      <c r="AD63" s="118">
        <f t="shared" si="530"/>
        <v>0.86639508928571429</v>
      </c>
      <c r="AE63" s="118">
        <f t="shared" si="530"/>
        <v>0.87010416666666668</v>
      </c>
      <c r="AF63" s="118">
        <f t="shared" si="530"/>
        <v>0.87443402777777779</v>
      </c>
      <c r="AG63" s="118">
        <f t="shared" si="531"/>
        <v>0.8780510752688172</v>
      </c>
      <c r="AH63" s="118">
        <f t="shared" si="531"/>
        <v>0.87978515624999998</v>
      </c>
      <c r="AI63" s="118">
        <f t="shared" si="531"/>
        <v>0.88291982323232321</v>
      </c>
      <c r="AJ63" s="118">
        <f t="shared" si="531"/>
        <v>0.88636335784313725</v>
      </c>
      <c r="AK63" s="118">
        <f t="shared" si="531"/>
        <v>0.889610119047619</v>
      </c>
      <c r="AL63" s="118">
        <f t="shared" si="531"/>
        <v>0.89105034722222221</v>
      </c>
      <c r="AM63" s="118">
        <f t="shared" si="531"/>
        <v>0.89357263513513518</v>
      </c>
      <c r="AN63" s="118">
        <f t="shared" si="531"/>
        <v>0.89586896929824555</v>
      </c>
      <c r="AO63" s="118">
        <f t="shared" si="531"/>
        <v>0.89853899572649576</v>
      </c>
      <c r="AP63" s="118">
        <f t="shared" si="531"/>
        <v>0.90107552083333331</v>
      </c>
      <c r="AQ63" s="118">
        <f t="shared" si="532"/>
        <v>0.90210873983739837</v>
      </c>
      <c r="AR63" s="118">
        <f t="shared" si="532"/>
        <v>0.90386904761904763</v>
      </c>
      <c r="AS63" s="118">
        <f t="shared" si="532"/>
        <v>0.90337209302325583</v>
      </c>
      <c r="AT63" s="118">
        <f t="shared" si="532"/>
        <v>0.8990104166666667</v>
      </c>
      <c r="AU63" s="118">
        <f t="shared" si="532"/>
        <v>0.90125462962962966</v>
      </c>
      <c r="AV63" s="118">
        <f t="shared" si="532"/>
        <v>0.90340126811594201</v>
      </c>
      <c r="AW63" s="118">
        <f t="shared" si="532"/>
        <v>0.90545656028368793</v>
      </c>
      <c r="AX63" s="118">
        <f t="shared" si="532"/>
        <v>0.90610677083333335</v>
      </c>
      <c r="AY63" s="118">
        <f t="shared" si="532"/>
        <v>0.90802295918367348</v>
      </c>
      <c r="AZ63" s="118">
        <f t="shared" si="532"/>
        <v>0.90961249999999993</v>
      </c>
      <c r="BA63" s="118">
        <f t="shared" si="533"/>
        <v>0.90907679738562086</v>
      </c>
      <c r="BB63" s="118">
        <f t="shared" si="533"/>
        <v>0.90973958333333327</v>
      </c>
      <c r="BC63" s="118">
        <f t="shared" si="533"/>
        <v>0.90270243710691822</v>
      </c>
      <c r="BD63" s="118">
        <f t="shared" si="533"/>
        <v>0.899320987654321</v>
      </c>
      <c r="BE63" s="118">
        <f t="shared" si="533"/>
        <v>0.90093749999999995</v>
      </c>
      <c r="BF63" s="118">
        <f t="shared" si="533"/>
        <v>0.89847470238095239</v>
      </c>
      <c r="BG63" s="118">
        <f t="shared" si="533"/>
        <v>0.90025584795321634</v>
      </c>
      <c r="BH63" s="118">
        <f t="shared" si="533"/>
        <v>0.90197557471264367</v>
      </c>
      <c r="BI63" s="118">
        <f t="shared" si="533"/>
        <v>0.90272422316384182</v>
      </c>
      <c r="BJ63" s="118">
        <f t="shared" si="533"/>
        <v>0.90153645833333329</v>
      </c>
      <c r="BK63" s="118">
        <f t="shared" si="534"/>
        <v>0.90184084699453548</v>
      </c>
      <c r="BL63" s="118">
        <f t="shared" si="534"/>
        <v>0.90043010752688168</v>
      </c>
      <c r="BM63" s="118">
        <f t="shared" si="534"/>
        <v>0.89992394179894175</v>
      </c>
      <c r="BN63" s="118">
        <f t="shared" si="534"/>
        <v>0.90026692708333333</v>
      </c>
      <c r="BO63" s="118">
        <f t="shared" si="534"/>
        <v>0.89620512820512821</v>
      </c>
      <c r="BP63" s="118">
        <f t="shared" si="534"/>
        <v>0.89472537878787883</v>
      </c>
      <c r="BQ63" s="118">
        <f t="shared" si="534"/>
        <v>0.89616138059701489</v>
      </c>
      <c r="BR63" s="118">
        <f t="shared" si="534"/>
        <v>0.89404871323529411</v>
      </c>
      <c r="BS63" s="118">
        <f t="shared" si="534"/>
        <v>0.89440066425120768</v>
      </c>
      <c r="BT63" s="118">
        <f t="shared" si="534"/>
        <v>0.89298809523809519</v>
      </c>
      <c r="BU63" s="118">
        <f t="shared" si="535"/>
        <v>0.89449530516431919</v>
      </c>
      <c r="BV63" s="118">
        <f t="shared" si="535"/>
        <v>0.89596064814814813</v>
      </c>
      <c r="BW63" s="118">
        <f t="shared" si="535"/>
        <v>0.89738584474885841</v>
      </c>
      <c r="BX63" s="118">
        <f t="shared" si="535"/>
        <v>0.89527449324324326</v>
      </c>
      <c r="BY63" s="118">
        <f t="shared" si="535"/>
        <v>0.89442500000000003</v>
      </c>
      <c r="BZ63" s="118">
        <f t="shared" si="535"/>
        <v>0.89581414473684207</v>
      </c>
      <c r="CA63" s="118">
        <f t="shared" si="535"/>
        <v>0.89713068181818179</v>
      </c>
      <c r="CB63" s="118">
        <f t="shared" si="535"/>
        <v>0.89829059829059832</v>
      </c>
      <c r="CC63" s="118">
        <f t="shared" si="535"/>
        <v>0.89755801687763714</v>
      </c>
      <c r="CD63" s="118">
        <f t="shared" si="535"/>
        <v>0.89883854166666666</v>
      </c>
      <c r="CE63" s="118">
        <f t="shared" si="536"/>
        <v>0.90008744855967082</v>
      </c>
      <c r="CF63" s="118">
        <f t="shared" si="536"/>
        <v>0.89919715447154469</v>
      </c>
      <c r="CG63" s="118">
        <f t="shared" si="536"/>
        <v>0.90041164658634532</v>
      </c>
      <c r="CH63" s="118">
        <f t="shared" si="536"/>
        <v>0.90125992063492055</v>
      </c>
      <c r="CI63" s="118">
        <f t="shared" si="536"/>
        <v>0.8997230392156863</v>
      </c>
      <c r="CJ63" s="118">
        <f t="shared" si="536"/>
        <v>0.89902979651162784</v>
      </c>
      <c r="CK63" s="118">
        <f t="shared" si="536"/>
        <v>0.90007064176245211</v>
      </c>
      <c r="CL63" s="118">
        <f t="shared" si="536"/>
        <v>0.90103574810606057</v>
      </c>
      <c r="CM63" s="118">
        <f t="shared" si="536"/>
        <v>0.90153558052434457</v>
      </c>
      <c r="CN63" s="118">
        <f t="shared" si="536"/>
        <v>0.90262962962962967</v>
      </c>
      <c r="CO63" s="118">
        <f t="shared" si="537"/>
        <v>0.90192307692307694</v>
      </c>
      <c r="CP63" s="118">
        <f t="shared" si="537"/>
        <v>0.90285552536231883</v>
      </c>
      <c r="CQ63" s="118">
        <f t="shared" si="537"/>
        <v>0.90348902329749103</v>
      </c>
      <c r="CR63" s="118">
        <f t="shared" si="537"/>
        <v>0.90451573581560285</v>
      </c>
      <c r="CS63" s="118">
        <f t="shared" si="537"/>
        <v>0.90421381578947368</v>
      </c>
      <c r="CT63" s="118">
        <f t="shared" si="537"/>
        <v>0.90479709201388892</v>
      </c>
      <c r="CU63" s="118">
        <f t="shared" si="537"/>
        <v>0.90577856529209622</v>
      </c>
      <c r="CV63" s="118">
        <f t="shared" si="537"/>
        <v>0.90628826530612239</v>
      </c>
      <c r="CW63" s="118">
        <f t="shared" si="537"/>
        <v>0.9067171717171717</v>
      </c>
      <c r="CX63" s="118">
        <f t="shared" si="537"/>
        <v>0.90383958333333336</v>
      </c>
      <c r="CY63" s="118">
        <f t="shared" si="538"/>
        <v>0.90479166666666666</v>
      </c>
      <c r="CZ63" s="118">
        <f t="shared" si="538"/>
        <v>0.90557189542483663</v>
      </c>
      <c r="DA63" s="118">
        <f t="shared" si="538"/>
        <v>0.90633394012944979</v>
      </c>
      <c r="DB63" s="118">
        <f t="shared" si="538"/>
        <v>0.90625801282051277</v>
      </c>
      <c r="DC63" s="118">
        <f t="shared" si="538"/>
        <v>0.90609722222222222</v>
      </c>
      <c r="DD63" s="118">
        <f t="shared" si="538"/>
        <v>0.90668730345911952</v>
      </c>
      <c r="DE63" s="118">
        <f t="shared" si="538"/>
        <v>0.90549357476635506</v>
      </c>
      <c r="DF63" s="118">
        <f t="shared" si="538"/>
        <v>0.9029552469135802</v>
      </c>
      <c r="DG63" s="118">
        <f t="shared" si="538"/>
        <v>0.90384556574923547</v>
      </c>
      <c r="DH63" s="118">
        <f t="shared" si="538"/>
        <v>0.90449715909090911</v>
      </c>
      <c r="DI63" s="118">
        <f t="shared" si="539"/>
        <v>0.90498404654654652</v>
      </c>
      <c r="DJ63" s="118">
        <f t="shared" si="539"/>
        <v>0.88913132440476184</v>
      </c>
      <c r="DK63" s="118">
        <f t="shared" si="539"/>
        <v>0.89011246312684367</v>
      </c>
      <c r="DL63" s="118">
        <f t="shared" si="539"/>
        <v>0.89095303362573097</v>
      </c>
      <c r="DM63" s="118">
        <f t="shared" si="539"/>
        <v>0.89117391304347826</v>
      </c>
      <c r="DN63" s="118">
        <f t="shared" si="539"/>
        <v>0.89172772988505744</v>
      </c>
      <c r="DO63" s="118">
        <f t="shared" si="539"/>
        <v>0.89265313390313394</v>
      </c>
      <c r="DP63" s="118">
        <f t="shared" si="539"/>
        <v>0.89337658898305083</v>
      </c>
      <c r="DQ63" s="118">
        <f t="shared" si="539"/>
        <v>0.89397934173669469</v>
      </c>
      <c r="DR63" s="118">
        <f t="shared" si="539"/>
        <v>0.89483072916666662</v>
      </c>
      <c r="DS63" s="118">
        <f t="shared" si="540"/>
        <v>0.89550878099173559</v>
      </c>
      <c r="DT63" s="118">
        <f t="shared" si="540"/>
        <v>0.89563268442622956</v>
      </c>
      <c r="DU63" s="118">
        <f t="shared" si="540"/>
        <v>0.89528116531165314</v>
      </c>
      <c r="DV63" s="118">
        <f t="shared" si="540"/>
        <v>0.8952066532258065</v>
      </c>
      <c r="DW63" s="118">
        <f t="shared" si="540"/>
        <v>0.89255916666666668</v>
      </c>
      <c r="DX63" s="118">
        <f t="shared" si="540"/>
        <v>0.89341187169312164</v>
      </c>
      <c r="DY63" s="118">
        <f t="shared" si="540"/>
        <v>0.89425114829396324</v>
      </c>
      <c r="DZ63" s="118">
        <f t="shared" si="540"/>
        <v>0.89421142578125001</v>
      </c>
      <c r="EA63" s="118">
        <f t="shared" si="540"/>
        <v>0.89462532299741604</v>
      </c>
      <c r="EB63" s="118">
        <f t="shared" si="540"/>
        <v>0.89480128205128207</v>
      </c>
      <c r="EC63" s="118">
        <f t="shared" si="541"/>
        <v>0.89463422391857506</v>
      </c>
      <c r="ED63" s="118">
        <f t="shared" si="541"/>
        <v>0.89543244949494949</v>
      </c>
      <c r="EE63" s="118">
        <f t="shared" si="541"/>
        <v>0.89525532581453637</v>
      </c>
      <c r="EF63" s="118">
        <f t="shared" si="541"/>
        <v>0.89542677238805968</v>
      </c>
      <c r="EG63" s="118">
        <f t="shared" si="541"/>
        <v>0.892741512345679</v>
      </c>
      <c r="EH63" s="118">
        <f t="shared" si="541"/>
        <v>0.89275199142156858</v>
      </c>
      <c r="EI63" s="118">
        <f t="shared" si="541"/>
        <v>0.89212667274939172</v>
      </c>
      <c r="EJ63" s="118">
        <f t="shared" si="541"/>
        <v>0.89290836352656999</v>
      </c>
      <c r="EK63" s="118">
        <f t="shared" si="541"/>
        <v>0.89367880695443647</v>
      </c>
      <c r="EL63" s="118">
        <f t="shared" si="541"/>
        <v>0.89265252976190479</v>
      </c>
      <c r="EM63" s="118">
        <f t="shared" si="542"/>
        <v>0.89141548463356979</v>
      </c>
      <c r="EN63" s="118">
        <f t="shared" si="542"/>
        <v>0.88979606807511735</v>
      </c>
      <c r="EO63" s="118">
        <f t="shared" si="542"/>
        <v>0.88957604895104891</v>
      </c>
      <c r="EP63" s="118">
        <f t="shared" si="542"/>
        <v>0.88983434606481482</v>
      </c>
      <c r="EQ63" s="118">
        <f t="shared" si="542"/>
        <v>0.89016522988505753</v>
      </c>
      <c r="ER63" s="118">
        <f t="shared" si="542"/>
        <v>0.89091752283105019</v>
      </c>
      <c r="ES63" s="118">
        <f t="shared" si="542"/>
        <v>0.8904117063492063</v>
      </c>
      <c r="ET63" s="118">
        <f t="shared" si="542"/>
        <v>0.88990990990990992</v>
      </c>
      <c r="EU63" s="118">
        <f t="shared" si="542"/>
        <v>0.89043903803131996</v>
      </c>
      <c r="EV63" s="118">
        <f t="shared" si="542"/>
        <v>0.89116944444444446</v>
      </c>
      <c r="EW63" s="118">
        <f t="shared" si="543"/>
        <v>0.89189017660044145</v>
      </c>
      <c r="EX63" s="118">
        <f t="shared" si="543"/>
        <v>0.89260142543859655</v>
      </c>
      <c r="EY63" s="118">
        <f t="shared" si="543"/>
        <v>0.89330337690631811</v>
      </c>
      <c r="EZ63" s="118">
        <f t="shared" si="543"/>
        <v>0.89399621212121216</v>
      </c>
      <c r="FA63" s="118">
        <f t="shared" si="543"/>
        <v>0.89468010752688176</v>
      </c>
      <c r="FB63" s="118">
        <f t="shared" si="543"/>
        <v>0.89535523504273506</v>
      </c>
      <c r="FC63" s="118">
        <f t="shared" si="543"/>
        <v>0.89602176220806795</v>
      </c>
      <c r="FD63" s="118">
        <f t="shared" si="543"/>
        <v>0.89481803797468351</v>
      </c>
      <c r="FE63" s="118">
        <f t="shared" si="543"/>
        <v>0.89336674528301885</v>
      </c>
      <c r="FF63" s="118">
        <f t="shared" si="543"/>
        <v>0.89400065104166671</v>
      </c>
      <c r="FG63" s="118">
        <f t="shared" si="544"/>
        <v>0.8939117494824016</v>
      </c>
      <c r="FH63" s="118">
        <f t="shared" si="544"/>
        <v>0.89411201131687246</v>
      </c>
      <c r="FI63" s="118">
        <f t="shared" si="544"/>
        <v>0.89467344069529653</v>
      </c>
      <c r="FJ63" s="118">
        <f t="shared" si="544"/>
        <v>0.89514735772357723</v>
      </c>
      <c r="FK63" s="118">
        <f t="shared" si="544"/>
        <v>0.89578282828282829</v>
      </c>
      <c r="FL63" s="118">
        <f t="shared" si="544"/>
        <v>0.89612387048192776</v>
      </c>
      <c r="FM63" s="118">
        <f t="shared" si="544"/>
        <v>0.89582709580838327</v>
      </c>
      <c r="FN63" s="118">
        <f t="shared" si="544"/>
        <v>0.89644717261904761</v>
      </c>
      <c r="FO63" s="118">
        <f t="shared" si="544"/>
        <v>0.89671659270216963</v>
      </c>
      <c r="FP63" s="118">
        <f t="shared" si="544"/>
        <v>0.89732414215686274</v>
      </c>
      <c r="FQ63" s="118">
        <f t="shared" si="545"/>
        <v>0.8978782894736842</v>
      </c>
      <c r="FR63" s="118">
        <f t="shared" si="545"/>
        <v>0.89847202034883722</v>
      </c>
      <c r="FS63" s="118">
        <f t="shared" si="545"/>
        <v>0.89796905105973024</v>
      </c>
      <c r="FT63" s="118">
        <f t="shared" si="545"/>
        <v>0.89623982279693482</v>
      </c>
      <c r="FU63" s="118">
        <f t="shared" si="545"/>
        <v>0.89683273809523811</v>
      </c>
      <c r="FV63" s="118">
        <f t="shared" si="545"/>
        <v>0.89711529356060604</v>
      </c>
      <c r="FW63" s="118">
        <f t="shared" si="545"/>
        <v>0.89691854990583808</v>
      </c>
      <c r="FX63" s="118">
        <f t="shared" si="545"/>
        <v>0.89732736423220971</v>
      </c>
      <c r="FY63" s="118">
        <f t="shared" si="545"/>
        <v>0.89790095437616391</v>
      </c>
      <c r="FZ63" s="118">
        <f t="shared" si="545"/>
        <v>0.89845775462962962</v>
      </c>
      <c r="GA63" s="118">
        <f>IF(OR(GA$13="",GA$17="",GA$14="",GA$15="",GA$16="",GA$18="",GA$19="",GA$20="",GA$21=""),"",1-(SUMIFS(GA$80:GA$88,$A$80:$A$88,$B63)/(COUNTIFS($A$53:$A$61,$B63)*GA$4)))</f>
        <v>0.89667069521178633</v>
      </c>
      <c r="GB63" s="118">
        <f>IF(OR(GB$13="",GB$17="",GB$14="",GB$15="",GB$16="",GB$18="",GB$19="",GB$20="",GB$21=""),"",1-(SUMIFS(GB$80:GB$88,$A$80:$A$88,$B63)/(COUNTIFS($A$53:$A$61,$B63)*GB$4)))</f>
        <v>0.89596039377289383</v>
      </c>
      <c r="GC63" s="118">
        <f t="shared" si="546"/>
        <v>0.89652891621129327</v>
      </c>
      <c r="GD63" s="118">
        <f t="shared" si="546"/>
        <v>0.89709125905797105</v>
      </c>
      <c r="GE63" s="118">
        <f t="shared" si="546"/>
        <v>0.89750957207207205</v>
      </c>
      <c r="GF63" s="118">
        <f t="shared" si="546"/>
        <v>0.89738687275985662</v>
      </c>
      <c r="GG63" s="118">
        <f t="shared" si="546"/>
        <v>0.89784313725490195</v>
      </c>
      <c r="GH63" s="118">
        <f t="shared" si="546"/>
        <v>0.8983865248226951</v>
      </c>
      <c r="GI63" s="118">
        <f t="shared" si="546"/>
        <v>0.8986359126984127</v>
      </c>
      <c r="GJ63" s="118">
        <f t="shared" si="546"/>
        <v>0.89892927631578945</v>
      </c>
      <c r="GK63" s="118">
        <f t="shared" si="547"/>
        <v>0.89911376527050613</v>
      </c>
      <c r="GL63" s="118">
        <f t="shared" si="547"/>
        <v>0.89963921440972228</v>
      </c>
      <c r="GM63" s="118">
        <f t="shared" si="547"/>
        <v>0.90015921848013813</v>
      </c>
      <c r="GN63" s="118">
        <f t="shared" si="547"/>
        <v>0.90067386168384878</v>
      </c>
      <c r="GO63" s="118">
        <f t="shared" si="547"/>
        <v>0.90118322649572646</v>
      </c>
      <c r="GP63" s="118">
        <f t="shared" si="547"/>
        <v>0.90168739370748296</v>
      </c>
      <c r="GQ63" s="118">
        <f t="shared" si="547"/>
        <v>0.90201723773265652</v>
      </c>
      <c r="GR63" s="118">
        <f t="shared" si="547"/>
        <v>0.90208438552188552</v>
      </c>
      <c r="GS63" s="118">
        <f t="shared" si="547"/>
        <v>0.90257642378559466</v>
      </c>
      <c r="GT63" s="118">
        <f t="shared" si="547"/>
        <v>0.90267552083333336</v>
      </c>
      <c r="GU63" s="118">
        <f t="shared" si="548"/>
        <v>0.90315972222222218</v>
      </c>
      <c r="GV63" s="118">
        <f t="shared" si="548"/>
        <v>0.89573122937293725</v>
      </c>
      <c r="GW63" s="118">
        <f t="shared" si="548"/>
        <v>0.89585385878489321</v>
      </c>
      <c r="GX63" s="118">
        <f t="shared" si="548"/>
        <v>0.89636437908496736</v>
      </c>
      <c r="GY63" s="118">
        <f t="shared" si="548"/>
        <v>0.89686991869918697</v>
      </c>
      <c r="GZ63" s="118">
        <f t="shared" si="548"/>
        <v>0.89737055016181233</v>
      </c>
      <c r="HA63" s="118">
        <f t="shared" si="548"/>
        <v>0.89786634460547499</v>
      </c>
      <c r="HB63" s="118">
        <f t="shared" si="548"/>
        <v>0.89109074519230769</v>
      </c>
      <c r="HC63" s="118">
        <f t="shared" si="548"/>
        <v>0.89161184210526312</v>
      </c>
      <c r="HD63" s="118">
        <f t="shared" si="548"/>
        <v>0.89212797619047624</v>
      </c>
      <c r="HE63" s="118">
        <f t="shared" si="549"/>
        <v>0.89263921800947865</v>
      </c>
      <c r="HF63" s="118">
        <f t="shared" si="549"/>
        <v>0.89314563679245285</v>
      </c>
      <c r="HG63" s="118">
        <f t="shared" si="549"/>
        <v>0.8936473004694836</v>
      </c>
      <c r="HH63" s="118">
        <f t="shared" si="549"/>
        <v>0.89414427570093458</v>
      </c>
      <c r="HI63" s="118">
        <f t="shared" si="549"/>
        <v>0.89463662790697673</v>
      </c>
      <c r="HJ63" s="118">
        <f t="shared" si="549"/>
        <v>0.89512125985939639</v>
      </c>
      <c r="HK63" s="118">
        <f t="shared" si="549"/>
        <v>0.89457875970728795</v>
      </c>
      <c r="HL63" s="118">
        <f t="shared" si="549"/>
        <v>0.89391555438752968</v>
      </c>
      <c r="HM63" s="118">
        <f t="shared" si="549"/>
        <v>0.89304683536275997</v>
      </c>
      <c r="HN63" s="118">
        <f t="shared" si="549"/>
        <v>0.8934216382575757</v>
      </c>
      <c r="HO63" s="118">
        <f t="shared" si="550"/>
        <v>0.89390389328808451</v>
      </c>
      <c r="HP63" s="118">
        <f t="shared" si="550"/>
        <v>0.8943818036786787</v>
      </c>
      <c r="HQ63" s="118">
        <f t="shared" si="550"/>
        <v>0.89466702478824112</v>
      </c>
      <c r="HR63" s="118">
        <f t="shared" si="550"/>
        <v>0.89513726128472226</v>
      </c>
      <c r="HS63" s="118">
        <f t="shared" si="550"/>
        <v>0.89363550668724279</v>
      </c>
      <c r="HT63" s="118">
        <f t="shared" si="550"/>
        <v>0.89299995134791876</v>
      </c>
      <c r="HU63" s="118">
        <f t="shared" si="550"/>
        <v>0.89236999561510855</v>
      </c>
      <c r="HV63" s="118">
        <f t="shared" si="550"/>
        <v>0.89181370309454189</v>
      </c>
      <c r="HW63" s="118">
        <f t="shared" si="550"/>
        <v>0.89211737324114504</v>
      </c>
      <c r="HX63" s="118">
        <f t="shared" si="550"/>
        <v>0.8917711604267311</v>
      </c>
      <c r="HY63" s="118">
        <f t="shared" si="551"/>
        <v>0.89099562089145423</v>
      </c>
      <c r="HZ63" s="118">
        <f t="shared" si="551"/>
        <v>0.8909780840916347</v>
      </c>
      <c r="IA63" s="118">
        <f t="shared" si="551"/>
        <v>0.89144598931012564</v>
      </c>
      <c r="IB63" s="118">
        <f t="shared" si="551"/>
        <v>0.89177647198480536</v>
      </c>
      <c r="IC63" s="118">
        <f t="shared" si="551"/>
        <v>0.89223699763593378</v>
      </c>
      <c r="ID63" s="118">
        <f t="shared" si="551"/>
        <v>0.88881826741996228</v>
      </c>
      <c r="IE63" s="118">
        <f t="shared" si="551"/>
        <v>0.88833670300046885</v>
      </c>
      <c r="IF63" s="118">
        <f t="shared" si="551"/>
        <v>0.88858572595704954</v>
      </c>
      <c r="IG63" s="118">
        <f t="shared" si="551"/>
        <v>0.88903358902835894</v>
      </c>
      <c r="IH63" s="118">
        <f t="shared" si="551"/>
        <v>0.88938657407407407</v>
      </c>
      <c r="II63" s="118">
        <f t="shared" si="552"/>
        <v>0.88984555094513595</v>
      </c>
      <c r="IJ63" s="118">
        <f t="shared" si="552"/>
        <v>0.88945147497704313</v>
      </c>
      <c r="IK63" s="118">
        <f t="shared" si="552"/>
        <v>0.88965656435756746</v>
      </c>
      <c r="IL63" s="118">
        <f t="shared" si="552"/>
        <v>0.88915717972070429</v>
      </c>
      <c r="IM63" s="118">
        <f t="shared" si="552"/>
        <v>0.88851417233560093</v>
      </c>
      <c r="IN63" s="118">
        <f t="shared" si="552"/>
        <v>0.8877856467366757</v>
      </c>
      <c r="IO63" s="118">
        <f t="shared" si="552"/>
        <v>0.88669038883265849</v>
      </c>
      <c r="IP63" s="118">
        <f t="shared" si="552"/>
        <v>0.88585267790471922</v>
      </c>
      <c r="IQ63" s="118">
        <f t="shared" si="552"/>
        <v>0.8852702011750706</v>
      </c>
      <c r="IR63" s="118">
        <f t="shared" si="552"/>
        <v>0.88385481481481487</v>
      </c>
      <c r="IS63" s="118">
        <f t="shared" si="553"/>
        <v>0.88177505256750777</v>
      </c>
      <c r="IT63" s="118">
        <f t="shared" si="553"/>
        <v>0.87960307126322745</v>
      </c>
      <c r="IU63" s="118">
        <f t="shared" si="553"/>
        <v>0.87864583333333335</v>
      </c>
      <c r="IV63" s="118">
        <f t="shared" si="553"/>
        <v>0.87898003472222219</v>
      </c>
      <c r="IW63" s="118">
        <f t="shared" si="553"/>
        <v>0.87944913080973131</v>
      </c>
      <c r="IX63" s="118">
        <f t="shared" si="553"/>
        <v>0.87977488199869791</v>
      </c>
      <c r="IY63" s="118">
        <f t="shared" si="553"/>
        <v>0.87987861858697225</v>
      </c>
      <c r="IZ63" s="118">
        <f t="shared" si="553"/>
        <v>0.8803309489843526</v>
      </c>
      <c r="JA63" s="118">
        <f t="shared" si="553"/>
        <v>0.8807192572036322</v>
      </c>
      <c r="JB63" s="118">
        <f t="shared" si="553"/>
        <v>0.88094097222222223</v>
      </c>
      <c r="JC63" s="118">
        <f t="shared" si="554"/>
        <v>0.8812110206470839</v>
      </c>
      <c r="JD63" s="118">
        <f t="shared" si="554"/>
        <v>0.88106372146239753</v>
      </c>
      <c r="JE63" s="118">
        <f t="shared" si="554"/>
        <v>0.8812620031509647</v>
      </c>
      <c r="JF63" s="118">
        <f t="shared" si="554"/>
        <v>0.88162312140502241</v>
      </c>
      <c r="JG63" s="118">
        <f t="shared" si="554"/>
        <v>0.88194457547169813</v>
      </c>
      <c r="JH63" s="118">
        <f t="shared" si="554"/>
        <v>0.88179452537593983</v>
      </c>
      <c r="JI63" s="118">
        <f t="shared" si="554"/>
        <v>0.8820906484082397</v>
      </c>
      <c r="JJ63" s="118">
        <f t="shared" si="554"/>
        <v>0.88229182861733002</v>
      </c>
      <c r="JK63" s="118">
        <f t="shared" si="554"/>
        <v>0.88212546683532977</v>
      </c>
      <c r="JL63" s="118">
        <f t="shared" si="554"/>
        <v>0.88177145490397801</v>
      </c>
      <c r="JM63" s="118">
        <f t="shared" si="555"/>
        <v>0.88163118636394699</v>
      </c>
      <c r="JN63" s="118">
        <f t="shared" si="555"/>
        <v>0.88139004842388347</v>
      </c>
      <c r="JO63" s="118">
        <f t="shared" si="555"/>
        <v>0.88167189195835027</v>
      </c>
      <c r="JP63" s="118">
        <f t="shared" si="555"/>
        <v>0.88179694892200589</v>
      </c>
      <c r="JQ63" s="118">
        <f t="shared" si="555"/>
        <v>0.88206806607744104</v>
      </c>
      <c r="JR63" s="118">
        <f t="shared" si="555"/>
        <v>0.88236590219068711</v>
      </c>
      <c r="JS63" s="118">
        <f t="shared" si="555"/>
        <v>0.88202342600949324</v>
      </c>
      <c r="JT63" s="118">
        <f t="shared" si="555"/>
        <v>0.88201989450106577</v>
      </c>
      <c r="JU63" s="118">
        <f t="shared" si="555"/>
        <v>0.88194022343355905</v>
      </c>
      <c r="JV63" s="118">
        <f t="shared" si="555"/>
        <v>0.88221305596891531</v>
      </c>
      <c r="JW63" s="118">
        <f t="shared" si="556"/>
        <v>0.88263222658824303</v>
      </c>
      <c r="JX63" s="118">
        <f t="shared" si="556"/>
        <v>0.88304842436629893</v>
      </c>
      <c r="JY63" s="118">
        <f t="shared" si="556"/>
        <v>0.88346168081730136</v>
      </c>
      <c r="JZ63" s="118">
        <f t="shared" si="556"/>
        <v>0.88387202701160672</v>
      </c>
      <c r="KA63" s="118">
        <f t="shared" si="556"/>
        <v>0.88427949358349578</v>
      </c>
      <c r="KB63" s="118">
        <f t="shared" si="556"/>
        <v>0.88468411073879827</v>
      </c>
      <c r="KC63" s="118">
        <f t="shared" si="556"/>
        <v>0.88508590826235645</v>
      </c>
      <c r="KD63" s="118">
        <f t="shared" si="556"/>
        <v>0.88548491552533437</v>
      </c>
      <c r="KE63" s="118">
        <f t="shared" si="556"/>
        <v>0.88588116149237472</v>
      </c>
      <c r="KF63" s="118">
        <f t="shared" si="556"/>
        <v>0.88627467472860788</v>
      </c>
      <c r="KG63" s="118">
        <f t="shared" si="557"/>
        <v>0.88666548340651652</v>
      </c>
      <c r="KH63" s="118">
        <f t="shared" si="557"/>
        <v>0.88705361531265858</v>
      </c>
      <c r="KI63" s="118">
        <f t="shared" si="557"/>
        <v>0.88743909785425357</v>
      </c>
      <c r="KJ63" s="118">
        <f t="shared" si="557"/>
        <v>0.88782195806563369</v>
      </c>
      <c r="KK63" s="118">
        <f t="shared" si="557"/>
        <v>0.88820222261456372</v>
      </c>
      <c r="KL63" s="118">
        <f t="shared" si="557"/>
        <v>0.88857991780843348</v>
      </c>
      <c r="KM63" s="118">
        <f t="shared" si="557"/>
        <v>0.88895506960032422</v>
      </c>
      <c r="KN63" s="118">
        <f t="shared" si="557"/>
        <v>0.88932770359495406</v>
      </c>
      <c r="KO63" s="118">
        <f t="shared" si="557"/>
        <v>0.88969784505450267</v>
      </c>
      <c r="KP63" s="118">
        <f t="shared" si="557"/>
        <v>0.89006551890432095</v>
      </c>
      <c r="KQ63" s="118">
        <f t="shared" si="558"/>
        <v>0.89043074973852587</v>
      </c>
      <c r="KR63" s="118">
        <f t="shared" si="558"/>
        <v>0.89079356182548441</v>
      </c>
      <c r="KS63" s="118">
        <f t="shared" si="558"/>
        <v>0.89115397911318905</v>
      </c>
      <c r="KT63" s="118">
        <f t="shared" si="558"/>
        <v>0.89151202523452733</v>
      </c>
      <c r="KU63" s="118" t="str">
        <f t="shared" si="558"/>
        <v/>
      </c>
      <c r="KV63" s="118" t="str">
        <f t="shared" si="558"/>
        <v/>
      </c>
      <c r="KW63" s="118" t="str">
        <f t="shared" si="558"/>
        <v/>
      </c>
      <c r="KX63" s="118" t="str">
        <f t="shared" si="558"/>
        <v/>
      </c>
      <c r="KY63" s="118" t="str">
        <f t="shared" si="558"/>
        <v/>
      </c>
      <c r="KZ63" s="118" t="str">
        <f t="shared" si="558"/>
        <v/>
      </c>
      <c r="LA63" s="118" t="str">
        <f t="shared" si="559"/>
        <v/>
      </c>
      <c r="LB63" s="118" t="str">
        <f t="shared" si="559"/>
        <v/>
      </c>
      <c r="LC63" s="118" t="str">
        <f t="shared" si="559"/>
        <v/>
      </c>
      <c r="LD63" s="118" t="str">
        <f t="shared" si="559"/>
        <v/>
      </c>
      <c r="LE63" s="118" t="str">
        <f t="shared" si="559"/>
        <v/>
      </c>
      <c r="LF63" s="118" t="str">
        <f t="shared" si="559"/>
        <v/>
      </c>
      <c r="LG63" s="118" t="str">
        <f t="shared" si="559"/>
        <v/>
      </c>
      <c r="LH63" s="118" t="str">
        <f t="shared" si="559"/>
        <v/>
      </c>
      <c r="LI63" s="118" t="str">
        <f t="shared" si="559"/>
        <v/>
      </c>
      <c r="LJ63" s="118" t="str">
        <f t="shared" si="559"/>
        <v/>
      </c>
      <c r="LK63" s="118" t="str">
        <f t="shared" si="560"/>
        <v/>
      </c>
      <c r="LL63" s="118" t="str">
        <f t="shared" si="560"/>
        <v/>
      </c>
      <c r="LM63" s="118" t="str">
        <f t="shared" si="560"/>
        <v/>
      </c>
      <c r="LN63" s="118" t="str">
        <f t="shared" si="560"/>
        <v/>
      </c>
      <c r="LO63" s="118" t="str">
        <f t="shared" si="560"/>
        <v/>
      </c>
      <c r="LP63" s="118" t="str">
        <f t="shared" si="560"/>
        <v/>
      </c>
      <c r="LQ63" s="118" t="str">
        <f t="shared" si="560"/>
        <v/>
      </c>
      <c r="LR63" s="118" t="str">
        <f t="shared" si="560"/>
        <v/>
      </c>
      <c r="LS63" s="118" t="str">
        <f t="shared" si="560"/>
        <v/>
      </c>
      <c r="LT63" s="118" t="str">
        <f t="shared" si="560"/>
        <v/>
      </c>
      <c r="LU63" s="118" t="str">
        <f t="shared" si="561"/>
        <v/>
      </c>
      <c r="LV63" s="118" t="str">
        <f t="shared" si="561"/>
        <v/>
      </c>
      <c r="LW63" s="118" t="str">
        <f t="shared" si="561"/>
        <v/>
      </c>
      <c r="LX63" s="118" t="str">
        <f t="shared" si="561"/>
        <v/>
      </c>
      <c r="LY63" s="118" t="str">
        <f t="shared" si="561"/>
        <v/>
      </c>
      <c r="LZ63" s="118" t="str">
        <f t="shared" si="561"/>
        <v/>
      </c>
      <c r="MA63" s="118" t="str">
        <f t="shared" si="561"/>
        <v/>
      </c>
      <c r="MB63" s="118" t="str">
        <f t="shared" si="561"/>
        <v/>
      </c>
      <c r="MC63" s="118" t="str">
        <f t="shared" si="561"/>
        <v/>
      </c>
      <c r="MD63" s="118" t="str">
        <f t="shared" si="561"/>
        <v/>
      </c>
      <c r="ME63" s="118" t="str">
        <f t="shared" si="562"/>
        <v/>
      </c>
      <c r="MF63" s="118" t="str">
        <f t="shared" si="562"/>
        <v/>
      </c>
      <c r="MG63" s="118" t="str">
        <f t="shared" si="562"/>
        <v/>
      </c>
      <c r="MH63" s="118" t="str">
        <f t="shared" si="562"/>
        <v/>
      </c>
      <c r="MI63" s="118" t="str">
        <f t="shared" si="562"/>
        <v/>
      </c>
      <c r="MJ63" s="118" t="str">
        <f t="shared" si="562"/>
        <v/>
      </c>
      <c r="MK63" s="118" t="str">
        <f t="shared" si="562"/>
        <v/>
      </c>
      <c r="ML63" s="118" t="str">
        <f t="shared" si="562"/>
        <v/>
      </c>
      <c r="MM63" s="118" t="str">
        <f t="shared" si="562"/>
        <v/>
      </c>
      <c r="MN63" s="118" t="str">
        <f t="shared" si="562"/>
        <v/>
      </c>
      <c r="MO63" s="118" t="str">
        <f t="shared" si="563"/>
        <v/>
      </c>
      <c r="MP63" s="118" t="str">
        <f t="shared" si="563"/>
        <v/>
      </c>
      <c r="MQ63" s="118" t="str">
        <f t="shared" si="563"/>
        <v/>
      </c>
      <c r="MR63" s="118" t="str">
        <f t="shared" si="563"/>
        <v/>
      </c>
      <c r="MS63" s="118" t="str">
        <f t="shared" si="563"/>
        <v/>
      </c>
      <c r="MT63" s="118" t="str">
        <f t="shared" si="563"/>
        <v/>
      </c>
      <c r="MU63" s="118" t="str">
        <f t="shared" si="563"/>
        <v/>
      </c>
      <c r="MV63" s="118" t="str">
        <f t="shared" si="563"/>
        <v/>
      </c>
      <c r="MW63" s="118" t="str">
        <f t="shared" si="563"/>
        <v/>
      </c>
      <c r="MX63" s="118" t="str">
        <f t="shared" si="563"/>
        <v/>
      </c>
      <c r="MY63" s="118" t="str">
        <f t="shared" si="564"/>
        <v/>
      </c>
      <c r="MZ63" s="118" t="str">
        <f t="shared" si="564"/>
        <v/>
      </c>
      <c r="NA63" s="118" t="str">
        <f t="shared" si="564"/>
        <v/>
      </c>
      <c r="NB63" s="118" t="str">
        <f t="shared" si="564"/>
        <v/>
      </c>
      <c r="NC63" s="118" t="str">
        <f t="shared" si="564"/>
        <v/>
      </c>
      <c r="ND63" s="118" t="str">
        <f t="shared" si="564"/>
        <v/>
      </c>
      <c r="NE63" s="118" t="str">
        <f t="shared" si="564"/>
        <v/>
      </c>
      <c r="NF63" s="118" t="str">
        <f t="shared" si="564"/>
        <v/>
      </c>
      <c r="NG63" s="118" t="str">
        <f t="shared" si="564"/>
        <v/>
      </c>
      <c r="NH63" s="118" t="str">
        <f t="shared" si="564"/>
        <v/>
      </c>
      <c r="NI63" s="118" t="str">
        <f t="shared" si="565"/>
        <v/>
      </c>
      <c r="NJ63" s="118" t="str">
        <f t="shared" si="565"/>
        <v/>
      </c>
      <c r="NK63" s="118" t="str">
        <f t="shared" si="565"/>
        <v/>
      </c>
      <c r="NL63" s="118" t="str">
        <f t="shared" si="565"/>
        <v/>
      </c>
      <c r="NM63" s="118" t="str">
        <f t="shared" si="565"/>
        <v/>
      </c>
      <c r="NN63" s="118" t="str">
        <f t="shared" si="565"/>
        <v/>
      </c>
      <c r="NO63" s="118" t="str">
        <f t="shared" si="565"/>
        <v/>
      </c>
      <c r="NP63" s="118" t="str">
        <f t="shared" si="565"/>
        <v/>
      </c>
      <c r="NQ63" s="118" t="str">
        <f t="shared" si="565"/>
        <v/>
      </c>
      <c r="NR63" s="118" t="str">
        <f t="shared" si="565"/>
        <v/>
      </c>
      <c r="NS63" s="118" t="str">
        <f t="shared" si="566"/>
        <v/>
      </c>
      <c r="NT63" s="118" t="str">
        <f t="shared" si="566"/>
        <v/>
      </c>
      <c r="NU63" s="118" t="str">
        <f t="shared" si="566"/>
        <v/>
      </c>
      <c r="NV63" s="118" t="str">
        <f t="shared" si="566"/>
        <v/>
      </c>
      <c r="NW63" s="118" t="str">
        <f t="shared" si="566"/>
        <v/>
      </c>
      <c r="NX63" s="118" t="str">
        <f t="shared" si="566"/>
        <v/>
      </c>
      <c r="NY63" s="118" t="str">
        <f t="shared" si="566"/>
        <v/>
      </c>
      <c r="NZ63" s="118" t="str">
        <f t="shared" si="566"/>
        <v/>
      </c>
      <c r="OA63" s="118" t="str">
        <f t="shared" si="566"/>
        <v/>
      </c>
      <c r="OB63" s="118" t="str">
        <f t="shared" si="566"/>
        <v/>
      </c>
      <c r="OC63" s="118" t="str">
        <f t="shared" si="567"/>
        <v/>
      </c>
      <c r="OD63" s="118" t="str">
        <f t="shared" si="567"/>
        <v/>
      </c>
      <c r="OE63" s="118" t="str">
        <f t="shared" si="567"/>
        <v/>
      </c>
      <c r="OF63" s="118" t="str">
        <f t="shared" si="567"/>
        <v/>
      </c>
      <c r="OG63" s="118" t="str">
        <f t="shared" si="567"/>
        <v/>
      </c>
      <c r="OH63" s="118" t="str">
        <f t="shared" si="567"/>
        <v/>
      </c>
      <c r="OI63" s="118" t="str">
        <f t="shared" si="567"/>
        <v/>
      </c>
      <c r="OJ63" s="118" t="str">
        <f t="shared" si="567"/>
        <v/>
      </c>
      <c r="OK63" s="118" t="str">
        <f t="shared" si="567"/>
        <v/>
      </c>
      <c r="OL63" s="118" t="str">
        <f t="shared" si="567"/>
        <v/>
      </c>
      <c r="OM63" s="118" t="str">
        <f t="shared" si="568"/>
        <v/>
      </c>
      <c r="ON63" s="118" t="str">
        <f t="shared" si="568"/>
        <v/>
      </c>
      <c r="OO63" s="118" t="str">
        <f t="shared" si="568"/>
        <v/>
      </c>
      <c r="OP63" s="118" t="str">
        <f t="shared" si="568"/>
        <v/>
      </c>
      <c r="OQ63" s="118" t="str">
        <f t="shared" si="568"/>
        <v/>
      </c>
      <c r="OR63" s="118" t="str">
        <f t="shared" si="568"/>
        <v/>
      </c>
      <c r="OS63" s="118" t="str">
        <f t="shared" si="568"/>
        <v/>
      </c>
      <c r="OT63" s="118" t="str">
        <f t="shared" si="568"/>
        <v/>
      </c>
      <c r="OU63" s="118" t="str">
        <f t="shared" si="568"/>
        <v/>
      </c>
      <c r="OV63" s="118" t="str">
        <f t="shared" si="568"/>
        <v/>
      </c>
      <c r="OW63" s="118" t="str">
        <f t="shared" si="569"/>
        <v/>
      </c>
      <c r="OX63" s="118" t="str">
        <f t="shared" si="569"/>
        <v/>
      </c>
      <c r="OY63" s="118" t="str">
        <f t="shared" si="569"/>
        <v/>
      </c>
      <c r="OZ63" s="118" t="str">
        <f t="shared" si="569"/>
        <v/>
      </c>
      <c r="PA63" s="118" t="str">
        <f t="shared" si="569"/>
        <v/>
      </c>
      <c r="PB63" s="118" t="str">
        <f t="shared" si="569"/>
        <v/>
      </c>
      <c r="PC63" s="118" t="str">
        <f t="shared" si="569"/>
        <v/>
      </c>
      <c r="PD63" s="118" t="str">
        <f t="shared" si="569"/>
        <v/>
      </c>
      <c r="PE63" s="118" t="str">
        <f t="shared" si="569"/>
        <v/>
      </c>
      <c r="PF63" s="118" t="str">
        <f t="shared" si="569"/>
        <v/>
      </c>
      <c r="PG63" s="118" t="str">
        <f t="shared" si="570"/>
        <v/>
      </c>
      <c r="PH63" s="118" t="str">
        <f t="shared" si="570"/>
        <v/>
      </c>
      <c r="PI63" s="118" t="str">
        <f t="shared" si="570"/>
        <v/>
      </c>
      <c r="PJ63" s="118" t="str">
        <f t="shared" si="570"/>
        <v/>
      </c>
      <c r="PK63" s="118" t="str">
        <f t="shared" si="570"/>
        <v/>
      </c>
      <c r="PL63" s="118" t="str">
        <f t="shared" si="570"/>
        <v/>
      </c>
      <c r="PM63" s="118" t="str">
        <f t="shared" si="570"/>
        <v/>
      </c>
      <c r="PN63" s="118" t="str">
        <f t="shared" si="570"/>
        <v/>
      </c>
      <c r="PO63" s="118" t="str">
        <f t="shared" si="570"/>
        <v/>
      </c>
      <c r="PP63" s="118" t="str">
        <f t="shared" si="570"/>
        <v/>
      </c>
      <c r="PQ63" s="118" t="str">
        <f t="shared" si="571"/>
        <v/>
      </c>
      <c r="PR63" s="118" t="str">
        <f t="shared" si="571"/>
        <v/>
      </c>
      <c r="PS63" s="118" t="str">
        <f t="shared" si="571"/>
        <v/>
      </c>
      <c r="PT63" s="118" t="str">
        <f t="shared" si="571"/>
        <v/>
      </c>
      <c r="PU63" s="118" t="str">
        <f t="shared" si="571"/>
        <v/>
      </c>
      <c r="PV63" s="118" t="str">
        <f t="shared" si="571"/>
        <v/>
      </c>
      <c r="PW63" s="118" t="str">
        <f t="shared" si="571"/>
        <v/>
      </c>
      <c r="PX63" s="118" t="str">
        <f t="shared" si="571"/>
        <v/>
      </c>
      <c r="PY63" s="118" t="str">
        <f t="shared" si="571"/>
        <v/>
      </c>
      <c r="PZ63" s="118" t="str">
        <f t="shared" si="571"/>
        <v/>
      </c>
      <c r="QA63" s="118" t="str">
        <f t="shared" si="572"/>
        <v/>
      </c>
      <c r="QB63" s="118" t="str">
        <f t="shared" si="572"/>
        <v/>
      </c>
      <c r="QC63" s="118" t="str">
        <f t="shared" si="572"/>
        <v/>
      </c>
      <c r="QD63" s="118" t="str">
        <f t="shared" si="572"/>
        <v/>
      </c>
      <c r="QE63" s="118" t="str">
        <f t="shared" si="572"/>
        <v/>
      </c>
      <c r="QF63" s="118" t="str">
        <f t="shared" si="572"/>
        <v/>
      </c>
      <c r="QG63" s="118" t="str">
        <f t="shared" si="572"/>
        <v/>
      </c>
      <c r="QH63" s="118" t="str">
        <f t="shared" si="572"/>
        <v/>
      </c>
      <c r="QI63" s="118" t="str">
        <f t="shared" si="572"/>
        <v/>
      </c>
      <c r="QJ63" s="118" t="str">
        <f t="shared" si="572"/>
        <v/>
      </c>
      <c r="QK63" s="118" t="str">
        <f t="shared" si="573"/>
        <v/>
      </c>
      <c r="QL63" s="118" t="str">
        <f t="shared" si="573"/>
        <v/>
      </c>
      <c r="QM63" s="118" t="str">
        <f t="shared" si="573"/>
        <v/>
      </c>
      <c r="QN63" s="118" t="str">
        <f t="shared" si="573"/>
        <v/>
      </c>
      <c r="QO63" s="118" t="str">
        <f t="shared" si="573"/>
        <v/>
      </c>
      <c r="QP63" s="118" t="str">
        <f t="shared" si="573"/>
        <v/>
      </c>
      <c r="QQ63" s="118" t="str">
        <f t="shared" si="573"/>
        <v/>
      </c>
      <c r="QR63" s="118" t="str">
        <f t="shared" si="573"/>
        <v/>
      </c>
      <c r="QS63" s="118" t="str">
        <f t="shared" si="573"/>
        <v/>
      </c>
      <c r="QT63" s="118" t="str">
        <f t="shared" si="573"/>
        <v/>
      </c>
      <c r="QU63" s="118" t="str">
        <f t="shared" si="574"/>
        <v/>
      </c>
      <c r="QV63" s="118" t="str">
        <f t="shared" si="574"/>
        <v/>
      </c>
      <c r="QW63" s="118" t="str">
        <f t="shared" si="574"/>
        <v/>
      </c>
      <c r="QX63" s="118" t="str">
        <f t="shared" si="574"/>
        <v/>
      </c>
      <c r="QY63" s="118" t="str">
        <f t="shared" si="574"/>
        <v/>
      </c>
      <c r="QZ63" s="118" t="str">
        <f t="shared" si="574"/>
        <v/>
      </c>
      <c r="RA63" s="118" t="str">
        <f t="shared" si="574"/>
        <v/>
      </c>
      <c r="RB63" s="118" t="str">
        <f t="shared" si="574"/>
        <v/>
      </c>
      <c r="RC63" s="118" t="str">
        <f t="shared" si="574"/>
        <v/>
      </c>
      <c r="RD63" s="118" t="str">
        <f t="shared" si="574"/>
        <v/>
      </c>
      <c r="RE63" s="118" t="str">
        <f t="shared" si="575"/>
        <v/>
      </c>
      <c r="RF63" s="118" t="str">
        <f t="shared" si="575"/>
        <v/>
      </c>
      <c r="RG63" s="118" t="str">
        <f t="shared" si="575"/>
        <v/>
      </c>
      <c r="RH63" s="118" t="str">
        <f t="shared" si="575"/>
        <v/>
      </c>
      <c r="RI63" s="118" t="str">
        <f t="shared" si="575"/>
        <v/>
      </c>
      <c r="RJ63" s="118" t="str">
        <f t="shared" si="575"/>
        <v/>
      </c>
      <c r="RK63" s="118" t="str">
        <f t="shared" si="575"/>
        <v/>
      </c>
      <c r="RL63" s="118" t="str">
        <f t="shared" si="575"/>
        <v/>
      </c>
      <c r="RM63" s="118" t="str">
        <f t="shared" si="575"/>
        <v/>
      </c>
      <c r="RN63" s="118" t="str">
        <f t="shared" si="575"/>
        <v/>
      </c>
      <c r="RO63" s="118" t="str">
        <f t="shared" si="576"/>
        <v/>
      </c>
      <c r="RP63" s="118" t="str">
        <f t="shared" si="576"/>
        <v/>
      </c>
      <c r="RQ63" s="118" t="str">
        <f t="shared" si="576"/>
        <v/>
      </c>
      <c r="RR63" s="118" t="str">
        <f t="shared" si="576"/>
        <v/>
      </c>
      <c r="RS63" s="118" t="str">
        <f t="shared" si="576"/>
        <v/>
      </c>
      <c r="RT63" s="118" t="str">
        <f t="shared" si="576"/>
        <v/>
      </c>
      <c r="RU63" s="118" t="str">
        <f t="shared" si="576"/>
        <v/>
      </c>
      <c r="RV63" s="118" t="str">
        <f t="shared" si="576"/>
        <v/>
      </c>
      <c r="RW63" s="118" t="str">
        <f t="shared" si="576"/>
        <v/>
      </c>
      <c r="RX63" s="118" t="str">
        <f t="shared" si="576"/>
        <v/>
      </c>
      <c r="RY63" s="118" t="str">
        <f t="shared" si="577"/>
        <v/>
      </c>
      <c r="RZ63" s="118" t="str">
        <f t="shared" si="577"/>
        <v/>
      </c>
      <c r="SA63" s="118" t="str">
        <f t="shared" si="577"/>
        <v/>
      </c>
      <c r="SB63" s="118" t="str">
        <f t="shared" si="577"/>
        <v/>
      </c>
      <c r="SC63" s="118" t="str">
        <f t="shared" si="577"/>
        <v/>
      </c>
      <c r="SD63" s="118" t="str">
        <f t="shared" si="577"/>
        <v/>
      </c>
      <c r="SE63" s="118" t="str">
        <f t="shared" si="577"/>
        <v/>
      </c>
      <c r="SF63" s="118" t="str">
        <f t="shared" si="577"/>
        <v/>
      </c>
      <c r="SG63" s="118" t="str">
        <f t="shared" si="577"/>
        <v/>
      </c>
      <c r="SH63" s="118" t="str">
        <f t="shared" si="577"/>
        <v/>
      </c>
      <c r="SI63" s="118" t="str">
        <f t="shared" si="578"/>
        <v/>
      </c>
      <c r="SJ63" s="118" t="str">
        <f t="shared" si="578"/>
        <v/>
      </c>
      <c r="SK63" s="118" t="str">
        <f t="shared" si="578"/>
        <v/>
      </c>
      <c r="SL63" s="118" t="str">
        <f t="shared" si="578"/>
        <v/>
      </c>
      <c r="SM63" s="118" t="str">
        <f t="shared" si="578"/>
        <v/>
      </c>
      <c r="SN63" s="118" t="str">
        <f t="shared" si="578"/>
        <v/>
      </c>
      <c r="SO63" s="118" t="str">
        <f t="shared" si="578"/>
        <v/>
      </c>
      <c r="SP63" s="118" t="str">
        <f t="shared" si="578"/>
        <v/>
      </c>
      <c r="SQ63" s="118" t="str">
        <f t="shared" si="578"/>
        <v/>
      </c>
      <c r="SR63" s="118" t="str">
        <f t="shared" si="578"/>
        <v/>
      </c>
      <c r="SS63" s="118" t="str">
        <f t="shared" si="578"/>
        <v/>
      </c>
      <c r="ST63" s="118" t="str">
        <f t="shared" si="578"/>
        <v/>
      </c>
      <c r="SU63" s="118" t="str">
        <f t="shared" si="578"/>
        <v/>
      </c>
      <c r="SV63" s="118" t="str">
        <f t="shared" si="578"/>
        <v/>
      </c>
      <c r="SW63" s="118" t="str">
        <f t="shared" si="578"/>
        <v/>
      </c>
    </row>
    <row r="64" spans="1:517" ht="24.6" customHeight="1" x14ac:dyDescent="0.2">
      <c r="A64" s="85">
        <f>SUM(A62:A63)</f>
        <v>9</v>
      </c>
    </row>
    <row r="65" spans="1:517" ht="24.6" customHeight="1" x14ac:dyDescent="0.2">
      <c r="B65" s="112" t="s">
        <v>32</v>
      </c>
    </row>
    <row r="66" spans="1:517" ht="24.6" customHeight="1" x14ac:dyDescent="0.2">
      <c r="A66" s="113" t="s">
        <v>86</v>
      </c>
      <c r="B66" s="119" t="s">
        <v>77</v>
      </c>
      <c r="C66" s="114">
        <f>IF(OR(C$13="",C$17="",C$14="",C$15="",C$16="",C$18="",C$19="",C$20="",C$21=""),"",SUM($C13:C13))</f>
        <v>0</v>
      </c>
      <c r="D66" s="114">
        <f>IF(OR(D$13="",D$17="",D$14="",D$15="",D$16="",D$18="",D$19="",D$20="",D$21=""),"",SUM($C13:D13))</f>
        <v>0</v>
      </c>
      <c r="E66" s="114">
        <f>IF(OR(E$13="",E$17="",E$14="",E$15="",E$16="",E$18="",E$19="",E$20="",E$21=""),"",SUM($C13:E13))</f>
        <v>2.4</v>
      </c>
      <c r="F66" s="114">
        <f>IF(OR(F$13="",F$17="",F$14="",F$15="",F$16="",F$18="",F$19="",F$20="",F$21=""),"",SUM($C13:F13))</f>
        <v>2.4</v>
      </c>
      <c r="G66" s="114">
        <f>IF(OR(G$13="",G$17="",G$14="",G$15="",G$16="",G$18="",G$19="",G$20="",G$21=""),"",SUM($C13:G13))</f>
        <v>2.4</v>
      </c>
      <c r="H66" s="114">
        <f>IF(OR(H$13="",H$17="",H$14="",H$15="",H$16="",H$18="",H$19="",H$20="",H$21=""),"",SUM($C13:H13))</f>
        <v>9.6199999999999992</v>
      </c>
      <c r="I66" s="114">
        <f>IF(OR(I$13="",I$17="",I$14="",I$15="",I$16="",I$18="",I$19="",I$20="",I$21=""),"",SUM($C13:I13))</f>
        <v>11.09</v>
      </c>
      <c r="J66" s="114">
        <f>IF(OR(J$13="",J$17="",J$14="",J$15="",J$16="",J$18="",J$19="",J$20="",J$21=""),"",SUM($C13:J13))</f>
        <v>37.590000000000003</v>
      </c>
      <c r="K66" s="114">
        <f>IF(OR(K$13="",K$17="",K$14="",K$15="",K$16="",K$18="",K$19="",K$20="",K$21=""),"",SUM($C13:K13))</f>
        <v>37.590000000000003</v>
      </c>
      <c r="L66" s="114">
        <f>IF(OR(L$13="",L$17="",L$14="",L$15="",L$16="",L$18="",L$19="",L$20="",L$21=""),"",SUM($C13:L13))</f>
        <v>37.590000000000003</v>
      </c>
      <c r="M66" s="114">
        <f>IF(OR(M$13="",M$17="",M$14="",M$15="",M$16="",M$18="",M$19="",M$20="",M$21=""),"",SUM($C13:M13))</f>
        <v>37.590000000000003</v>
      </c>
      <c r="N66" s="114">
        <f>IF(OR(N$13="",N$17="",N$14="",N$15="",N$16="",N$18="",N$19="",N$20="",N$21=""),"",SUM($C13:N13))</f>
        <v>46.190000000000005</v>
      </c>
      <c r="O66" s="114">
        <f>IF(OR(O$13="",O$17="",O$14="",O$15="",O$16="",O$18="",O$19="",O$20="",O$21=""),"",SUM($C13:O13))</f>
        <v>46.190000000000005</v>
      </c>
      <c r="P66" s="114">
        <f>IF(OR(P$13="",P$17="",P$14="",P$15="",P$16="",P$18="",P$19="",P$20="",P$21=""),"",SUM($C13:P13))</f>
        <v>46.190000000000005</v>
      </c>
      <c r="Q66" s="114">
        <f>IF(OR(Q$13="",Q$17="",Q$14="",Q$15="",Q$16="",Q$18="",Q$19="",Q$20="",Q$21=""),"",SUM($C13:Q13))</f>
        <v>46.190000000000005</v>
      </c>
      <c r="R66" s="114">
        <f>IF(OR(R$13="",R$17="",R$14="",R$15="",R$16="",R$18="",R$19="",R$20="",R$21=""),"",SUM($C13:R13))</f>
        <v>66.5</v>
      </c>
      <c r="S66" s="114">
        <f>IF(OR(S$13="",S$17="",S$14="",S$15="",S$16="",S$18="",S$19="",S$20="",S$21=""),"",SUM($C13:S13))</f>
        <v>66.5</v>
      </c>
      <c r="T66" s="114">
        <f>IF(OR(T$13="",T$17="",T$14="",T$15="",T$16="",T$18="",T$19="",T$20="",T$21=""),"",SUM($C13:T13))</f>
        <v>66.5</v>
      </c>
      <c r="U66" s="114">
        <f>IF(OR(U$13="",U$17="",U$14="",U$15="",U$16="",U$18="",U$19="",U$20="",U$21=""),"",SUM($C13:U13))</f>
        <v>66.5</v>
      </c>
      <c r="V66" s="114">
        <f>IF(OR(V$13="",V$17="",V$14="",V$15="",V$16="",V$18="",V$19="",V$20="",V$21=""),"",SUM($C13:V13))</f>
        <v>71.599999999999994</v>
      </c>
      <c r="W66" s="114">
        <f>IF(OR(W$13="",W$17="",W$14="",W$15="",W$16="",W$18="",W$19="",W$20="",W$21=""),"",SUM($C13:W13))</f>
        <v>71.819999999999993</v>
      </c>
      <c r="X66" s="114">
        <f>IF(OR(X$13="",X$17="",X$14="",X$15="",X$16="",X$18="",X$19="",X$20="",X$21=""),"",SUM($C13:X13))</f>
        <v>72.789999999999992</v>
      </c>
      <c r="Y66" s="114">
        <f>IF(OR(Y$13="",Y$17="",Y$14="",Y$15="",Y$16="",Y$18="",Y$19="",Y$20="",Y$21=""),"",SUM($C13:Y13))</f>
        <v>79.02</v>
      </c>
      <c r="Z66" s="114">
        <f>IF(OR(Z$13="",Z$17="",Z$14="",Z$15="",Z$16="",Z$18="",Z$19="",Z$20="",Z$21=""),"",SUM($C13:Z13))</f>
        <v>79.02</v>
      </c>
      <c r="AA66" s="114">
        <f>IF(OR(AA$13="",AA$17="",AA$14="",AA$15="",AA$16="",AA$18="",AA$19="",AA$20="",AA$21=""),"",SUM($C13:AA13))</f>
        <v>81.89</v>
      </c>
      <c r="AB66" s="114">
        <f>IF(OR(AB$13="",AB$17="",AB$14="",AB$15="",AB$16="",AB$18="",AB$19="",AB$20="",AB$21=""),"",SUM($C13:AB13))</f>
        <v>81.89</v>
      </c>
      <c r="AC66" s="114">
        <f>IF(OR(AC$13="",AC$17="",AC$14="",AC$15="",AC$16="",AC$18="",AC$19="",AC$20="",AC$21=""),"",SUM($C13:AC13))</f>
        <v>83.05</v>
      </c>
      <c r="AD66" s="114">
        <f>IF(OR(AD$13="",AD$17="",AD$14="",AD$15="",AD$16="",AD$18="",AD$19="",AD$20="",AD$21=""),"",SUM($C13:AD13))</f>
        <v>86.429999999999993</v>
      </c>
      <c r="AE66" s="114">
        <f>IF(OR(AE$13="",AE$17="",AE$14="",AE$15="",AE$16="",AE$18="",AE$19="",AE$20="",AE$21=""),"",SUM($C13:AE13))</f>
        <v>86.429999999999993</v>
      </c>
      <c r="AF66" s="114">
        <f>IF(OR(AF$13="",AF$17="",AF$14="",AF$15="",AF$16="",AF$18="",AF$19="",AF$20="",AF$21=""),"",SUM($C13:AF13))</f>
        <v>86.429999999999993</v>
      </c>
      <c r="AG66" s="114">
        <f>IF(OR(AG$13="",AG$17="",AG$14="",AG$15="",AG$16="",AG$18="",AG$19="",AG$20="",AG$21=""),"",SUM($C13:AG13))</f>
        <v>86.429999999999993</v>
      </c>
      <c r="AH66" s="114">
        <f>IF(OR(AH$13="",AH$17="",AH$14="",AH$15="",AH$16="",AH$18="",AH$19="",AH$20="",AH$21=""),"",SUM($AH13:AH13))</f>
        <v>0</v>
      </c>
      <c r="AI66" s="114">
        <f>IF(OR(AI$13="",AI$17="",AI$14="",AI$15="",AI$16="",AI$18="",AI$19="",AI$20="",AI$21=""),"",SUM($AH13:AI13))</f>
        <v>10.68</v>
      </c>
      <c r="AJ66" s="114">
        <f>IF(OR(AJ$13="",AJ$17="",AJ$14="",AJ$15="",AJ$16="",AJ$18="",AJ$19="",AJ$20="",AJ$21=""),"",SUM($AH13:AJ13))</f>
        <v>10.68</v>
      </c>
      <c r="AK66" s="114">
        <f>IF(OR(AK$13="",AK$17="",AK$14="",AK$15="",AK$16="",AK$18="",AK$19="",AK$20="",AK$21=""),"",SUM($AH13:AK13))</f>
        <v>10.68</v>
      </c>
      <c r="AL66" s="114">
        <f>IF(OR(AL$13="",AL$17="",AL$14="",AL$15="",AL$16="",AL$18="",AL$19="",AL$20="",AL$21=""),"",SUM($AH13:AL13))</f>
        <v>10.68</v>
      </c>
      <c r="AM66" s="114">
        <f>IF(OR(AM$13="",AM$17="",AM$14="",AM$15="",AM$16="",AM$18="",AM$19="",AM$20="",AM$21=""),"",SUM($AH13:AM13))</f>
        <v>12.83</v>
      </c>
      <c r="AN66" s="114">
        <f>IF(OR(AN$13="",AN$17="",AN$14="",AN$15="",AN$16="",AN$18="",AN$19="",AN$20="",AN$21=""),"",SUM($AH13:AN13))</f>
        <v>12.83</v>
      </c>
      <c r="AO66" s="114">
        <f>IF(OR(AO$13="",AO$17="",AO$14="",AO$15="",AO$16="",AO$18="",AO$19="",AO$20="",AO$21=""),"",SUM($AH13:AO13))</f>
        <v>12.83</v>
      </c>
      <c r="AP66" s="114">
        <f>IF(OR(AP$13="",AP$17="",AP$14="",AP$15="",AP$16="",AP$18="",AP$19="",AP$20="",AP$21=""),"",SUM($AH13:AP13))</f>
        <v>12.83</v>
      </c>
      <c r="AQ66" s="114">
        <f>IF(OR(AQ$13="",AQ$17="",AQ$14="",AQ$15="",AQ$16="",AQ$18="",AQ$19="",AQ$20="",AQ$21=""),"",SUM($AH13:AQ13))</f>
        <v>19.68</v>
      </c>
      <c r="AR66" s="114">
        <f>IF(OR(AR$13="",AR$17="",AR$14="",AR$15="",AR$16="",AR$18="",AR$19="",AR$20="",AR$21=""),"",SUM($AH13:AR13))</f>
        <v>19.68</v>
      </c>
      <c r="AS66" s="114">
        <f>IF(OR(AS$13="",AS$17="",AS$14="",AS$15="",AS$16="",AS$18="",AS$19="",AS$20="",AS$21=""),"",SUM($AH13:AS13))</f>
        <v>38.83</v>
      </c>
      <c r="AT66" s="114">
        <f>IF(OR(AT$13="",AT$17="",AT$14="",AT$15="",AT$16="",AT$18="",AT$19="",AT$20="",AT$21=""),"",SUM($AH13:AT13))</f>
        <v>38.83</v>
      </c>
      <c r="AU66" s="114">
        <f>IF(OR(AU$13="",AU$17="",AU$14="",AU$15="",AU$16="",AU$18="",AU$19="",AU$20="",AU$21=""),"",SUM($AH13:AU13))</f>
        <v>55.48</v>
      </c>
      <c r="AV66" s="114">
        <f>IF(OR(AV$13="",AV$17="",AV$14="",AV$15="",AV$16="",AV$18="",AV$19="",AV$20="",AV$21=""),"",SUM($AH13:AV13))</f>
        <v>56.949999999999996</v>
      </c>
      <c r="AW66" s="114">
        <f>IF(OR(AW$13="",AW$17="",AW$14="",AW$15="",AW$16="",AW$18="",AW$19="",AW$20="",AW$21=""),"",SUM($AH13:AW13))</f>
        <v>67.02</v>
      </c>
      <c r="AX66" s="114">
        <f>IF(OR(AX$13="",AX$17="",AX$14="",AX$15="",AX$16="",AX$18="",AX$19="",AX$20="",AX$21=""),"",SUM($AH13:AX13))</f>
        <v>67.02</v>
      </c>
      <c r="AY66" s="114">
        <f>IF(OR(AY$13="",AY$17="",AY$14="",AY$15="",AY$16="",AY$18="",AY$19="",AY$20="",AY$21=""),"",SUM($AH13:AY13))</f>
        <v>67.02</v>
      </c>
      <c r="AZ66" s="114">
        <f>IF(OR(AZ$13="",AZ$17="",AZ$14="",AZ$15="",AZ$16="",AZ$18="",AZ$19="",AZ$20="",AZ$21=""),"",SUM($AH13:AZ13))</f>
        <v>67.02</v>
      </c>
      <c r="BA66" s="114">
        <f>IF(OR(BA$13="",BA$17="",BA$14="",BA$15="",BA$16="",BA$18="",BA$19="",BA$20="",BA$21=""),"",SUM($AH13:BA13))</f>
        <v>74.259999999999991</v>
      </c>
      <c r="BB66" s="114">
        <f>IF(OR(BB$13="",BB$17="",BB$14="",BB$15="",BB$16="",BB$18="",BB$19="",BB$20="",BB$21=""),"",SUM($AH13:BB13))</f>
        <v>75.539999999999992</v>
      </c>
      <c r="BC66" s="114">
        <f>IF(OR(BC$13="",BC$17="",BC$14="",BC$15="",BC$16="",BC$18="",BC$19="",BC$20="",BC$21=""),"",SUM($AH13:BC13))</f>
        <v>80.97</v>
      </c>
      <c r="BD66" s="114">
        <f>IF(OR(BD$13="",BD$17="",BD$14="",BD$15="",BD$16="",BD$18="",BD$19="",BD$20="",BD$21=""),"",SUM($AH13:BD13))</f>
        <v>80.97</v>
      </c>
      <c r="BE66" s="114">
        <f>IF(OR(BE$13="",BE$17="",BE$14="",BE$15="",BE$16="",BE$18="",BE$19="",BE$20="",BE$21=""),"",SUM($AH13:BE13))</f>
        <v>83.7</v>
      </c>
      <c r="BF66" s="114">
        <f>IF(OR(BF$13="",BF$17="",BF$14="",BF$15="",BF$16="",BF$18="",BF$19="",BF$20="",BF$21=""),"",SUM($AH13:BF13))</f>
        <v>83.7</v>
      </c>
      <c r="BG66" s="114">
        <f>IF(OR(BG$13="",BG$17="",BG$14="",BG$15="",BG$16="",BG$18="",BG$19="",BG$20="",BG$21=""),"",SUM($AH13:BG13))</f>
        <v>83.7</v>
      </c>
      <c r="BH66" s="114">
        <f>IF(OR(BH$13="",BH$17="",BH$14="",BH$15="",BH$16="",BH$18="",BH$19="",BH$20="",BH$21=""),"",SUM($AH13:BH13))</f>
        <v>87.5</v>
      </c>
      <c r="BI66" s="114">
        <f>IF(OR(BI$13="",BI$17="",BI$14="",BI$15="",BI$16="",BI$18="",BI$19="",BI$20="",BI$21=""),"",SUM($AH13:BI13))</f>
        <v>87.7</v>
      </c>
      <c r="BJ66" s="114">
        <f>IF(OR(BJ$13="",BJ$17="",BJ$14="",BJ$15="",BJ$16="",BJ$18="",BJ$19="",BJ$20="",BJ$21=""),"",SUM($BJ13:BJ13))</f>
        <v>0</v>
      </c>
      <c r="BK66" s="114">
        <f>IF(OR(BK$13="",BK$17="",BK$14="",BK$15="",BK$16="",BK$18="",BK$19="",BK$20="",BK$21=""),"",SUM($BJ13:BK13))</f>
        <v>1.27</v>
      </c>
      <c r="BL66" s="114">
        <f>IF(OR(BL$13="",BL$17="",BL$14="",BL$15="",BL$16="",BL$18="",BL$19="",BL$20="",BL$21=""),"",SUM($BJ13:BL13))</f>
        <v>1.27</v>
      </c>
      <c r="BM66" s="114">
        <f>IF(OR(BM$13="",BM$17="",BM$14="",BM$15="",BM$16="",BM$18="",BM$19="",BM$20="",BM$21=""),"",SUM($BJ13:BM13))</f>
        <v>1.27</v>
      </c>
      <c r="BN66" s="114">
        <f>IF(OR(BN$13="",BN$17="",BN$14="",BN$15="",BN$16="",BN$18="",BN$19="",BN$20="",BN$21=""),"",SUM($BJ13:BN13))</f>
        <v>1.27</v>
      </c>
      <c r="BO66" s="114">
        <f>IF(OR(BO$13="",BO$17="",BO$14="",BO$15="",BO$16="",BO$18="",BO$19="",BO$20="",BO$21=""),"",SUM($BJ13:BO13))</f>
        <v>1.27</v>
      </c>
      <c r="BP66" s="114">
        <f>IF(OR(BP$13="",BP$17="",BP$14="",BP$15="",BP$16="",BP$18="",BP$19="",BP$20="",BP$21=""),"",SUM($BJ13:BP13))</f>
        <v>1.27</v>
      </c>
      <c r="BQ66" s="114">
        <f>IF(OR(BQ$13="",BQ$17="",BQ$14="",BQ$15="",BQ$16="",BQ$18="",BQ$19="",BQ$20="",BQ$21=""),"",SUM($BJ13:BQ13))</f>
        <v>1.27</v>
      </c>
      <c r="BR66" s="114">
        <f>IF(OR(BR$13="",BR$17="",BR$14="",BR$15="",BR$16="",BR$18="",BR$19="",BR$20="",BR$21=""),"",SUM($BJ13:BR13))</f>
        <v>3.55</v>
      </c>
      <c r="BS66" s="114">
        <f>IF(OR(BS$13="",BS$17="",BS$14="",BS$15="",BS$16="",BS$18="",BS$19="",BS$20="",BS$21=""),"",SUM($BJ13:BS13))</f>
        <v>3.55</v>
      </c>
      <c r="BT66" s="114">
        <f>IF(OR(BT$13="",BT$17="",BT$14="",BT$15="",BT$16="",BT$18="",BT$19="",BT$20="",BT$21=""),"",SUM($BJ13:BT13))</f>
        <v>3.55</v>
      </c>
      <c r="BU66" s="114">
        <f>IF(OR(BU$13="",BU$17="",BU$14="",BU$15="",BU$16="",BU$18="",BU$19="",BU$20="",BU$21=""),"",SUM($BJ13:BU13))</f>
        <v>3.55</v>
      </c>
      <c r="BV66" s="114">
        <f>IF(OR(BV$13="",BV$17="",BV$14="",BV$15="",BV$16="",BV$18="",BV$19="",BV$20="",BV$21=""),"",SUM($BJ13:BV13))</f>
        <v>3.55</v>
      </c>
      <c r="BW66" s="114">
        <f>IF(OR(BW$13="",BW$17="",BW$14="",BW$15="",BW$16="",BW$18="",BW$19="",BW$20="",BW$21=""),"",SUM($BJ13:BW13))</f>
        <v>3.55</v>
      </c>
      <c r="BX66" s="114">
        <f>IF(OR(BX$13="",BX$17="",BX$14="",BX$15="",BX$16="",BX$18="",BX$19="",BX$20="",BX$21=""),"",SUM($BJ13:BX13))</f>
        <v>3.55</v>
      </c>
      <c r="BY66" s="114">
        <f>IF(OR(BY$13="",BY$17="",BY$14="",BY$15="",BY$16="",BY$18="",BY$19="",BY$20="",BY$21=""),"",SUM($BJ13:BY13))</f>
        <v>8.75</v>
      </c>
      <c r="BZ66" s="114">
        <f>IF(OR(BZ$13="",BZ$17="",BZ$14="",BZ$15="",BZ$16="",BZ$18="",BZ$19="",BZ$20="",BZ$21=""),"",SUM($BJ13:BZ13))</f>
        <v>8.75</v>
      </c>
      <c r="CA66" s="114">
        <f>IF(OR(CA$13="",CA$17="",CA$14="",CA$15="",CA$16="",CA$18="",CA$19="",CA$20="",CA$21=""),"",SUM($BJ13:CA13))</f>
        <v>8.75</v>
      </c>
      <c r="CB66" s="114">
        <f>IF(OR(CB$13="",CB$17="",CB$14="",CB$15="",CB$16="",CB$18="",CB$19="",CB$20="",CB$21=""),"",SUM($BJ13:CB13))</f>
        <v>32.519999999999996</v>
      </c>
      <c r="CC66" s="114">
        <f>IF(OR(CC$13="",CC$17="",CC$14="",CC$15="",CC$16="",CC$18="",CC$19="",CC$20="",CC$21=""),"",SUM($BJ13:CC13))</f>
        <v>42.879999999999995</v>
      </c>
      <c r="CD66" s="114">
        <f>IF(OR(CD$13="",CD$17="",CD$14="",CD$15="",CD$16="",CD$18="",CD$19="",CD$20="",CD$21=""),"",SUM($BJ13:CD13))</f>
        <v>48.679999999999993</v>
      </c>
      <c r="CE66" s="114">
        <f>IF(OR(CE$13="",CE$17="",CE$14="",CE$15="",CE$16="",CE$18="",CE$19="",CE$20="",CE$21=""),"",SUM($BJ13:CE13))</f>
        <v>48.679999999999993</v>
      </c>
      <c r="CF66" s="114">
        <f>IF(OR(CF$13="",CF$17="",CF$14="",CF$15="",CF$16="",CF$18="",CF$19="",CF$20="",CF$21=""),"",SUM($BJ13:CF13))</f>
        <v>63.279999999999994</v>
      </c>
      <c r="CG66" s="114">
        <f>IF(OR(CG$13="",CG$17="",CG$14="",CG$15="",CG$16="",CG$18="",CG$19="",CG$20="",CG$21=""),"",SUM($BJ13:CG13))</f>
        <v>63.599999999999994</v>
      </c>
      <c r="CH66" s="114">
        <f>IF(OR(CH$13="",CH$17="",CH$14="",CH$15="",CH$16="",CH$18="",CH$19="",CH$20="",CH$21=""),"",SUM($BJ13:CH13))</f>
        <v>67.8</v>
      </c>
      <c r="CI66" s="114">
        <f>IF(OR(CI$13="",CI$17="",CI$14="",CI$15="",CI$16="",CI$18="",CI$19="",CI$20="",CI$21=""),"",SUM($BJ13:CI13))</f>
        <v>76.099999999999994</v>
      </c>
      <c r="CJ66" s="114">
        <f>IF(OR(CJ$13="",CJ$17="",CJ$14="",CJ$15="",CJ$16="",CJ$18="",CJ$19="",CJ$20="",CJ$21=""),"",SUM($BJ13:CJ13))</f>
        <v>76.099999999999994</v>
      </c>
      <c r="CK66" s="114">
        <f>IF(OR(CK$13="",CK$17="",CK$14="",CK$15="",CK$16="",CK$18="",CK$19="",CK$20="",CK$21=""),"",SUM($BJ13:CK13))</f>
        <v>76.099999999999994</v>
      </c>
      <c r="CL66" s="114">
        <f>IF(OR(CL$13="",CL$17="",CL$14="",CL$15="",CL$16="",CL$18="",CL$19="",CL$20="",CL$21=""),"",SUM($BJ13:CL13))</f>
        <v>76.099999999999994</v>
      </c>
      <c r="CM66" s="114">
        <f>IF(OR(CM$13="",CM$17="",CM$14="",CM$15="",CM$16="",CM$18="",CM$19="",CM$20="",CM$21=""),"",SUM($BJ13:CM13))</f>
        <v>79.289999999999992</v>
      </c>
      <c r="CN66" s="114">
        <f>IF(OR(CN$13="",CN$17="",CN$14="",CN$15="",CN$16="",CN$18="",CN$19="",CN$20="",CN$21=""),"",SUM($BJ13:CN13))</f>
        <v>79.289999999999992</v>
      </c>
      <c r="CO66" s="114">
        <f>IF(OR(CO$13="",CO$17="",CO$14="",CO$15="",CO$16="",CO$18="",CO$19="",CO$20="",CO$21=""),"",SUM($CO13:CO13))</f>
        <v>0</v>
      </c>
      <c r="CP66" s="114">
        <f>IF(OR(CP$13="",CP$17="",CP$14="",CP$15="",CP$16="",CP$18="",CP$19="",CP$20="",CP$21=""),"",SUM($CO13:CP13))</f>
        <v>6.12</v>
      </c>
      <c r="CQ66" s="114">
        <f>IF(OR(CQ$13="",CQ$17="",CQ$14="",CQ$15="",CQ$16="",CQ$18="",CQ$19="",CQ$20="",CQ$21=""),"",SUM($CO13:CQ13))</f>
        <v>6.12</v>
      </c>
      <c r="CR66" s="114">
        <f>IF(OR(CR$13="",CR$17="",CR$14="",CR$15="",CR$16="",CR$18="",CR$19="",CR$20="",CR$21=""),"",SUM($CO13:CR13))</f>
        <v>6.12</v>
      </c>
      <c r="CS66" s="114">
        <f>IF(OR(CS$13="",CS$17="",CS$14="",CS$15="",CS$16="",CS$18="",CS$19="",CS$20="",CS$21=""),"",SUM($CO13:CS13))</f>
        <v>6.12</v>
      </c>
      <c r="CT66" s="114">
        <f>IF(OR(CT$13="",CT$17="",CT$14="",CT$15="",CT$16="",CT$18="",CT$19="",CT$20="",CT$21=""),"",SUM($CO13:CT13))</f>
        <v>6.5200000000000005</v>
      </c>
      <c r="CU66" s="114">
        <f>IF(OR(CU$13="",CU$17="",CU$14="",CU$15="",CU$16="",CU$18="",CU$19="",CU$20="",CU$21=""),"",SUM($CO13:CU13))</f>
        <v>6.5200000000000005</v>
      </c>
      <c r="CV66" s="114">
        <f>IF(OR(CV$13="",CV$17="",CV$14="",CV$15="",CV$16="",CV$18="",CV$19="",CV$20="",CV$21=""),"",SUM($CO13:CV13))</f>
        <v>7.12</v>
      </c>
      <c r="CW66" s="114">
        <f>IF(OR(CW$13="",CW$17="",CW$14="",CW$15="",CW$16="",CW$18="",CW$19="",CW$20="",CW$21=""),"",SUM($CO13:CW13))</f>
        <v>7.12</v>
      </c>
      <c r="CX66" s="114">
        <f>IF(OR(CX$13="",CX$17="",CX$14="",CX$15="",CX$16="",CX$18="",CX$19="",CX$20="",CX$21=""),"",SUM($CO13:CX13))</f>
        <v>7.12</v>
      </c>
      <c r="CY66" s="114">
        <f>IF(OR(CY$13="",CY$17="",CY$14="",CY$15="",CY$16="",CY$18="",CY$19="",CY$20="",CY$21=""),"",SUM($CO13:CY13))</f>
        <v>7.12</v>
      </c>
      <c r="CZ66" s="114">
        <f>IF(OR(CZ$13="",CZ$17="",CZ$14="",CZ$15="",CZ$16="",CZ$18="",CZ$19="",CZ$20="",CZ$21=""),"",SUM($CO13:CZ13))</f>
        <v>7.12</v>
      </c>
      <c r="DA66" s="114">
        <f>IF(OR(DA$13="",DA$17="",DA$14="",DA$15="",DA$16="",DA$18="",DA$19="",DA$20="",DA$21=""),"",SUM($CO13:DA13))</f>
        <v>11.74</v>
      </c>
      <c r="DB66" s="114">
        <f>IF(OR(DB$13="",DB$17="",DB$14="",DB$15="",DB$16="",DB$18="",DB$19="",DB$20="",DB$21=""),"",SUM($CO13:DB13))</f>
        <v>11.74</v>
      </c>
      <c r="DC66" s="114">
        <f>IF(OR(DC$13="",DC$17="",DC$14="",DC$15="",DC$16="",DC$18="",DC$19="",DC$20="",DC$21=""),"",SUM($CO13:DC13))</f>
        <v>11.74</v>
      </c>
      <c r="DD66" s="114">
        <f>IF(OR(DD$13="",DD$17="",DD$14="",DD$15="",DD$16="",DD$18="",DD$19="",DD$20="",DD$21=""),"",SUM($CO13:DD13))</f>
        <v>12.82</v>
      </c>
      <c r="DE66" s="114">
        <f>IF(OR(DE$13="",DE$17="",DE$14="",DE$15="",DE$16="",DE$18="",DE$19="",DE$20="",DE$21=""),"",SUM($CO13:DE13))</f>
        <v>12.82</v>
      </c>
      <c r="DF66" s="114">
        <f>IF(OR(DF$13="",DF$17="",DF$14="",DF$15="",DF$16="",DF$18="",DF$19="",DF$20="",DF$21=""),"",SUM($CO13:DF13))</f>
        <v>12.82</v>
      </c>
      <c r="DG66" s="114">
        <f>IF(OR(DG$13="",DG$17="",DG$14="",DG$15="",DG$16="",DG$18="",DG$19="",DG$20="",DG$21=""),"",SUM($CO13:DG13))</f>
        <v>12.82</v>
      </c>
      <c r="DH66" s="114">
        <f>IF(OR(DH$13="",DH$17="",DH$14="",DH$15="",DH$16="",DH$18="",DH$19="",DH$20="",DH$21=""),"",SUM($CO13:DH13))</f>
        <v>12.82</v>
      </c>
      <c r="DI66" s="114">
        <f>IF(OR(DI$13="",DI$17="",DI$14="",DI$15="",DI$16="",DI$18="",DI$19="",DI$20="",DI$21=""),"",SUM($CO13:DI13))</f>
        <v>12.82</v>
      </c>
      <c r="DJ66" s="114">
        <f>IF(OR(DJ$13="",DJ$17="",DJ$14="",DJ$15="",DJ$16="",DJ$18="",DJ$19="",DJ$20="",DJ$21=""),"",SUM($CO13:DJ13))</f>
        <v>12.82</v>
      </c>
      <c r="DK66" s="114">
        <f>IF(OR(DK$13="",DK$17="",DK$14="",DK$15="",DK$16="",DK$18="",DK$19="",DK$20="",DK$21=""),"",SUM($CO13:DK13))</f>
        <v>15.09</v>
      </c>
      <c r="DL66" s="114">
        <f>IF(OR(DL$13="",DL$17="",DL$14="",DL$15="",DL$16="",DL$18="",DL$19="",DL$20="",DL$21=""),"",SUM($CO13:DL13))</f>
        <v>18.71</v>
      </c>
      <c r="DM66" s="114">
        <f>IF(OR(DM$13="",DM$17="",DM$14="",DM$15="",DM$16="",DM$18="",DM$19="",DM$20="",DM$21=""),"",SUM($CO13:DM13))</f>
        <v>18.71</v>
      </c>
      <c r="DN66" s="114">
        <f>IF(OR(DN$13="",DN$17="",DN$14="",DN$15="",DN$16="",DN$18="",DN$19="",DN$20="",DN$21=""),"",SUM($CO13:DN13))</f>
        <v>18.71</v>
      </c>
      <c r="DO66" s="114">
        <f>IF(OR(DO$13="",DO$17="",DO$14="",DO$15="",DO$16="",DO$18="",DO$19="",DO$20="",DO$21=""),"",SUM($CO13:DO13))</f>
        <v>18.71</v>
      </c>
      <c r="DP66" s="114">
        <f>IF(OR(DP$13="",DP$17="",DP$14="",DP$15="",DP$16="",DP$18="",DP$19="",DP$20="",DP$21=""),"",SUM($CO13:DP13))</f>
        <v>18.71</v>
      </c>
      <c r="DQ66" s="114">
        <f>IF(OR(DQ$13="",DQ$17="",DQ$14="",DQ$15="",DQ$16="",DQ$18="",DQ$19="",DQ$20="",DQ$21=""),"",SUM($CO13:DQ13))</f>
        <v>18.71</v>
      </c>
      <c r="DR66" s="114">
        <f>IF(OR(DR$13="",DR$17="",DR$14="",DR$15="",DR$16="",DR$18="",DR$19="",DR$20="",DR$21=""),"",SUM($CO13:DR13))</f>
        <v>18.71</v>
      </c>
      <c r="DS66" s="114">
        <f>IF(OR(DS$13="",DS$17="",DS$14="",DS$15="",DS$16="",DS$18="",DS$19="",DS$20="",DS$21=""),"",SUM($DS13:DS13))</f>
        <v>0</v>
      </c>
      <c r="DT66" s="114">
        <f>IF(OR(DT$13="",DT$17="",DT$14="",DT$15="",DT$16="",DT$18="",DT$19="",DT$20="",DT$21=""),"",SUM($DS13:DT13))</f>
        <v>3.05</v>
      </c>
      <c r="DU66" s="114">
        <f>IF(OR(DU$13="",DU$17="",DU$14="",DU$15="",DU$16="",DU$18="",DU$19="",DU$20="",DU$21=""),"",SUM($DS13:DU13))</f>
        <v>3.05</v>
      </c>
      <c r="DV66" s="114">
        <f>IF(OR(DV$13="",DV$17="",DV$14="",DV$15="",DV$16="",DV$18="",DV$19="",DV$20="",DV$21=""),"",SUM($DS13:DV13))</f>
        <v>3.05</v>
      </c>
      <c r="DW66" s="114">
        <f>IF(OR(DW$13="",DW$17="",DW$14="",DW$15="",DW$16="",DW$18="",DW$19="",DW$20="",DW$21=""),"",SUM($DS13:DW13))</f>
        <v>3.05</v>
      </c>
      <c r="DX66" s="114">
        <f>IF(OR(DX$13="",DX$17="",DX$14="",DX$15="",DX$16="",DX$18="",DX$19="",DX$20="",DX$21=""),"",SUM($DS13:DX13))</f>
        <v>3.05</v>
      </c>
      <c r="DY66" s="114">
        <f>IF(OR(DY$13="",DY$17="",DY$14="",DY$15="",DY$16="",DY$18="",DY$19="",DY$20="",DY$21=""),"",SUM($DS13:DY13))</f>
        <v>3.05</v>
      </c>
      <c r="DZ66" s="114">
        <f>IF(OR(DZ$13="",DZ$17="",DZ$14="",DZ$15="",DZ$16="",DZ$18="",DZ$19="",DZ$20="",DZ$21=""),"",SUM($DS13:DZ13))</f>
        <v>5.75</v>
      </c>
      <c r="EA66" s="114">
        <f>IF(OR(EA$13="",EA$17="",EA$14="",EA$15="",EA$16="",EA$18="",EA$19="",EA$20="",EA$21=""),"",SUM($DS13:EA13))</f>
        <v>5.75</v>
      </c>
      <c r="EB66" s="114">
        <f>IF(OR(EB$13="",EB$17="",EB$14="",EB$15="",EB$16="",EB$18="",EB$19="",EB$20="",EB$21=""),"",SUM($DS13:EB13))</f>
        <v>8.120000000000001</v>
      </c>
      <c r="EC66" s="114">
        <f>IF(OR(EC$13="",EC$17="",EC$14="",EC$15="",EC$16="",EC$18="",EC$19="",EC$20="",EC$21=""),"",SUM($DS13:EC13))</f>
        <v>25.119999999999997</v>
      </c>
      <c r="ED66" s="114">
        <f>IF(OR(ED$13="",ED$17="",ED$14="",ED$15="",ED$16="",ED$18="",ED$19="",ED$20="",ED$21=""),"",SUM($DS13:ED13))</f>
        <v>35.519999999999996</v>
      </c>
      <c r="EE66" s="114">
        <f>IF(OR(EE$13="",EE$17="",EE$14="",EE$15="",EE$16="",EE$18="",EE$19="",EE$20="",EE$21=""),"",SUM($DS13:EE13))</f>
        <v>45.819999999999993</v>
      </c>
      <c r="EF66" s="114">
        <f>IF(OR(EF$13="",EF$17="",EF$14="",EF$15="",EF$16="",EF$18="",EF$19="",EF$20="",EF$21=""),"",SUM($DS13:EF13))</f>
        <v>45.819999999999993</v>
      </c>
      <c r="EG66" s="114">
        <f>IF(OR(EG$13="",EG$17="",EG$14="",EG$15="",EG$16="",EG$18="",EG$19="",EG$20="",EG$21=""),"",SUM($DS13:EG13))</f>
        <v>53.919999999999995</v>
      </c>
      <c r="EH66" s="114">
        <f>IF(OR(EH$13="",EH$17="",EH$14="",EH$15="",EH$16="",EH$18="",EH$19="",EH$20="",EH$21=""),"",SUM($DS13:EH13))</f>
        <v>54.289999999999992</v>
      </c>
      <c r="EI66" s="114">
        <f>IF(OR(EI$13="",EI$17="",EI$14="",EI$15="",EI$16="",EI$18="",EI$19="",EI$20="",EI$21=""),"",SUM($DS13:EI13))</f>
        <v>59.569999999999993</v>
      </c>
      <c r="EJ66" s="114">
        <f>IF(OR(EJ$13="",EJ$17="",EJ$14="",EJ$15="",EJ$16="",EJ$18="",EJ$19="",EJ$20="",EJ$21=""),"",SUM($DS13:EJ13))</f>
        <v>59.569999999999993</v>
      </c>
      <c r="EK66" s="114">
        <f>IF(OR(EK$13="",EK$17="",EK$14="",EK$15="",EK$16="",EK$18="",EK$19="",EK$20="",EK$21=""),"",SUM($DS13:EK13))</f>
        <v>59.569999999999993</v>
      </c>
      <c r="EL66" s="114">
        <f>IF(OR(EL$13="",EL$17="",EL$14="",EL$15="",EL$16="",EL$18="",EL$19="",EL$20="",EL$21=""),"",SUM($DS13:EL13))</f>
        <v>59.569999999999993</v>
      </c>
      <c r="EM66" s="114">
        <f>IF(OR(EM$13="",EM$17="",EM$14="",EM$15="",EM$16="",EM$18="",EM$19="",EM$20="",EM$21=""),"",SUM($DS13:EM13))</f>
        <v>59.569999999999993</v>
      </c>
      <c r="EN66" s="114">
        <f>IF(OR(EN$13="",EN$17="",EN$14="",EN$15="",EN$16="",EN$18="",EN$19="",EN$20="",EN$21=""),"",SUM($DS13:EN13))</f>
        <v>59.569999999999993</v>
      </c>
      <c r="EO66" s="114">
        <f>IF(OR(EO$13="",EO$17="",EO$14="",EO$15="",EO$16="",EO$18="",EO$19="",EO$20="",EO$21=""),"",SUM($DS13:EO13))</f>
        <v>59.569999999999993</v>
      </c>
      <c r="EP66" s="114">
        <f>IF(OR(EP$13="",EP$17="",EP$14="",EP$15="",EP$16="",EP$18="",EP$19="",EP$20="",EP$21=""),"",SUM($DS13:EP13))</f>
        <v>59.569999999999993</v>
      </c>
      <c r="EQ66" s="114">
        <f>IF(OR(EQ$13="",EQ$17="",EQ$14="",EQ$15="",EQ$16="",EQ$18="",EQ$19="",EQ$20="",EQ$21=""),"",SUM($DS13:EQ13))</f>
        <v>59.569999999999993</v>
      </c>
      <c r="ER66" s="114">
        <f>IF(OR(ER$13="",ER$17="",ER$14="",ER$15="",ER$16="",ER$18="",ER$19="",ER$20="",ER$21=""),"",SUM($DS13:ER13))</f>
        <v>68.97</v>
      </c>
      <c r="ES66" s="114">
        <f>IF(OR(ES$13="",ES$17="",ES$14="",ES$15="",ES$16="",ES$18="",ES$19="",ES$20="",ES$21=""),"",SUM($DS13:ES13))</f>
        <v>68.97</v>
      </c>
      <c r="ET66" s="114">
        <f>IF(OR(ET$13="",ET$17="",ET$14="",ET$15="",ET$16="",ET$18="",ET$19="",ET$20="",ET$21=""),"",SUM($DS13:ET13))</f>
        <v>68.97</v>
      </c>
      <c r="EU66" s="114">
        <f>IF(OR(EU$13="",EU$17="",EU$14="",EU$15="",EU$16="",EU$18="",EU$19="",EU$20="",EU$21=""),"",SUM($DS13:EU13))</f>
        <v>68.97</v>
      </c>
      <c r="EV66" s="114">
        <f>IF(OR(EV$13="",EV$17="",EV$14="",EV$15="",EV$16="",EV$18="",EV$19="",EV$20="",EV$21=""),"",SUM($DS13:EV13))</f>
        <v>68.97</v>
      </c>
      <c r="EW66" s="114">
        <f>IF(OR(EW$13="",EW$17="",EW$14="",EW$15="",EW$16="",EW$18="",EW$19="",EW$20="",EW$21=""),"",SUM($DS13:EW13))</f>
        <v>68.97</v>
      </c>
      <c r="EX66" s="114">
        <f>IF(OR(EX$13="",EX$17="",EX$14="",EX$15="",EX$16="",EX$18="",EX$19="",EX$20="",EX$21=""),"",SUM($EX13:EX13))</f>
        <v>0</v>
      </c>
      <c r="EY66" s="114">
        <f>IF(OR(EY$13="",EY$17="",EY$14="",EY$15="",EY$16="",EY$18="",EY$19="",EY$20="",EY$21=""),"",SUM($EX13:EY13))</f>
        <v>0</v>
      </c>
      <c r="EZ66" s="114">
        <f>IF(OR(EZ$13="",EZ$17="",EZ$14="",EZ$15="",EZ$16="",EZ$18="",EZ$19="",EZ$20="",EZ$21=""),"",SUM($EX13:EZ13))</f>
        <v>0</v>
      </c>
      <c r="FA66" s="114">
        <f>IF(OR(FA$13="",FA$17="",FA$14="",FA$15="",FA$16="",FA$18="",FA$19="",FA$20="",FA$21=""),"",SUM($EX13:FA13))</f>
        <v>0</v>
      </c>
      <c r="FB66" s="114">
        <f>IF(OR(FB$13="",FB$17="",FB$14="",FB$15="",FB$16="",FB$18="",FB$19="",FB$20="",FB$21=""),"",SUM($EX13:FB13))</f>
        <v>0</v>
      </c>
      <c r="FC66" s="114">
        <f>IF(OR(FC$13="",FC$17="",FC$14="",FC$15="",FC$16="",FC$18="",FC$19="",FC$20="",FC$21=""),"",SUM($EX13:FC13))</f>
        <v>0</v>
      </c>
      <c r="FD66" s="114">
        <f>IF(OR(FD$13="",FD$17="",FD$14="",FD$15="",FD$16="",FD$18="",FD$19="",FD$20="",FD$21=""),"",SUM($EX13:FD13))</f>
        <v>0</v>
      </c>
      <c r="FE66" s="114">
        <f>IF(OR(FE$13="",FE$17="",FE$14="",FE$15="",FE$16="",FE$18="",FE$19="",FE$20="",FE$21=""),"",SUM($EX13:FE13))</f>
        <v>25.57</v>
      </c>
      <c r="FF66" s="114">
        <f>IF(OR(FF$13="",FF$17="",FF$14="",FF$15="",FF$16="",FF$18="",FF$19="",FF$20="",FF$21=""),"",SUM($EX13:FF13))</f>
        <v>29.79</v>
      </c>
      <c r="FG66" s="114">
        <f>IF(OR(FG$13="",FG$17="",FG$14="",FG$15="",FG$16="",FG$18="",FG$19="",FG$20="",FG$21=""),"",SUM($EX13:FG13))</f>
        <v>30.04</v>
      </c>
      <c r="FH66" s="114">
        <f>IF(OR(FH$13="",FH$17="",FH$14="",FH$15="",FH$16="",FH$18="",FH$19="",FH$20="",FH$21=""),"",SUM($EX13:FH13))</f>
        <v>40.29</v>
      </c>
      <c r="FI66" s="114">
        <f>IF(OR(FI$13="",FI$17="",FI$14="",FI$15="",FI$16="",FI$18="",FI$19="",FI$20="",FI$21=""),"",SUM($EX13:FI13))</f>
        <v>49.48</v>
      </c>
      <c r="FJ66" s="114">
        <f>IF(OR(FJ$13="",FJ$17="",FJ$14="",FJ$15="",FJ$16="",FJ$18="",FJ$19="",FJ$20="",FJ$21=""),"",SUM($EX13:FJ13))</f>
        <v>49.48</v>
      </c>
      <c r="FK66" s="114">
        <f>IF(OR(FK$13="",FK$17="",FK$14="",FK$15="",FK$16="",FK$18="",FK$19="",FK$20="",FK$21=""),"",SUM($EX13:FK13))</f>
        <v>49.48</v>
      </c>
      <c r="FL66" s="114">
        <f>IF(OR(FL$13="",FL$17="",FL$14="",FL$15="",FL$16="",FL$18="",FL$19="",FL$20="",FL$21=""),"",SUM($EX13:FL13))</f>
        <v>49.48</v>
      </c>
      <c r="FM66" s="114">
        <f>IF(OR(FM$13="",FM$17="",FM$14="",FM$15="",FM$16="",FM$18="",FM$19="",FM$20="",FM$21=""),"",SUM($EX13:FM13))</f>
        <v>49.48</v>
      </c>
      <c r="FN66" s="114">
        <f>IF(OR(FN$13="",FN$17="",FN$14="",FN$15="",FN$16="",FN$18="",FN$19="",FN$20="",FN$21=""),"",SUM($EX13:FN13))</f>
        <v>49.48</v>
      </c>
      <c r="FO66" s="114">
        <f>IF(OR(FO$13="",FO$17="",FO$14="",FO$15="",FO$16="",FO$18="",FO$19="",FO$20="",FO$21=""),"",SUM($EX13:FO13))</f>
        <v>49.48</v>
      </c>
      <c r="FP66" s="114">
        <f>IF(OR(FP$13="",FP$17="",FP$14="",FP$15="",FP$16="",FP$18="",FP$19="",FP$20="",FP$21=""),"",SUM($EX13:FP13))</f>
        <v>49.48</v>
      </c>
      <c r="FQ66" s="114">
        <f>IF(OR(FQ$13="",FQ$17="",FQ$14="",FQ$15="",FQ$16="",FQ$18="",FQ$19="",FQ$20="",FQ$21=""),"",SUM($EX13:FQ13))</f>
        <v>49.48</v>
      </c>
      <c r="FR66" s="114">
        <f>IF(OR(FR$13="",FR$17="",FR$14="",FR$15="",FR$16="",FR$18="",FR$19="",FR$20="",FR$21=""),"",SUM($EX13:FR13))</f>
        <v>49.48</v>
      </c>
      <c r="FS66" s="114">
        <f>IF(OR(FS$13="",FS$17="",FS$14="",FS$15="",FS$16="",FS$18="",FS$19="",FS$20="",FS$21=""),"",SUM($EX13:FS13))</f>
        <v>49.48</v>
      </c>
      <c r="FT66" s="114">
        <f>IF(OR(FT$13="",FT$17="",FT$14="",FT$15="",FT$16="",FT$18="",FT$19="",FT$20="",FT$21=""),"",SUM($EX13:FT13))</f>
        <v>49.48</v>
      </c>
      <c r="FU66" s="114">
        <f>IF(OR(FU$13="",FU$17="",FU$14="",FU$15="",FU$16="",FU$18="",FU$19="",FU$20="",FU$21=""),"",SUM($EX13:FU13))</f>
        <v>49.48</v>
      </c>
      <c r="FV66" s="114">
        <f>IF(OR(FV$13="",FV$17="",FV$14="",FV$15="",FV$16="",FV$18="",FV$19="",FV$20="",FV$21=""),"",SUM($EX13:FV13))</f>
        <v>58.58</v>
      </c>
      <c r="FW66" s="114">
        <f>IF(OR(FW$13="",FW$17="",FW$14="",FW$15="",FW$16="",FW$18="",FW$19="",FW$20="",FW$21=""),"",SUM($EX13:FW13))</f>
        <v>61.559999999999995</v>
      </c>
      <c r="FX66" s="114">
        <f>IF(OR(FX$13="",FX$17="",FX$14="",FX$15="",FX$16="",FX$18="",FX$19="",FX$20="",FX$21=""),"",SUM($EX13:FX13))</f>
        <v>61.559999999999995</v>
      </c>
      <c r="FY66" s="114">
        <f>IF(OR(FY$13="",FY$17="",FY$14="",FY$15="",FY$16="",FY$18="",FY$19="",FY$20="",FY$21=""),"",SUM($EX13:FY13))</f>
        <v>61.559999999999995</v>
      </c>
      <c r="FZ66" s="114">
        <f>IF(OR(FZ$13="",FZ$17="",FZ$14="",FZ$15="",FZ$16="",FZ$18="",FZ$19="",FZ$20="",FZ$21=""),"",SUM($EX13:FZ13))</f>
        <v>73.08</v>
      </c>
      <c r="GA66" s="114">
        <f>IF(OR(GA$13="",GA$17="",GA$14="",GA$15="",GA$16="",GA$18="",GA$19="",GA$20="",GA$21=""),"",SUM($EX13:GA13))</f>
        <v>73.08</v>
      </c>
      <c r="GB66" s="114">
        <f>IF(OR(GB$13="",GB$17="",GB$14="",GB$15="",GB$16="",GB$18="",GB$19="",GB$20="",GB$21=""),"",SUM($GB13:GB13))</f>
        <v>0</v>
      </c>
      <c r="GC66" s="114">
        <f>IF(OR(GC$13="",GC$17="",GC$14="",GC$15="",GC$16="",GC$18="",GC$19="",GC$20="",GC$21=""),"",SUM($GB13:GC13))</f>
        <v>0.61</v>
      </c>
      <c r="GD66" s="114">
        <f>IF(OR(GD$13="",GD$17="",GD$14="",GD$15="",GD$16="",GD$18="",GD$19="",GD$20="",GD$21=""),"",SUM($GB13:GD13))</f>
        <v>0.61</v>
      </c>
      <c r="GE66" s="114">
        <f>IF(OR(GE$13="",GE$17="",GE$14="",GE$15="",GE$16="",GE$18="",GE$19="",GE$20="",GE$21=""),"",SUM($GB13:GE13))</f>
        <v>0.69</v>
      </c>
      <c r="GF66" s="114">
        <f>IF(OR(GF$13="",GF$17="",GF$14="",GF$15="",GF$16="",GF$18="",GF$19="",GF$20="",GF$21=""),"",SUM($GB13:GF13))</f>
        <v>0.69</v>
      </c>
      <c r="GG66" s="114">
        <f>IF(OR(GG$13="",GG$17="",GG$14="",GG$15="",GG$16="",GG$18="",GG$19="",GG$20="",GG$21=""),"",SUM($GB13:GG13))</f>
        <v>0.69</v>
      </c>
      <c r="GH66" s="114">
        <f>IF(OR(GH$13="",GH$17="",GH$14="",GH$15="",GH$16="",GH$18="",GH$19="",GH$20="",GH$21=""),"",SUM($GB13:GH13))</f>
        <v>1.71</v>
      </c>
      <c r="GI66" s="114">
        <f>IF(OR(GI$13="",GI$17="",GI$14="",GI$15="",GI$16="",GI$18="",GI$19="",GI$20="",GI$21=""),"",SUM($GB13:GI13))</f>
        <v>1.71</v>
      </c>
      <c r="GJ66" s="114">
        <f>IF(OR(GJ$13="",GJ$17="",GJ$14="",GJ$15="",GJ$16="",GJ$18="",GJ$19="",GJ$20="",GJ$21=""),"",SUM($GB13:GJ13))</f>
        <v>1.71</v>
      </c>
      <c r="GK66" s="114">
        <f>IF(OR(GK$13="",GK$17="",GK$14="",GK$15="",GK$16="",GK$18="",GK$19="",GK$20="",GK$21=""),"",SUM($GB13:GK13))</f>
        <v>1.71</v>
      </c>
      <c r="GL66" s="114">
        <f>IF(OR(GL$13="",GL$17="",GL$14="",GL$15="",GL$16="",GL$18="",GL$19="",GL$20="",GL$21=""),"",SUM($GB13:GL13))</f>
        <v>1.71</v>
      </c>
      <c r="GM66" s="114">
        <f>IF(OR(GM$13="",GM$17="",GM$14="",GM$15="",GM$16="",GM$18="",GM$19="",GM$20="",GM$21=""),"",SUM($GB13:GM13))</f>
        <v>1.71</v>
      </c>
      <c r="GN66" s="114">
        <f>IF(OR(GN$13="",GN$17="",GN$14="",GN$15="",GN$16="",GN$18="",GN$19="",GN$20="",GN$21=""),"",SUM($GB13:GN13))</f>
        <v>1.71</v>
      </c>
      <c r="GO66" s="114">
        <f>IF(OR(GO$13="",GO$17="",GO$14="",GO$15="",GO$16="",GO$18="",GO$19="",GO$20="",GO$21=""),"",SUM($GB13:GO13))</f>
        <v>1.71</v>
      </c>
      <c r="GP66" s="114">
        <f>IF(OR(GP$13="",GP$17="",GP$14="",GP$15="",GP$16="",GP$18="",GP$19="",GP$20="",GP$21=""),"",SUM($GB13:GP13))</f>
        <v>1.71</v>
      </c>
      <c r="GQ66" s="114">
        <f>IF(OR(GQ$13="",GQ$17="",GQ$14="",GQ$15="",GQ$16="",GQ$18="",GQ$19="",GQ$20="",GQ$21=""),"",SUM($GB13:GQ13))</f>
        <v>1.71</v>
      </c>
      <c r="GR66" s="114">
        <f>IF(OR(GR$13="",GR$17="",GR$14="",GR$15="",GR$16="",GR$18="",GR$19="",GR$20="",GR$21=""),"",SUM($GB13:GR13))</f>
        <v>1.71</v>
      </c>
      <c r="GS66" s="114">
        <f>IF(OR(GS$13="",GS$17="",GS$14="",GS$15="",GS$16="",GS$18="",GS$19="",GS$20="",GS$21=""),"",SUM($GB13:GS13))</f>
        <v>1.71</v>
      </c>
      <c r="GT66" s="114">
        <f>IF(OR(GT$13="",GT$17="",GT$14="",GT$15="",GT$16="",GT$18="",GT$19="",GT$20="",GT$21=""),"",SUM($GB13:GT13))</f>
        <v>1.71</v>
      </c>
      <c r="GU66" s="114">
        <f>IF(OR(GU$13="",GU$17="",GU$14="",GU$15="",GU$16="",GU$18="",GU$19="",GU$20="",GU$21=""),"",SUM($GB13:GU13))</f>
        <v>49.53</v>
      </c>
      <c r="GV66" s="114">
        <f>IF(OR(GV$13="",GV$17="",GV$14="",GV$15="",GV$16="",GV$18="",GV$19="",GV$20="",GV$21=""),"",SUM($GB13:GV13))</f>
        <v>49.53</v>
      </c>
      <c r="GW66" s="114">
        <f>IF(OR(GW$13="",GW$17="",GW$14="",GW$15="",GW$16="",GW$18="",GW$19="",GW$20="",GW$21=""),"",SUM($GB13:GW13))</f>
        <v>52.71</v>
      </c>
      <c r="GX66" s="114">
        <f>IF(OR(GX$13="",GX$17="",GX$14="",GX$15="",GX$16="",GX$18="",GX$19="",GX$20="",GX$21=""),"",SUM($GB13:GX13))</f>
        <v>52.71</v>
      </c>
      <c r="GY66" s="114">
        <f>IF(OR(GY$13="",GY$17="",GY$14="",GY$15="",GY$16="",GY$18="",GY$19="",GY$20="",GY$21=""),"",SUM($GB13:GY13))</f>
        <v>52.71</v>
      </c>
      <c r="GZ66" s="114">
        <f>IF(OR(GZ$13="",GZ$17="",GZ$14="",GZ$15="",GZ$16="",GZ$18="",GZ$19="",GZ$20="",GZ$21=""),"",SUM($GB13:GZ13))</f>
        <v>52.71</v>
      </c>
      <c r="HA66" s="114">
        <f>IF(OR(HA$13="",HA$17="",HA$14="",HA$15="",HA$16="",HA$18="",HA$19="",HA$20="",HA$21=""),"",SUM($GB13:HA13))</f>
        <v>52.71</v>
      </c>
      <c r="HB66" s="114">
        <f>IF(OR(HB$13="",HB$17="",HB$14="",HB$15="",HB$16="",HB$18="",HB$19="",HB$20="",HB$21=""),"",SUM($GB13:HB13))</f>
        <v>52.71</v>
      </c>
      <c r="HC66" s="114">
        <f>IF(OR(HC$13="",HC$17="",HC$14="",HC$15="",HC$16="",HC$18="",HC$19="",HC$20="",HC$21=""),"",SUM($GB13:HC13))</f>
        <v>52.71</v>
      </c>
      <c r="HD66" s="114">
        <f>IF(OR(HD$13="",HD$17="",HD$14="",HD$15="",HD$16="",HD$18="",HD$19="",HD$20="",HD$21=""),"",SUM($GB13:HD13))</f>
        <v>70.39</v>
      </c>
      <c r="HE66" s="114">
        <f>IF(OR(HE$13="",HE$17="",HE$14="",HE$15="",HE$16="",HE$18="",HE$19="",HE$20="",HE$21=""),"",SUM($GB13:HE13))</f>
        <v>70.39</v>
      </c>
      <c r="HF66" s="114">
        <f>IF(OR(HF$13="",HF$17="",HF$14="",HF$15="",HF$16="",HF$18="",HF$19="",HF$20="",HF$21=""),"",SUM($GB13:HF13))</f>
        <v>70.39</v>
      </c>
      <c r="HG66" s="114">
        <f>IF(OR(HG$13="",HG$17="",HG$14="",HG$15="",HG$16="",HG$18="",HG$19="",HG$20="",HG$21=""),"",SUM($HG13:HG13))</f>
        <v>0</v>
      </c>
      <c r="HH66" s="114">
        <f>IF(OR(HH$13="",HH$17="",HH$14="",HH$15="",HH$16="",HH$18="",HH$19="",HH$20="",HH$21=""),"",SUM($HG13:HH13))</f>
        <v>0</v>
      </c>
      <c r="HI66" s="114">
        <f>IF(OR(HI$13="",HI$17="",HI$14="",HI$15="",HI$16="",HI$18="",HI$19="",HI$20="",HI$21=""),"",SUM($HG13:HI13))</f>
        <v>0</v>
      </c>
      <c r="HJ66" s="114">
        <f>IF(OR(HJ$13="",HJ$17="",HJ$14="",HJ$15="",HJ$16="",HJ$18="",HJ$19="",HJ$20="",HJ$21=""),"",SUM($HG13:HJ13))</f>
        <v>0.68833333333333335</v>
      </c>
      <c r="HK66" s="114">
        <f>IF(OR(HK$13="",HK$17="",HK$14="",HK$15="",HK$16="",HK$18="",HK$19="",HK$20="",HK$21=""),"",SUM($HG13:HK13))</f>
        <v>20.442777777777778</v>
      </c>
      <c r="HL66" s="114">
        <f>IF(OR(HL$13="",HL$17="",HL$14="",HL$15="",HL$16="",HL$18="",HL$19="",HL$20="",HL$21=""),"",SUM($HG13:HL13))</f>
        <v>21.083611111111111</v>
      </c>
      <c r="HM66" s="114">
        <f>IF(OR(HM$13="",HM$17="",HM$14="",HM$15="",HM$16="",HM$18="",HM$19="",HM$20="",HM$21=""),"",SUM($HG13:HM13))</f>
        <v>21.083611111111111</v>
      </c>
      <c r="HN66" s="114">
        <f>IF(OR(HN$13="",HN$17="",HN$14="",HN$15="",HN$16="",HN$18="",HN$19="",HN$20="",HN$21=""),"",SUM($HG13:HN13))</f>
        <v>21.083611111111111</v>
      </c>
      <c r="HO66" s="114">
        <f>IF(OR(HO$13="",HO$17="",HO$14="",HO$15="",HO$16="",HO$18="",HO$19="",HO$20="",HO$21=""),"",SUM($HG13:HO13))</f>
        <v>21.083611111111111</v>
      </c>
      <c r="HP66" s="114">
        <f>IF(OR(HP$13="",HP$17="",HP$14="",HP$15="",HP$16="",HP$18="",HP$19="",HP$20="",HP$21=""),"",SUM($HG13:HP13))</f>
        <v>21.083611111111111</v>
      </c>
      <c r="HQ66" s="114">
        <f>IF(OR(HQ$13="",HQ$17="",HQ$14="",HQ$15="",HQ$16="",HQ$18="",HQ$19="",HQ$20="",HQ$21=""),"",SUM($HG13:HQ13))</f>
        <v>21.083611111111111</v>
      </c>
      <c r="HR66" s="114">
        <f>IF(OR(HR$13="",HR$17="",HR$14="",HR$15="",HR$16="",HR$18="",HR$19="",HR$20="",HR$21=""),"",SUM($HG13:HR13))</f>
        <v>21.083611111111111</v>
      </c>
      <c r="HS66" s="114">
        <f>IF(OR(HS$13="",HS$17="",HS$14="",HS$15="",HS$16="",HS$18="",HS$19="",HS$20="",HS$21=""),"",SUM($HG13:HS13))</f>
        <v>37.435277777777777</v>
      </c>
      <c r="HT66" s="114">
        <f>IF(OR(HT$13="",HT$17="",HT$14="",HT$15="",HT$16="",HT$18="",HT$19="",HT$20="",HT$21=""),"",SUM($HG13:HT13))</f>
        <v>37.435277777777777</v>
      </c>
      <c r="HU66" s="114">
        <f>IF(OR(HU$13="",HU$17="",HU$14="",HU$15="",HU$16="",HU$18="",HU$19="",HU$20="",HU$21=""),"",SUM($HG13:HU13))</f>
        <v>42.801666666666669</v>
      </c>
      <c r="HV66" s="114">
        <f>IF(OR(HV$13="",HV$17="",HV$14="",HV$15="",HV$16="",HV$18="",HV$19="",HV$20="",HV$21=""),"",SUM($HG13:HV13))</f>
        <v>42.801666666666669</v>
      </c>
      <c r="HW66" s="114">
        <f>IF(OR(HW$13="",HW$17="",HW$14="",HW$15="",HW$16="",HW$18="",HW$19="",HW$20="",HW$21=""),"",SUM($HG13:HW13))</f>
        <v>42.801666666666669</v>
      </c>
      <c r="HX66" s="114">
        <f>IF(OR(HX$13="",HX$17="",HX$14="",HX$15="",HX$16="",HX$18="",HX$19="",HX$20="",HX$21=""),"",SUM($HG13:HX13))</f>
        <v>56.104166666666671</v>
      </c>
      <c r="HY66" s="114">
        <f>IF(OR(HY$13="",HY$17="",HY$14="",HY$15="",HY$16="",HY$18="",HY$19="",HY$20="",HY$21=""),"",SUM($HG13:HY13))</f>
        <v>59.779722222222226</v>
      </c>
      <c r="HZ66" s="114">
        <f>IF(OR(HZ$13="",HZ$17="",HZ$14="",HZ$15="",HZ$16="",HZ$18="",HZ$19="",HZ$20="",HZ$21=""),"",SUM($HG13:HZ13))</f>
        <v>66.225000000000009</v>
      </c>
      <c r="IA66" s="114">
        <f>IF(OR(IA$13="",IA$17="",IA$14="",IA$15="",IA$16="",IA$18="",IA$19="",IA$20="",IA$21=""),"",SUM($HG13:IA13))</f>
        <v>66.94805555555557</v>
      </c>
      <c r="IB66" s="114">
        <f>IF(OR(IB$13="",IB$17="",IB$14="",IB$15="",IB$16="",IB$18="",IB$19="",IB$20="",IB$21=""),"",SUM($HG13:IB13))</f>
        <v>73.211666666666673</v>
      </c>
      <c r="IC66" s="114">
        <f>IF(OR(IC$13="",IC$17="",IC$14="",IC$15="",IC$16="",IC$18="",IC$19="",IC$20="",IC$21=""),"",SUM($HG13:IC13))</f>
        <v>95.851666666666674</v>
      </c>
      <c r="ID66" s="114">
        <f>IF(OR(ID$13="",ID$17="",ID$14="",ID$15="",ID$16="",ID$18="",ID$19="",ID$20="",ID$21=""),"",SUM($HG13:ID13))</f>
        <v>97.321666666666673</v>
      </c>
      <c r="IE66" s="114">
        <f>IF(OR(IE$13="",IE$17="",IE$14="",IE$15="",IE$16="",IE$18="",IE$19="",IE$20="",IE$21=""),"",SUM($HG13:IE13))</f>
        <v>97.321666666666673</v>
      </c>
      <c r="IF66" s="114">
        <f>IF(OR(IF$13="",IF$17="",IF$14="",IF$15="",IF$16="",IF$18="",IF$19="",IF$20="",IF$21=""),"",SUM($HG13:IF13))</f>
        <v>101.54166666666667</v>
      </c>
      <c r="IG66" s="114">
        <f>IF(OR(IG$13="",IG$17="",IG$14="",IG$15="",IG$16="",IG$18="",IG$19="",IG$20="",IG$21=""),"",SUM($HG13:IG13))</f>
        <v>108.37166666666667</v>
      </c>
      <c r="IH66" s="114">
        <f>IF(OR(IH$13="",IH$17="",IH$14="",IH$15="",IH$16="",IH$18="",IH$19="",IH$20="",IH$21=""),"",SUM($HG13:IH13))</f>
        <v>108.37166666666667</v>
      </c>
      <c r="II66" s="114">
        <f>IF(OR(II$13="",II$17="",II$14="",II$15="",II$16="",II$18="",II$19="",II$20="",II$21=""),"",SUM($HG13:II13))</f>
        <v>108.37166666666667</v>
      </c>
      <c r="IJ66" s="114">
        <f>IF(OR(IJ$13="",IJ$17="",IJ$14="",IJ$15="",IJ$16="",IJ$18="",IJ$19="",IJ$20="",IJ$21=""),"",SUM($HG13:IJ13))</f>
        <v>112.03166666666667</v>
      </c>
      <c r="IK66" s="114">
        <f>IF(OR(IK$13="",IK$17="",IK$14="",IK$15="",IK$16="",IK$18="",IK$19="",IK$20="",IK$21=""),"",SUM($HG13:IK13))</f>
        <v>112.03166666666667</v>
      </c>
      <c r="IL66" s="114">
        <f>IF(OR(IL$13="",IL$17="",IL$14="",IL$15="",IL$16="",IL$18="",IL$19="",IL$20="",IL$21=""),"",SUM($IL13:IL13))</f>
        <v>0</v>
      </c>
      <c r="IM66" s="114">
        <f>IF(OR(IM$13="",IM$17="",IM$14="",IM$15="",IM$16="",IM$18="",IM$19="",IM$20="",IM$21=""),"",SUM($IL13:IM13))</f>
        <v>0</v>
      </c>
      <c r="IN66" s="114">
        <f>IF(OR(IN$13="",IN$17="",IN$14="",IN$15="",IN$16="",IN$18="",IN$19="",IN$20="",IN$21=""),"",SUM($IL13:IN13))</f>
        <v>10.629166666666668</v>
      </c>
      <c r="IO66" s="114">
        <f>IF(OR(IO$13="",IO$17="",IO$14="",IO$15="",IO$16="",IO$18="",IO$19="",IO$20="",IO$21=""),"",SUM($IL13:IO13))</f>
        <v>21.479444444444447</v>
      </c>
      <c r="IP66" s="114">
        <f>IF(OR(IP$13="",IP$17="",IP$14="",IP$15="",IP$16="",IP$18="",IP$19="",IP$20="",IP$21=""),"",SUM($IL13:IP13))</f>
        <v>21.89</v>
      </c>
      <c r="IQ66" s="114">
        <f>IF(OR(IQ$13="",IQ$17="",IQ$14="",IQ$15="",IQ$16="",IQ$18="",IQ$19="",IQ$20="",IQ$21=""),"",SUM($IL13:IQ13))</f>
        <v>26.49527777777778</v>
      </c>
      <c r="IR66" s="114">
        <f>IF(OR(IR$13="",IR$17="",IR$14="",IR$15="",IR$16="",IR$18="",IR$19="",IR$20="",IR$21=""),"",SUM($IL13:IR13))</f>
        <v>26.643888888888892</v>
      </c>
      <c r="IS66" s="114">
        <f>IF(OR(IS$13="",IS$17="",IS$14="",IS$15="",IS$16="",IS$18="",IS$19="",IS$20="",IS$21=""),"",SUM($IL13:IS13))</f>
        <v>28.148055555555558</v>
      </c>
      <c r="IT66" s="114">
        <f>IF(OR(IT$13="",IT$17="",IT$14="",IT$15="",IT$16="",IT$18="",IT$19="",IT$20="",IT$21=""),"",SUM($IL13:IT13))</f>
        <v>28.148055555555558</v>
      </c>
      <c r="IU66" s="114">
        <f>IF(OR(IU$13="",IU$17="",IU$14="",IU$15="",IU$16="",IU$18="",IU$19="",IU$20="",IU$21=""),"",SUM($IL13:IU13))</f>
        <v>38.871944444444452</v>
      </c>
      <c r="IV66" s="114">
        <f>IF(OR(IV$13="",IV$17="",IV$14="",IV$15="",IV$16="",IV$18="",IV$19="",IV$20="",IV$21=""),"",SUM($IL13:IV13))</f>
        <v>40.433055555555562</v>
      </c>
      <c r="IW66" s="114">
        <f>IF(OR(IW$13="",IW$17="",IW$14="",IW$15="",IW$16="",IW$18="",IW$19="",IW$20="",IW$21=""),"",SUM($IL13:IW13))</f>
        <v>40.433055555555562</v>
      </c>
      <c r="IX66" s="114">
        <f>IF(OR(IX$13="",IX$17="",IX$14="",IX$15="",IX$16="",IX$18="",IX$19="",IX$20="",IX$21=""),"",SUM($IL13:IX13))</f>
        <v>51.863055555555562</v>
      </c>
      <c r="IY66" s="114">
        <f>IF(OR(IY$13="",IY$17="",IY$14="",IY$15="",IY$16="",IY$18="",IY$19="",IY$20="",IY$21=""),"",SUM($IL13:IY13))</f>
        <v>51.863055555555562</v>
      </c>
      <c r="IZ66" s="114">
        <f>IF(OR(IZ$13="",IZ$17="",IZ$14="",IZ$15="",IZ$16="",IZ$18="",IZ$19="",IZ$20="",IZ$21=""),"",SUM($IL13:IZ13))</f>
        <v>51.863055555555562</v>
      </c>
      <c r="JA66" s="114">
        <f>IF(OR(JA$13="",JA$17="",JA$14="",JA$15="",JA$16="",JA$18="",JA$19="",JA$20="",JA$21=""),"",SUM($IL13:JA13))</f>
        <v>57.099444444444451</v>
      </c>
      <c r="JB66" s="114">
        <f>IF(OR(JB$13="",JB$17="",JB$14="",JB$15="",JB$16="",JB$18="",JB$19="",JB$20="",JB$21=""),"",SUM($IL13:JB13))</f>
        <v>57.156388888888898</v>
      </c>
      <c r="JC66" s="114">
        <f>IF(OR(JC$13="",JC$17="",JC$14="",JC$15="",JC$16="",JC$18="",JC$19="",JC$20="",JC$21=""),"",SUM($IL13:JC13))</f>
        <v>57.156388888888898</v>
      </c>
      <c r="JD66" s="114">
        <f>IF(OR(JD$13="",JD$17="",JD$14="",JD$15="",JD$16="",JD$18="",JD$19="",JD$20="",JD$21=""),"",SUM($IL13:JD13))</f>
        <v>57.156388888888898</v>
      </c>
      <c r="JE66" s="114">
        <f>IF(OR(JE$13="",JE$17="",JE$14="",JE$15="",JE$16="",JE$18="",JE$19="",JE$20="",JE$21=""),"",SUM($IL13:JE13))</f>
        <v>57.156388888888898</v>
      </c>
      <c r="JF66" s="114">
        <f>IF(OR(JF$13="",JF$17="",JF$14="",JF$15="",JF$16="",JF$18="",JF$19="",JF$20="",JF$21=""),"",SUM($IL13:JF13))</f>
        <v>57.156388888888898</v>
      </c>
      <c r="JG66" s="114">
        <f>IF(OR(JG$13="",JG$17="",JG$14="",JG$15="",JG$16="",JG$18="",JG$19="",JG$20="",JG$21=""),"",SUM($IL13:JG13))</f>
        <v>57.156388888888898</v>
      </c>
      <c r="JH66" s="114">
        <f>IF(OR(JH$13="",JH$17="",JH$14="",JH$15="",JH$16="",JH$18="",JH$19="",JH$20="",JH$21=""),"",SUM($IL13:JH13))</f>
        <v>57.156388888888898</v>
      </c>
      <c r="JI66" s="114">
        <f>IF(OR(JI$13="",JI$17="",JI$14="",JI$15="",JI$16="",JI$18="",JI$19="",JI$20="",JI$21=""),"",SUM($IL13:JI13))</f>
        <v>57.156388888888898</v>
      </c>
      <c r="JJ66" s="114">
        <f>IF(OR(JJ$13="",JJ$17="",JJ$14="",JJ$15="",JJ$16="",JJ$18="",JJ$19="",JJ$20="",JJ$21=""),"",SUM($IL13:JJ13))</f>
        <v>57.156388888888898</v>
      </c>
      <c r="JK66" s="114">
        <f>IF(OR(JK$13="",JK$17="",JK$14="",JK$15="",JK$16="",JK$18="",JK$19="",JK$20="",JK$21=""),"",SUM($IL13:JK13))</f>
        <v>57.156388888888898</v>
      </c>
      <c r="JL66" s="114">
        <f>IF(OR(JL$13="",JL$17="",JL$14="",JL$15="",JL$16="",JL$18="",JL$19="",JL$20="",JL$21=""),"",SUM($IL13:JL13))</f>
        <v>57.156388888888898</v>
      </c>
      <c r="JM66" s="114">
        <f>IF(OR(JM$13="",JM$17="",JM$14="",JM$15="",JM$16="",JM$18="",JM$19="",JM$20="",JM$21=""),"",SUM($IL13:JM13))</f>
        <v>64.5763888888889</v>
      </c>
      <c r="JN66" s="114">
        <f>IF(OR(JN$13="",JN$17="",JN$14="",JN$15="",JN$16="",JN$18="",JN$19="",JN$20="",JN$21=""),"",SUM($IL13:JN13))</f>
        <v>64.5763888888889</v>
      </c>
      <c r="JO66" s="114">
        <f>IF(OR(JO$13="",JO$17="",JO$14="",JO$15="",JO$16="",JO$18="",JO$19="",JO$20="",JO$21=""),"",SUM($IL13:JO13))</f>
        <v>65.5763888888889</v>
      </c>
      <c r="JP66" s="114">
        <f>IF(OR(JP$13="",JP$17="",JP$14="",JP$15="",JP$16="",JP$18="",JP$19="",JP$20="",JP$21=""),"",SUM($JP13:JP13))</f>
        <v>1</v>
      </c>
      <c r="JQ66" s="114">
        <f>IF(OR(JQ$13="",JQ$17="",JQ$14="",JQ$15="",JQ$16="",JQ$18="",JQ$19="",JQ$20="",JQ$21=""),"",SUM($JP13:JQ13))</f>
        <v>6.99</v>
      </c>
      <c r="JR66" s="114">
        <f>IF(OR(JR$13="",JR$17="",JR$14="",JR$15="",JR$16="",JR$18="",JR$19="",JR$20="",JR$21=""),"",SUM($JP13:JR13))</f>
        <v>26.828055555555558</v>
      </c>
      <c r="JS66" s="114">
        <f>IF(OR(JS$13="",JS$17="",JS$14="",JS$15="",JS$16="",JS$18="",JS$19="",JS$20="",JS$21=""),"",SUM($JP13:JS13))</f>
        <v>27.183333333333337</v>
      </c>
      <c r="JT66" s="114">
        <f>IF(OR(JT$13="",JT$17="",JT$14="",JT$15="",JT$16="",JT$18="",JT$19="",JT$20="",JT$21=""),"",SUM($JP13:JT13))</f>
        <v>27.183333333333337</v>
      </c>
      <c r="JU66" s="114">
        <f>IF(OR(JU$13="",JU$17="",JU$14="",JU$15="",JU$16="",JU$18="",JU$19="",JU$20="",JU$21=""),"",SUM($JP13:JU13))</f>
        <v>27.183333333333337</v>
      </c>
      <c r="JV66" s="114">
        <f>IF(OR(JV$13="",JV$17="",JV$14="",JV$15="",JV$16="",JV$18="",JV$19="",JV$20="",JV$21=""),"",SUM($JP13:JV13))</f>
        <v>28.183333333333337</v>
      </c>
      <c r="JW66" s="114">
        <f>IF(OR(JW$13="",JW$17="",JW$14="",JW$15="",JW$16="",JW$18="",JW$19="",JW$20="",JW$21=""),"",SUM($JP13:JW13))</f>
        <v>28.183333333333337</v>
      </c>
      <c r="JX66" s="114">
        <f>IF(OR(JX$13="",JX$17="",JX$14="",JX$15="",JX$16="",JX$18="",JX$19="",JX$20="",JX$21=""),"",SUM($JP13:JX13))</f>
        <v>32.183333333333337</v>
      </c>
      <c r="JY66" s="114">
        <f>IF(OR(JY$13="",JY$17="",JY$14="",JY$15="",JY$16="",JY$18="",JY$19="",JY$20="",JY$21=""),"",SUM($JP13:JY13))</f>
        <v>56.183333333333337</v>
      </c>
      <c r="JZ66" s="114">
        <f>IF(OR(JZ$13="",JZ$17="",JZ$14="",JZ$15="",JZ$16="",JZ$18="",JZ$19="",JZ$20="",JZ$21=""),"",SUM($JP13:JZ13))</f>
        <v>80.183333333333337</v>
      </c>
      <c r="KA66" s="114">
        <f>IF(OR(KA$13="",KA$17="",KA$14="",KA$15="",KA$16="",KA$18="",KA$19="",KA$20="",KA$21=""),"",SUM($JP13:KA13))</f>
        <v>80.183333333333337</v>
      </c>
      <c r="KB66" s="114">
        <f>IF(OR(KB$13="",KB$17="",KB$14="",KB$15="",KB$16="",KB$18="",KB$19="",KB$20="",KB$21=""),"",SUM($JP13:KB13))</f>
        <v>80.183333333333337</v>
      </c>
      <c r="KC66" s="114">
        <f>IF(OR(KC$13="",KC$17="",KC$14="",KC$15="",KC$16="",KC$18="",KC$19="",KC$20="",KC$21=""),"",SUM($JP13:KC13))</f>
        <v>80.183333333333337</v>
      </c>
      <c r="KD66" s="114">
        <f>IF(OR(KD$13="",KD$17="",KD$14="",KD$15="",KD$16="",KD$18="",KD$19="",KD$20="",KD$21=""),"",SUM($JP13:KD13))</f>
        <v>80.183333333333337</v>
      </c>
      <c r="KE66" s="114">
        <f>IF(OR(KE$13="",KE$17="",KE$14="",KE$15="",KE$16="",KE$18="",KE$19="",KE$20="",KE$21=""),"",SUM($JP13:KE13))</f>
        <v>80.183333333333337</v>
      </c>
      <c r="KF66" s="114">
        <f>IF(OR(KF$13="",KF$17="",KF$14="",KF$15="",KF$16="",KF$18="",KF$19="",KF$20="",KF$21=""),"",SUM($JP13:KF13))</f>
        <v>80.183333333333337</v>
      </c>
      <c r="KG66" s="114">
        <f>IF(OR(KG$13="",KG$17="",KG$14="",KG$15="",KG$16="",KG$18="",KG$19="",KG$20="",KG$21=""),"",SUM($JP13:KG13))</f>
        <v>80.183333333333337</v>
      </c>
      <c r="KH66" s="114">
        <f>IF(OR(KH$13="",KH$17="",KH$14="",KH$15="",KH$16="",KH$18="",KH$19="",KH$20="",KH$21=""),"",SUM($JP13:KH13))</f>
        <v>92.183333333333337</v>
      </c>
      <c r="KI66" s="114">
        <f>IF(OR(KI$13="",KI$17="",KI$14="",KI$15="",KI$16="",KI$18="",KI$19="",KI$20="",KI$21=""),"",SUM($JP13:KI13))</f>
        <v>92.183333333333337</v>
      </c>
      <c r="KJ66" s="114">
        <f>IF(OR(KJ$13="",KJ$17="",KJ$14="",KJ$15="",KJ$16="",KJ$18="",KJ$19="",KJ$20="",KJ$21=""),"",SUM($JP13:KJ13))</f>
        <v>98.183333333333337</v>
      </c>
      <c r="KK66" s="114">
        <f>IF(OR(KK$13="",KK$17="",KK$14="",KK$15="",KK$16="",KK$18="",KK$19="",KK$20="",KK$21=""),"",SUM($JP13:KK13))</f>
        <v>98.183333333333337</v>
      </c>
      <c r="KL66" s="114">
        <f>IF(OR(KL$13="",KL$17="",KL$14="",KL$15="",KL$16="",KL$18="",KL$19="",KL$20="",KL$21=""),"",SUM($JP13:KL13))</f>
        <v>98.183333333333337</v>
      </c>
      <c r="KM66" s="114">
        <f>IF(OR(KM$13="",KM$17="",KM$14="",KM$15="",KM$16="",KM$18="",KM$19="",KM$20="",KM$21=""),"",SUM($JP13:KM13))</f>
        <v>98.183333333333337</v>
      </c>
      <c r="KN66" s="114">
        <f>IF(OR(KN$13="",KN$17="",KN$14="",KN$15="",KN$16="",KN$18="",KN$19="",KN$20="",KN$21=""),"",SUM($JP13:KN13))</f>
        <v>98.183333333333337</v>
      </c>
      <c r="KO66" s="114">
        <f>IF(OR(KO$13="",KO$17="",KO$14="",KO$15="",KO$16="",KO$18="",KO$19="",KO$20="",KO$21=""),"",SUM($JP13:KO13))</f>
        <v>98.183333333333337</v>
      </c>
      <c r="KP66" s="114">
        <f>IF(OR(KP$13="",KP$17="",KP$14="",KP$15="",KP$16="",KP$18="",KP$19="",KP$20="",KP$21=""),"",SUM($JP13:KP13))</f>
        <v>98.183333333333337</v>
      </c>
      <c r="KQ66" s="114">
        <f>IF(OR(KQ$13="",KQ$17="",KQ$14="",KQ$15="",KQ$16="",KQ$18="",KQ$19="",KQ$20="",KQ$21=""),"",SUM($JP13:KQ13))</f>
        <v>98.183333333333337</v>
      </c>
      <c r="KR66" s="114">
        <f>IF(OR(KR$13="",KR$17="",KR$14="",KR$15="",KR$16="",KR$18="",KR$19="",KR$20="",KR$21=""),"",SUM($JP13:KR13))</f>
        <v>98.183333333333337</v>
      </c>
      <c r="KS66" s="114">
        <f>IF(OR(KS$13="",KS$17="",KS$14="",KS$15="",KS$16="",KS$18="",KS$19="",KS$20="",KS$21=""),"",SUM($JP13:KS13))</f>
        <v>98.183333333333337</v>
      </c>
      <c r="KT66" s="114">
        <f>IF(OR(KT$13="",KT$17="",KT$14="",KT$15="",KT$16="",KT$18="",KT$19="",KT$20="",KT$21=""),"",SUM($JP13:KT13))</f>
        <v>98.183333333333337</v>
      </c>
      <c r="KU66" s="114" t="str">
        <f>IF(OR(KU$13="",KU$17="",KU$14="",KU$15="",KU$16="",KU$18="",KU$19="",KU$20="",KU$21=""),"",SUM($KU13:KU13))</f>
        <v/>
      </c>
      <c r="KV66" s="114" t="str">
        <f>IF(OR(KV$13="",KV$17="",KV$14="",KV$15="",KV$16="",KV$18="",KV$19="",KV$20="",KV$21=""),"",SUM($KU13:KV13))</f>
        <v/>
      </c>
      <c r="KW66" s="114" t="str">
        <f>IF(OR(KW$13="",KW$17="",KW$14="",KW$15="",KW$16="",KW$18="",KW$19="",KW$20="",KW$21=""),"",SUM($KU13:KW13))</f>
        <v/>
      </c>
      <c r="KX66" s="114" t="str">
        <f>IF(OR(KX$13="",KX$17="",KX$14="",KX$15="",KX$16="",KX$18="",KX$19="",KX$20="",KX$21=""),"",SUM($KU13:KX13))</f>
        <v/>
      </c>
      <c r="KY66" s="114" t="str">
        <f>IF(OR(KY$13="",KY$17="",KY$14="",KY$15="",KY$16="",KY$18="",KY$19="",KY$20="",KY$21=""),"",SUM($KU13:KY13))</f>
        <v/>
      </c>
      <c r="KZ66" s="114" t="str">
        <f>IF(OR(KZ$13="",KZ$17="",KZ$14="",KZ$15="",KZ$16="",KZ$18="",KZ$19="",KZ$20="",KZ$21=""),"",SUM($KU13:KZ13))</f>
        <v/>
      </c>
      <c r="LA66" s="114" t="str">
        <f>IF(OR(LA$13="",LA$17="",LA$14="",LA$15="",LA$16="",LA$18="",LA$19="",LA$20="",LA$21=""),"",SUM($KU13:LA13))</f>
        <v/>
      </c>
      <c r="LB66" s="114" t="str">
        <f>IF(OR(LB$13="",LB$17="",LB$14="",LB$15="",LB$16="",LB$18="",LB$19="",LB$20="",LB$21=""),"",SUM($KU13:LB13))</f>
        <v/>
      </c>
      <c r="LC66" s="114" t="str">
        <f>IF(OR(LC$13="",LC$17="",LC$14="",LC$15="",LC$16="",LC$18="",LC$19="",LC$20="",LC$21=""),"",SUM($KU13:LC13))</f>
        <v/>
      </c>
      <c r="LD66" s="114" t="str">
        <f>IF(OR(LD$13="",LD$17="",LD$14="",LD$15="",LD$16="",LD$18="",LD$19="",LD$20="",LD$21=""),"",SUM($KU13:LD13))</f>
        <v/>
      </c>
      <c r="LE66" s="114" t="str">
        <f>IF(OR(LE$13="",LE$17="",LE$14="",LE$15="",LE$16="",LE$18="",LE$19="",LE$20="",LE$21=""),"",SUM($KU13:LE13))</f>
        <v/>
      </c>
      <c r="LF66" s="114" t="str">
        <f>IF(OR(LF$13="",LF$17="",LF$14="",LF$15="",LF$16="",LF$18="",LF$19="",LF$20="",LF$21=""),"",SUM($KU13:LF13))</f>
        <v/>
      </c>
      <c r="LG66" s="114" t="str">
        <f>IF(OR(LG$13="",LG$17="",LG$14="",LG$15="",LG$16="",LG$18="",LG$19="",LG$20="",LG$21=""),"",SUM($KU13:LG13))</f>
        <v/>
      </c>
      <c r="LH66" s="114" t="str">
        <f>IF(OR(LH$13="",LH$17="",LH$14="",LH$15="",LH$16="",LH$18="",LH$19="",LH$20="",LH$21=""),"",SUM($KU13:LH13))</f>
        <v/>
      </c>
      <c r="LI66" s="114" t="str">
        <f>IF(OR(LI$13="",LI$17="",LI$14="",LI$15="",LI$16="",LI$18="",LI$19="",LI$20="",LI$21=""),"",SUM($KU13:LI13))</f>
        <v/>
      </c>
      <c r="LJ66" s="114" t="str">
        <f>IF(OR(LJ$13="",LJ$17="",LJ$14="",LJ$15="",LJ$16="",LJ$18="",LJ$19="",LJ$20="",LJ$21=""),"",SUM($KU13:LJ13))</f>
        <v/>
      </c>
      <c r="LK66" s="114" t="str">
        <f>IF(OR(LK$13="",LK$17="",LK$14="",LK$15="",LK$16="",LK$18="",LK$19="",LK$20="",LK$21=""),"",SUM($KU13:LK13))</f>
        <v/>
      </c>
      <c r="LL66" s="114" t="str">
        <f>IF(OR(LL$13="",LL$17="",LL$14="",LL$15="",LL$16="",LL$18="",LL$19="",LL$20="",LL$21=""),"",SUM($KU13:LL13))</f>
        <v/>
      </c>
      <c r="LM66" s="114" t="str">
        <f>IF(OR(LM$13="",LM$17="",LM$14="",LM$15="",LM$16="",LM$18="",LM$19="",LM$20="",LM$21=""),"",SUM($KU13:LM13))</f>
        <v/>
      </c>
      <c r="LN66" s="114" t="str">
        <f>IF(OR(LN$13="",LN$17="",LN$14="",LN$15="",LN$16="",LN$18="",LN$19="",LN$20="",LN$21=""),"",SUM($KU13:LN13))</f>
        <v/>
      </c>
      <c r="LO66" s="114" t="str">
        <f>IF(OR(LO$13="",LO$17="",LO$14="",LO$15="",LO$16="",LO$18="",LO$19="",LO$20="",LO$21=""),"",SUM($KU13:LO13))</f>
        <v/>
      </c>
      <c r="LP66" s="114" t="str">
        <f>IF(OR(LP$13="",LP$17="",LP$14="",LP$15="",LP$16="",LP$18="",LP$19="",LP$20="",LP$21=""),"",SUM($KU13:LP13))</f>
        <v/>
      </c>
      <c r="LQ66" s="114" t="str">
        <f>IF(OR(LQ$13="",LQ$17="",LQ$14="",LQ$15="",LQ$16="",LQ$18="",LQ$19="",LQ$20="",LQ$21=""),"",SUM($KU13:LQ13))</f>
        <v/>
      </c>
      <c r="LR66" s="114" t="str">
        <f>IF(OR(LR$13="",LR$17="",LR$14="",LR$15="",LR$16="",LR$18="",LR$19="",LR$20="",LR$21=""),"",SUM($KU13:LR13))</f>
        <v/>
      </c>
      <c r="LS66" s="114" t="str">
        <f>IF(OR(LS$13="",LS$17="",LS$14="",LS$15="",LS$16="",LS$18="",LS$19="",LS$20="",LS$21=""),"",SUM($KU13:LS13))</f>
        <v/>
      </c>
      <c r="LT66" s="114" t="str">
        <f>IF(OR(LT$13="",LT$17="",LT$14="",LT$15="",LT$16="",LT$18="",LT$19="",LT$20="",LT$21=""),"",SUM($KU13:LT13))</f>
        <v/>
      </c>
      <c r="LU66" s="114" t="str">
        <f>IF(OR(LU$13="",LU$17="",LU$14="",LU$15="",LU$16="",LU$18="",LU$19="",LU$20="",LU$21=""),"",SUM($KU13:LU13))</f>
        <v/>
      </c>
      <c r="LV66" s="114" t="str">
        <f>IF(OR(LV$13="",LV$17="",LV$14="",LV$15="",LV$16="",LV$18="",LV$19="",LV$20="",LV$21=""),"",SUM($KU13:LV13))</f>
        <v/>
      </c>
      <c r="LW66" s="114" t="str">
        <f>IF(OR(LW$13="",LW$17="",LW$14="",LW$15="",LW$16="",LW$18="",LW$19="",LW$20="",LW$21=""),"",SUM($KU13:LW13))</f>
        <v/>
      </c>
      <c r="LX66" s="114" t="str">
        <f>IF(OR(LX$13="",LX$17="",LX$14="",LX$15="",LX$16="",LX$18="",LX$19="",LX$20="",LX$21=""),"",SUM($KU13:LX13))</f>
        <v/>
      </c>
      <c r="LY66" s="114" t="str">
        <f>IF(OR(LY$13="",LY$17="",LY$14="",LY$15="",LY$16="",LY$18="",LY$19="",LY$20="",LY$21=""),"",SUM($LY13:LY13))</f>
        <v/>
      </c>
      <c r="LZ66" s="114" t="str">
        <f>IF(OR(LZ$13="",LZ$17="",LZ$14="",LZ$15="",LZ$16="",LZ$18="",LZ$19="",LZ$20="",LZ$21=""),"",SUM($LY13:LZ13))</f>
        <v/>
      </c>
      <c r="MA66" s="114" t="str">
        <f>IF(OR(MA$13="",MA$17="",MA$14="",MA$15="",MA$16="",MA$18="",MA$19="",MA$20="",MA$21=""),"",SUM($LY13:MA13))</f>
        <v/>
      </c>
      <c r="MB66" s="114" t="str">
        <f>IF(OR(MB$13="",MB$17="",MB$14="",MB$15="",MB$16="",MB$18="",MB$19="",MB$20="",MB$21=""),"",SUM($LY13:MB13))</f>
        <v/>
      </c>
      <c r="MC66" s="114" t="str">
        <f>IF(OR(MC$13="",MC$17="",MC$14="",MC$15="",MC$16="",MC$18="",MC$19="",MC$20="",MC$21=""),"",SUM($LY13:MC13))</f>
        <v/>
      </c>
      <c r="MD66" s="114" t="str">
        <f>IF(OR(MD$13="",MD$17="",MD$14="",MD$15="",MD$16="",MD$18="",MD$19="",MD$20="",MD$21=""),"",SUM($LY13:MD13))</f>
        <v/>
      </c>
      <c r="ME66" s="114" t="str">
        <f>IF(OR(ME$13="",ME$17="",ME$14="",ME$15="",ME$16="",ME$18="",ME$19="",ME$20="",ME$21=""),"",SUM($LY13:ME13))</f>
        <v/>
      </c>
      <c r="MF66" s="114" t="str">
        <f>IF(OR(MF$13="",MF$17="",MF$14="",MF$15="",MF$16="",MF$18="",MF$19="",MF$20="",MF$21=""),"",SUM($LY13:MF13))</f>
        <v/>
      </c>
      <c r="MG66" s="114" t="str">
        <f>IF(OR(MG$13="",MG$17="",MG$14="",MG$15="",MG$16="",MG$18="",MG$19="",MG$20="",MG$21=""),"",SUM($LY13:MG13))</f>
        <v/>
      </c>
      <c r="MH66" s="114" t="str">
        <f>IF(OR(MH$13="",MH$17="",MH$14="",MH$15="",MH$16="",MH$18="",MH$19="",MH$20="",MH$21=""),"",SUM($LY13:MH13))</f>
        <v/>
      </c>
      <c r="MI66" s="114" t="str">
        <f>IF(OR(MI$13="",MI$17="",MI$14="",MI$15="",MI$16="",MI$18="",MI$19="",MI$20="",MI$21=""),"",SUM($LY13:MI13))</f>
        <v/>
      </c>
      <c r="MJ66" s="114" t="str">
        <f>IF(OR(MJ$13="",MJ$17="",MJ$14="",MJ$15="",MJ$16="",MJ$18="",MJ$19="",MJ$20="",MJ$21=""),"",SUM($LY13:MJ13))</f>
        <v/>
      </c>
      <c r="MK66" s="114" t="str">
        <f>IF(OR(MK$13="",MK$17="",MK$14="",MK$15="",MK$16="",MK$18="",MK$19="",MK$20="",MK$21=""),"",SUM($LY13:MK13))</f>
        <v/>
      </c>
      <c r="ML66" s="114" t="str">
        <f>IF(OR(ML$13="",ML$17="",ML$14="",ML$15="",ML$16="",ML$18="",ML$19="",ML$20="",ML$21=""),"",SUM($LY13:ML13))</f>
        <v/>
      </c>
      <c r="MM66" s="114" t="str">
        <f>IF(OR(MM$13="",MM$17="",MM$14="",MM$15="",MM$16="",MM$18="",MM$19="",MM$20="",MM$21=""),"",SUM($LY13:MM13))</f>
        <v/>
      </c>
      <c r="MN66" s="114" t="str">
        <f>IF(OR(MN$13="",MN$17="",MN$14="",MN$15="",MN$16="",MN$18="",MN$19="",MN$20="",MN$21=""),"",SUM($LY13:MN13))</f>
        <v/>
      </c>
      <c r="MO66" s="114" t="str">
        <f>IF(OR(MO$13="",MO$17="",MO$14="",MO$15="",MO$16="",MO$18="",MO$19="",MO$20="",MO$21=""),"",SUM($LY13:MO13))</f>
        <v/>
      </c>
      <c r="MP66" s="114" t="str">
        <f>IF(OR(MP$13="",MP$17="",MP$14="",MP$15="",MP$16="",MP$18="",MP$19="",MP$20="",MP$21=""),"",SUM($LY13:MP13))</f>
        <v/>
      </c>
      <c r="MQ66" s="114" t="str">
        <f>IF(OR(MQ$13="",MQ$17="",MQ$14="",MQ$15="",MQ$16="",MQ$18="",MQ$19="",MQ$20="",MQ$21=""),"",SUM($LY13:MQ13))</f>
        <v/>
      </c>
      <c r="MR66" s="114" t="str">
        <f>IF(OR(MR$13="",MR$17="",MR$14="",MR$15="",MR$16="",MR$18="",MR$19="",MR$20="",MR$21=""),"",SUM($LY13:MR13))</f>
        <v/>
      </c>
      <c r="MS66" s="114" t="str">
        <f>IF(OR(MS$13="",MS$17="",MS$14="",MS$15="",MS$16="",MS$18="",MS$19="",MS$20="",MS$21=""),"",SUM($LY13:MS13))</f>
        <v/>
      </c>
      <c r="MT66" s="114" t="str">
        <f>IF(OR(MT$13="",MT$17="",MT$14="",MT$15="",MT$16="",MT$18="",MT$19="",MT$20="",MT$21=""),"",SUM($LY13:MT13))</f>
        <v/>
      </c>
      <c r="MU66" s="114" t="str">
        <f>IF(OR(MU$13="",MU$17="",MU$14="",MU$15="",MU$16="",MU$18="",MU$19="",MU$20="",MU$21=""),"",SUM($LY13:MU13))</f>
        <v/>
      </c>
      <c r="MV66" s="114" t="str">
        <f>IF(OR(MV$13="",MV$17="",MV$14="",MV$15="",MV$16="",MV$18="",MV$19="",MV$20="",MV$21=""),"",SUM($LY13:MV13))</f>
        <v/>
      </c>
      <c r="MW66" s="114" t="str">
        <f>IF(OR(MW$13="",MW$17="",MW$14="",MW$15="",MW$16="",MW$18="",MW$19="",MW$20="",MW$21=""),"",SUM($LY13:MW13))</f>
        <v/>
      </c>
      <c r="MX66" s="114" t="str">
        <f>IF(OR(MX$13="",MX$17="",MX$14="",MX$15="",MX$16="",MX$18="",MX$19="",MX$20="",MX$21=""),"",SUM($LY13:MX13))</f>
        <v/>
      </c>
      <c r="MY66" s="114" t="str">
        <f>IF(OR(MY$13="",MY$17="",MY$14="",MY$15="",MY$16="",MY$18="",MY$19="",MY$20="",MY$21=""),"",SUM($LY13:MY13))</f>
        <v/>
      </c>
      <c r="MZ66" s="114" t="str">
        <f>IF(OR(MZ$13="",MZ$17="",MZ$14="",MZ$15="",MZ$16="",MZ$18="",MZ$19="",MZ$20="",MZ$21=""),"",SUM($LY13:MZ13))</f>
        <v/>
      </c>
      <c r="NA66" s="114" t="str">
        <f>IF(OR(NA$13="",NA$17="",NA$14="",NA$15="",NA$16="",NA$18="",NA$19="",NA$20="",NA$21=""),"",SUM($LY13:NA13))</f>
        <v/>
      </c>
      <c r="NB66" s="114" t="str">
        <f>IF(OR(NB$13="",NB$17="",NB$14="",NB$15="",NB$16="",NB$18="",NB$19="",NB$20="",NB$21=""),"",SUM($LY13:NB13))</f>
        <v/>
      </c>
      <c r="NC66" s="114" t="str">
        <f>IF(OR(NC$13="",NC$17="",NC$14="",NC$15="",NC$16="",NC$18="",NC$19="",NC$20="",NC$21=""),"",SUM($LY13:NC13))</f>
        <v/>
      </c>
      <c r="ND66" s="114" t="str">
        <f>IF(OR(ND$13="",ND$17="",ND$14="",ND$15="",ND$16="",ND$18="",ND$19="",ND$20="",ND$21=""),"",SUM($ND13:ND13))</f>
        <v/>
      </c>
      <c r="NE66" s="114" t="str">
        <f>IF(OR(NE$13="",NE$17="",NE$14="",NE$15="",NE$16="",NE$18="",NE$19="",NE$20="",NE$21=""),"",SUM($ND13:NE13))</f>
        <v/>
      </c>
      <c r="NF66" s="114" t="str">
        <f>IF(OR(NF$13="",NF$17="",NF$14="",NF$15="",NF$16="",NF$18="",NF$19="",NF$20="",NF$21=""),"",SUM($ND13:NF13))</f>
        <v/>
      </c>
      <c r="NG66" s="114" t="str">
        <f>IF(OR(NG$13="",NG$17="",NG$14="",NG$15="",NG$16="",NG$18="",NG$19="",NG$20="",NG$21=""),"",SUM($ND13:NG13))</f>
        <v/>
      </c>
      <c r="NH66" s="114" t="str">
        <f>IF(OR(NH$13="",NH$17="",NH$14="",NH$15="",NH$16="",NH$18="",NH$19="",NH$20="",NH$21=""),"",SUM($ND13:NH13))</f>
        <v/>
      </c>
      <c r="NI66" s="114" t="str">
        <f>IF(OR(NI$13="",NI$17="",NI$14="",NI$15="",NI$16="",NI$18="",NI$19="",NI$20="",NI$21=""),"",SUM($ND13:NI13))</f>
        <v/>
      </c>
      <c r="NJ66" s="114" t="str">
        <f>IF(OR(NJ$13="",NJ$17="",NJ$14="",NJ$15="",NJ$16="",NJ$18="",NJ$19="",NJ$20="",NJ$21=""),"",SUM($ND13:NJ13))</f>
        <v/>
      </c>
      <c r="NK66" s="114" t="str">
        <f>IF(OR(NK$13="",NK$17="",NK$14="",NK$15="",NK$16="",NK$18="",NK$19="",NK$20="",NK$21=""),"",SUM($ND13:NK13))</f>
        <v/>
      </c>
      <c r="NL66" s="114" t="str">
        <f>IF(OR(NL$13="",NL$17="",NL$14="",NL$15="",NL$16="",NL$18="",NL$19="",NL$20="",NL$21=""),"",SUM($ND13:NL13))</f>
        <v/>
      </c>
      <c r="NM66" s="114" t="str">
        <f>IF(OR(NM$13="",NM$17="",NM$14="",NM$15="",NM$16="",NM$18="",NM$19="",NM$20="",NM$21=""),"",SUM($ND13:NM13))</f>
        <v/>
      </c>
      <c r="NN66" s="114" t="str">
        <f>IF(OR(NN$13="",NN$17="",NN$14="",NN$15="",NN$16="",NN$18="",NN$19="",NN$20="",NN$21=""),"",SUM($ND13:NN13))</f>
        <v/>
      </c>
      <c r="NO66" s="114" t="str">
        <f>IF(OR(NO$13="",NO$17="",NO$14="",NO$15="",NO$16="",NO$18="",NO$19="",NO$20="",NO$21=""),"",SUM($ND13:NO13))</f>
        <v/>
      </c>
      <c r="NP66" s="114" t="str">
        <f>IF(OR(NP$13="",NP$17="",NP$14="",NP$15="",NP$16="",NP$18="",NP$19="",NP$20="",NP$21=""),"",SUM($ND13:NP13))</f>
        <v/>
      </c>
      <c r="NQ66" s="114" t="str">
        <f>IF(OR(NQ$13="",NQ$17="",NQ$14="",NQ$15="",NQ$16="",NQ$18="",NQ$19="",NQ$20="",NQ$21=""),"",SUM($ND13:NQ13))</f>
        <v/>
      </c>
      <c r="NR66" s="114" t="str">
        <f>IF(OR(NR$13="",NR$17="",NR$14="",NR$15="",NR$16="",NR$18="",NR$19="",NR$20="",NR$21=""),"",SUM($ND13:NR13))</f>
        <v/>
      </c>
      <c r="NS66" s="114" t="str">
        <f>IF(OR(NS$13="",NS$17="",NS$14="",NS$15="",NS$16="",NS$18="",NS$19="",NS$20="",NS$21=""),"",SUM($ND13:NS13))</f>
        <v/>
      </c>
      <c r="NT66" s="114" t="str">
        <f>IF(OR(NT$13="",NT$17="",NT$14="",NT$15="",NT$16="",NT$18="",NT$19="",NT$20="",NT$21=""),"",SUM($ND13:NT13))</f>
        <v/>
      </c>
      <c r="NU66" s="114" t="str">
        <f>IF(OR(NU$13="",NU$17="",NU$14="",NU$15="",NU$16="",NU$18="",NU$19="",NU$20="",NU$21=""),"",SUM($ND13:NU13))</f>
        <v/>
      </c>
      <c r="NV66" s="114" t="str">
        <f>IF(OR(NV$13="",NV$17="",NV$14="",NV$15="",NV$16="",NV$18="",NV$19="",NV$20="",NV$21=""),"",SUM($ND13:NV13))</f>
        <v/>
      </c>
      <c r="NW66" s="114" t="str">
        <f>IF(OR(NW$13="",NW$17="",NW$14="",NW$15="",NW$16="",NW$18="",NW$19="",NW$20="",NW$21=""),"",SUM($ND13:NW13))</f>
        <v/>
      </c>
      <c r="NX66" s="114" t="str">
        <f>IF(OR(NX$13="",NX$17="",NX$14="",NX$15="",NX$16="",NX$18="",NX$19="",NX$20="",NX$21=""),"",SUM($ND13:NX13))</f>
        <v/>
      </c>
      <c r="NY66" s="114" t="str">
        <f>IF(OR(NY$13="",NY$17="",NY$14="",NY$15="",NY$16="",NY$18="",NY$19="",NY$20="",NY$21=""),"",SUM($ND13:NY13))</f>
        <v/>
      </c>
      <c r="NZ66" s="114" t="str">
        <f>IF(OR(NZ$13="",NZ$17="",NZ$14="",NZ$15="",NZ$16="",NZ$18="",NZ$19="",NZ$20="",NZ$21=""),"",SUM($ND13:NZ13))</f>
        <v/>
      </c>
      <c r="OA66" s="114" t="str">
        <f>IF(OR(OA$13="",OA$17="",OA$14="",OA$15="",OA$16="",OA$18="",OA$19="",OA$20="",OA$21=""),"",SUM($ND13:OA13))</f>
        <v/>
      </c>
      <c r="OB66" s="114" t="str">
        <f>IF(OR(OB$13="",OB$17="",OB$14="",OB$15="",OB$16="",OB$18="",OB$19="",OB$20="",OB$21=""),"",SUM($ND13:OB13))</f>
        <v/>
      </c>
      <c r="OC66" s="114" t="str">
        <f>IF(OR(OC$13="",OC$17="",OC$14="",OC$15="",OC$16="",OC$18="",OC$19="",OC$20="",OC$21=""),"",SUM($ND13:OC13))</f>
        <v/>
      </c>
      <c r="OD66" s="114" t="str">
        <f>IF(OR(OD$13="",OD$17="",OD$14="",OD$15="",OD$16="",OD$18="",OD$19="",OD$20="",OD$21=""),"",SUM($ND13:OD13))</f>
        <v/>
      </c>
      <c r="OE66" s="114" t="str">
        <f>IF(OR(OE$13="",OE$17="",OE$14="",OE$15="",OE$16="",OE$18="",OE$19="",OE$20="",OE$21=""),"",SUM($ND13:OE13))</f>
        <v/>
      </c>
      <c r="OF66" s="114" t="str">
        <f>IF(OR(OF$13="",OF$17="",OF$14="",OF$15="",OF$16="",OF$18="",OF$19="",OF$20="",OF$21=""),"",SUM($ND13:OF13))</f>
        <v/>
      </c>
      <c r="OG66" s="114" t="str">
        <f>IF(OR(OG$13="",OG$17="",OG$14="",OG$15="",OG$16="",OG$18="",OG$19="",OG$20="",OG$21=""),"",SUM($ND13:OG13))</f>
        <v/>
      </c>
      <c r="OH66" s="114" t="str">
        <f>IF(OR(OH$13="",OH$17="",OH$14="",OH$15="",OH$16="",OH$18="",OH$19="",OH$20="",OH$21=""),"",SUM($ND13:OH13))</f>
        <v/>
      </c>
      <c r="OI66" s="114" t="str">
        <f>IF(OR(OI$13="",OI$17="",OI$14="",OI$15="",OI$16="",OI$18="",OI$19="",OI$20="",OI$21=""),"",SUM($OI13:OI13))</f>
        <v/>
      </c>
      <c r="OJ66" s="114" t="str">
        <f>IF(OR(OJ$13="",OJ$17="",OJ$14="",OJ$15="",OJ$16="",OJ$18="",OJ$19="",OJ$20="",OJ$21=""),"",SUM($OI13:OJ13))</f>
        <v/>
      </c>
      <c r="OK66" s="114" t="str">
        <f>IF(OR(OK$13="",OK$17="",OK$14="",OK$15="",OK$16="",OK$18="",OK$19="",OK$20="",OK$21=""),"",SUM($OI13:OK13))</f>
        <v/>
      </c>
      <c r="OL66" s="114" t="str">
        <f>IF(OR(OL$13="",OL$17="",OL$14="",OL$15="",OL$16="",OL$18="",OL$19="",OL$20="",OL$21=""),"",SUM($OI13:OL13))</f>
        <v/>
      </c>
      <c r="OM66" s="114" t="str">
        <f>IF(OR(OM$13="",OM$17="",OM$14="",OM$15="",OM$16="",OM$18="",OM$19="",OM$20="",OM$21=""),"",SUM($OI13:OM13))</f>
        <v/>
      </c>
      <c r="ON66" s="114" t="str">
        <f>IF(OR(ON$13="",ON$17="",ON$14="",ON$15="",ON$16="",ON$18="",ON$19="",ON$20="",ON$21=""),"",SUM($OI13:ON13))</f>
        <v/>
      </c>
      <c r="OO66" s="114" t="str">
        <f>IF(OR(OO$13="",OO$17="",OO$14="",OO$15="",OO$16="",OO$18="",OO$19="",OO$20="",OO$21=""),"",SUM($OI13:OO13))</f>
        <v/>
      </c>
      <c r="OP66" s="114" t="str">
        <f>IF(OR(OP$13="",OP$17="",OP$14="",OP$15="",OP$16="",OP$18="",OP$19="",OP$20="",OP$21=""),"",SUM($OI13:OP13))</f>
        <v/>
      </c>
      <c r="OQ66" s="114" t="str">
        <f>IF(OR(OQ$13="",OQ$17="",OQ$14="",OQ$15="",OQ$16="",OQ$18="",OQ$19="",OQ$20="",OQ$21=""),"",SUM($OI13:OQ13))</f>
        <v/>
      </c>
      <c r="OR66" s="114" t="str">
        <f>IF(OR(OR$13="",OR$17="",OR$14="",OR$15="",OR$16="",OR$18="",OR$19="",OR$20="",OR$21=""),"",SUM($OI13:OR13))</f>
        <v/>
      </c>
      <c r="OS66" s="114" t="str">
        <f>IF(OR(OS$13="",OS$17="",OS$14="",OS$15="",OS$16="",OS$18="",OS$19="",OS$20="",OS$21=""),"",SUM($OI13:OS13))</f>
        <v/>
      </c>
      <c r="OT66" s="114" t="str">
        <f>IF(OR(OT$13="",OT$17="",OT$14="",OT$15="",OT$16="",OT$18="",OT$19="",OT$20="",OT$21=""),"",SUM($OI13:OT13))</f>
        <v/>
      </c>
      <c r="OU66" s="114" t="str">
        <f>IF(OR(OU$13="",OU$17="",OU$14="",OU$15="",OU$16="",OU$18="",OU$19="",OU$20="",OU$21=""),"",SUM($OI13:OU13))</f>
        <v/>
      </c>
      <c r="OV66" s="114" t="str">
        <f>IF(OR(OV$13="",OV$17="",OV$14="",OV$15="",OV$16="",OV$18="",OV$19="",OV$20="",OV$21=""),"",SUM($OI13:OV13))</f>
        <v/>
      </c>
      <c r="OW66" s="114" t="str">
        <f>IF(OR(OW$13="",OW$17="",OW$14="",OW$15="",OW$16="",OW$18="",OW$19="",OW$20="",OW$21=""),"",SUM($OI13:OW13))</f>
        <v/>
      </c>
      <c r="OX66" s="114" t="str">
        <f>IF(OR(OX$13="",OX$17="",OX$14="",OX$15="",OX$16="",OX$18="",OX$19="",OX$20="",OX$21=""),"",SUM($OI13:OX13))</f>
        <v/>
      </c>
      <c r="OY66" s="114" t="str">
        <f>IF(OR(OY$13="",OY$17="",OY$14="",OY$15="",OY$16="",OY$18="",OY$19="",OY$20="",OY$21=""),"",SUM($OI13:OY13))</f>
        <v/>
      </c>
      <c r="OZ66" s="114" t="str">
        <f>IF(OR(OZ$13="",OZ$17="",OZ$14="",OZ$15="",OZ$16="",OZ$18="",OZ$19="",OZ$20="",OZ$21=""),"",SUM($OI13:OZ13))</f>
        <v/>
      </c>
      <c r="PA66" s="114" t="str">
        <f>IF(OR(PA$13="",PA$17="",PA$14="",PA$15="",PA$16="",PA$18="",PA$19="",PA$20="",PA$21=""),"",SUM($OI13:PA13))</f>
        <v/>
      </c>
      <c r="PB66" s="114" t="str">
        <f>IF(OR(PB$13="",PB$17="",PB$14="",PB$15="",PB$16="",PB$18="",PB$19="",PB$20="",PB$21=""),"",SUM($OI13:PB13))</f>
        <v/>
      </c>
      <c r="PC66" s="114" t="str">
        <f>IF(OR(PC$13="",PC$17="",PC$14="",PC$15="",PC$16="",PC$18="",PC$19="",PC$20="",PC$21=""),"",SUM($OI13:PC13))</f>
        <v/>
      </c>
      <c r="PD66" s="114" t="str">
        <f>IF(OR(PD$13="",PD$17="",PD$14="",PD$15="",PD$16="",PD$18="",PD$19="",PD$20="",PD$21=""),"",SUM($OI13:PD13))</f>
        <v/>
      </c>
      <c r="PE66" s="114" t="str">
        <f>IF(OR(PE$13="",PE$17="",PE$14="",PE$15="",PE$16="",PE$18="",PE$19="",PE$20="",PE$21=""),"",SUM($OI13:PE13))</f>
        <v/>
      </c>
      <c r="PF66" s="114" t="str">
        <f>IF(OR(PF$13="",PF$17="",PF$14="",PF$15="",PF$16="",PF$18="",PF$19="",PF$20="",PF$21=""),"",SUM($OI13:PF13))</f>
        <v/>
      </c>
      <c r="PG66" s="114" t="str">
        <f>IF(OR(PG$13="",PG$17="",PG$14="",PG$15="",PG$16="",PG$18="",PG$19="",PG$20="",PG$21=""),"",SUM($OI13:PG13))</f>
        <v/>
      </c>
      <c r="PH66" s="114" t="str">
        <f>IF(OR(PH$13="",PH$17="",PH$14="",PH$15="",PH$16="",PH$18="",PH$19="",PH$20="",PH$21=""),"",SUM($OI13:PH13))</f>
        <v/>
      </c>
      <c r="PI66" s="114" t="str">
        <f>IF(OR(PI$13="",PI$17="",PI$14="",PI$15="",PI$16="",PI$18="",PI$19="",PI$20="",PI$21=""),"",SUM($OI13:PI13))</f>
        <v/>
      </c>
      <c r="PJ66" s="114" t="str">
        <f>IF(OR(PJ$13="",PJ$17="",PJ$14="",PJ$15="",PJ$16="",PJ$18="",PJ$19="",PJ$20="",PJ$21=""),"",SUM($OI13:PJ13))</f>
        <v/>
      </c>
      <c r="PK66" s="114" t="str">
        <f>IF(OR(PK$13="",PK$17="",PK$14="",PK$15="",PK$16="",PK$18="",PK$19="",PK$20="",PK$21=""),"",SUM($PK13:PK13))</f>
        <v/>
      </c>
      <c r="PL66" s="114" t="str">
        <f>IF(OR(PL$13="",PL$17="",PL$14="",PL$15="",PL$16="",PL$18="",PL$19="",PL$20="",PL$21=""),"",SUM($PK13:PL13))</f>
        <v/>
      </c>
      <c r="PM66" s="114" t="str">
        <f>IF(OR(PM$13="",PM$17="",PM$14="",PM$15="",PM$16="",PM$18="",PM$19="",PM$20="",PM$21=""),"",SUM($PK13:PM13))</f>
        <v/>
      </c>
      <c r="PN66" s="114" t="str">
        <f>IF(OR(PN$13="",PN$17="",PN$14="",PN$15="",PN$16="",PN$18="",PN$19="",PN$20="",PN$21=""),"",SUM($PK13:PN13))</f>
        <v/>
      </c>
      <c r="PO66" s="114" t="str">
        <f>IF(OR(PO$13="",PO$17="",PO$14="",PO$15="",PO$16="",PO$18="",PO$19="",PO$20="",PO$21=""),"",SUM($PK13:PO13))</f>
        <v/>
      </c>
      <c r="PP66" s="114" t="str">
        <f>IF(OR(PP$13="",PP$17="",PP$14="",PP$15="",PP$16="",PP$18="",PP$19="",PP$20="",PP$21=""),"",SUM($PK13:PP13))</f>
        <v/>
      </c>
      <c r="PQ66" s="114" t="str">
        <f>IF(OR(PQ$13="",PQ$17="",PQ$14="",PQ$15="",PQ$16="",PQ$18="",PQ$19="",PQ$20="",PQ$21=""),"",SUM($PK13:PQ13))</f>
        <v/>
      </c>
      <c r="PR66" s="114" t="str">
        <f>IF(OR(PR$13="",PR$17="",PR$14="",PR$15="",PR$16="",PR$18="",PR$19="",PR$20="",PR$21=""),"",SUM($PK13:PR13))</f>
        <v/>
      </c>
      <c r="PS66" s="114" t="str">
        <f>IF(OR(PS$13="",PS$17="",PS$14="",PS$15="",PS$16="",PS$18="",PS$19="",PS$20="",PS$21=""),"",SUM($PK13:PS13))</f>
        <v/>
      </c>
      <c r="PT66" s="114" t="str">
        <f>IF(OR(PT$13="",PT$17="",PT$14="",PT$15="",PT$16="",PT$18="",PT$19="",PT$20="",PT$21=""),"",SUM($PK13:PT13))</f>
        <v/>
      </c>
      <c r="PU66" s="114" t="str">
        <f>IF(OR(PU$13="",PU$17="",PU$14="",PU$15="",PU$16="",PU$18="",PU$19="",PU$20="",PU$21=""),"",SUM($PK13:PU13))</f>
        <v/>
      </c>
      <c r="PV66" s="114" t="str">
        <f>IF(OR(PV$13="",PV$17="",PV$14="",PV$15="",PV$16="",PV$18="",PV$19="",PV$20="",PV$21=""),"",SUM($PK13:PV13))</f>
        <v/>
      </c>
      <c r="PW66" s="114" t="str">
        <f>IF(OR(PW$13="",PW$17="",PW$14="",PW$15="",PW$16="",PW$18="",PW$19="",PW$20="",PW$21=""),"",SUM($PK13:PW13))</f>
        <v/>
      </c>
      <c r="PX66" s="114" t="str">
        <f>IF(OR(PX$13="",PX$17="",PX$14="",PX$15="",PX$16="",PX$18="",PX$19="",PX$20="",PX$21=""),"",SUM($PK13:PX13))</f>
        <v/>
      </c>
      <c r="PY66" s="114" t="str">
        <f>IF(OR(PY$13="",PY$17="",PY$14="",PY$15="",PY$16="",PY$18="",PY$19="",PY$20="",PY$21=""),"",SUM($PK13:PY13))</f>
        <v/>
      </c>
      <c r="PZ66" s="114" t="str">
        <f>IF(OR(PZ$13="",PZ$17="",PZ$14="",PZ$15="",PZ$16="",PZ$18="",PZ$19="",PZ$20="",PZ$21=""),"",SUM($PK13:PZ13))</f>
        <v/>
      </c>
      <c r="QA66" s="114" t="str">
        <f>IF(OR(QA$13="",QA$17="",QA$14="",QA$15="",QA$16="",QA$18="",QA$19="",QA$20="",QA$21=""),"",SUM($PK13:QA13))</f>
        <v/>
      </c>
      <c r="QB66" s="114" t="str">
        <f>IF(OR(QB$13="",QB$17="",QB$14="",QB$15="",QB$16="",QB$18="",QB$19="",QB$20="",QB$21=""),"",SUM($PK13:QB13))</f>
        <v/>
      </c>
      <c r="QC66" s="114" t="str">
        <f>IF(OR(QC$13="",QC$17="",QC$14="",QC$15="",QC$16="",QC$18="",QC$19="",QC$20="",QC$21=""),"",SUM($PK13:QC13))</f>
        <v/>
      </c>
      <c r="QD66" s="114" t="str">
        <f>IF(OR(QD$13="",QD$17="",QD$14="",QD$15="",QD$16="",QD$18="",QD$19="",QD$20="",QD$21=""),"",SUM($PK13:QD13))</f>
        <v/>
      </c>
      <c r="QE66" s="114" t="str">
        <f>IF(OR(QE$13="",QE$17="",QE$14="",QE$15="",QE$16="",QE$18="",QE$19="",QE$20="",QE$21=""),"",SUM($PK13:QE13))</f>
        <v/>
      </c>
      <c r="QF66" s="114" t="str">
        <f>IF(OR(QF$13="",QF$17="",QF$14="",QF$15="",QF$16="",QF$18="",QF$19="",QF$20="",QF$21=""),"",SUM($PK13:QF13))</f>
        <v/>
      </c>
      <c r="QG66" s="114" t="str">
        <f>IF(OR(QG$13="",QG$17="",QG$14="",QG$15="",QG$16="",QG$18="",QG$19="",QG$20="",QG$21=""),"",SUM($PK13:QG13))</f>
        <v/>
      </c>
      <c r="QH66" s="114" t="str">
        <f>IF(OR(QH$13="",QH$17="",QH$14="",QH$15="",QH$16="",QH$18="",QH$19="",QH$20="",QH$21=""),"",SUM($PK13:QH13))</f>
        <v/>
      </c>
      <c r="QI66" s="114" t="str">
        <f>IF(OR(QI$13="",QI$17="",QI$14="",QI$15="",QI$16="",QI$18="",QI$19="",QI$20="",QI$21=""),"",SUM($PK13:QI13))</f>
        <v/>
      </c>
      <c r="QJ66" s="114" t="str">
        <f>IF(OR(QJ$13="",QJ$17="",QJ$14="",QJ$15="",QJ$16="",QJ$18="",QJ$19="",QJ$20="",QJ$21=""),"",SUM($PK13:QJ13))</f>
        <v/>
      </c>
      <c r="QK66" s="114" t="str">
        <f>IF(OR(QK$13="",QK$17="",QK$14="",QK$15="",QK$16="",QK$18="",QK$19="",QK$20="",QK$21=""),"",SUM($PK13:QK13))</f>
        <v/>
      </c>
      <c r="QL66" s="114" t="str">
        <f>IF(OR(QL$13="",QL$17="",QL$14="",QL$15="",QL$16="",QL$18="",QL$19="",QL$20="",QL$21=""),"",SUM($PK13:QL13))</f>
        <v/>
      </c>
      <c r="QM66" s="114" t="str">
        <f>IF(OR(QM$13="",QM$17="",QM$14="",QM$15="",QM$16="",QM$18="",QM$19="",QM$20="",QM$21=""),"",SUM($PK13:QM13))</f>
        <v/>
      </c>
      <c r="QN66" s="114" t="str">
        <f>IF(OR(QN$13="",QN$17="",QN$14="",QN$15="",QN$16="",QN$18="",QN$19="",QN$20="",QN$21=""),"",SUM($PK13:QN13))</f>
        <v/>
      </c>
      <c r="QO66" s="114" t="str">
        <f>IF(OR(QO$13="",QO$17="",QO$14="",QO$15="",QO$16="",QO$18="",QO$19="",QO$20="",QO$21=""),"",SUM($PK13:QO13))</f>
        <v/>
      </c>
      <c r="QP66" s="114" t="str">
        <f>IF(OR(QP$13="",QP$17="",QP$14="",QP$15="",QP$16="",QP$18="",QP$19="",QP$20="",QP$21=""),"",SUM($QP13:QP13))</f>
        <v/>
      </c>
      <c r="QQ66" s="114" t="str">
        <f>IF(OR(QQ$13="",QQ$17="",QQ$14="",QQ$15="",QQ$16="",QQ$18="",QQ$19="",QQ$20="",QQ$21=""),"",SUM($QP13:QQ13))</f>
        <v/>
      </c>
      <c r="QR66" s="114" t="str">
        <f>IF(OR(QR$13="",QR$17="",QR$14="",QR$15="",QR$16="",QR$18="",QR$19="",QR$20="",QR$21=""),"",SUM($QP13:QR13))</f>
        <v/>
      </c>
      <c r="QS66" s="114" t="str">
        <f>IF(OR(QS$13="",QS$17="",QS$14="",QS$15="",QS$16="",QS$18="",QS$19="",QS$20="",QS$21=""),"",SUM($QP13:QS13))</f>
        <v/>
      </c>
      <c r="QT66" s="114" t="str">
        <f>IF(OR(QT$13="",QT$17="",QT$14="",QT$15="",QT$16="",QT$18="",QT$19="",QT$20="",QT$21=""),"",SUM($QP13:QT13))</f>
        <v/>
      </c>
      <c r="QU66" s="114" t="str">
        <f>IF(OR(QU$13="",QU$17="",QU$14="",QU$15="",QU$16="",QU$18="",QU$19="",QU$20="",QU$21=""),"",SUM($QP13:QU13))</f>
        <v/>
      </c>
      <c r="QV66" s="114" t="str">
        <f>IF(OR(QV$13="",QV$17="",QV$14="",QV$15="",QV$16="",QV$18="",QV$19="",QV$20="",QV$21=""),"",SUM($QP13:QV13))</f>
        <v/>
      </c>
      <c r="QW66" s="114" t="str">
        <f>IF(OR(QW$13="",QW$17="",QW$14="",QW$15="",QW$16="",QW$18="",QW$19="",QW$20="",QW$21=""),"",SUM($QP13:QW13))</f>
        <v/>
      </c>
      <c r="QX66" s="114" t="str">
        <f>IF(OR(QX$13="",QX$17="",QX$14="",QX$15="",QX$16="",QX$18="",QX$19="",QX$20="",QX$21=""),"",SUM($QP13:QX13))</f>
        <v/>
      </c>
      <c r="QY66" s="114" t="str">
        <f>IF(OR(QY$13="",QY$17="",QY$14="",QY$15="",QY$16="",QY$18="",QY$19="",QY$20="",QY$21=""),"",SUM($QP13:QY13))</f>
        <v/>
      </c>
      <c r="QZ66" s="114" t="str">
        <f>IF(OR(QZ$13="",QZ$17="",QZ$14="",QZ$15="",QZ$16="",QZ$18="",QZ$19="",QZ$20="",QZ$21=""),"",SUM($QP13:QZ13))</f>
        <v/>
      </c>
      <c r="RA66" s="114" t="str">
        <f>IF(OR(RA$13="",RA$17="",RA$14="",RA$15="",RA$16="",RA$18="",RA$19="",RA$20="",RA$21=""),"",SUM($QP13:RA13))</f>
        <v/>
      </c>
      <c r="RB66" s="114" t="str">
        <f>IF(OR(RB$13="",RB$17="",RB$14="",RB$15="",RB$16="",RB$18="",RB$19="",RB$20="",RB$21=""),"",SUM($QP13:RB13))</f>
        <v/>
      </c>
      <c r="RC66" s="114" t="str">
        <f>IF(OR(RC$13="",RC$17="",RC$14="",RC$15="",RC$16="",RC$18="",RC$19="",RC$20="",RC$21=""),"",SUM($QP13:RC13))</f>
        <v/>
      </c>
      <c r="RD66" s="114" t="str">
        <f>IF(OR(RD$13="",RD$17="",RD$14="",RD$15="",RD$16="",RD$18="",RD$19="",RD$20="",RD$21=""),"",SUM($QP13:RD13))</f>
        <v/>
      </c>
      <c r="RE66" s="114" t="str">
        <f>IF(OR(RE$13="",RE$17="",RE$14="",RE$15="",RE$16="",RE$18="",RE$19="",RE$20="",RE$21=""),"",SUM($QP13:RE13))</f>
        <v/>
      </c>
      <c r="RF66" s="114" t="str">
        <f>IF(OR(RF$13="",RF$17="",RF$14="",RF$15="",RF$16="",RF$18="",RF$19="",RF$20="",RF$21=""),"",SUM($QP13:RF13))</f>
        <v/>
      </c>
      <c r="RG66" s="114" t="str">
        <f>IF(OR(RG$13="",RG$17="",RG$14="",RG$15="",RG$16="",RG$18="",RG$19="",RG$20="",RG$21=""),"",SUM($QP13:RG13))</f>
        <v/>
      </c>
      <c r="RH66" s="114" t="str">
        <f>IF(OR(RH$13="",RH$17="",RH$14="",RH$15="",RH$16="",RH$18="",RH$19="",RH$20="",RH$21=""),"",SUM($QP13:RH13))</f>
        <v/>
      </c>
      <c r="RI66" s="114" t="str">
        <f>IF(OR(RI$13="",RI$17="",RI$14="",RI$15="",RI$16="",RI$18="",RI$19="",RI$20="",RI$21=""),"",SUM($QP13:RI13))</f>
        <v/>
      </c>
      <c r="RJ66" s="114" t="str">
        <f>IF(OR(RJ$13="",RJ$17="",RJ$14="",RJ$15="",RJ$16="",RJ$18="",RJ$19="",RJ$20="",RJ$21=""),"",SUM($QP13:RJ13))</f>
        <v/>
      </c>
      <c r="RK66" s="114" t="str">
        <f>IF(OR(RK$13="",RK$17="",RK$14="",RK$15="",RK$16="",RK$18="",RK$19="",RK$20="",RK$21=""),"",SUM($QP13:RK13))</f>
        <v/>
      </c>
      <c r="RL66" s="114" t="str">
        <f>IF(OR(RL$13="",RL$17="",RL$14="",RL$15="",RL$16="",RL$18="",RL$19="",RL$20="",RL$21=""),"",SUM($QP13:RL13))</f>
        <v/>
      </c>
      <c r="RM66" s="114" t="str">
        <f>IF(OR(RM$13="",RM$17="",RM$14="",RM$15="",RM$16="",RM$18="",RM$19="",RM$20="",RM$21=""),"",SUM($QP13:RM13))</f>
        <v/>
      </c>
      <c r="RN66" s="114" t="str">
        <f>IF(OR(RN$13="",RN$17="",RN$14="",RN$15="",RN$16="",RN$18="",RN$19="",RN$20="",RN$21=""),"",SUM($QP13:RN13))</f>
        <v/>
      </c>
      <c r="RO66" s="114" t="str">
        <f>IF(OR(RO$13="",RO$17="",RO$14="",RO$15="",RO$16="",RO$18="",RO$19="",RO$20="",RO$21=""),"",SUM($QP13:RO13))</f>
        <v/>
      </c>
      <c r="RP66" s="114" t="str">
        <f>IF(OR(RP$13="",RP$17="",RP$14="",RP$15="",RP$16="",RP$18="",RP$19="",RP$20="",RP$21=""),"",SUM($QP13:RP13))</f>
        <v/>
      </c>
      <c r="RQ66" s="114" t="str">
        <f>IF(OR(RQ$13="",RQ$17="",RQ$14="",RQ$15="",RQ$16="",RQ$18="",RQ$19="",RQ$20="",RQ$21=""),"",SUM($QP13:RQ13))</f>
        <v/>
      </c>
      <c r="RR66" s="114" t="str">
        <f>IF(OR(RR$13="",RR$17="",RR$14="",RR$15="",RR$16="",RR$18="",RR$19="",RR$20="",RR$21=""),"",SUM($QP13:RR13))</f>
        <v/>
      </c>
      <c r="RS66" s="114" t="str">
        <f>IF(OR(RS$13="",RS$17="",RS$14="",RS$15="",RS$16="",RS$18="",RS$19="",RS$20="",RS$21=""),"",SUM($QP13:RS13))</f>
        <v/>
      </c>
      <c r="RT66" s="114" t="str">
        <f>IF(OR(RT$13="",RT$17="",RT$14="",RT$15="",RT$16="",RT$18="",RT$19="",RT$20="",RT$21=""),"",SUM($RT13:RT13))</f>
        <v/>
      </c>
      <c r="RU66" s="114" t="str">
        <f>IF(OR(RU$13="",RU$17="",RU$14="",RU$15="",RU$16="",RU$18="",RU$19="",RU$20="",RU$21=""),"",SUM($RT13:RU13))</f>
        <v/>
      </c>
      <c r="RV66" s="114" t="str">
        <f>IF(OR(RV$13="",RV$17="",RV$14="",RV$15="",RV$16="",RV$18="",RV$19="",RV$20="",RV$21=""),"",SUM($RT13:RV13))</f>
        <v/>
      </c>
      <c r="RW66" s="114" t="str">
        <f>IF(OR(RW$13="",RW$17="",RW$14="",RW$15="",RW$16="",RW$18="",RW$19="",RW$20="",RW$21=""),"",SUM($RT13:RW13))</f>
        <v/>
      </c>
      <c r="RX66" s="114" t="str">
        <f>IF(OR(RX$13="",RX$17="",RX$14="",RX$15="",RX$16="",RX$18="",RX$19="",RX$20="",RX$21=""),"",SUM($RT13:RX13))</f>
        <v/>
      </c>
      <c r="RY66" s="114" t="str">
        <f>IF(OR(RY$13="",RY$17="",RY$14="",RY$15="",RY$16="",RY$18="",RY$19="",RY$20="",RY$21=""),"",SUM($RT13:RY13))</f>
        <v/>
      </c>
      <c r="RZ66" s="114" t="str">
        <f>IF(OR(RZ$13="",RZ$17="",RZ$14="",RZ$15="",RZ$16="",RZ$18="",RZ$19="",RZ$20="",RZ$21=""),"",SUM($RT13:RZ13))</f>
        <v/>
      </c>
      <c r="SA66" s="114" t="str">
        <f>IF(OR(SA$13="",SA$17="",SA$14="",SA$15="",SA$16="",SA$18="",SA$19="",SA$20="",SA$21=""),"",SUM($RT13:SA13))</f>
        <v/>
      </c>
      <c r="SB66" s="114" t="str">
        <f>IF(OR(SB$13="",SB$17="",SB$14="",SB$15="",SB$16="",SB$18="",SB$19="",SB$20="",SB$21=""),"",SUM($RT13:SB13))</f>
        <v/>
      </c>
      <c r="SC66" s="114" t="str">
        <f>IF(OR(SC$13="",SC$17="",SC$14="",SC$15="",SC$16="",SC$18="",SC$19="",SC$20="",SC$21=""),"",SUM($RT13:SC13))</f>
        <v/>
      </c>
      <c r="SD66" s="114" t="str">
        <f>IF(OR(SD$13="",SD$17="",SD$14="",SD$15="",SD$16="",SD$18="",SD$19="",SD$20="",SD$21=""),"",SUM($RT13:SD13))</f>
        <v/>
      </c>
      <c r="SE66" s="114" t="str">
        <f>IF(OR(SE$13="",SE$17="",SE$14="",SE$15="",SE$16="",SE$18="",SE$19="",SE$20="",SE$21=""),"",SUM($RT13:SE13))</f>
        <v/>
      </c>
      <c r="SF66" s="114" t="str">
        <f>IF(OR(SF$13="",SF$17="",SF$14="",SF$15="",SF$16="",SF$18="",SF$19="",SF$20="",SF$21=""),"",SUM($RT13:SF13))</f>
        <v/>
      </c>
      <c r="SG66" s="114" t="str">
        <f>IF(OR(SG$13="",SG$17="",SG$14="",SG$15="",SG$16="",SG$18="",SG$19="",SG$20="",SG$21=""),"",SUM($RT13:SG13))</f>
        <v/>
      </c>
      <c r="SH66" s="114" t="str">
        <f>IF(OR(SH$13="",SH$17="",SH$14="",SH$15="",SH$16="",SH$18="",SH$19="",SH$20="",SH$21=""),"",SUM($RT13:SH13))</f>
        <v/>
      </c>
      <c r="SI66" s="114" t="str">
        <f>IF(OR(SI$13="",SI$17="",SI$14="",SI$15="",SI$16="",SI$18="",SI$19="",SI$20="",SI$21=""),"",SUM($RT13:SI13))</f>
        <v/>
      </c>
      <c r="SJ66" s="114" t="str">
        <f>IF(OR(SJ$13="",SJ$17="",SJ$14="",SJ$15="",SJ$16="",SJ$18="",SJ$19="",SJ$20="",SJ$21=""),"",SUM($RT13:SJ13))</f>
        <v/>
      </c>
      <c r="SK66" s="114" t="str">
        <f>IF(OR(SK$13="",SK$17="",SK$14="",SK$15="",SK$16="",SK$18="",SK$19="",SK$20="",SK$21=""),"",SUM($RT13:SK13))</f>
        <v/>
      </c>
      <c r="SL66" s="114" t="str">
        <f>IF(OR(SL$13="",SL$17="",SL$14="",SL$15="",SL$16="",SL$18="",SL$19="",SL$20="",SL$21=""),"",SUM($RT13:SL13))</f>
        <v/>
      </c>
      <c r="SM66" s="114" t="str">
        <f>IF(OR(SM$13="",SM$17="",SM$14="",SM$15="",SM$16="",SM$18="",SM$19="",SM$20="",SM$21=""),"",SUM($RT13:SM13))</f>
        <v/>
      </c>
      <c r="SN66" s="114" t="str">
        <f>IF(OR(SN$13="",SN$17="",SN$14="",SN$15="",SN$16="",SN$18="",SN$19="",SN$20="",SN$21=""),"",SUM($RT13:SN13))</f>
        <v/>
      </c>
      <c r="SO66" s="114" t="str">
        <f>IF(OR(SO$13="",SO$17="",SO$14="",SO$15="",SO$16="",SO$18="",SO$19="",SO$20="",SO$21=""),"",SUM($RT13:SO13))</f>
        <v/>
      </c>
      <c r="SP66" s="114" t="str">
        <f>IF(OR(SP$13="",SP$17="",SP$14="",SP$15="",SP$16="",SP$18="",SP$19="",SP$20="",SP$21=""),"",SUM($RT13:SP13))</f>
        <v/>
      </c>
      <c r="SQ66" s="114" t="str">
        <f>IF(OR(SQ$13="",SQ$17="",SQ$14="",SQ$15="",SQ$16="",SQ$18="",SQ$19="",SQ$20="",SQ$21=""),"",SUM($RT13:SQ13))</f>
        <v/>
      </c>
      <c r="SR66" s="114" t="str">
        <f>IF(OR(SR$13="",SR$17="",SR$14="",SR$15="",SR$16="",SR$18="",SR$19="",SR$20="",SR$21=""),"",SUM($RT13:SR13))</f>
        <v/>
      </c>
      <c r="SS66" s="114" t="str">
        <f>IF(OR(SS$13="",SS$17="",SS$14="",SS$15="",SS$16="",SS$18="",SS$19="",SS$20="",SS$21=""),"",SUM($RT13:SS13))</f>
        <v/>
      </c>
      <c r="ST66" s="114" t="str">
        <f>IF(OR(ST$13="",ST$17="",ST$14="",ST$15="",ST$16="",ST$18="",ST$19="",ST$20="",ST$21=""),"",SUM($RT13:ST13))</f>
        <v/>
      </c>
      <c r="SU66" s="114" t="str">
        <f>IF(OR(SU$13="",SU$17="",SU$14="",SU$15="",SU$16="",SU$18="",SU$19="",SU$20="",SU$21=""),"",SUM($RT13:SU13))</f>
        <v/>
      </c>
      <c r="SV66" s="114" t="str">
        <f>IF(OR(SV$13="",SV$17="",SV$14="",SV$15="",SV$16="",SV$18="",SV$19="",SV$20="",SV$21=""),"",SUM($RT13:SV13))</f>
        <v/>
      </c>
      <c r="SW66" s="114" t="str">
        <f>IF(OR(SW$13="",SW$17="",SW$14="",SW$15="",SW$16="",SW$18="",SW$19="",SW$20="",SW$21=""),"",SUM($RT13:SW13))</f>
        <v/>
      </c>
    </row>
    <row r="67" spans="1:517" ht="24.6" customHeight="1" x14ac:dyDescent="0.2">
      <c r="A67" s="94" t="s">
        <v>86</v>
      </c>
      <c r="B67" s="119" t="s">
        <v>78</v>
      </c>
      <c r="C67" s="114">
        <f>IF(OR(C$13="",C$17="",C$14="",C$15="",C$16="",C$18="",C$19="",C$20="",C$21=""),"",SUM($C14:C14))</f>
        <v>0</v>
      </c>
      <c r="D67" s="114">
        <f>IF(OR(D$13="",D$17="",D$14="",D$15="",D$16="",D$18="",D$19="",D$20="",D$21=""),"",SUM($C14:D14))</f>
        <v>0</v>
      </c>
      <c r="E67" s="114">
        <f>IF(OR(E$13="",E$17="",E$14="",E$15="",E$16="",E$18="",E$19="",E$20="",E$21=""),"",SUM($C14:E14))</f>
        <v>0</v>
      </c>
      <c r="F67" s="114">
        <f>IF(OR(F$13="",F$17="",F$14="",F$15="",F$16="",F$18="",F$19="",F$20="",F$21=""),"",SUM($C14:F14))</f>
        <v>0</v>
      </c>
      <c r="G67" s="114">
        <f>IF(OR(G$13="",G$17="",G$14="",G$15="",G$16="",G$18="",G$19="",G$20="",G$21=""),"",SUM($C14:G14))</f>
        <v>0</v>
      </c>
      <c r="H67" s="114">
        <f>IF(OR(H$13="",H$17="",H$14="",H$15="",H$16="",H$18="",H$19="",H$20="",H$21=""),"",SUM($C14:H14))</f>
        <v>0</v>
      </c>
      <c r="I67" s="114">
        <f>IF(OR(I$13="",I$17="",I$14="",I$15="",I$16="",I$18="",I$19="",I$20="",I$21=""),"",SUM($C14:I14))</f>
        <v>0</v>
      </c>
      <c r="J67" s="114">
        <f>IF(OR(J$13="",J$17="",J$14="",J$15="",J$16="",J$18="",J$19="",J$20="",J$21=""),"",SUM($C14:J14))</f>
        <v>0</v>
      </c>
      <c r="K67" s="114">
        <f>IF(OR(K$13="",K$17="",K$14="",K$15="",K$16="",K$18="",K$19="",K$20="",K$21=""),"",SUM($C14:K14))</f>
        <v>0</v>
      </c>
      <c r="L67" s="114">
        <f>IF(OR(L$13="",L$17="",L$14="",L$15="",L$16="",L$18="",L$19="",L$20="",L$21=""),"",SUM($C14:L14))</f>
        <v>0</v>
      </c>
      <c r="M67" s="114">
        <f>IF(OR(M$13="",M$17="",M$14="",M$15="",M$16="",M$18="",M$19="",M$20="",M$21=""),"",SUM($C14:M14))</f>
        <v>0</v>
      </c>
      <c r="N67" s="114">
        <f>IF(OR(N$13="",N$17="",N$14="",N$15="",N$16="",N$18="",N$19="",N$20="",N$21=""),"",SUM($C14:N14))</f>
        <v>0</v>
      </c>
      <c r="O67" s="114">
        <f>IF(OR(O$13="",O$17="",O$14="",O$15="",O$16="",O$18="",O$19="",O$20="",O$21=""),"",SUM($C14:O14))</f>
        <v>0</v>
      </c>
      <c r="P67" s="114">
        <f>IF(OR(P$13="",P$17="",P$14="",P$15="",P$16="",P$18="",P$19="",P$20="",P$21=""),"",SUM($C14:P14))</f>
        <v>0</v>
      </c>
      <c r="Q67" s="114">
        <f>IF(OR(Q$13="",Q$17="",Q$14="",Q$15="",Q$16="",Q$18="",Q$19="",Q$20="",Q$21=""),"",SUM($C14:Q14))</f>
        <v>0</v>
      </c>
      <c r="R67" s="114">
        <f>IF(OR(R$13="",R$17="",R$14="",R$15="",R$16="",R$18="",R$19="",R$20="",R$21=""),"",SUM($C14:R14))</f>
        <v>0</v>
      </c>
      <c r="S67" s="114">
        <f>IF(OR(S$13="",S$17="",S$14="",S$15="",S$16="",S$18="",S$19="",S$20="",S$21=""),"",SUM($C14:S14))</f>
        <v>0</v>
      </c>
      <c r="T67" s="114">
        <f>IF(OR(T$13="",T$17="",T$14="",T$15="",T$16="",T$18="",T$19="",T$20="",T$21=""),"",SUM($C14:T14))</f>
        <v>0</v>
      </c>
      <c r="U67" s="114">
        <f>IF(OR(U$13="",U$17="",U$14="",U$15="",U$16="",U$18="",U$19="",U$20="",U$21=""),"",SUM($C14:U14))</f>
        <v>0</v>
      </c>
      <c r="V67" s="114">
        <f>IF(OR(V$13="",V$17="",V$14="",V$15="",V$16="",V$18="",V$19="",V$20="",V$21=""),"",SUM($C14:V14))</f>
        <v>0</v>
      </c>
      <c r="W67" s="114">
        <f>IF(OR(W$13="",W$17="",W$14="",W$15="",W$16="",W$18="",W$19="",W$20="",W$21=""),"",SUM($C14:W14))</f>
        <v>0</v>
      </c>
      <c r="X67" s="114">
        <f>IF(OR(X$13="",X$17="",X$14="",X$15="",X$16="",X$18="",X$19="",X$20="",X$21=""),"",SUM($C14:X14))</f>
        <v>0</v>
      </c>
      <c r="Y67" s="114">
        <f>IF(OR(Y$13="",Y$17="",Y$14="",Y$15="",Y$16="",Y$18="",Y$19="",Y$20="",Y$21=""),"",SUM($C14:Y14))</f>
        <v>0</v>
      </c>
      <c r="Z67" s="114">
        <f>IF(OR(Z$13="",Z$17="",Z$14="",Z$15="",Z$16="",Z$18="",Z$19="",Z$20="",Z$21=""),"",SUM($C14:Z14))</f>
        <v>0</v>
      </c>
      <c r="AA67" s="114">
        <f>IF(OR(AA$13="",AA$17="",AA$14="",AA$15="",AA$16="",AA$18="",AA$19="",AA$20="",AA$21=""),"",SUM($C14:AA14))</f>
        <v>0</v>
      </c>
      <c r="AB67" s="114">
        <f>IF(OR(AB$13="",AB$17="",AB$14="",AB$15="",AB$16="",AB$18="",AB$19="",AB$20="",AB$21=""),"",SUM($C14:AB14))</f>
        <v>0</v>
      </c>
      <c r="AC67" s="114">
        <f>IF(OR(AC$13="",AC$17="",AC$14="",AC$15="",AC$16="",AC$18="",AC$19="",AC$20="",AC$21=""),"",SUM($C14:AC14))</f>
        <v>0</v>
      </c>
      <c r="AD67" s="114">
        <f>IF(OR(AD$13="",AD$17="",AD$14="",AD$15="",AD$16="",AD$18="",AD$19="",AD$20="",AD$21=""),"",SUM($C14:AD14))</f>
        <v>0</v>
      </c>
      <c r="AE67" s="114">
        <f>IF(OR(AE$13="",AE$17="",AE$14="",AE$15="",AE$16="",AE$18="",AE$19="",AE$20="",AE$21=""),"",SUM($C14:AE14))</f>
        <v>0</v>
      </c>
      <c r="AF67" s="114">
        <f>IF(OR(AF$13="",AF$17="",AF$14="",AF$15="",AF$16="",AF$18="",AF$19="",AF$20="",AF$21=""),"",SUM($C14:AF14))</f>
        <v>0</v>
      </c>
      <c r="AG67" s="114">
        <f>IF(OR(AG$13="",AG$17="",AG$14="",AG$15="",AG$16="",AG$18="",AG$19="",AG$20="",AG$21=""),"",SUM($C14:AG14))</f>
        <v>0</v>
      </c>
      <c r="AH67" s="114">
        <f>IF(OR(AH$13="",AH$17="",AH$14="",AH$15="",AH$16="",AH$18="",AH$19="",AH$20="",AH$21=""),"",SUM($AH14:AH14))</f>
        <v>0</v>
      </c>
      <c r="AI67" s="114">
        <f>IF(OR(AI$13="",AI$17="",AI$14="",AI$15="",AI$16="",AI$18="",AI$19="",AI$20="",AI$21=""),"",SUM($AH14:AI14))</f>
        <v>4.08</v>
      </c>
      <c r="AJ67" s="114">
        <f>IF(OR(AJ$13="",AJ$17="",AJ$14="",AJ$15="",AJ$16="",AJ$18="",AJ$19="",AJ$20="",AJ$21=""),"",SUM($AH14:AJ14))</f>
        <v>10.100000000000001</v>
      </c>
      <c r="AK67" s="114">
        <f>IF(OR(AK$13="",AK$17="",AK$14="",AK$15="",AK$16="",AK$18="",AK$19="",AK$20="",AK$21=""),"",SUM($AH14:AK14))</f>
        <v>14.270000000000001</v>
      </c>
      <c r="AL67" s="114">
        <f>IF(OR(AL$13="",AL$17="",AL$14="",AL$15="",AL$16="",AL$18="",AL$19="",AL$20="",AL$21=""),"",SUM($AH14:AL14))</f>
        <v>14.270000000000001</v>
      </c>
      <c r="AM67" s="114">
        <f>IF(OR(AM$13="",AM$17="",AM$14="",AM$15="",AM$16="",AM$18="",AM$19="",AM$20="",AM$21=""),"",SUM($AH14:AM14))</f>
        <v>21.3</v>
      </c>
      <c r="AN67" s="114">
        <f>IF(OR(AN$13="",AN$17="",AN$14="",AN$15="",AN$16="",AN$18="",AN$19="",AN$20="",AN$21=""),"",SUM($AH14:AN14))</f>
        <v>21.3</v>
      </c>
      <c r="AO67" s="114">
        <f>IF(OR(AO$13="",AO$17="",AO$14="",AO$15="",AO$16="",AO$18="",AO$19="",AO$20="",AO$21=""),"",SUM($AH14:AO14))</f>
        <v>21.3</v>
      </c>
      <c r="AP67" s="114">
        <f>IF(OR(AP$13="",AP$17="",AP$14="",AP$15="",AP$16="",AP$18="",AP$19="",AP$20="",AP$21=""),"",SUM($AH14:AP14))</f>
        <v>30.85</v>
      </c>
      <c r="AQ67" s="114">
        <f>IF(OR(AQ$13="",AQ$17="",AQ$14="",AQ$15="",AQ$16="",AQ$18="",AQ$19="",AQ$20="",AQ$21=""),"",SUM($AH14:AQ14))</f>
        <v>30.85</v>
      </c>
      <c r="AR67" s="114">
        <f>IF(OR(AR$13="",AR$17="",AR$14="",AR$15="",AR$16="",AR$18="",AR$19="",AR$20="",AR$21=""),"",SUM($AH14:AR14))</f>
        <v>34.07</v>
      </c>
      <c r="AS67" s="114">
        <f>IF(OR(AS$13="",AS$17="",AS$14="",AS$15="",AS$16="",AS$18="",AS$19="",AS$20="",AS$21=""),"",SUM($AH14:AS14))</f>
        <v>34.07</v>
      </c>
      <c r="AT67" s="114">
        <f>IF(OR(AT$13="",AT$17="",AT$14="",AT$15="",AT$16="",AT$18="",AT$19="",AT$20="",AT$21=""),"",SUM($AH14:AT14))</f>
        <v>34.07</v>
      </c>
      <c r="AU67" s="114">
        <f>IF(OR(AU$13="",AU$17="",AU$14="",AU$15="",AU$16="",AU$18="",AU$19="",AU$20="",AU$21=""),"",SUM($AH14:AU14))</f>
        <v>34.07</v>
      </c>
      <c r="AV67" s="114">
        <f>IF(OR(AV$13="",AV$17="",AV$14="",AV$15="",AV$16="",AV$18="",AV$19="",AV$20="",AV$21=""),"",SUM($AH14:AV14))</f>
        <v>39.89</v>
      </c>
      <c r="AW67" s="114">
        <f>IF(OR(AW$13="",AW$17="",AW$14="",AW$15="",AW$16="",AW$18="",AW$19="",AW$20="",AW$21=""),"",SUM($AH14:AW14))</f>
        <v>40.49</v>
      </c>
      <c r="AX67" s="114">
        <f>IF(OR(AX$13="",AX$17="",AX$14="",AX$15="",AX$16="",AX$18="",AX$19="",AX$20="",AX$21=""),"",SUM($AH14:AX14))</f>
        <v>42.36</v>
      </c>
      <c r="AY67" s="114">
        <f>IF(OR(AY$13="",AY$17="",AY$14="",AY$15="",AY$16="",AY$18="",AY$19="",AY$20="",AY$21=""),"",SUM($AH14:AY14))</f>
        <v>45.69</v>
      </c>
      <c r="AZ67" s="114">
        <f>IF(OR(AZ$13="",AZ$17="",AZ$14="",AZ$15="",AZ$16="",AZ$18="",AZ$19="",AZ$20="",AZ$21=""),"",SUM($AH14:AZ14))</f>
        <v>57.54</v>
      </c>
      <c r="BA67" s="114">
        <f>IF(OR(BA$13="",BA$17="",BA$14="",BA$15="",BA$16="",BA$18="",BA$19="",BA$20="",BA$21=""),"",SUM($AH14:BA14))</f>
        <v>72.069999999999993</v>
      </c>
      <c r="BB67" s="114">
        <f>IF(OR(BB$13="",BB$17="",BB$14="",BB$15="",BB$16="",BB$18="",BB$19="",BB$20="",BB$21=""),"",SUM($AH14:BB14))</f>
        <v>72.069999999999993</v>
      </c>
      <c r="BC67" s="114">
        <f>IF(OR(BC$13="",BC$17="",BC$14="",BC$15="",BC$16="",BC$18="",BC$19="",BC$20="",BC$21=""),"",SUM($AH14:BC14))</f>
        <v>78.3</v>
      </c>
      <c r="BD67" s="114">
        <f>IF(OR(BD$13="",BD$17="",BD$14="",BD$15="",BD$16="",BD$18="",BD$19="",BD$20="",BD$21=""),"",SUM($AH14:BD14))</f>
        <v>78.3</v>
      </c>
      <c r="BE67" s="114">
        <f>IF(OR(BE$13="",BE$17="",BE$14="",BE$15="",BE$16="",BE$18="",BE$19="",BE$20="",BE$21=""),"",SUM($AH14:BE14))</f>
        <v>78.3</v>
      </c>
      <c r="BF67" s="114">
        <f>IF(OR(BF$13="",BF$17="",BF$14="",BF$15="",BF$16="",BF$18="",BF$19="",BF$20="",BF$21=""),"",SUM($AH14:BF14))</f>
        <v>78.3</v>
      </c>
      <c r="BG67" s="114">
        <f>IF(OR(BG$13="",BG$17="",BG$14="",BG$15="",BG$16="",BG$18="",BG$19="",BG$20="",BG$21=""),"",SUM($AH14:BG14))</f>
        <v>78.3</v>
      </c>
      <c r="BH67" s="114">
        <f>IF(OR(BH$13="",BH$17="",BH$14="",BH$15="",BH$16="",BH$18="",BH$19="",BH$20="",BH$21=""),"",SUM($AH14:BH14))</f>
        <v>78.3</v>
      </c>
      <c r="BI67" s="114">
        <f>IF(OR(BI$13="",BI$17="",BI$14="",BI$15="",BI$16="",BI$18="",BI$19="",BI$20="",BI$21=""),"",SUM($AH14:BI14))</f>
        <v>86.05</v>
      </c>
      <c r="BJ67" s="114">
        <f>IF(OR(BJ$13="",BJ$17="",BJ$14="",BJ$15="",BJ$16="",BJ$18="",BJ$19="",BJ$20="",BJ$21=""),"",SUM($BJ14:BJ14))</f>
        <v>0</v>
      </c>
      <c r="BK67" s="114">
        <f>IF(OR(BK$13="",BK$17="",BK$14="",BK$15="",BK$16="",BK$18="",BK$19="",BK$20="",BK$21=""),"",SUM($BJ14:BK14))</f>
        <v>0</v>
      </c>
      <c r="BL67" s="114">
        <f>IF(OR(BL$13="",BL$17="",BL$14="",BL$15="",BL$16="",BL$18="",BL$19="",BL$20="",BL$21=""),"",SUM($BJ14:BL14))</f>
        <v>1.1299999999999999</v>
      </c>
      <c r="BM67" s="114">
        <f>IF(OR(BM$13="",BM$17="",BM$14="",BM$15="",BM$16="",BM$18="",BM$19="",BM$20="",BM$21=""),"",SUM($BJ14:BM14))</f>
        <v>1.1299999999999999</v>
      </c>
      <c r="BN67" s="114">
        <f>IF(OR(BN$13="",BN$17="",BN$14="",BN$15="",BN$16="",BN$18="",BN$19="",BN$20="",BN$21=""),"",SUM($BJ14:BN14))</f>
        <v>1.1299999999999999</v>
      </c>
      <c r="BO67" s="114">
        <f>IF(OR(BO$13="",BO$17="",BO$14="",BO$15="",BO$16="",BO$18="",BO$19="",BO$20="",BO$21=""),"",SUM($BJ14:BO14))</f>
        <v>8.0599999999999987</v>
      </c>
      <c r="BP67" s="114">
        <f>IF(OR(BP$13="",BP$17="",BP$14="",BP$15="",BP$16="",BP$18="",BP$19="",BP$20="",BP$21=""),"",SUM($BJ14:BP14))</f>
        <v>9.7799999999999994</v>
      </c>
      <c r="BQ67" s="114">
        <f>IF(OR(BQ$13="",BQ$17="",BQ$14="",BQ$15="",BQ$16="",BQ$18="",BQ$19="",BQ$20="",BQ$21=""),"",SUM($BJ14:BQ14))</f>
        <v>9.7799999999999994</v>
      </c>
      <c r="BR67" s="114">
        <f>IF(OR(BR$13="",BR$17="",BR$14="",BR$15="",BR$16="",BR$18="",BR$19="",BR$20="",BR$21=""),"",SUM($BJ14:BR14))</f>
        <v>13.43</v>
      </c>
      <c r="BS67" s="114">
        <f>IF(OR(BS$13="",BS$17="",BS$14="",BS$15="",BS$16="",BS$18="",BS$19="",BS$20="",BS$21=""),"",SUM($BJ14:BS14))</f>
        <v>13.43</v>
      </c>
      <c r="BT67" s="114">
        <f>IF(OR(BT$13="",BT$17="",BT$14="",BT$15="",BT$16="",BT$18="",BT$19="",BT$20="",BT$21=""),"",SUM($BJ14:BT14))</f>
        <v>15.45</v>
      </c>
      <c r="BU67" s="114">
        <f>IF(OR(BU$13="",BU$17="",BU$14="",BU$15="",BU$16="",BU$18="",BU$19="",BU$20="",BU$21=""),"",SUM($BJ14:BU14))</f>
        <v>16.439999999999998</v>
      </c>
      <c r="BV67" s="114">
        <f>IF(OR(BV$13="",BV$17="",BV$14="",BV$15="",BV$16="",BV$18="",BV$19="",BV$20="",BV$21=""),"",SUM($BJ14:BV14))</f>
        <v>16.439999999999998</v>
      </c>
      <c r="BW67" s="114">
        <f>IF(OR(BW$13="",BW$17="",BW$14="",BW$15="",BW$16="",BW$18="",BW$19="",BW$20="",BW$21=""),"",SUM($BJ14:BW14))</f>
        <v>16.439999999999998</v>
      </c>
      <c r="BX67" s="114">
        <f>IF(OR(BX$13="",BX$17="",BX$14="",BX$15="",BX$16="",BX$18="",BX$19="",BX$20="",BX$21=""),"",SUM($BJ14:BX14))</f>
        <v>18.959999999999997</v>
      </c>
      <c r="BY67" s="114">
        <f>IF(OR(BY$13="",BY$17="",BY$14="",BY$15="",BY$16="",BY$18="",BY$19="",BY$20="",BY$21=""),"",SUM($BJ14:BY14))</f>
        <v>18.959999999999997</v>
      </c>
      <c r="BZ67" s="114">
        <f>IF(OR(BZ$13="",BZ$17="",BZ$14="",BZ$15="",BZ$16="",BZ$18="",BZ$19="",BZ$20="",BZ$21=""),"",SUM($BJ14:BZ14))</f>
        <v>18.959999999999997</v>
      </c>
      <c r="CA67" s="114">
        <f>IF(OR(CA$13="",CA$17="",CA$14="",CA$15="",CA$16="",CA$18="",CA$19="",CA$20="",CA$21=""),"",SUM($BJ14:CA14))</f>
        <v>18.959999999999997</v>
      </c>
      <c r="CB67" s="114">
        <f>IF(OR(CB$13="",CB$17="",CB$14="",CB$15="",CB$16="",CB$18="",CB$19="",CB$20="",CB$21=""),"",SUM($BJ14:CB14))</f>
        <v>18.959999999999997</v>
      </c>
      <c r="CC67" s="114">
        <f>IF(OR(CC$13="",CC$17="",CC$14="",CC$15="",CC$16="",CC$18="",CC$19="",CC$20="",CC$21=""),"",SUM($BJ14:CC14))</f>
        <v>34.26</v>
      </c>
      <c r="CD67" s="114">
        <f>IF(OR(CD$13="",CD$17="",CD$14="",CD$15="",CD$16="",CD$18="",CD$19="",CD$20="",CD$21=""),"",SUM($BJ14:CD14))</f>
        <v>34.26</v>
      </c>
      <c r="CE67" s="114">
        <f>IF(OR(CE$13="",CE$17="",CE$14="",CE$15="",CE$16="",CE$18="",CE$19="",CE$20="",CE$21=""),"",SUM($BJ14:CE14))</f>
        <v>34.26</v>
      </c>
      <c r="CF67" s="114">
        <f>IF(OR(CF$13="",CF$17="",CF$14="",CF$15="",CF$16="",CF$18="",CF$19="",CF$20="",CF$21=""),"",SUM($BJ14:CF14))</f>
        <v>34.26</v>
      </c>
      <c r="CG67" s="114">
        <f>IF(OR(CG$13="",CG$17="",CG$14="",CG$15="",CG$16="",CG$18="",CG$19="",CG$20="",CG$21=""),"",SUM($BJ14:CG14))</f>
        <v>34.26</v>
      </c>
      <c r="CH67" s="114">
        <f>IF(OR(CH$13="",CH$17="",CH$14="",CH$15="",CH$16="",CH$18="",CH$19="",CH$20="",CH$21=""),"",SUM($BJ14:CH14))</f>
        <v>34.26</v>
      </c>
      <c r="CI67" s="114">
        <f>IF(OR(CI$13="",CI$17="",CI$14="",CI$15="",CI$16="",CI$18="",CI$19="",CI$20="",CI$21=""),"",SUM($BJ14:CI14))</f>
        <v>34.809999999999995</v>
      </c>
      <c r="CJ67" s="114">
        <f>IF(OR(CJ$13="",CJ$17="",CJ$14="",CJ$15="",CJ$16="",CJ$18="",CJ$19="",CJ$20="",CJ$21=""),"",SUM($BJ14:CJ14))</f>
        <v>36.01</v>
      </c>
      <c r="CK67" s="114">
        <f>IF(OR(CK$13="",CK$17="",CK$14="",CK$15="",CK$16="",CK$18="",CK$19="",CK$20="",CK$21=""),"",SUM($BJ14:CK14))</f>
        <v>36.01</v>
      </c>
      <c r="CL67" s="114">
        <f>IF(OR(CL$13="",CL$17="",CL$14="",CL$15="",CL$16="",CL$18="",CL$19="",CL$20="",CL$21=""),"",SUM($BJ14:CL14))</f>
        <v>36.01</v>
      </c>
      <c r="CM67" s="114">
        <f>IF(OR(CM$13="",CM$17="",CM$14="",CM$15="",CM$16="",CM$18="",CM$19="",CM$20="",CM$21=""),"",SUM($BJ14:CM14))</f>
        <v>36.01</v>
      </c>
      <c r="CN67" s="114">
        <f>IF(OR(CN$13="",CN$17="",CN$14="",CN$15="",CN$16="",CN$18="",CN$19="",CN$20="",CN$21=""),"",SUM($BJ14:CN14))</f>
        <v>36.01</v>
      </c>
      <c r="CO67" s="114">
        <f>IF(OR(CO$13="",CO$17="",CO$14="",CO$15="",CO$16="",CO$18="",CO$19="",CO$20="",CO$21=""),"",SUM($CO14:CO14))</f>
        <v>3.0300000000000002</v>
      </c>
      <c r="CP67" s="114">
        <f>IF(OR(CP$13="",CP$17="",CP$14="",CP$15="",CP$16="",CP$18="",CP$19="",CP$20="",CP$21=""),"",SUM($CO14:CP14))</f>
        <v>3.0300000000000002</v>
      </c>
      <c r="CQ67" s="114">
        <f>IF(OR(CQ$13="",CQ$17="",CQ$14="",CQ$15="",CQ$16="",CQ$18="",CQ$19="",CQ$20="",CQ$21=""),"",SUM($CO14:CQ14))</f>
        <v>4.2</v>
      </c>
      <c r="CR67" s="114">
        <f>IF(OR(CR$13="",CR$17="",CR$14="",CR$15="",CR$16="",CR$18="",CR$19="",CR$20="",CR$21=""),"",SUM($CO14:CR14))</f>
        <v>4.2</v>
      </c>
      <c r="CS67" s="114">
        <f>IF(OR(CS$13="",CS$17="",CS$14="",CS$15="",CS$16="",CS$18="",CS$19="",CS$20="",CS$21=""),"",SUM($CO14:CS14))</f>
        <v>4.2</v>
      </c>
      <c r="CT67" s="114">
        <f>IF(OR(CT$13="",CT$17="",CT$14="",CT$15="",CT$16="",CT$18="",CT$19="",CT$20="",CT$21=""),"",SUM($CO14:CT14))</f>
        <v>4.2</v>
      </c>
      <c r="CU67" s="114">
        <f>IF(OR(CU$13="",CU$17="",CU$14="",CU$15="",CU$16="",CU$18="",CU$19="",CU$20="",CU$21=""),"",SUM($CO14:CU14))</f>
        <v>4.2</v>
      </c>
      <c r="CV67" s="114">
        <f>IF(OR(CV$13="",CV$17="",CV$14="",CV$15="",CV$16="",CV$18="",CV$19="",CV$20="",CV$21=""),"",SUM($CO14:CV14))</f>
        <v>4.2</v>
      </c>
      <c r="CW67" s="114">
        <f>IF(OR(CW$13="",CW$17="",CW$14="",CW$15="",CW$16="",CW$18="",CW$19="",CW$20="",CW$21=""),"",SUM($CO14:CW14))</f>
        <v>4.2</v>
      </c>
      <c r="CX67" s="114">
        <f>IF(OR(CX$13="",CX$17="",CX$14="",CX$15="",CX$16="",CX$18="",CX$19="",CX$20="",CX$21=""),"",SUM($CO14:CX14))</f>
        <v>4.2</v>
      </c>
      <c r="CY67" s="114">
        <f>IF(OR(CY$13="",CY$17="",CY$14="",CY$15="",CY$16="",CY$18="",CY$19="",CY$20="",CY$21=""),"",SUM($CO14:CY14))</f>
        <v>12.780000000000001</v>
      </c>
      <c r="CZ67" s="114">
        <f>IF(OR(CZ$13="",CZ$17="",CZ$14="",CZ$15="",CZ$16="",CZ$18="",CZ$19="",CZ$20="",CZ$21=""),"",SUM($CO14:CZ14))</f>
        <v>12.780000000000001</v>
      </c>
      <c r="DA67" s="114">
        <f>IF(OR(DA$13="",DA$17="",DA$14="",DA$15="",DA$16="",DA$18="",DA$19="",DA$20="",DA$21=""),"",SUM($CO14:DA14))</f>
        <v>12.780000000000001</v>
      </c>
      <c r="DB67" s="114">
        <f>IF(OR(DB$13="",DB$17="",DB$14="",DB$15="",DB$16="",DB$18="",DB$19="",DB$20="",DB$21=""),"",SUM($CO14:DB14))</f>
        <v>12.780000000000001</v>
      </c>
      <c r="DC67" s="114">
        <f>IF(OR(DC$13="",DC$17="",DC$14="",DC$15="",DC$16="",DC$18="",DC$19="",DC$20="",DC$21=""),"",SUM($CO14:DC14))</f>
        <v>12.780000000000001</v>
      </c>
      <c r="DD67" s="114">
        <f>IF(OR(DD$13="",DD$17="",DD$14="",DD$15="",DD$16="",DD$18="",DD$19="",DD$20="",DD$21=""),"",SUM($CO14:DD14))</f>
        <v>13.63</v>
      </c>
      <c r="DE67" s="114">
        <f>IF(OR(DE$13="",DE$17="",DE$14="",DE$15="",DE$16="",DE$18="",DE$19="",DE$20="",DE$21=""),"",SUM($CO14:DE14))</f>
        <v>15.56</v>
      </c>
      <c r="DF67" s="114">
        <f>IF(OR(DF$13="",DF$17="",DF$14="",DF$15="",DF$16="",DF$18="",DF$19="",DF$20="",DF$21=""),"",SUM($CO14:DF14))</f>
        <v>17.560000000000002</v>
      </c>
      <c r="DG67" s="114">
        <f>IF(OR(DG$13="",DG$17="",DG$14="",DG$15="",DG$16="",DG$18="",DG$19="",DG$20="",DG$21=""),"",SUM($CO14:DG14))</f>
        <v>29.380000000000003</v>
      </c>
      <c r="DH67" s="114">
        <f>IF(OR(DH$13="",DH$17="",DH$14="",DH$15="",DH$16="",DH$18="",DH$19="",DH$20="",DH$21=""),"",SUM($CO14:DH14))</f>
        <v>29.380000000000003</v>
      </c>
      <c r="DI67" s="114">
        <f>IF(OR(DI$13="",DI$17="",DI$14="",DI$15="",DI$16="",DI$18="",DI$19="",DI$20="",DI$21=""),"",SUM($CO14:DI14))</f>
        <v>29.380000000000003</v>
      </c>
      <c r="DJ67" s="114">
        <f>IF(OR(DJ$13="",DJ$17="",DJ$14="",DJ$15="",DJ$16="",DJ$18="",DJ$19="",DJ$20="",DJ$21=""),"",SUM($CO14:DJ14))</f>
        <v>31.630000000000003</v>
      </c>
      <c r="DK67" s="114">
        <f>IF(OR(DK$13="",DK$17="",DK$14="",DK$15="",DK$16="",DK$18="",DK$19="",DK$20="",DK$21=""),"",SUM($CO14:DK14))</f>
        <v>31.630000000000003</v>
      </c>
      <c r="DL67" s="114">
        <f>IF(OR(DL$13="",DL$17="",DL$14="",DL$15="",DL$16="",DL$18="",DL$19="",DL$20="",DL$21=""),"",SUM($CO14:DL14))</f>
        <v>31.630000000000003</v>
      </c>
      <c r="DM67" s="114">
        <f>IF(OR(DM$13="",DM$17="",DM$14="",DM$15="",DM$16="",DM$18="",DM$19="",DM$20="",DM$21=""),"",SUM($CO14:DM14))</f>
        <v>31.630000000000003</v>
      </c>
      <c r="DN67" s="114">
        <f>IF(OR(DN$13="",DN$17="",DN$14="",DN$15="",DN$16="",DN$18="",DN$19="",DN$20="",DN$21=""),"",SUM($CO14:DN14))</f>
        <v>31.630000000000003</v>
      </c>
      <c r="DO67" s="114">
        <f>IF(OR(DO$13="",DO$17="",DO$14="",DO$15="",DO$16="",DO$18="",DO$19="",DO$20="",DO$21=""),"",SUM($CO14:DO14))</f>
        <v>35.900000000000006</v>
      </c>
      <c r="DP67" s="114">
        <f>IF(OR(DP$13="",DP$17="",DP$14="",DP$15="",DP$16="",DP$18="",DP$19="",DP$20="",DP$21=""),"",SUM($CO14:DP14))</f>
        <v>35.900000000000006</v>
      </c>
      <c r="DQ67" s="114">
        <f>IF(OR(DQ$13="",DQ$17="",DQ$14="",DQ$15="",DQ$16="",DQ$18="",DQ$19="",DQ$20="",DQ$21=""),"",SUM($CO14:DQ14))</f>
        <v>37.030000000000008</v>
      </c>
      <c r="DR67" s="114">
        <f>IF(OR(DR$13="",DR$17="",DR$14="",DR$15="",DR$16="",DR$18="",DR$19="",DR$20="",DR$21=""),"",SUM($CO14:DR14))</f>
        <v>73.050000000000011</v>
      </c>
      <c r="DS67" s="114">
        <f>IF(OR(DS$13="",DS$17="",DS$14="",DS$15="",DS$16="",DS$18="",DS$19="",DS$20="",DS$21=""),"",SUM($DS14:DS14))</f>
        <v>13.55</v>
      </c>
      <c r="DT67" s="114">
        <f>IF(OR(DT$13="",DT$17="",DT$14="",DT$15="",DT$16="",DT$18="",DT$19="",DT$20="",DT$21=""),"",SUM($DS14:DT14))</f>
        <v>13.55</v>
      </c>
      <c r="DU67" s="114">
        <f>IF(OR(DU$13="",DU$17="",DU$14="",DU$15="",DU$16="",DU$18="",DU$19="",DU$20="",DU$21=""),"",SUM($DS14:DU14))</f>
        <v>20.75</v>
      </c>
      <c r="DV67" s="114">
        <f>IF(OR(DV$13="",DV$17="",DV$14="",DV$15="",DV$16="",DV$18="",DV$19="",DV$20="",DV$21=""),"",SUM($DS14:DV14))</f>
        <v>20.75</v>
      </c>
      <c r="DW67" s="114">
        <f>IF(OR(DW$13="",DW$17="",DW$14="",DW$15="",DW$16="",DW$18="",DW$19="",DW$20="",DW$21=""),"",SUM($DS14:DW14))</f>
        <v>20.75</v>
      </c>
      <c r="DX67" s="114">
        <f>IF(OR(DX$13="",DX$17="",DX$14="",DX$15="",DX$16="",DX$18="",DX$19="",DX$20="",DX$21=""),"",SUM($DS14:DX14))</f>
        <v>20.75</v>
      </c>
      <c r="DY67" s="114">
        <f>IF(OR(DY$13="",DY$17="",DY$14="",DY$15="",DY$16="",DY$18="",DY$19="",DY$20="",DY$21=""),"",SUM($DS14:DY14))</f>
        <v>20.75</v>
      </c>
      <c r="DZ67" s="114">
        <f>IF(OR(DZ$13="",DZ$17="",DZ$14="",DZ$15="",DZ$16="",DZ$18="",DZ$19="",DZ$20="",DZ$21=""),"",SUM($DS14:DZ14))</f>
        <v>22.240000000000002</v>
      </c>
      <c r="EA67" s="114">
        <f>IF(OR(EA$13="",EA$17="",EA$14="",EA$15="",EA$16="",EA$18="",EA$19="",EA$20="",EA$21=""),"",SUM($DS14:EA14))</f>
        <v>22.240000000000002</v>
      </c>
      <c r="EB67" s="114">
        <f>IF(OR(EB$13="",EB$17="",EB$14="",EB$15="",EB$16="",EB$18="",EB$19="",EB$20="",EB$21=""),"",SUM($DS14:EB14))</f>
        <v>27.860000000000003</v>
      </c>
      <c r="EC67" s="114">
        <f>IF(OR(EC$13="",EC$17="",EC$14="",EC$15="",EC$16="",EC$18="",EC$19="",EC$20="",EC$21=""),"",SUM($DS14:EC14))</f>
        <v>53.5</v>
      </c>
      <c r="ED67" s="114">
        <f>IF(OR(ED$13="",ED$17="",ED$14="",ED$15="",ED$16="",ED$18="",ED$19="",ED$20="",ED$21=""),"",SUM($DS14:ED14))</f>
        <v>57.2</v>
      </c>
      <c r="EE67" s="114">
        <f>IF(OR(EE$13="",EE$17="",EE$14="",EE$15="",EE$16="",EE$18="",EE$19="",EE$20="",EE$21=""),"",SUM($DS14:EE14))</f>
        <v>94.13</v>
      </c>
      <c r="EF67" s="114">
        <f>IF(OR(EF$13="",EF$17="",EF$14="",EF$15="",EF$16="",EF$18="",EF$19="",EF$20="",EF$21=""),"",SUM($DS14:EF14))</f>
        <v>94.13</v>
      </c>
      <c r="EG67" s="114">
        <f>IF(OR(EG$13="",EG$17="",EG$14="",EG$15="",EG$16="",EG$18="",EG$19="",EG$20="",EG$21=""),"",SUM($DS14:EG14))</f>
        <v>94.13</v>
      </c>
      <c r="EH67" s="114">
        <f>IF(OR(EH$13="",EH$17="",EH$14="",EH$15="",EH$16="",EH$18="",EH$19="",EH$20="",EH$21=""),"",SUM($DS14:EH14))</f>
        <v>94.13</v>
      </c>
      <c r="EI67" s="114">
        <f>IF(OR(EI$13="",EI$17="",EI$14="",EI$15="",EI$16="",EI$18="",EI$19="",EI$20="",EI$21=""),"",SUM($DS14:EI14))</f>
        <v>94.13</v>
      </c>
      <c r="EJ67" s="114">
        <f>IF(OR(EJ$13="",EJ$17="",EJ$14="",EJ$15="",EJ$16="",EJ$18="",EJ$19="",EJ$20="",EJ$21=""),"",SUM($DS14:EJ14))</f>
        <v>94.13</v>
      </c>
      <c r="EK67" s="114">
        <f>IF(OR(EK$13="",EK$17="",EK$14="",EK$15="",EK$16="",EK$18="",EK$19="",EK$20="",EK$21=""),"",SUM($DS14:EK14))</f>
        <v>102.03</v>
      </c>
      <c r="EL67" s="114">
        <f>IF(OR(EL$13="",EL$17="",EL$14="",EL$15="",EL$16="",EL$18="",EL$19="",EL$20="",EL$21=""),"",SUM($DS14:EL14))</f>
        <v>102.03</v>
      </c>
      <c r="EM67" s="114">
        <f>IF(OR(EM$13="",EM$17="",EM$14="",EM$15="",EM$16="",EM$18="",EM$19="",EM$20="",EM$21=""),"",SUM($DS14:EM14))</f>
        <v>102.03</v>
      </c>
      <c r="EN67" s="114">
        <f>IF(OR(EN$13="",EN$17="",EN$14="",EN$15="",EN$16="",EN$18="",EN$19="",EN$20="",EN$21=""),"",SUM($DS14:EN14))</f>
        <v>102.03</v>
      </c>
      <c r="EO67" s="114">
        <f>IF(OR(EO$13="",EO$17="",EO$14="",EO$15="",EO$16="",EO$18="",EO$19="",EO$20="",EO$21=""),"",SUM($DS14:EO14))</f>
        <v>102.03</v>
      </c>
      <c r="EP67" s="114">
        <f>IF(OR(EP$13="",EP$17="",EP$14="",EP$15="",EP$16="",EP$18="",EP$19="",EP$20="",EP$21=""),"",SUM($DS14:EP14))</f>
        <v>102.03</v>
      </c>
      <c r="EQ67" s="114">
        <f>IF(OR(EQ$13="",EQ$17="",EQ$14="",EQ$15="",EQ$16="",EQ$18="",EQ$19="",EQ$20="",EQ$21=""),"",SUM($DS14:EQ14))</f>
        <v>102.03</v>
      </c>
      <c r="ER67" s="114">
        <f>IF(OR(ER$13="",ER$17="",ER$14="",ER$15="",ER$16="",ER$18="",ER$19="",ER$20="",ER$21=""),"",SUM($DS14:ER14))</f>
        <v>102.03</v>
      </c>
      <c r="ES67" s="114">
        <f>IF(OR(ES$13="",ES$17="",ES$14="",ES$15="",ES$16="",ES$18="",ES$19="",ES$20="",ES$21=""),"",SUM($DS14:ES14))</f>
        <v>102.03</v>
      </c>
      <c r="ET67" s="114">
        <f>IF(OR(ET$13="",ET$17="",ET$14="",ET$15="",ET$16="",ET$18="",ET$19="",ET$20="",ET$21=""),"",SUM($DS14:ET14))</f>
        <v>102.03</v>
      </c>
      <c r="EU67" s="114">
        <f>IF(OR(EU$13="",EU$17="",EU$14="",EU$15="",EU$16="",EU$18="",EU$19="",EU$20="",EU$21=""),"",SUM($DS14:EU14))</f>
        <v>102.03</v>
      </c>
      <c r="EV67" s="114">
        <f>IF(OR(EV$13="",EV$17="",EV$14="",EV$15="",EV$16="",EV$18="",EV$19="",EV$20="",EV$21=""),"",SUM($DS14:EV14))</f>
        <v>102.03</v>
      </c>
      <c r="EW67" s="114">
        <f>IF(OR(EW$13="",EW$17="",EW$14="",EW$15="",EW$16="",EW$18="",EW$19="",EW$20="",EW$21=""),"",SUM($DS14:EW14))</f>
        <v>102.03</v>
      </c>
      <c r="EX67" s="114">
        <f>IF(OR(EX$13="",EX$17="",EX$14="",EX$15="",EX$16="",EX$18="",EX$19="",EX$20="",EX$21=""),"",SUM($EX14:EX14))</f>
        <v>0</v>
      </c>
      <c r="EY67" s="114">
        <f>IF(OR(EY$13="",EY$17="",EY$14="",EY$15="",EY$16="",EY$18="",EY$19="",EY$20="",EY$21=""),"",SUM($EX14:EY14))</f>
        <v>0</v>
      </c>
      <c r="EZ67" s="114">
        <f>IF(OR(EZ$13="",EZ$17="",EZ$14="",EZ$15="",EZ$16="",EZ$18="",EZ$19="",EZ$20="",EZ$21=""),"",SUM($EX14:EZ14))</f>
        <v>0</v>
      </c>
      <c r="FA67" s="114">
        <f>IF(OR(FA$13="",FA$17="",FA$14="",FA$15="",FA$16="",FA$18="",FA$19="",FA$20="",FA$21=""),"",SUM($EX14:FA14))</f>
        <v>0</v>
      </c>
      <c r="FB67" s="114">
        <f>IF(OR(FB$13="",FB$17="",FB$14="",FB$15="",FB$16="",FB$18="",FB$19="",FB$20="",FB$21=""),"",SUM($EX14:FB14))</f>
        <v>0</v>
      </c>
      <c r="FC67" s="114">
        <f>IF(OR(FC$13="",FC$17="",FC$14="",FC$15="",FC$16="",FC$18="",FC$19="",FC$20="",FC$21=""),"",SUM($EX14:FC14))</f>
        <v>0</v>
      </c>
      <c r="FD67" s="114">
        <f>IF(OR(FD$13="",FD$17="",FD$14="",FD$15="",FD$16="",FD$18="",FD$19="",FD$20="",FD$21=""),"",SUM($EX14:FD14))</f>
        <v>0</v>
      </c>
      <c r="FE67" s="114">
        <f>IF(OR(FE$13="",FE$17="",FE$14="",FE$15="",FE$16="",FE$18="",FE$19="",FE$20="",FE$21=""),"",SUM($EX14:FE14))</f>
        <v>1.5299999999999998</v>
      </c>
      <c r="FF67" s="114">
        <f>IF(OR(FF$13="",FF$17="",FF$14="",FF$15="",FF$16="",FF$18="",FF$19="",FF$20="",FF$21=""),"",SUM($EX14:FF14))</f>
        <v>8.7999999999999989</v>
      </c>
      <c r="FG67" s="114">
        <f>IF(OR(FG$13="",FG$17="",FG$14="",FG$15="",FG$16="",FG$18="",FG$19="",FG$20="",FG$21=""),"",SUM($EX14:FG14))</f>
        <v>20.100000000000001</v>
      </c>
      <c r="FH67" s="114">
        <f>IF(OR(FH$13="",FH$17="",FH$14="",FH$15="",FH$16="",FH$18="",FH$19="",FH$20="",FH$21=""),"",SUM($EX14:FH14))</f>
        <v>21.400000000000002</v>
      </c>
      <c r="FI67" s="114">
        <f>IF(OR(FI$13="",FI$17="",FI$14="",FI$15="",FI$16="",FI$18="",FI$19="",FI$20="",FI$21=""),"",SUM($EX14:FI14))</f>
        <v>22.180000000000003</v>
      </c>
      <c r="FJ67" s="114">
        <f>IF(OR(FJ$13="",FJ$17="",FJ$14="",FJ$15="",FJ$16="",FJ$18="",FJ$19="",FJ$20="",FJ$21=""),"",SUM($EX14:FJ14))</f>
        <v>29.160000000000004</v>
      </c>
      <c r="FK67" s="114">
        <f>IF(OR(FK$13="",FK$17="",FK$14="",FK$15="",FK$16="",FK$18="",FK$19="",FK$20="",FK$21=""),"",SUM($EX14:FK14))</f>
        <v>29.160000000000004</v>
      </c>
      <c r="FL67" s="114">
        <f>IF(OR(FL$13="",FL$17="",FL$14="",FL$15="",FL$16="",FL$18="",FL$19="",FL$20="",FL$21=""),"",SUM($EX14:FL14))</f>
        <v>29.160000000000004</v>
      </c>
      <c r="FM67" s="114">
        <f>IF(OR(FM$13="",FM$17="",FM$14="",FM$15="",FM$16="",FM$18="",FM$19="",FM$20="",FM$21=""),"",SUM($EX14:FM14))</f>
        <v>29.160000000000004</v>
      </c>
      <c r="FN67" s="114">
        <f>IF(OR(FN$13="",FN$17="",FN$14="",FN$15="",FN$16="",FN$18="",FN$19="",FN$20="",FN$21=""),"",SUM($EX14:FN14))</f>
        <v>29.160000000000004</v>
      </c>
      <c r="FO67" s="114">
        <f>IF(OR(FO$13="",FO$17="",FO$14="",FO$15="",FO$16="",FO$18="",FO$19="",FO$20="",FO$21=""),"",SUM($EX14:FO14))</f>
        <v>43.300000000000004</v>
      </c>
      <c r="FP67" s="114">
        <f>IF(OR(FP$13="",FP$17="",FP$14="",FP$15="",FP$16="",FP$18="",FP$19="",FP$20="",FP$21=""),"",SUM($EX14:FP14))</f>
        <v>107.53999999999999</v>
      </c>
      <c r="FQ67" s="114">
        <f>IF(OR(FQ$13="",FQ$17="",FQ$14="",FQ$15="",FQ$16="",FQ$18="",FQ$19="",FQ$20="",FQ$21=""),"",SUM($EX14:FQ14))</f>
        <v>107.53999999999999</v>
      </c>
      <c r="FR67" s="114">
        <f>IF(OR(FR$13="",FR$17="",FR$14="",FR$15="",FR$16="",FR$18="",FR$19="",FR$20="",FR$21=""),"",SUM($EX14:FR14))</f>
        <v>107.53999999999999</v>
      </c>
      <c r="FS67" s="114">
        <f>IF(OR(FS$13="",FS$17="",FS$14="",FS$15="",FS$16="",FS$18="",FS$19="",FS$20="",FS$21=""),"",SUM($EX14:FS14))</f>
        <v>120.10999999999999</v>
      </c>
      <c r="FT67" s="114">
        <f>IF(OR(FT$13="",FT$17="",FT$14="",FT$15="",FT$16="",FT$18="",FT$19="",FT$20="",FT$21=""),"",SUM($EX14:FT14))</f>
        <v>146.88999999999999</v>
      </c>
      <c r="FU67" s="114">
        <f>IF(OR(FU$13="",FU$17="",FU$14="",FU$15="",FU$16="",FU$18="",FU$19="",FU$20="",FU$21=""),"",SUM($EX14:FU14))</f>
        <v>146.88999999999999</v>
      </c>
      <c r="FV67" s="114">
        <f>IF(OR(FV$13="",FV$17="",FV$14="",FV$15="",FV$16="",FV$18="",FV$19="",FV$20="",FV$21=""),"",SUM($EX14:FV14))</f>
        <v>149.32</v>
      </c>
      <c r="FW67" s="114">
        <f>IF(OR(FW$13="",FW$17="",FW$14="",FW$15="",FW$16="",FW$18="",FW$19="",FW$20="",FW$21=""),"",SUM($EX14:FW14))</f>
        <v>150.79</v>
      </c>
      <c r="FX67" s="114">
        <f>IF(OR(FX$13="",FX$17="",FX$14="",FX$15="",FX$16="",FX$18="",FX$19="",FX$20="",FX$21=""),"",SUM($EX14:FX14))</f>
        <v>169.29999999999998</v>
      </c>
      <c r="FY67" s="114">
        <f>IF(OR(FY$13="",FY$17="",FY$14="",FY$15="",FY$16="",FY$18="",FY$19="",FY$20="",FY$21=""),"",SUM($EX14:FY14))</f>
        <v>443.88</v>
      </c>
      <c r="FZ67" s="114">
        <f>IF(OR(FZ$13="",FZ$17="",FZ$14="",FZ$15="",FZ$16="",FZ$18="",FZ$19="",FZ$20="",FZ$21=""),"",SUM($EX14:FZ14))</f>
        <v>443.88</v>
      </c>
      <c r="GA67" s="114">
        <f>IF(OR(GA$13="",GA$17="",GA$14="",GA$15="",GA$16="",GA$18="",GA$19="",GA$20="",GA$21=""),"",SUM($EX14:GA14))</f>
        <v>443.88</v>
      </c>
      <c r="GB67" s="114">
        <f>IF(OR(GB$13="",GB$17="",GB$14="",GB$15="",GB$16="",GB$18="",GB$19="",GB$20="",GB$21=""),"",SUM($GB14:GB14))</f>
        <v>64.149999999999991</v>
      </c>
      <c r="GC67" s="114">
        <f>IF(OR(GC$13="",GC$17="",GC$14="",GC$15="",GC$16="",GC$18="",GC$19="",GC$20="",GC$21=""),"",SUM($GB14:GC14))</f>
        <v>64.149999999999991</v>
      </c>
      <c r="GD67" s="114">
        <f>IF(OR(GD$13="",GD$17="",GD$14="",GD$15="",GD$16="",GD$18="",GD$19="",GD$20="",GD$21=""),"",SUM($GB14:GD14))</f>
        <v>88.399999999999991</v>
      </c>
      <c r="GE67" s="114">
        <f>IF(OR(GE$13="",GE$17="",GE$14="",GE$15="",GE$16="",GE$18="",GE$19="",GE$20="",GE$21=""),"",SUM($GB14:GE14))</f>
        <v>123.91999999999999</v>
      </c>
      <c r="GF67" s="114">
        <f>IF(OR(GF$13="",GF$17="",GF$14="",GF$15="",GF$16="",GF$18="",GF$19="",GF$20="",GF$21=""),"",SUM($GB14:GF14))</f>
        <v>123.91999999999999</v>
      </c>
      <c r="GG67" s="114">
        <f>IF(OR(GG$13="",GG$17="",GG$14="",GG$15="",GG$16="",GG$18="",GG$19="",GG$20="",GG$21=""),"",SUM($GB14:GG14))</f>
        <v>203.42</v>
      </c>
      <c r="GH67" s="114">
        <f>IF(OR(GH$13="",GH$17="",GH$14="",GH$15="",GH$16="",GH$18="",GH$19="",GH$20="",GH$21=""),"",SUM($GB14:GH14))</f>
        <v>203.42</v>
      </c>
      <c r="GI67" s="114">
        <f>IF(OR(GI$13="",GI$17="",GI$14="",GI$15="",GI$16="",GI$18="",GI$19="",GI$20="",GI$21=""),"",SUM($GB14:GI14))</f>
        <v>203.42</v>
      </c>
      <c r="GJ67" s="114">
        <f>IF(OR(GJ$13="",GJ$17="",GJ$14="",GJ$15="",GJ$16="",GJ$18="",GJ$19="",GJ$20="",GJ$21=""),"",SUM($GB14:GJ14))</f>
        <v>203.42</v>
      </c>
      <c r="GK67" s="114">
        <f>IF(OR(GK$13="",GK$17="",GK$14="",GK$15="",GK$16="",GK$18="",GK$19="",GK$20="",GK$21=""),"",SUM($GB14:GK14))</f>
        <v>203.42</v>
      </c>
      <c r="GL67" s="114">
        <f>IF(OR(GL$13="",GL$17="",GL$14="",GL$15="",GL$16="",GL$18="",GL$19="",GL$20="",GL$21=""),"",SUM($GB14:GL14))</f>
        <v>203.42</v>
      </c>
      <c r="GM67" s="114">
        <f>IF(OR(GM$13="",GM$17="",GM$14="",GM$15="",GM$16="",GM$18="",GM$19="",GM$20="",GM$21=""),"",SUM($GB14:GM14))</f>
        <v>203.42</v>
      </c>
      <c r="GN67" s="114">
        <f>IF(OR(GN$13="",GN$17="",GN$14="",GN$15="",GN$16="",GN$18="",GN$19="",GN$20="",GN$21=""),"",SUM($GB14:GN14))</f>
        <v>203.42</v>
      </c>
      <c r="GO67" s="114">
        <f>IF(OR(GO$13="",GO$17="",GO$14="",GO$15="",GO$16="",GO$18="",GO$19="",GO$20="",GO$21=""),"",SUM($GB14:GO14))</f>
        <v>203.42</v>
      </c>
      <c r="GP67" s="114">
        <f>IF(OR(GP$13="",GP$17="",GP$14="",GP$15="",GP$16="",GP$18="",GP$19="",GP$20="",GP$21=""),"",SUM($GB14:GP14))</f>
        <v>203.42</v>
      </c>
      <c r="GQ67" s="114">
        <f>IF(OR(GQ$13="",GQ$17="",GQ$14="",GQ$15="",GQ$16="",GQ$18="",GQ$19="",GQ$20="",GQ$21=""),"",SUM($GB14:GQ14))</f>
        <v>203.42</v>
      </c>
      <c r="GR67" s="114">
        <f>IF(OR(GR$13="",GR$17="",GR$14="",GR$15="",GR$16="",GR$18="",GR$19="",GR$20="",GR$21=""),"",SUM($GB14:GR14))</f>
        <v>203.42</v>
      </c>
      <c r="GS67" s="114">
        <f>IF(OR(GS$13="",GS$17="",GS$14="",GS$15="",GS$16="",GS$18="",GS$19="",GS$20="",GS$21=""),"",SUM($GB14:GS14))</f>
        <v>203.42</v>
      </c>
      <c r="GT67" s="114">
        <f>IF(OR(GT$13="",GT$17="",GT$14="",GT$15="",GT$16="",GT$18="",GT$19="",GT$20="",GT$21=""),"",SUM($GB14:GT14))</f>
        <v>203.42</v>
      </c>
      <c r="GU67" s="114">
        <f>IF(OR(GU$13="",GU$17="",GU$14="",GU$15="",GU$16="",GU$18="",GU$19="",GU$20="",GU$21=""),"",SUM($GB14:GU14))</f>
        <v>203.42</v>
      </c>
      <c r="GV67" s="114">
        <f>IF(OR(GV$13="",GV$17="",GV$14="",GV$15="",GV$16="",GV$18="",GV$19="",GV$20="",GV$21=""),"",SUM($GB14:GV14))</f>
        <v>203.42</v>
      </c>
      <c r="GW67" s="114">
        <f>IF(OR(GW$13="",GW$17="",GW$14="",GW$15="",GW$16="",GW$18="",GW$19="",GW$20="",GW$21=""),"",SUM($GB14:GW14))</f>
        <v>204.14999999999998</v>
      </c>
      <c r="GX67" s="114">
        <f>IF(OR(GX$13="",GX$17="",GX$14="",GX$15="",GX$16="",GX$18="",GX$19="",GX$20="",GX$21=""),"",SUM($GB14:GX14))</f>
        <v>204.14999999999998</v>
      </c>
      <c r="GY67" s="114">
        <f>IF(OR(GY$13="",GY$17="",GY$14="",GY$15="",GY$16="",GY$18="",GY$19="",GY$20="",GY$21=""),"",SUM($GB14:GY14))</f>
        <v>204.14999999999998</v>
      </c>
      <c r="GZ67" s="114">
        <f>IF(OR(GZ$13="",GZ$17="",GZ$14="",GZ$15="",GZ$16="",GZ$18="",GZ$19="",GZ$20="",GZ$21=""),"",SUM($GB14:GZ14))</f>
        <v>204.14999999999998</v>
      </c>
      <c r="HA67" s="114">
        <f>IF(OR(HA$13="",HA$17="",HA$14="",HA$15="",HA$16="",HA$18="",HA$19="",HA$20="",HA$21=""),"",SUM($GB14:HA14))</f>
        <v>204.14999999999998</v>
      </c>
      <c r="HB67" s="114">
        <f>IF(OR(HB$13="",HB$17="",HB$14="",HB$15="",HB$16="",HB$18="",HB$19="",HB$20="",HB$21=""),"",SUM($GB14:HB14))</f>
        <v>206.81999999999996</v>
      </c>
      <c r="HC67" s="114">
        <f>IF(OR(HC$13="",HC$17="",HC$14="",HC$15="",HC$16="",HC$18="",HC$19="",HC$20="",HC$21=""),"",SUM($GB14:HC14))</f>
        <v>226.76999999999995</v>
      </c>
      <c r="HD67" s="114">
        <f>IF(OR(HD$13="",HD$17="",HD$14="",HD$15="",HD$16="",HD$18="",HD$19="",HD$20="",HD$21=""),"",SUM($GB14:HD14))</f>
        <v>226.76999999999995</v>
      </c>
      <c r="HE67" s="114">
        <f>IF(OR(HE$13="",HE$17="",HE$14="",HE$15="",HE$16="",HE$18="",HE$19="",HE$20="",HE$21=""),"",SUM($GB14:HE14))</f>
        <v>226.76999999999995</v>
      </c>
      <c r="HF67" s="114">
        <f>IF(OR(HF$13="",HF$17="",HF$14="",HF$15="",HF$16="",HF$18="",HF$19="",HF$20="",HF$21=""),"",SUM($GB14:HF14))</f>
        <v>226.89999999999995</v>
      </c>
      <c r="HG67" s="114">
        <f>IF(OR(HG$13="",HG$17="",HG$14="",HG$15="",HG$16="",HG$18="",HG$19="",HG$20="",HG$21=""),"",SUM($HG14:HG14))</f>
        <v>14.802500000000002</v>
      </c>
      <c r="HH67" s="114">
        <f>IF(OR(HH$13="",HH$17="",HH$14="",HH$15="",HH$16="",HH$18="",HH$19="",HH$20="",HH$21=""),"",SUM($HG14:HH14))</f>
        <v>20.301388888888891</v>
      </c>
      <c r="HI67" s="114">
        <f>IF(OR(HI$13="",HI$17="",HI$14="",HI$15="",HI$16="",HI$18="",HI$19="",HI$20="",HI$21=""),"",SUM($HG14:HI14))</f>
        <v>36.436388888888885</v>
      </c>
      <c r="HJ67" s="114">
        <f>IF(OR(HJ$13="",HJ$17="",HJ$14="",HJ$15="",HJ$16="",HJ$18="",HJ$19="",HJ$20="",HJ$21=""),"",SUM($HG14:HJ14))</f>
        <v>36.436388888888885</v>
      </c>
      <c r="HK67" s="114">
        <f>IF(OR(HK$13="",HK$17="",HK$14="",HK$15="",HK$16="",HK$18="",HK$19="",HK$20="",HK$21=""),"",SUM($HG14:HK14))</f>
        <v>37.253055555555555</v>
      </c>
      <c r="HL67" s="114">
        <f>IF(OR(HL$13="",HL$17="",HL$14="",HL$15="",HL$16="",HL$18="",HL$19="",HL$20="",HL$21=""),"",SUM($HG14:HL14))</f>
        <v>57.464166666666664</v>
      </c>
      <c r="HM67" s="114">
        <f>IF(OR(HM$13="",HM$17="",HM$14="",HM$15="",HM$16="",HM$18="",HM$19="",HM$20="",HM$21=""),"",SUM($HG14:HM14))</f>
        <v>78.13111111111111</v>
      </c>
      <c r="HN67" s="114">
        <f>IF(OR(HN$13="",HN$17="",HN$14="",HN$15="",HN$16="",HN$18="",HN$19="",HN$20="",HN$21=""),"",SUM($HG14:HN14))</f>
        <v>86.048611111111114</v>
      </c>
      <c r="HO67" s="114">
        <f>IF(OR(HO$13="",HO$17="",HO$14="",HO$15="",HO$16="",HO$18="",HO$19="",HO$20="",HO$21=""),"",SUM($HG14:HO14))</f>
        <v>86.413055555555559</v>
      </c>
      <c r="HP67" s="114">
        <f>IF(OR(HP$13="",HP$17="",HP$14="",HP$15="",HP$16="",HP$18="",HP$19="",HP$20="",HP$21=""),"",SUM($HG14:HP14))</f>
        <v>97.69638888888889</v>
      </c>
      <c r="HQ67" s="114">
        <f>IF(OR(HQ$13="",HQ$17="",HQ$14="",HQ$15="",HQ$16="",HQ$18="",HQ$19="",HQ$20="",HQ$21=""),"",SUM($HG14:HQ14))</f>
        <v>97.69638888888889</v>
      </c>
      <c r="HR67" s="114">
        <f>IF(OR(HR$13="",HR$17="",HR$14="",HR$15="",HR$16="",HR$18="",HR$19="",HR$20="",HR$21=""),"",SUM($HG14:HR14))</f>
        <v>97.69638888888889</v>
      </c>
      <c r="HS67" s="114">
        <f>IF(OR(HS$13="",HS$17="",HS$14="",HS$15="",HS$16="",HS$18="",HS$19="",HS$20="",HS$21=""),"",SUM($HG14:HS14))</f>
        <v>97.69638888888889</v>
      </c>
      <c r="HT67" s="114">
        <f>IF(OR(HT$13="",HT$17="",HT$14="",HT$15="",HT$16="",HT$18="",HT$19="",HT$20="",HT$21=""),"",SUM($HG14:HT14))</f>
        <v>97.69638888888889</v>
      </c>
      <c r="HU67" s="114">
        <f>IF(OR(HU$13="",HU$17="",HU$14="",HU$15="",HU$16="",HU$18="",HU$19="",HU$20="",HU$21=""),"",SUM($HG14:HU14))</f>
        <v>97.69638888888889</v>
      </c>
      <c r="HV67" s="114">
        <f>IF(OR(HV$13="",HV$17="",HV$14="",HV$15="",HV$16="",HV$18="",HV$19="",HV$20="",HV$21=""),"",SUM($HG14:HV14))</f>
        <v>97.69638888888889</v>
      </c>
      <c r="HW67" s="114">
        <f>IF(OR(HW$13="",HW$17="",HW$14="",HW$15="",HW$16="",HW$18="",HW$19="",HW$20="",HW$21=""),"",SUM($HG14:HW14))</f>
        <v>99.279166666666669</v>
      </c>
      <c r="HX67" s="114">
        <f>IF(OR(HX$13="",HX$17="",HX$14="",HX$15="",HX$16="",HX$18="",HX$19="",HX$20="",HX$21=""),"",SUM($HG14:HX14))</f>
        <v>102.33861111111111</v>
      </c>
      <c r="HY67" s="114">
        <f>IF(OR(HY$13="",HY$17="",HY$14="",HY$15="",HY$16="",HY$18="",HY$19="",HY$20="",HY$21=""),"",SUM($HG14:HY14))</f>
        <v>108.84055555555555</v>
      </c>
      <c r="HZ67" s="114">
        <f>IF(OR(HZ$13="",HZ$17="",HZ$14="",HZ$15="",HZ$16="",HZ$18="",HZ$19="",HZ$20="",HZ$21=""),"",SUM($HG14:HZ14))</f>
        <v>116.53972222222222</v>
      </c>
      <c r="IA67" s="114">
        <f>IF(OR(IA$13="",IA$17="",IA$14="",IA$15="",IA$16="",IA$18="",IA$19="",IA$20="",IA$21=""),"",SUM($HG14:IA14))</f>
        <v>116.53972222222222</v>
      </c>
      <c r="IB67" s="114">
        <f>IF(OR(IB$13="",IB$17="",IB$14="",IB$15="",IB$16="",IB$18="",IB$19="",IB$20="",IB$21=""),"",SUM($HG14:IB14))</f>
        <v>116.53972222222222</v>
      </c>
      <c r="IC67" s="114">
        <f>IF(OR(IC$13="",IC$17="",IC$14="",IC$15="",IC$16="",IC$18="",IC$19="",IC$20="",IC$21=""),"",SUM($HG14:IC14))</f>
        <v>116.53972222222222</v>
      </c>
      <c r="ID67" s="114">
        <f>IF(OR(ID$13="",ID$17="",ID$14="",ID$15="",ID$16="",ID$18="",ID$19="",ID$20="",ID$21=""),"",SUM($HG14:ID14))</f>
        <v>116.53972222222222</v>
      </c>
      <c r="IE67" s="114">
        <f>IF(OR(IE$13="",IE$17="",IE$14="",IE$15="",IE$16="",IE$18="",IE$19="",IE$20="",IE$21=""),"",SUM($HG14:IE14))</f>
        <v>129.05972222222223</v>
      </c>
      <c r="IF67" s="114">
        <f>IF(OR(IF$13="",IF$17="",IF$14="",IF$15="",IF$16="",IF$18="",IF$19="",IF$20="",IF$21=""),"",SUM($HG14:IF14))</f>
        <v>129.05972222222223</v>
      </c>
      <c r="IG67" s="114">
        <f>IF(OR(IG$13="",IG$17="",IG$14="",IG$15="",IG$16="",IG$18="",IG$19="",IG$20="",IG$21=""),"",SUM($HG14:IG14))</f>
        <v>129.05972222222223</v>
      </c>
      <c r="IH67" s="114">
        <f>IF(OR(IH$13="",IH$17="",IH$14="",IH$15="",IH$16="",IH$18="",IH$19="",IH$20="",IH$21=""),"",SUM($HG14:IH14))</f>
        <v>131.60972222222225</v>
      </c>
      <c r="II67" s="114">
        <f>IF(OR(II$13="",II$17="",II$14="",II$15="",II$16="",II$18="",II$19="",II$20="",II$21=""),"",SUM($HG14:II14))</f>
        <v>131.60972222222225</v>
      </c>
      <c r="IJ67" s="114">
        <f>IF(OR(IJ$13="",IJ$17="",IJ$14="",IJ$15="",IJ$16="",IJ$18="",IJ$19="",IJ$20="",IJ$21=""),"",SUM($HG14:IJ14))</f>
        <v>131.60972222222225</v>
      </c>
      <c r="IK67" s="114">
        <f>IF(OR(IK$13="",IK$17="",IK$14="",IK$15="",IK$16="",IK$18="",IK$19="",IK$20="",IK$21=""),"",SUM($HG14:IK14))</f>
        <v>131.60972222222225</v>
      </c>
      <c r="IL67" s="114">
        <f>IF(OR(IL$13="",IL$17="",IL$14="",IL$15="",IL$16="",IL$18="",IL$19="",IL$20="",IL$21=""),"",SUM($IL14:IL14))</f>
        <v>0</v>
      </c>
      <c r="IM67" s="114">
        <f>IF(OR(IM$13="",IM$17="",IM$14="",IM$15="",IM$16="",IM$18="",IM$19="",IM$20="",IM$21=""),"",SUM($IL14:IM14))</f>
        <v>11.121111111111111</v>
      </c>
      <c r="IN67" s="114">
        <f>IF(OR(IN$13="",IN$17="",IN$14="",IN$15="",IN$16="",IN$18="",IN$19="",IN$20="",IN$21=""),"",SUM($IL14:IN14))</f>
        <v>30.689444444444447</v>
      </c>
      <c r="IO67" s="114">
        <f>IF(OR(IO$13="",IO$17="",IO$14="",IO$15="",IO$16="",IO$18="",IO$19="",IO$20="",IO$21=""),"",SUM($IL14:IO14))</f>
        <v>31.222222222222225</v>
      </c>
      <c r="IP67" s="114">
        <f>IF(OR(IP$13="",IP$17="",IP$14="",IP$15="",IP$16="",IP$18="",IP$19="",IP$20="",IP$21=""),"",SUM($IL14:IP14))</f>
        <v>32.736111111111114</v>
      </c>
      <c r="IQ67" s="114">
        <f>IF(OR(IQ$13="",IQ$17="",IQ$14="",IQ$15="",IQ$16="",IQ$18="",IQ$19="",IQ$20="",IQ$21=""),"",SUM($IL14:IQ14))</f>
        <v>32.736111111111114</v>
      </c>
      <c r="IR67" s="114">
        <f>IF(OR(IR$13="",IR$17="",IR$14="",IR$15="",IR$16="",IR$18="",IR$19="",IR$20="",IR$21=""),"",SUM($IL14:IR14))</f>
        <v>33.588888888888889</v>
      </c>
      <c r="IS67" s="114">
        <f>IF(OR(IS$13="",IS$17="",IS$14="",IS$15="",IS$16="",IS$18="",IS$19="",IS$20="",IS$21=""),"",SUM($IL14:IS14))</f>
        <v>33.588888888888889</v>
      </c>
      <c r="IT67" s="114">
        <f>IF(OR(IT$13="",IT$17="",IT$14="",IT$15="",IT$16="",IT$18="",IT$19="",IT$20="",IT$21=""),"",SUM($IL14:IT14))</f>
        <v>33.588888888888889</v>
      </c>
      <c r="IU67" s="114">
        <f>IF(OR(IU$13="",IU$17="",IU$14="",IU$15="",IU$16="",IU$18="",IU$19="",IU$20="",IU$21=""),"",SUM($IL14:IU14))</f>
        <v>40.069444444444443</v>
      </c>
      <c r="IV67" s="114">
        <f>IF(OR(IV$13="",IV$17="",IV$14="",IV$15="",IV$16="",IV$18="",IV$19="",IV$20="",IV$21=""),"",SUM($IL14:IV14))</f>
        <v>40.069444444444443</v>
      </c>
      <c r="IW67" s="114">
        <f>IF(OR(IW$13="",IW$17="",IW$14="",IW$15="",IW$16="",IW$18="",IW$19="",IW$20="",IW$21=""),"",SUM($IL14:IW14))</f>
        <v>40.069444444444443</v>
      </c>
      <c r="IX67" s="114">
        <f>IF(OR(IX$13="",IX$17="",IX$14="",IX$15="",IX$16="",IX$18="",IX$19="",IX$20="",IX$21=""),"",SUM($IL14:IX14))</f>
        <v>41.518611111111113</v>
      </c>
      <c r="IY67" s="114">
        <f>IF(OR(IY$13="",IY$17="",IY$14="",IY$15="",IY$16="",IY$18="",IY$19="",IY$20="",IY$21=""),"",SUM($IL14:IY14))</f>
        <v>41.518611111111113</v>
      </c>
      <c r="IZ67" s="114">
        <f>IF(OR(IZ$13="",IZ$17="",IZ$14="",IZ$15="",IZ$16="",IZ$18="",IZ$19="",IZ$20="",IZ$21=""),"",SUM($IL14:IZ14))</f>
        <v>41.518611111111113</v>
      </c>
      <c r="JA67" s="114">
        <f>IF(OR(JA$13="",JA$17="",JA$14="",JA$15="",JA$16="",JA$18="",JA$19="",JA$20="",JA$21=""),"",SUM($IL14:JA14))</f>
        <v>51.219166666666666</v>
      </c>
      <c r="JB67" s="114">
        <f>IF(OR(JB$13="",JB$17="",JB$14="",JB$15="",JB$16="",JB$18="",JB$19="",JB$20="",JB$21=""),"",SUM($IL14:JB14))</f>
        <v>52.37166666666667</v>
      </c>
      <c r="JC67" s="114">
        <f>IF(OR(JC$13="",JC$17="",JC$14="",JC$15="",JC$16="",JC$18="",JC$19="",JC$20="",JC$21=""),"",SUM($IL14:JC14))</f>
        <v>52.37166666666667</v>
      </c>
      <c r="JD67" s="114">
        <f>IF(OR(JD$13="",JD$17="",JD$14="",JD$15="",JD$16="",JD$18="",JD$19="",JD$20="",JD$21=""),"",SUM($IL14:JD14))</f>
        <v>56.283888888888889</v>
      </c>
      <c r="JE67" s="114">
        <f>IF(OR(JE$13="",JE$17="",JE$14="",JE$15="",JE$16="",JE$18="",JE$19="",JE$20="",JE$21=""),"",SUM($IL14:JE14))</f>
        <v>56.283888888888889</v>
      </c>
      <c r="JF67" s="114">
        <f>IF(OR(JF$13="",JF$17="",JF$14="",JF$15="",JF$16="",JF$18="",JF$19="",JF$20="",JF$21=""),"",SUM($IL14:JF14))</f>
        <v>56.283888888888889</v>
      </c>
      <c r="JG67" s="114">
        <f>IF(OR(JG$13="",JG$17="",JG$14="",JG$15="",JG$16="",JG$18="",JG$19="",JG$20="",JG$21=""),"",SUM($IL14:JG14))</f>
        <v>56.283888888888889</v>
      </c>
      <c r="JH67" s="114">
        <f>IF(OR(JH$13="",JH$17="",JH$14="",JH$15="",JH$16="",JH$18="",JH$19="",JH$20="",JH$21=""),"",SUM($IL14:JH14))</f>
        <v>66.201666666666668</v>
      </c>
      <c r="JI67" s="114">
        <f>IF(OR(JI$13="",JI$17="",JI$14="",JI$15="",JI$16="",JI$18="",JI$19="",JI$20="",JI$21=""),"",SUM($IL14:JI14))</f>
        <v>71.682222222222222</v>
      </c>
      <c r="JJ67" s="114">
        <f>IF(OR(JJ$13="",JJ$17="",JJ$14="",JJ$15="",JJ$16="",JJ$18="",JJ$19="",JJ$20="",JJ$21=""),"",SUM($IL14:JJ14))</f>
        <v>76.473333333333329</v>
      </c>
      <c r="JK67" s="114">
        <f>IF(OR(JK$13="",JK$17="",JK$14="",JK$15="",JK$16="",JK$18="",JK$19="",JK$20="",JK$21=""),"",SUM($IL14:JK14))</f>
        <v>79.323333333333323</v>
      </c>
      <c r="JL67" s="114">
        <f>IF(OR(JL$13="",JL$17="",JL$14="",JL$15="",JL$16="",JL$18="",JL$19="",JL$20="",JL$21=""),"",SUM($IL14:JL14))</f>
        <v>80.943611111111096</v>
      </c>
      <c r="JM67" s="114">
        <f>IF(OR(JM$13="",JM$17="",JM$14="",JM$15="",JM$16="",JM$18="",JM$19="",JM$20="",JM$21=""),"",SUM($IL14:JM14))</f>
        <v>80.943611111111096</v>
      </c>
      <c r="JN67" s="114">
        <f>IF(OR(JN$13="",JN$17="",JN$14="",JN$15="",JN$16="",JN$18="",JN$19="",JN$20="",JN$21=""),"",SUM($IL14:JN14))</f>
        <v>81.943611111111096</v>
      </c>
      <c r="JO67" s="114">
        <f>IF(OR(JO$13="",JO$17="",JO$14="",JO$15="",JO$16="",JO$18="",JO$19="",JO$20="",JO$21=""),"",SUM($IL14:JO14))</f>
        <v>82.943611111111096</v>
      </c>
      <c r="JP67" s="114">
        <f>IF(OR(JP$13="",JP$17="",JP$14="",JP$15="",JP$16="",JP$18="",JP$19="",JP$20="",JP$21=""),"",SUM($JP14:JP14))</f>
        <v>1</v>
      </c>
      <c r="JQ67" s="114">
        <f>IF(OR(JQ$13="",JQ$17="",JQ$14="",JQ$15="",JQ$16="",JQ$18="",JQ$19="",JQ$20="",JQ$21=""),"",SUM($JP14:JQ14))</f>
        <v>5</v>
      </c>
      <c r="JR67" s="114">
        <f>IF(OR(JR$13="",JR$17="",JR$14="",JR$15="",JR$16="",JR$18="",JR$19="",JR$20="",JR$21=""),"",SUM($JP14:JR14))</f>
        <v>28.09</v>
      </c>
      <c r="JS67" s="114">
        <f>IF(OR(JS$13="",JS$17="",JS$14="",JS$15="",JS$16="",JS$18="",JS$19="",JS$20="",JS$21=""),"",SUM($JP14:JS14))</f>
        <v>31.09</v>
      </c>
      <c r="JT67" s="114">
        <f>IF(OR(JT$13="",JT$17="",JT$14="",JT$15="",JT$16="",JT$18="",JT$19="",JT$20="",JT$21=""),"",SUM($JP14:JT14))</f>
        <v>31.09</v>
      </c>
      <c r="JU67" s="114">
        <f>IF(OR(JU$13="",JU$17="",JU$14="",JU$15="",JU$16="",JU$18="",JU$19="",JU$20="",JU$21=""),"",SUM($JP14:JU14))</f>
        <v>31.09</v>
      </c>
      <c r="JV67" s="114">
        <f>IF(OR(JV$13="",JV$17="",JV$14="",JV$15="",JV$16="",JV$18="",JV$19="",JV$20="",JV$21=""),"",SUM($JP14:JV14))</f>
        <v>32.090000000000003</v>
      </c>
      <c r="JW67" s="114">
        <f>IF(OR(JW$13="",JW$17="",JW$14="",JW$15="",JW$16="",JW$18="",JW$19="",JW$20="",JW$21=""),"",SUM($JP14:JW14))</f>
        <v>32.090000000000003</v>
      </c>
      <c r="JX67" s="114">
        <f>IF(OR(JX$13="",JX$17="",JX$14="",JX$15="",JX$16="",JX$18="",JX$19="",JX$20="",JX$21=""),"",SUM($JP14:JX14))</f>
        <v>32.090000000000003</v>
      </c>
      <c r="JY67" s="114">
        <f>IF(OR(JY$13="",JY$17="",JY$14="",JY$15="",JY$16="",JY$18="",JY$19="",JY$20="",JY$21=""),"",SUM($JP14:JY14))</f>
        <v>32.090000000000003</v>
      </c>
      <c r="JZ67" s="114">
        <f>IF(OR(JZ$13="",JZ$17="",JZ$14="",JZ$15="",JZ$16="",JZ$18="",JZ$19="",JZ$20="",JZ$21=""),"",SUM($JP14:JZ14))</f>
        <v>32.090000000000003</v>
      </c>
      <c r="KA67" s="114">
        <f>IF(OR(KA$13="",KA$17="",KA$14="",KA$15="",KA$16="",KA$18="",KA$19="",KA$20="",KA$21=""),"",SUM($JP14:KA14))</f>
        <v>32.090000000000003</v>
      </c>
      <c r="KB67" s="114">
        <f>IF(OR(KB$13="",KB$17="",KB$14="",KB$15="",KB$16="",KB$18="",KB$19="",KB$20="",KB$21=""),"",SUM($JP14:KB14))</f>
        <v>32.090000000000003</v>
      </c>
      <c r="KC67" s="114">
        <f>IF(OR(KC$13="",KC$17="",KC$14="",KC$15="",KC$16="",KC$18="",KC$19="",KC$20="",KC$21=""),"",SUM($JP14:KC14))</f>
        <v>56.09</v>
      </c>
      <c r="KD67" s="114">
        <f>IF(OR(KD$13="",KD$17="",KD$14="",KD$15="",KD$16="",KD$18="",KD$19="",KD$20="",KD$21=""),"",SUM($JP14:KD14))</f>
        <v>62.09</v>
      </c>
      <c r="KE67" s="114">
        <f>IF(OR(KE$13="",KE$17="",KE$14="",KE$15="",KE$16="",KE$18="",KE$19="",KE$20="",KE$21=""),"",SUM($JP14:KE14))</f>
        <v>62.09</v>
      </c>
      <c r="KF67" s="114">
        <f>IF(OR(KF$13="",KF$17="",KF$14="",KF$15="",KF$16="",KF$18="",KF$19="",KF$20="",KF$21=""),"",SUM($JP14:KF14))</f>
        <v>62.09</v>
      </c>
      <c r="KG67" s="114">
        <f>IF(OR(KG$13="",KG$17="",KG$14="",KG$15="",KG$16="",KG$18="",KG$19="",KG$20="",KG$21=""),"",SUM($JP14:KG14))</f>
        <v>62.09</v>
      </c>
      <c r="KH67" s="114">
        <f>IF(OR(KH$13="",KH$17="",KH$14="",KH$15="",KH$16="",KH$18="",KH$19="",KH$20="",KH$21=""),"",SUM($JP14:KH14))</f>
        <v>62.09</v>
      </c>
      <c r="KI67" s="114">
        <f>IF(OR(KI$13="",KI$17="",KI$14="",KI$15="",KI$16="",KI$18="",KI$19="",KI$20="",KI$21=""),"",SUM($JP14:KI14))</f>
        <v>62.09</v>
      </c>
      <c r="KJ67" s="114">
        <f>IF(OR(KJ$13="",KJ$17="",KJ$14="",KJ$15="",KJ$16="",KJ$18="",KJ$19="",KJ$20="",KJ$21=""),"",SUM($JP14:KJ14))</f>
        <v>62.09</v>
      </c>
      <c r="KK67" s="114">
        <f>IF(OR(KK$13="",KK$17="",KK$14="",KK$15="",KK$16="",KK$18="",KK$19="",KK$20="",KK$21=""),"",SUM($JP14:KK14))</f>
        <v>62.09</v>
      </c>
      <c r="KL67" s="114">
        <f>IF(OR(KL$13="",KL$17="",KL$14="",KL$15="",KL$16="",KL$18="",KL$19="",KL$20="",KL$21=""),"",SUM($JP14:KL14))</f>
        <v>62.09</v>
      </c>
      <c r="KM67" s="114">
        <f>IF(OR(KM$13="",KM$17="",KM$14="",KM$15="",KM$16="",KM$18="",KM$19="",KM$20="",KM$21=""),"",SUM($JP14:KM14))</f>
        <v>62.09</v>
      </c>
      <c r="KN67" s="114">
        <f>IF(OR(KN$13="",KN$17="",KN$14="",KN$15="",KN$16="",KN$18="",KN$19="",KN$20="",KN$21=""),"",SUM($JP14:KN14))</f>
        <v>62.09</v>
      </c>
      <c r="KO67" s="114">
        <f>IF(OR(KO$13="",KO$17="",KO$14="",KO$15="",KO$16="",KO$18="",KO$19="",KO$20="",KO$21=""),"",SUM($JP14:KO14))</f>
        <v>62.09</v>
      </c>
      <c r="KP67" s="114">
        <f>IF(OR(KP$13="",KP$17="",KP$14="",KP$15="",KP$16="",KP$18="",KP$19="",KP$20="",KP$21=""),"",SUM($JP14:KP14))</f>
        <v>62.09</v>
      </c>
      <c r="KQ67" s="114">
        <f>IF(OR(KQ$13="",KQ$17="",KQ$14="",KQ$15="",KQ$16="",KQ$18="",KQ$19="",KQ$20="",KQ$21=""),"",SUM($JP14:KQ14))</f>
        <v>62.09</v>
      </c>
      <c r="KR67" s="114">
        <f>IF(OR(KR$13="",KR$17="",KR$14="",KR$15="",KR$16="",KR$18="",KR$19="",KR$20="",KR$21=""),"",SUM($JP14:KR14))</f>
        <v>62.09</v>
      </c>
      <c r="KS67" s="114">
        <f>IF(OR(KS$13="",KS$17="",KS$14="",KS$15="",KS$16="",KS$18="",KS$19="",KS$20="",KS$21=""),"",SUM($JP14:KS14))</f>
        <v>62.09</v>
      </c>
      <c r="KT67" s="114">
        <f>IF(OR(KT$13="",KT$17="",KT$14="",KT$15="",KT$16="",KT$18="",KT$19="",KT$20="",KT$21=""),"",SUM($JP14:KT14))</f>
        <v>62.09</v>
      </c>
      <c r="KU67" s="114" t="str">
        <f>IF(OR(KU$13="",KU$17="",KU$14="",KU$15="",KU$16="",KU$18="",KU$19="",KU$20="",KU$21=""),"",SUM($KU14:KU14))</f>
        <v/>
      </c>
      <c r="KV67" s="114" t="str">
        <f>IF(OR(KV$13="",KV$17="",KV$14="",KV$15="",KV$16="",KV$18="",KV$19="",KV$20="",KV$21=""),"",SUM($KU14:KV14))</f>
        <v/>
      </c>
      <c r="KW67" s="114" t="str">
        <f>IF(OR(KW$13="",KW$17="",KW$14="",KW$15="",KW$16="",KW$18="",KW$19="",KW$20="",KW$21=""),"",SUM($KU14:KW14))</f>
        <v/>
      </c>
      <c r="KX67" s="114" t="str">
        <f>IF(OR(KX$13="",KX$17="",KX$14="",KX$15="",KX$16="",KX$18="",KX$19="",KX$20="",KX$21=""),"",SUM($KU14:KX14))</f>
        <v/>
      </c>
      <c r="KY67" s="114" t="str">
        <f>IF(OR(KY$13="",KY$17="",KY$14="",KY$15="",KY$16="",KY$18="",KY$19="",KY$20="",KY$21=""),"",SUM($KU14:KY14))</f>
        <v/>
      </c>
      <c r="KZ67" s="114" t="str">
        <f>IF(OR(KZ$13="",KZ$17="",KZ$14="",KZ$15="",KZ$16="",KZ$18="",KZ$19="",KZ$20="",KZ$21=""),"",SUM($KU14:KZ14))</f>
        <v/>
      </c>
      <c r="LA67" s="114" t="str">
        <f>IF(OR(LA$13="",LA$17="",LA$14="",LA$15="",LA$16="",LA$18="",LA$19="",LA$20="",LA$21=""),"",SUM($KU14:LA14))</f>
        <v/>
      </c>
      <c r="LB67" s="114" t="str">
        <f>IF(OR(LB$13="",LB$17="",LB$14="",LB$15="",LB$16="",LB$18="",LB$19="",LB$20="",LB$21=""),"",SUM($KU14:LB14))</f>
        <v/>
      </c>
      <c r="LC67" s="114" t="str">
        <f>IF(OR(LC$13="",LC$17="",LC$14="",LC$15="",LC$16="",LC$18="",LC$19="",LC$20="",LC$21=""),"",SUM($KU14:LC14))</f>
        <v/>
      </c>
      <c r="LD67" s="114" t="str">
        <f>IF(OR(LD$13="",LD$17="",LD$14="",LD$15="",LD$16="",LD$18="",LD$19="",LD$20="",LD$21=""),"",SUM($KU14:LD14))</f>
        <v/>
      </c>
      <c r="LE67" s="114" t="str">
        <f>IF(OR(LE$13="",LE$17="",LE$14="",LE$15="",LE$16="",LE$18="",LE$19="",LE$20="",LE$21=""),"",SUM($KU14:LE14))</f>
        <v/>
      </c>
      <c r="LF67" s="114" t="str">
        <f>IF(OR(LF$13="",LF$17="",LF$14="",LF$15="",LF$16="",LF$18="",LF$19="",LF$20="",LF$21=""),"",SUM($KU14:LF14))</f>
        <v/>
      </c>
      <c r="LG67" s="114" t="str">
        <f>IF(OR(LG$13="",LG$17="",LG$14="",LG$15="",LG$16="",LG$18="",LG$19="",LG$20="",LG$21=""),"",SUM($KU14:LG14))</f>
        <v/>
      </c>
      <c r="LH67" s="114" t="str">
        <f>IF(OR(LH$13="",LH$17="",LH$14="",LH$15="",LH$16="",LH$18="",LH$19="",LH$20="",LH$21=""),"",SUM($KU14:LH14))</f>
        <v/>
      </c>
      <c r="LI67" s="114" t="str">
        <f>IF(OR(LI$13="",LI$17="",LI$14="",LI$15="",LI$16="",LI$18="",LI$19="",LI$20="",LI$21=""),"",SUM($KU14:LI14))</f>
        <v/>
      </c>
      <c r="LJ67" s="114" t="str">
        <f>IF(OR(LJ$13="",LJ$17="",LJ$14="",LJ$15="",LJ$16="",LJ$18="",LJ$19="",LJ$20="",LJ$21=""),"",SUM($KU14:LJ14))</f>
        <v/>
      </c>
      <c r="LK67" s="114" t="str">
        <f>IF(OR(LK$13="",LK$17="",LK$14="",LK$15="",LK$16="",LK$18="",LK$19="",LK$20="",LK$21=""),"",SUM($KU14:LK14))</f>
        <v/>
      </c>
      <c r="LL67" s="114" t="str">
        <f>IF(OR(LL$13="",LL$17="",LL$14="",LL$15="",LL$16="",LL$18="",LL$19="",LL$20="",LL$21=""),"",SUM($KU14:LL14))</f>
        <v/>
      </c>
      <c r="LM67" s="114" t="str">
        <f>IF(OR(LM$13="",LM$17="",LM$14="",LM$15="",LM$16="",LM$18="",LM$19="",LM$20="",LM$21=""),"",SUM($KU14:LM14))</f>
        <v/>
      </c>
      <c r="LN67" s="114" t="str">
        <f>IF(OR(LN$13="",LN$17="",LN$14="",LN$15="",LN$16="",LN$18="",LN$19="",LN$20="",LN$21=""),"",SUM($KU14:LN14))</f>
        <v/>
      </c>
      <c r="LO67" s="114" t="str">
        <f>IF(OR(LO$13="",LO$17="",LO$14="",LO$15="",LO$16="",LO$18="",LO$19="",LO$20="",LO$21=""),"",SUM($KU14:LO14))</f>
        <v/>
      </c>
      <c r="LP67" s="114" t="str">
        <f>IF(OR(LP$13="",LP$17="",LP$14="",LP$15="",LP$16="",LP$18="",LP$19="",LP$20="",LP$21=""),"",SUM($KU14:LP14))</f>
        <v/>
      </c>
      <c r="LQ67" s="114" t="str">
        <f>IF(OR(LQ$13="",LQ$17="",LQ$14="",LQ$15="",LQ$16="",LQ$18="",LQ$19="",LQ$20="",LQ$21=""),"",SUM($KU14:LQ14))</f>
        <v/>
      </c>
      <c r="LR67" s="114" t="str">
        <f>IF(OR(LR$13="",LR$17="",LR$14="",LR$15="",LR$16="",LR$18="",LR$19="",LR$20="",LR$21=""),"",SUM($KU14:LR14))</f>
        <v/>
      </c>
      <c r="LS67" s="114" t="str">
        <f>IF(OR(LS$13="",LS$17="",LS$14="",LS$15="",LS$16="",LS$18="",LS$19="",LS$20="",LS$21=""),"",SUM($KU14:LS14))</f>
        <v/>
      </c>
      <c r="LT67" s="114" t="str">
        <f>IF(OR(LT$13="",LT$17="",LT$14="",LT$15="",LT$16="",LT$18="",LT$19="",LT$20="",LT$21=""),"",SUM($KU14:LT14))</f>
        <v/>
      </c>
      <c r="LU67" s="114" t="str">
        <f>IF(OR(LU$13="",LU$17="",LU$14="",LU$15="",LU$16="",LU$18="",LU$19="",LU$20="",LU$21=""),"",SUM($KU14:LU14))</f>
        <v/>
      </c>
      <c r="LV67" s="114" t="str">
        <f>IF(OR(LV$13="",LV$17="",LV$14="",LV$15="",LV$16="",LV$18="",LV$19="",LV$20="",LV$21=""),"",SUM($KU14:LV14))</f>
        <v/>
      </c>
      <c r="LW67" s="114" t="str">
        <f>IF(OR(LW$13="",LW$17="",LW$14="",LW$15="",LW$16="",LW$18="",LW$19="",LW$20="",LW$21=""),"",SUM($KU14:LW14))</f>
        <v/>
      </c>
      <c r="LX67" s="114" t="str">
        <f>IF(OR(LX$13="",LX$17="",LX$14="",LX$15="",LX$16="",LX$18="",LX$19="",LX$20="",LX$21=""),"",SUM($KU14:LX14))</f>
        <v/>
      </c>
      <c r="LY67" s="114" t="str">
        <f>IF(OR(LY$13="",LY$17="",LY$14="",LY$15="",LY$16="",LY$18="",LY$19="",LY$20="",LY$21=""),"",SUM($LY14:LY14))</f>
        <v/>
      </c>
      <c r="LZ67" s="114" t="str">
        <f>IF(OR(LZ$13="",LZ$17="",LZ$14="",LZ$15="",LZ$16="",LZ$18="",LZ$19="",LZ$20="",LZ$21=""),"",SUM($LY14:LZ14))</f>
        <v/>
      </c>
      <c r="MA67" s="114" t="str">
        <f>IF(OR(MA$13="",MA$17="",MA$14="",MA$15="",MA$16="",MA$18="",MA$19="",MA$20="",MA$21=""),"",SUM($LY14:MA14))</f>
        <v/>
      </c>
      <c r="MB67" s="114" t="str">
        <f>IF(OR(MB$13="",MB$17="",MB$14="",MB$15="",MB$16="",MB$18="",MB$19="",MB$20="",MB$21=""),"",SUM($LY14:MB14))</f>
        <v/>
      </c>
      <c r="MC67" s="114" t="str">
        <f>IF(OR(MC$13="",MC$17="",MC$14="",MC$15="",MC$16="",MC$18="",MC$19="",MC$20="",MC$21=""),"",SUM($LY14:MC14))</f>
        <v/>
      </c>
      <c r="MD67" s="114" t="str">
        <f>IF(OR(MD$13="",MD$17="",MD$14="",MD$15="",MD$16="",MD$18="",MD$19="",MD$20="",MD$21=""),"",SUM($LY14:MD14))</f>
        <v/>
      </c>
      <c r="ME67" s="114" t="str">
        <f>IF(OR(ME$13="",ME$17="",ME$14="",ME$15="",ME$16="",ME$18="",ME$19="",ME$20="",ME$21=""),"",SUM($LY14:ME14))</f>
        <v/>
      </c>
      <c r="MF67" s="114" t="str">
        <f>IF(OR(MF$13="",MF$17="",MF$14="",MF$15="",MF$16="",MF$18="",MF$19="",MF$20="",MF$21=""),"",SUM($LY14:MF14))</f>
        <v/>
      </c>
      <c r="MG67" s="114" t="str">
        <f>IF(OR(MG$13="",MG$17="",MG$14="",MG$15="",MG$16="",MG$18="",MG$19="",MG$20="",MG$21=""),"",SUM($LY14:MG14))</f>
        <v/>
      </c>
      <c r="MH67" s="114" t="str">
        <f>IF(OR(MH$13="",MH$17="",MH$14="",MH$15="",MH$16="",MH$18="",MH$19="",MH$20="",MH$21=""),"",SUM($LY14:MH14))</f>
        <v/>
      </c>
      <c r="MI67" s="114" t="str">
        <f>IF(OR(MI$13="",MI$17="",MI$14="",MI$15="",MI$16="",MI$18="",MI$19="",MI$20="",MI$21=""),"",SUM($LY14:MI14))</f>
        <v/>
      </c>
      <c r="MJ67" s="114" t="str">
        <f>IF(OR(MJ$13="",MJ$17="",MJ$14="",MJ$15="",MJ$16="",MJ$18="",MJ$19="",MJ$20="",MJ$21=""),"",SUM($LY14:MJ14))</f>
        <v/>
      </c>
      <c r="MK67" s="114" t="str">
        <f>IF(OR(MK$13="",MK$17="",MK$14="",MK$15="",MK$16="",MK$18="",MK$19="",MK$20="",MK$21=""),"",SUM($LY14:MK14))</f>
        <v/>
      </c>
      <c r="ML67" s="114" t="str">
        <f>IF(OR(ML$13="",ML$17="",ML$14="",ML$15="",ML$16="",ML$18="",ML$19="",ML$20="",ML$21=""),"",SUM($LY14:ML14))</f>
        <v/>
      </c>
      <c r="MM67" s="114" t="str">
        <f>IF(OR(MM$13="",MM$17="",MM$14="",MM$15="",MM$16="",MM$18="",MM$19="",MM$20="",MM$21=""),"",SUM($LY14:MM14))</f>
        <v/>
      </c>
      <c r="MN67" s="114" t="str">
        <f>IF(OR(MN$13="",MN$17="",MN$14="",MN$15="",MN$16="",MN$18="",MN$19="",MN$20="",MN$21=""),"",SUM($LY14:MN14))</f>
        <v/>
      </c>
      <c r="MO67" s="114" t="str">
        <f>IF(OR(MO$13="",MO$17="",MO$14="",MO$15="",MO$16="",MO$18="",MO$19="",MO$20="",MO$21=""),"",SUM($LY14:MO14))</f>
        <v/>
      </c>
      <c r="MP67" s="114" t="str">
        <f>IF(OR(MP$13="",MP$17="",MP$14="",MP$15="",MP$16="",MP$18="",MP$19="",MP$20="",MP$21=""),"",SUM($LY14:MP14))</f>
        <v/>
      </c>
      <c r="MQ67" s="114" t="str">
        <f>IF(OR(MQ$13="",MQ$17="",MQ$14="",MQ$15="",MQ$16="",MQ$18="",MQ$19="",MQ$20="",MQ$21=""),"",SUM($LY14:MQ14))</f>
        <v/>
      </c>
      <c r="MR67" s="114" t="str">
        <f>IF(OR(MR$13="",MR$17="",MR$14="",MR$15="",MR$16="",MR$18="",MR$19="",MR$20="",MR$21=""),"",SUM($LY14:MR14))</f>
        <v/>
      </c>
      <c r="MS67" s="114" t="str">
        <f>IF(OR(MS$13="",MS$17="",MS$14="",MS$15="",MS$16="",MS$18="",MS$19="",MS$20="",MS$21=""),"",SUM($LY14:MS14))</f>
        <v/>
      </c>
      <c r="MT67" s="114" t="str">
        <f>IF(OR(MT$13="",MT$17="",MT$14="",MT$15="",MT$16="",MT$18="",MT$19="",MT$20="",MT$21=""),"",SUM($LY14:MT14))</f>
        <v/>
      </c>
      <c r="MU67" s="114" t="str">
        <f>IF(OR(MU$13="",MU$17="",MU$14="",MU$15="",MU$16="",MU$18="",MU$19="",MU$20="",MU$21=""),"",SUM($LY14:MU14))</f>
        <v/>
      </c>
      <c r="MV67" s="114" t="str">
        <f>IF(OR(MV$13="",MV$17="",MV$14="",MV$15="",MV$16="",MV$18="",MV$19="",MV$20="",MV$21=""),"",SUM($LY14:MV14))</f>
        <v/>
      </c>
      <c r="MW67" s="114" t="str">
        <f>IF(OR(MW$13="",MW$17="",MW$14="",MW$15="",MW$16="",MW$18="",MW$19="",MW$20="",MW$21=""),"",SUM($LY14:MW14))</f>
        <v/>
      </c>
      <c r="MX67" s="114" t="str">
        <f>IF(OR(MX$13="",MX$17="",MX$14="",MX$15="",MX$16="",MX$18="",MX$19="",MX$20="",MX$21=""),"",SUM($LY14:MX14))</f>
        <v/>
      </c>
      <c r="MY67" s="114" t="str">
        <f>IF(OR(MY$13="",MY$17="",MY$14="",MY$15="",MY$16="",MY$18="",MY$19="",MY$20="",MY$21=""),"",SUM($LY14:MY14))</f>
        <v/>
      </c>
      <c r="MZ67" s="114" t="str">
        <f>IF(OR(MZ$13="",MZ$17="",MZ$14="",MZ$15="",MZ$16="",MZ$18="",MZ$19="",MZ$20="",MZ$21=""),"",SUM($LY14:MZ14))</f>
        <v/>
      </c>
      <c r="NA67" s="114" t="str">
        <f>IF(OR(NA$13="",NA$17="",NA$14="",NA$15="",NA$16="",NA$18="",NA$19="",NA$20="",NA$21=""),"",SUM($LY14:NA14))</f>
        <v/>
      </c>
      <c r="NB67" s="114" t="str">
        <f>IF(OR(NB$13="",NB$17="",NB$14="",NB$15="",NB$16="",NB$18="",NB$19="",NB$20="",NB$21=""),"",SUM($LY14:NB14))</f>
        <v/>
      </c>
      <c r="NC67" s="114" t="str">
        <f>IF(OR(NC$13="",NC$17="",NC$14="",NC$15="",NC$16="",NC$18="",NC$19="",NC$20="",NC$21=""),"",SUM($LY14:NC14))</f>
        <v/>
      </c>
      <c r="ND67" s="114" t="str">
        <f>IF(OR(ND$13="",ND$17="",ND$14="",ND$15="",ND$16="",ND$18="",ND$19="",ND$20="",ND$21=""),"",SUM($ND14:ND14))</f>
        <v/>
      </c>
      <c r="NE67" s="114" t="str">
        <f>IF(OR(NE$13="",NE$17="",NE$14="",NE$15="",NE$16="",NE$18="",NE$19="",NE$20="",NE$21=""),"",SUM($ND14:NE14))</f>
        <v/>
      </c>
      <c r="NF67" s="114" t="str">
        <f>IF(OR(NF$13="",NF$17="",NF$14="",NF$15="",NF$16="",NF$18="",NF$19="",NF$20="",NF$21=""),"",SUM($ND14:NF14))</f>
        <v/>
      </c>
      <c r="NG67" s="114" t="str">
        <f>IF(OR(NG$13="",NG$17="",NG$14="",NG$15="",NG$16="",NG$18="",NG$19="",NG$20="",NG$21=""),"",SUM($ND14:NG14))</f>
        <v/>
      </c>
      <c r="NH67" s="114" t="str">
        <f>IF(OR(NH$13="",NH$17="",NH$14="",NH$15="",NH$16="",NH$18="",NH$19="",NH$20="",NH$21=""),"",SUM($ND14:NH14))</f>
        <v/>
      </c>
      <c r="NI67" s="114" t="str">
        <f>IF(OR(NI$13="",NI$17="",NI$14="",NI$15="",NI$16="",NI$18="",NI$19="",NI$20="",NI$21=""),"",SUM($ND14:NI14))</f>
        <v/>
      </c>
      <c r="NJ67" s="114" t="str">
        <f>IF(OR(NJ$13="",NJ$17="",NJ$14="",NJ$15="",NJ$16="",NJ$18="",NJ$19="",NJ$20="",NJ$21=""),"",SUM($ND14:NJ14))</f>
        <v/>
      </c>
      <c r="NK67" s="114" t="str">
        <f>IF(OR(NK$13="",NK$17="",NK$14="",NK$15="",NK$16="",NK$18="",NK$19="",NK$20="",NK$21=""),"",SUM($ND14:NK14))</f>
        <v/>
      </c>
      <c r="NL67" s="114" t="str">
        <f>IF(OR(NL$13="",NL$17="",NL$14="",NL$15="",NL$16="",NL$18="",NL$19="",NL$20="",NL$21=""),"",SUM($ND14:NL14))</f>
        <v/>
      </c>
      <c r="NM67" s="114" t="str">
        <f>IF(OR(NM$13="",NM$17="",NM$14="",NM$15="",NM$16="",NM$18="",NM$19="",NM$20="",NM$21=""),"",SUM($ND14:NM14))</f>
        <v/>
      </c>
      <c r="NN67" s="114" t="str">
        <f>IF(OR(NN$13="",NN$17="",NN$14="",NN$15="",NN$16="",NN$18="",NN$19="",NN$20="",NN$21=""),"",SUM($ND14:NN14))</f>
        <v/>
      </c>
      <c r="NO67" s="114" t="str">
        <f>IF(OR(NO$13="",NO$17="",NO$14="",NO$15="",NO$16="",NO$18="",NO$19="",NO$20="",NO$21=""),"",SUM($ND14:NO14))</f>
        <v/>
      </c>
      <c r="NP67" s="114" t="str">
        <f>IF(OR(NP$13="",NP$17="",NP$14="",NP$15="",NP$16="",NP$18="",NP$19="",NP$20="",NP$21=""),"",SUM($ND14:NP14))</f>
        <v/>
      </c>
      <c r="NQ67" s="114" t="str">
        <f>IF(OR(NQ$13="",NQ$17="",NQ$14="",NQ$15="",NQ$16="",NQ$18="",NQ$19="",NQ$20="",NQ$21=""),"",SUM($ND14:NQ14))</f>
        <v/>
      </c>
      <c r="NR67" s="114" t="str">
        <f>IF(OR(NR$13="",NR$17="",NR$14="",NR$15="",NR$16="",NR$18="",NR$19="",NR$20="",NR$21=""),"",SUM($ND14:NR14))</f>
        <v/>
      </c>
      <c r="NS67" s="114" t="str">
        <f>IF(OR(NS$13="",NS$17="",NS$14="",NS$15="",NS$16="",NS$18="",NS$19="",NS$20="",NS$21=""),"",SUM($ND14:NS14))</f>
        <v/>
      </c>
      <c r="NT67" s="114" t="str">
        <f>IF(OR(NT$13="",NT$17="",NT$14="",NT$15="",NT$16="",NT$18="",NT$19="",NT$20="",NT$21=""),"",SUM($ND14:NT14))</f>
        <v/>
      </c>
      <c r="NU67" s="114" t="str">
        <f>IF(OR(NU$13="",NU$17="",NU$14="",NU$15="",NU$16="",NU$18="",NU$19="",NU$20="",NU$21=""),"",SUM($ND14:NU14))</f>
        <v/>
      </c>
      <c r="NV67" s="114" t="str">
        <f>IF(OR(NV$13="",NV$17="",NV$14="",NV$15="",NV$16="",NV$18="",NV$19="",NV$20="",NV$21=""),"",SUM($ND14:NV14))</f>
        <v/>
      </c>
      <c r="NW67" s="114" t="str">
        <f>IF(OR(NW$13="",NW$17="",NW$14="",NW$15="",NW$16="",NW$18="",NW$19="",NW$20="",NW$21=""),"",SUM($ND14:NW14))</f>
        <v/>
      </c>
      <c r="NX67" s="114" t="str">
        <f>IF(OR(NX$13="",NX$17="",NX$14="",NX$15="",NX$16="",NX$18="",NX$19="",NX$20="",NX$21=""),"",SUM($ND14:NX14))</f>
        <v/>
      </c>
      <c r="NY67" s="114" t="str">
        <f>IF(OR(NY$13="",NY$17="",NY$14="",NY$15="",NY$16="",NY$18="",NY$19="",NY$20="",NY$21=""),"",SUM($ND14:NY14))</f>
        <v/>
      </c>
      <c r="NZ67" s="114" t="str">
        <f>IF(OR(NZ$13="",NZ$17="",NZ$14="",NZ$15="",NZ$16="",NZ$18="",NZ$19="",NZ$20="",NZ$21=""),"",SUM($ND14:NZ14))</f>
        <v/>
      </c>
      <c r="OA67" s="114" t="str">
        <f>IF(OR(OA$13="",OA$17="",OA$14="",OA$15="",OA$16="",OA$18="",OA$19="",OA$20="",OA$21=""),"",SUM($ND14:OA14))</f>
        <v/>
      </c>
      <c r="OB67" s="114" t="str">
        <f>IF(OR(OB$13="",OB$17="",OB$14="",OB$15="",OB$16="",OB$18="",OB$19="",OB$20="",OB$21=""),"",SUM($ND14:OB14))</f>
        <v/>
      </c>
      <c r="OC67" s="114" t="str">
        <f>IF(OR(OC$13="",OC$17="",OC$14="",OC$15="",OC$16="",OC$18="",OC$19="",OC$20="",OC$21=""),"",SUM($ND14:OC14))</f>
        <v/>
      </c>
      <c r="OD67" s="114" t="str">
        <f>IF(OR(OD$13="",OD$17="",OD$14="",OD$15="",OD$16="",OD$18="",OD$19="",OD$20="",OD$21=""),"",SUM($ND14:OD14))</f>
        <v/>
      </c>
      <c r="OE67" s="114" t="str">
        <f>IF(OR(OE$13="",OE$17="",OE$14="",OE$15="",OE$16="",OE$18="",OE$19="",OE$20="",OE$21=""),"",SUM($ND14:OE14))</f>
        <v/>
      </c>
      <c r="OF67" s="114" t="str">
        <f>IF(OR(OF$13="",OF$17="",OF$14="",OF$15="",OF$16="",OF$18="",OF$19="",OF$20="",OF$21=""),"",SUM($ND14:OF14))</f>
        <v/>
      </c>
      <c r="OG67" s="114" t="str">
        <f>IF(OR(OG$13="",OG$17="",OG$14="",OG$15="",OG$16="",OG$18="",OG$19="",OG$20="",OG$21=""),"",SUM($ND14:OG14))</f>
        <v/>
      </c>
      <c r="OH67" s="114" t="str">
        <f>IF(OR(OH$13="",OH$17="",OH$14="",OH$15="",OH$16="",OH$18="",OH$19="",OH$20="",OH$21=""),"",SUM($ND14:OH14))</f>
        <v/>
      </c>
      <c r="OI67" s="114" t="str">
        <f>IF(OR(OI$13="",OI$17="",OI$14="",OI$15="",OI$16="",OI$18="",OI$19="",OI$20="",OI$21=""),"",SUM($OI14:OI14))</f>
        <v/>
      </c>
      <c r="OJ67" s="114" t="str">
        <f>IF(OR(OJ$13="",OJ$17="",OJ$14="",OJ$15="",OJ$16="",OJ$18="",OJ$19="",OJ$20="",OJ$21=""),"",SUM($OI14:OJ14))</f>
        <v/>
      </c>
      <c r="OK67" s="114" t="str">
        <f>IF(OR(OK$13="",OK$17="",OK$14="",OK$15="",OK$16="",OK$18="",OK$19="",OK$20="",OK$21=""),"",SUM($OI14:OK14))</f>
        <v/>
      </c>
      <c r="OL67" s="114" t="str">
        <f>IF(OR(OL$13="",OL$17="",OL$14="",OL$15="",OL$16="",OL$18="",OL$19="",OL$20="",OL$21=""),"",SUM($OI14:OL14))</f>
        <v/>
      </c>
      <c r="OM67" s="114" t="str">
        <f>IF(OR(OM$13="",OM$17="",OM$14="",OM$15="",OM$16="",OM$18="",OM$19="",OM$20="",OM$21=""),"",SUM($OI14:OM14))</f>
        <v/>
      </c>
      <c r="ON67" s="114" t="str">
        <f>IF(OR(ON$13="",ON$17="",ON$14="",ON$15="",ON$16="",ON$18="",ON$19="",ON$20="",ON$21=""),"",SUM($OI14:ON14))</f>
        <v/>
      </c>
      <c r="OO67" s="114" t="str">
        <f>IF(OR(OO$13="",OO$17="",OO$14="",OO$15="",OO$16="",OO$18="",OO$19="",OO$20="",OO$21=""),"",SUM($OI14:OO14))</f>
        <v/>
      </c>
      <c r="OP67" s="114" t="str">
        <f>IF(OR(OP$13="",OP$17="",OP$14="",OP$15="",OP$16="",OP$18="",OP$19="",OP$20="",OP$21=""),"",SUM($OI14:OP14))</f>
        <v/>
      </c>
      <c r="OQ67" s="114" t="str">
        <f>IF(OR(OQ$13="",OQ$17="",OQ$14="",OQ$15="",OQ$16="",OQ$18="",OQ$19="",OQ$20="",OQ$21=""),"",SUM($OI14:OQ14))</f>
        <v/>
      </c>
      <c r="OR67" s="114" t="str">
        <f>IF(OR(OR$13="",OR$17="",OR$14="",OR$15="",OR$16="",OR$18="",OR$19="",OR$20="",OR$21=""),"",SUM($OI14:OR14))</f>
        <v/>
      </c>
      <c r="OS67" s="114" t="str">
        <f>IF(OR(OS$13="",OS$17="",OS$14="",OS$15="",OS$16="",OS$18="",OS$19="",OS$20="",OS$21=""),"",SUM($OI14:OS14))</f>
        <v/>
      </c>
      <c r="OT67" s="114" t="str">
        <f>IF(OR(OT$13="",OT$17="",OT$14="",OT$15="",OT$16="",OT$18="",OT$19="",OT$20="",OT$21=""),"",SUM($OI14:OT14))</f>
        <v/>
      </c>
      <c r="OU67" s="114" t="str">
        <f>IF(OR(OU$13="",OU$17="",OU$14="",OU$15="",OU$16="",OU$18="",OU$19="",OU$20="",OU$21=""),"",SUM($OI14:OU14))</f>
        <v/>
      </c>
      <c r="OV67" s="114" t="str">
        <f>IF(OR(OV$13="",OV$17="",OV$14="",OV$15="",OV$16="",OV$18="",OV$19="",OV$20="",OV$21=""),"",SUM($OI14:OV14))</f>
        <v/>
      </c>
      <c r="OW67" s="114" t="str">
        <f>IF(OR(OW$13="",OW$17="",OW$14="",OW$15="",OW$16="",OW$18="",OW$19="",OW$20="",OW$21=""),"",SUM($OI14:OW14))</f>
        <v/>
      </c>
      <c r="OX67" s="114" t="str">
        <f>IF(OR(OX$13="",OX$17="",OX$14="",OX$15="",OX$16="",OX$18="",OX$19="",OX$20="",OX$21=""),"",SUM($OI14:OX14))</f>
        <v/>
      </c>
      <c r="OY67" s="114" t="str">
        <f>IF(OR(OY$13="",OY$17="",OY$14="",OY$15="",OY$16="",OY$18="",OY$19="",OY$20="",OY$21=""),"",SUM($OI14:OY14))</f>
        <v/>
      </c>
      <c r="OZ67" s="114" t="str">
        <f>IF(OR(OZ$13="",OZ$17="",OZ$14="",OZ$15="",OZ$16="",OZ$18="",OZ$19="",OZ$20="",OZ$21=""),"",SUM($OI14:OZ14))</f>
        <v/>
      </c>
      <c r="PA67" s="114" t="str">
        <f>IF(OR(PA$13="",PA$17="",PA$14="",PA$15="",PA$16="",PA$18="",PA$19="",PA$20="",PA$21=""),"",SUM($OI14:PA14))</f>
        <v/>
      </c>
      <c r="PB67" s="114" t="str">
        <f>IF(OR(PB$13="",PB$17="",PB$14="",PB$15="",PB$16="",PB$18="",PB$19="",PB$20="",PB$21=""),"",SUM($OI14:PB14))</f>
        <v/>
      </c>
      <c r="PC67" s="114" t="str">
        <f>IF(OR(PC$13="",PC$17="",PC$14="",PC$15="",PC$16="",PC$18="",PC$19="",PC$20="",PC$21=""),"",SUM($OI14:PC14))</f>
        <v/>
      </c>
      <c r="PD67" s="114" t="str">
        <f>IF(OR(PD$13="",PD$17="",PD$14="",PD$15="",PD$16="",PD$18="",PD$19="",PD$20="",PD$21=""),"",SUM($OI14:PD14))</f>
        <v/>
      </c>
      <c r="PE67" s="114" t="str">
        <f>IF(OR(PE$13="",PE$17="",PE$14="",PE$15="",PE$16="",PE$18="",PE$19="",PE$20="",PE$21=""),"",SUM($OI14:PE14))</f>
        <v/>
      </c>
      <c r="PF67" s="114" t="str">
        <f>IF(OR(PF$13="",PF$17="",PF$14="",PF$15="",PF$16="",PF$18="",PF$19="",PF$20="",PF$21=""),"",SUM($OI14:PF14))</f>
        <v/>
      </c>
      <c r="PG67" s="114" t="str">
        <f>IF(OR(PG$13="",PG$17="",PG$14="",PG$15="",PG$16="",PG$18="",PG$19="",PG$20="",PG$21=""),"",SUM($OI14:PG14))</f>
        <v/>
      </c>
      <c r="PH67" s="114" t="str">
        <f>IF(OR(PH$13="",PH$17="",PH$14="",PH$15="",PH$16="",PH$18="",PH$19="",PH$20="",PH$21=""),"",SUM($OI14:PH14))</f>
        <v/>
      </c>
      <c r="PI67" s="114" t="str">
        <f>IF(OR(PI$13="",PI$17="",PI$14="",PI$15="",PI$16="",PI$18="",PI$19="",PI$20="",PI$21=""),"",SUM($OI14:PI14))</f>
        <v/>
      </c>
      <c r="PJ67" s="114" t="str">
        <f>IF(OR(PJ$13="",PJ$17="",PJ$14="",PJ$15="",PJ$16="",PJ$18="",PJ$19="",PJ$20="",PJ$21=""),"",SUM($OI14:PJ14))</f>
        <v/>
      </c>
      <c r="PK67" s="114" t="str">
        <f>IF(OR(PK$13="",PK$17="",PK$14="",PK$15="",PK$16="",PK$18="",PK$19="",PK$20="",PK$21=""),"",SUM($PK14:PK14))</f>
        <v/>
      </c>
      <c r="PL67" s="114" t="str">
        <f>IF(OR(PL$13="",PL$17="",PL$14="",PL$15="",PL$16="",PL$18="",PL$19="",PL$20="",PL$21=""),"",SUM($PK14:PL14))</f>
        <v/>
      </c>
      <c r="PM67" s="114" t="str">
        <f>IF(OR(PM$13="",PM$17="",PM$14="",PM$15="",PM$16="",PM$18="",PM$19="",PM$20="",PM$21=""),"",SUM($PK14:PM14))</f>
        <v/>
      </c>
      <c r="PN67" s="114" t="str">
        <f>IF(OR(PN$13="",PN$17="",PN$14="",PN$15="",PN$16="",PN$18="",PN$19="",PN$20="",PN$21=""),"",SUM($PK14:PN14))</f>
        <v/>
      </c>
      <c r="PO67" s="114" t="str">
        <f>IF(OR(PO$13="",PO$17="",PO$14="",PO$15="",PO$16="",PO$18="",PO$19="",PO$20="",PO$21=""),"",SUM($PK14:PO14))</f>
        <v/>
      </c>
      <c r="PP67" s="114" t="str">
        <f>IF(OR(PP$13="",PP$17="",PP$14="",PP$15="",PP$16="",PP$18="",PP$19="",PP$20="",PP$21=""),"",SUM($PK14:PP14))</f>
        <v/>
      </c>
      <c r="PQ67" s="114" t="str">
        <f>IF(OR(PQ$13="",PQ$17="",PQ$14="",PQ$15="",PQ$16="",PQ$18="",PQ$19="",PQ$20="",PQ$21=""),"",SUM($PK14:PQ14))</f>
        <v/>
      </c>
      <c r="PR67" s="114" t="str">
        <f>IF(OR(PR$13="",PR$17="",PR$14="",PR$15="",PR$16="",PR$18="",PR$19="",PR$20="",PR$21=""),"",SUM($PK14:PR14))</f>
        <v/>
      </c>
      <c r="PS67" s="114" t="str">
        <f>IF(OR(PS$13="",PS$17="",PS$14="",PS$15="",PS$16="",PS$18="",PS$19="",PS$20="",PS$21=""),"",SUM($PK14:PS14))</f>
        <v/>
      </c>
      <c r="PT67" s="114" t="str">
        <f>IF(OR(PT$13="",PT$17="",PT$14="",PT$15="",PT$16="",PT$18="",PT$19="",PT$20="",PT$21=""),"",SUM($PK14:PT14))</f>
        <v/>
      </c>
      <c r="PU67" s="114" t="str">
        <f>IF(OR(PU$13="",PU$17="",PU$14="",PU$15="",PU$16="",PU$18="",PU$19="",PU$20="",PU$21=""),"",SUM($PK14:PU14))</f>
        <v/>
      </c>
      <c r="PV67" s="114" t="str">
        <f>IF(OR(PV$13="",PV$17="",PV$14="",PV$15="",PV$16="",PV$18="",PV$19="",PV$20="",PV$21=""),"",SUM($PK14:PV14))</f>
        <v/>
      </c>
      <c r="PW67" s="114" t="str">
        <f>IF(OR(PW$13="",PW$17="",PW$14="",PW$15="",PW$16="",PW$18="",PW$19="",PW$20="",PW$21=""),"",SUM($PK14:PW14))</f>
        <v/>
      </c>
      <c r="PX67" s="114" t="str">
        <f>IF(OR(PX$13="",PX$17="",PX$14="",PX$15="",PX$16="",PX$18="",PX$19="",PX$20="",PX$21=""),"",SUM($PK14:PX14))</f>
        <v/>
      </c>
      <c r="PY67" s="114" t="str">
        <f>IF(OR(PY$13="",PY$17="",PY$14="",PY$15="",PY$16="",PY$18="",PY$19="",PY$20="",PY$21=""),"",SUM($PK14:PY14))</f>
        <v/>
      </c>
      <c r="PZ67" s="114" t="str">
        <f>IF(OR(PZ$13="",PZ$17="",PZ$14="",PZ$15="",PZ$16="",PZ$18="",PZ$19="",PZ$20="",PZ$21=""),"",SUM($PK14:PZ14))</f>
        <v/>
      </c>
      <c r="QA67" s="114" t="str">
        <f>IF(OR(QA$13="",QA$17="",QA$14="",QA$15="",QA$16="",QA$18="",QA$19="",QA$20="",QA$21=""),"",SUM($PK14:QA14))</f>
        <v/>
      </c>
      <c r="QB67" s="114" t="str">
        <f>IF(OR(QB$13="",QB$17="",QB$14="",QB$15="",QB$16="",QB$18="",QB$19="",QB$20="",QB$21=""),"",SUM($PK14:QB14))</f>
        <v/>
      </c>
      <c r="QC67" s="114" t="str">
        <f>IF(OR(QC$13="",QC$17="",QC$14="",QC$15="",QC$16="",QC$18="",QC$19="",QC$20="",QC$21=""),"",SUM($PK14:QC14))</f>
        <v/>
      </c>
      <c r="QD67" s="114" t="str">
        <f>IF(OR(QD$13="",QD$17="",QD$14="",QD$15="",QD$16="",QD$18="",QD$19="",QD$20="",QD$21=""),"",SUM($PK14:QD14))</f>
        <v/>
      </c>
      <c r="QE67" s="114" t="str">
        <f>IF(OR(QE$13="",QE$17="",QE$14="",QE$15="",QE$16="",QE$18="",QE$19="",QE$20="",QE$21=""),"",SUM($PK14:QE14))</f>
        <v/>
      </c>
      <c r="QF67" s="114" t="str">
        <f>IF(OR(QF$13="",QF$17="",QF$14="",QF$15="",QF$16="",QF$18="",QF$19="",QF$20="",QF$21=""),"",SUM($PK14:QF14))</f>
        <v/>
      </c>
      <c r="QG67" s="114" t="str">
        <f>IF(OR(QG$13="",QG$17="",QG$14="",QG$15="",QG$16="",QG$18="",QG$19="",QG$20="",QG$21=""),"",SUM($PK14:QG14))</f>
        <v/>
      </c>
      <c r="QH67" s="114" t="str">
        <f>IF(OR(QH$13="",QH$17="",QH$14="",QH$15="",QH$16="",QH$18="",QH$19="",QH$20="",QH$21=""),"",SUM($PK14:QH14))</f>
        <v/>
      </c>
      <c r="QI67" s="114" t="str">
        <f>IF(OR(QI$13="",QI$17="",QI$14="",QI$15="",QI$16="",QI$18="",QI$19="",QI$20="",QI$21=""),"",SUM($PK14:QI14))</f>
        <v/>
      </c>
      <c r="QJ67" s="114" t="str">
        <f>IF(OR(QJ$13="",QJ$17="",QJ$14="",QJ$15="",QJ$16="",QJ$18="",QJ$19="",QJ$20="",QJ$21=""),"",SUM($PK14:QJ14))</f>
        <v/>
      </c>
      <c r="QK67" s="114" t="str">
        <f>IF(OR(QK$13="",QK$17="",QK$14="",QK$15="",QK$16="",QK$18="",QK$19="",QK$20="",QK$21=""),"",SUM($PK14:QK14))</f>
        <v/>
      </c>
      <c r="QL67" s="114" t="str">
        <f>IF(OR(QL$13="",QL$17="",QL$14="",QL$15="",QL$16="",QL$18="",QL$19="",QL$20="",QL$21=""),"",SUM($PK14:QL14))</f>
        <v/>
      </c>
      <c r="QM67" s="114" t="str">
        <f>IF(OR(QM$13="",QM$17="",QM$14="",QM$15="",QM$16="",QM$18="",QM$19="",QM$20="",QM$21=""),"",SUM($PK14:QM14))</f>
        <v/>
      </c>
      <c r="QN67" s="114" t="str">
        <f>IF(OR(QN$13="",QN$17="",QN$14="",QN$15="",QN$16="",QN$18="",QN$19="",QN$20="",QN$21=""),"",SUM($PK14:QN14))</f>
        <v/>
      </c>
      <c r="QO67" s="114" t="str">
        <f>IF(OR(QO$13="",QO$17="",QO$14="",QO$15="",QO$16="",QO$18="",QO$19="",QO$20="",QO$21=""),"",SUM($PK14:QO14))</f>
        <v/>
      </c>
      <c r="QP67" s="114" t="str">
        <f>IF(OR(QP$13="",QP$17="",QP$14="",QP$15="",QP$16="",QP$18="",QP$19="",QP$20="",QP$21=""),"",SUM($QP14:QP14))</f>
        <v/>
      </c>
      <c r="QQ67" s="114" t="str">
        <f>IF(OR(QQ$13="",QQ$17="",QQ$14="",QQ$15="",QQ$16="",QQ$18="",QQ$19="",QQ$20="",QQ$21=""),"",SUM($QP14:QQ14))</f>
        <v/>
      </c>
      <c r="QR67" s="114" t="str">
        <f>IF(OR(QR$13="",QR$17="",QR$14="",QR$15="",QR$16="",QR$18="",QR$19="",QR$20="",QR$21=""),"",SUM($QP14:QR14))</f>
        <v/>
      </c>
      <c r="QS67" s="114" t="str">
        <f>IF(OR(QS$13="",QS$17="",QS$14="",QS$15="",QS$16="",QS$18="",QS$19="",QS$20="",QS$21=""),"",SUM($QP14:QS14))</f>
        <v/>
      </c>
      <c r="QT67" s="114" t="str">
        <f>IF(OR(QT$13="",QT$17="",QT$14="",QT$15="",QT$16="",QT$18="",QT$19="",QT$20="",QT$21=""),"",SUM($QP14:QT14))</f>
        <v/>
      </c>
      <c r="QU67" s="114" t="str">
        <f>IF(OR(QU$13="",QU$17="",QU$14="",QU$15="",QU$16="",QU$18="",QU$19="",QU$20="",QU$21=""),"",SUM($QP14:QU14))</f>
        <v/>
      </c>
      <c r="QV67" s="114" t="str">
        <f>IF(OR(QV$13="",QV$17="",QV$14="",QV$15="",QV$16="",QV$18="",QV$19="",QV$20="",QV$21=""),"",SUM($QP14:QV14))</f>
        <v/>
      </c>
      <c r="QW67" s="114" t="str">
        <f>IF(OR(QW$13="",QW$17="",QW$14="",QW$15="",QW$16="",QW$18="",QW$19="",QW$20="",QW$21=""),"",SUM($QP14:QW14))</f>
        <v/>
      </c>
      <c r="QX67" s="114" t="str">
        <f>IF(OR(QX$13="",QX$17="",QX$14="",QX$15="",QX$16="",QX$18="",QX$19="",QX$20="",QX$21=""),"",SUM($QP14:QX14))</f>
        <v/>
      </c>
      <c r="QY67" s="114" t="str">
        <f>IF(OR(QY$13="",QY$17="",QY$14="",QY$15="",QY$16="",QY$18="",QY$19="",QY$20="",QY$21=""),"",SUM($QP14:QY14))</f>
        <v/>
      </c>
      <c r="QZ67" s="114" t="str">
        <f>IF(OR(QZ$13="",QZ$17="",QZ$14="",QZ$15="",QZ$16="",QZ$18="",QZ$19="",QZ$20="",QZ$21=""),"",SUM($QP14:QZ14))</f>
        <v/>
      </c>
      <c r="RA67" s="114" t="str">
        <f>IF(OR(RA$13="",RA$17="",RA$14="",RA$15="",RA$16="",RA$18="",RA$19="",RA$20="",RA$21=""),"",SUM($QP14:RA14))</f>
        <v/>
      </c>
      <c r="RB67" s="114" t="str">
        <f>IF(OR(RB$13="",RB$17="",RB$14="",RB$15="",RB$16="",RB$18="",RB$19="",RB$20="",RB$21=""),"",SUM($QP14:RB14))</f>
        <v/>
      </c>
      <c r="RC67" s="114" t="str">
        <f>IF(OR(RC$13="",RC$17="",RC$14="",RC$15="",RC$16="",RC$18="",RC$19="",RC$20="",RC$21=""),"",SUM($QP14:RC14))</f>
        <v/>
      </c>
      <c r="RD67" s="114" t="str">
        <f>IF(OR(RD$13="",RD$17="",RD$14="",RD$15="",RD$16="",RD$18="",RD$19="",RD$20="",RD$21=""),"",SUM($QP14:RD14))</f>
        <v/>
      </c>
      <c r="RE67" s="114" t="str">
        <f>IF(OR(RE$13="",RE$17="",RE$14="",RE$15="",RE$16="",RE$18="",RE$19="",RE$20="",RE$21=""),"",SUM($QP14:RE14))</f>
        <v/>
      </c>
      <c r="RF67" s="114" t="str">
        <f>IF(OR(RF$13="",RF$17="",RF$14="",RF$15="",RF$16="",RF$18="",RF$19="",RF$20="",RF$21=""),"",SUM($QP14:RF14))</f>
        <v/>
      </c>
      <c r="RG67" s="114" t="str">
        <f>IF(OR(RG$13="",RG$17="",RG$14="",RG$15="",RG$16="",RG$18="",RG$19="",RG$20="",RG$21=""),"",SUM($QP14:RG14))</f>
        <v/>
      </c>
      <c r="RH67" s="114" t="str">
        <f>IF(OR(RH$13="",RH$17="",RH$14="",RH$15="",RH$16="",RH$18="",RH$19="",RH$20="",RH$21=""),"",SUM($QP14:RH14))</f>
        <v/>
      </c>
      <c r="RI67" s="114" t="str">
        <f>IF(OR(RI$13="",RI$17="",RI$14="",RI$15="",RI$16="",RI$18="",RI$19="",RI$20="",RI$21=""),"",SUM($QP14:RI14))</f>
        <v/>
      </c>
      <c r="RJ67" s="114" t="str">
        <f>IF(OR(RJ$13="",RJ$17="",RJ$14="",RJ$15="",RJ$16="",RJ$18="",RJ$19="",RJ$20="",RJ$21=""),"",SUM($QP14:RJ14))</f>
        <v/>
      </c>
      <c r="RK67" s="114" t="str">
        <f>IF(OR(RK$13="",RK$17="",RK$14="",RK$15="",RK$16="",RK$18="",RK$19="",RK$20="",RK$21=""),"",SUM($QP14:RK14))</f>
        <v/>
      </c>
      <c r="RL67" s="114" t="str">
        <f>IF(OR(RL$13="",RL$17="",RL$14="",RL$15="",RL$16="",RL$18="",RL$19="",RL$20="",RL$21=""),"",SUM($QP14:RL14))</f>
        <v/>
      </c>
      <c r="RM67" s="114" t="str">
        <f>IF(OR(RM$13="",RM$17="",RM$14="",RM$15="",RM$16="",RM$18="",RM$19="",RM$20="",RM$21=""),"",SUM($QP14:RM14))</f>
        <v/>
      </c>
      <c r="RN67" s="114" t="str">
        <f>IF(OR(RN$13="",RN$17="",RN$14="",RN$15="",RN$16="",RN$18="",RN$19="",RN$20="",RN$21=""),"",SUM($QP14:RN14))</f>
        <v/>
      </c>
      <c r="RO67" s="114" t="str">
        <f>IF(OR(RO$13="",RO$17="",RO$14="",RO$15="",RO$16="",RO$18="",RO$19="",RO$20="",RO$21=""),"",SUM($QP14:RO14))</f>
        <v/>
      </c>
      <c r="RP67" s="114" t="str">
        <f>IF(OR(RP$13="",RP$17="",RP$14="",RP$15="",RP$16="",RP$18="",RP$19="",RP$20="",RP$21=""),"",SUM($QP14:RP14))</f>
        <v/>
      </c>
      <c r="RQ67" s="114" t="str">
        <f>IF(OR(RQ$13="",RQ$17="",RQ$14="",RQ$15="",RQ$16="",RQ$18="",RQ$19="",RQ$20="",RQ$21=""),"",SUM($QP14:RQ14))</f>
        <v/>
      </c>
      <c r="RR67" s="114" t="str">
        <f>IF(OR(RR$13="",RR$17="",RR$14="",RR$15="",RR$16="",RR$18="",RR$19="",RR$20="",RR$21=""),"",SUM($QP14:RR14))</f>
        <v/>
      </c>
      <c r="RS67" s="114" t="str">
        <f>IF(OR(RS$13="",RS$17="",RS$14="",RS$15="",RS$16="",RS$18="",RS$19="",RS$20="",RS$21=""),"",SUM($QP14:RS14))</f>
        <v/>
      </c>
      <c r="RT67" s="114" t="str">
        <f>IF(OR(RT$13="",RT$17="",RT$14="",RT$15="",RT$16="",RT$18="",RT$19="",RT$20="",RT$21=""),"",SUM($RT14:RT14))</f>
        <v/>
      </c>
      <c r="RU67" s="114" t="str">
        <f>IF(OR(RU$13="",RU$17="",RU$14="",RU$15="",RU$16="",RU$18="",RU$19="",RU$20="",RU$21=""),"",SUM($RT14:RU14))</f>
        <v/>
      </c>
      <c r="RV67" s="114" t="str">
        <f>IF(OR(RV$13="",RV$17="",RV$14="",RV$15="",RV$16="",RV$18="",RV$19="",RV$20="",RV$21=""),"",SUM($RT14:RV14))</f>
        <v/>
      </c>
      <c r="RW67" s="114" t="str">
        <f>IF(OR(RW$13="",RW$17="",RW$14="",RW$15="",RW$16="",RW$18="",RW$19="",RW$20="",RW$21=""),"",SUM($RT14:RW14))</f>
        <v/>
      </c>
      <c r="RX67" s="114" t="str">
        <f>IF(OR(RX$13="",RX$17="",RX$14="",RX$15="",RX$16="",RX$18="",RX$19="",RX$20="",RX$21=""),"",SUM($RT14:RX14))</f>
        <v/>
      </c>
      <c r="RY67" s="114" t="str">
        <f>IF(OR(RY$13="",RY$17="",RY$14="",RY$15="",RY$16="",RY$18="",RY$19="",RY$20="",RY$21=""),"",SUM($RT14:RY14))</f>
        <v/>
      </c>
      <c r="RZ67" s="114" t="str">
        <f>IF(OR(RZ$13="",RZ$17="",RZ$14="",RZ$15="",RZ$16="",RZ$18="",RZ$19="",RZ$20="",RZ$21=""),"",SUM($RT14:RZ14))</f>
        <v/>
      </c>
      <c r="SA67" s="114" t="str">
        <f>IF(OR(SA$13="",SA$17="",SA$14="",SA$15="",SA$16="",SA$18="",SA$19="",SA$20="",SA$21=""),"",SUM($RT14:SA14))</f>
        <v/>
      </c>
      <c r="SB67" s="114" t="str">
        <f>IF(OR(SB$13="",SB$17="",SB$14="",SB$15="",SB$16="",SB$18="",SB$19="",SB$20="",SB$21=""),"",SUM($RT14:SB14))</f>
        <v/>
      </c>
      <c r="SC67" s="114" t="str">
        <f>IF(OR(SC$13="",SC$17="",SC$14="",SC$15="",SC$16="",SC$18="",SC$19="",SC$20="",SC$21=""),"",SUM($RT14:SC14))</f>
        <v/>
      </c>
      <c r="SD67" s="114" t="str">
        <f>IF(OR(SD$13="",SD$17="",SD$14="",SD$15="",SD$16="",SD$18="",SD$19="",SD$20="",SD$21=""),"",SUM($RT14:SD14))</f>
        <v/>
      </c>
      <c r="SE67" s="114" t="str">
        <f>IF(OR(SE$13="",SE$17="",SE$14="",SE$15="",SE$16="",SE$18="",SE$19="",SE$20="",SE$21=""),"",SUM($RT14:SE14))</f>
        <v/>
      </c>
      <c r="SF67" s="114" t="str">
        <f>IF(OR(SF$13="",SF$17="",SF$14="",SF$15="",SF$16="",SF$18="",SF$19="",SF$20="",SF$21=""),"",SUM($RT14:SF14))</f>
        <v/>
      </c>
      <c r="SG67" s="114" t="str">
        <f>IF(OR(SG$13="",SG$17="",SG$14="",SG$15="",SG$16="",SG$18="",SG$19="",SG$20="",SG$21=""),"",SUM($RT14:SG14))</f>
        <v/>
      </c>
      <c r="SH67" s="114" t="str">
        <f>IF(OR(SH$13="",SH$17="",SH$14="",SH$15="",SH$16="",SH$18="",SH$19="",SH$20="",SH$21=""),"",SUM($RT14:SH14))</f>
        <v/>
      </c>
      <c r="SI67" s="114" t="str">
        <f>IF(OR(SI$13="",SI$17="",SI$14="",SI$15="",SI$16="",SI$18="",SI$19="",SI$20="",SI$21=""),"",SUM($RT14:SI14))</f>
        <v/>
      </c>
      <c r="SJ67" s="114" t="str">
        <f>IF(OR(SJ$13="",SJ$17="",SJ$14="",SJ$15="",SJ$16="",SJ$18="",SJ$19="",SJ$20="",SJ$21=""),"",SUM($RT14:SJ14))</f>
        <v/>
      </c>
      <c r="SK67" s="114" t="str">
        <f>IF(OR(SK$13="",SK$17="",SK$14="",SK$15="",SK$16="",SK$18="",SK$19="",SK$20="",SK$21=""),"",SUM($RT14:SK14))</f>
        <v/>
      </c>
      <c r="SL67" s="114" t="str">
        <f>IF(OR(SL$13="",SL$17="",SL$14="",SL$15="",SL$16="",SL$18="",SL$19="",SL$20="",SL$21=""),"",SUM($RT14:SL14))</f>
        <v/>
      </c>
      <c r="SM67" s="114" t="str">
        <f>IF(OR(SM$13="",SM$17="",SM$14="",SM$15="",SM$16="",SM$18="",SM$19="",SM$20="",SM$21=""),"",SUM($RT14:SM14))</f>
        <v/>
      </c>
      <c r="SN67" s="114" t="str">
        <f>IF(OR(SN$13="",SN$17="",SN$14="",SN$15="",SN$16="",SN$18="",SN$19="",SN$20="",SN$21=""),"",SUM($RT14:SN14))</f>
        <v/>
      </c>
      <c r="SO67" s="114" t="str">
        <f>IF(OR(SO$13="",SO$17="",SO$14="",SO$15="",SO$16="",SO$18="",SO$19="",SO$20="",SO$21=""),"",SUM($RT14:SO14))</f>
        <v/>
      </c>
      <c r="SP67" s="114" t="str">
        <f>IF(OR(SP$13="",SP$17="",SP$14="",SP$15="",SP$16="",SP$18="",SP$19="",SP$20="",SP$21=""),"",SUM($RT14:SP14))</f>
        <v/>
      </c>
      <c r="SQ67" s="114" t="str">
        <f>IF(OR(SQ$13="",SQ$17="",SQ$14="",SQ$15="",SQ$16="",SQ$18="",SQ$19="",SQ$20="",SQ$21=""),"",SUM($RT14:SQ14))</f>
        <v/>
      </c>
      <c r="SR67" s="114" t="str">
        <f>IF(OR(SR$13="",SR$17="",SR$14="",SR$15="",SR$16="",SR$18="",SR$19="",SR$20="",SR$21=""),"",SUM($RT14:SR14))</f>
        <v/>
      </c>
      <c r="SS67" s="114" t="str">
        <f>IF(OR(SS$13="",SS$17="",SS$14="",SS$15="",SS$16="",SS$18="",SS$19="",SS$20="",SS$21=""),"",SUM($RT14:SS14))</f>
        <v/>
      </c>
      <c r="ST67" s="114" t="str">
        <f>IF(OR(ST$13="",ST$17="",ST$14="",ST$15="",ST$16="",ST$18="",ST$19="",ST$20="",ST$21=""),"",SUM($RT14:ST14))</f>
        <v/>
      </c>
      <c r="SU67" s="114" t="str">
        <f>IF(OR(SU$13="",SU$17="",SU$14="",SU$15="",SU$16="",SU$18="",SU$19="",SU$20="",SU$21=""),"",SUM($RT14:SU14))</f>
        <v/>
      </c>
      <c r="SV67" s="114" t="str">
        <f>IF(OR(SV$13="",SV$17="",SV$14="",SV$15="",SV$16="",SV$18="",SV$19="",SV$20="",SV$21=""),"",SUM($RT14:SV14))</f>
        <v/>
      </c>
      <c r="SW67" s="114" t="str">
        <f>IF(OR(SW$13="",SW$17="",SW$14="",SW$15="",SW$16="",SW$18="",SW$19="",SW$20="",SW$21=""),"",SUM($RT14:SW14))</f>
        <v/>
      </c>
    </row>
    <row r="68" spans="1:517" ht="24.6" customHeight="1" x14ac:dyDescent="0.2">
      <c r="A68" s="94" t="s">
        <v>86</v>
      </c>
      <c r="B68" s="119" t="s">
        <v>79</v>
      </c>
      <c r="C68" s="114">
        <f>IF(OR(C$13="",C$17="",C$14="",C$15="",C$16="",C$18="",C$19="",C$20="",C$21=""),"",SUM($C15:C15))</f>
        <v>0</v>
      </c>
      <c r="D68" s="114">
        <f>IF(OR(D$13="",D$17="",D$14="",D$15="",D$16="",D$18="",D$19="",D$20="",D$21=""),"",SUM($C15:D15))</f>
        <v>0</v>
      </c>
      <c r="E68" s="114">
        <f>IF(OR(E$13="",E$17="",E$14="",E$15="",E$16="",E$18="",E$19="",E$20="",E$21=""),"",SUM($C15:E15))</f>
        <v>0</v>
      </c>
      <c r="F68" s="114">
        <f>IF(OR(F$13="",F$17="",F$14="",F$15="",F$16="",F$18="",F$19="",F$20="",F$21=""),"",SUM($C15:F15))</f>
        <v>0</v>
      </c>
      <c r="G68" s="114">
        <f>IF(OR(G$13="",G$17="",G$14="",G$15="",G$16="",G$18="",G$19="",G$20="",G$21=""),"",SUM($C15:G15))</f>
        <v>0</v>
      </c>
      <c r="H68" s="114">
        <f>IF(OR(H$13="",H$17="",H$14="",H$15="",H$16="",H$18="",H$19="",H$20="",H$21=""),"",SUM($C15:H15))</f>
        <v>0</v>
      </c>
      <c r="I68" s="114">
        <f>IF(OR(I$13="",I$17="",I$14="",I$15="",I$16="",I$18="",I$19="",I$20="",I$21=""),"",SUM($C15:I15))</f>
        <v>0</v>
      </c>
      <c r="J68" s="114">
        <f>IF(OR(J$13="",J$17="",J$14="",J$15="",J$16="",J$18="",J$19="",J$20="",J$21=""),"",SUM($C15:J15))</f>
        <v>0</v>
      </c>
      <c r="K68" s="114">
        <f>IF(OR(K$13="",K$17="",K$14="",K$15="",K$16="",K$18="",K$19="",K$20="",K$21=""),"",SUM($C15:K15))</f>
        <v>0</v>
      </c>
      <c r="L68" s="114">
        <f>IF(OR(L$13="",L$17="",L$14="",L$15="",L$16="",L$18="",L$19="",L$20="",L$21=""),"",SUM($C15:L15))</f>
        <v>0</v>
      </c>
      <c r="M68" s="114">
        <f>IF(OR(M$13="",M$17="",M$14="",M$15="",M$16="",M$18="",M$19="",M$20="",M$21=""),"",SUM($C15:M15))</f>
        <v>0</v>
      </c>
      <c r="N68" s="114">
        <f>IF(OR(N$13="",N$17="",N$14="",N$15="",N$16="",N$18="",N$19="",N$20="",N$21=""),"",SUM($C15:N15))</f>
        <v>0</v>
      </c>
      <c r="O68" s="114">
        <f>IF(OR(O$13="",O$17="",O$14="",O$15="",O$16="",O$18="",O$19="",O$20="",O$21=""),"",SUM($C15:O15))</f>
        <v>0</v>
      </c>
      <c r="P68" s="114">
        <f>IF(OR(P$13="",P$17="",P$14="",P$15="",P$16="",P$18="",P$19="",P$20="",P$21=""),"",SUM($C15:P15))</f>
        <v>0</v>
      </c>
      <c r="Q68" s="114">
        <f>IF(OR(Q$13="",Q$17="",Q$14="",Q$15="",Q$16="",Q$18="",Q$19="",Q$20="",Q$21=""),"",SUM($C15:Q15))</f>
        <v>0</v>
      </c>
      <c r="R68" s="114">
        <f>IF(OR(R$13="",R$17="",R$14="",R$15="",R$16="",R$18="",R$19="",R$20="",R$21=""),"",SUM($C15:R15))</f>
        <v>0</v>
      </c>
      <c r="S68" s="114">
        <f>IF(OR(S$13="",S$17="",S$14="",S$15="",S$16="",S$18="",S$19="",S$20="",S$21=""),"",SUM($C15:S15))</f>
        <v>0</v>
      </c>
      <c r="T68" s="114">
        <f>IF(OR(T$13="",T$17="",T$14="",T$15="",T$16="",T$18="",T$19="",T$20="",T$21=""),"",SUM($C15:T15))</f>
        <v>0</v>
      </c>
      <c r="U68" s="114">
        <f>IF(OR(U$13="",U$17="",U$14="",U$15="",U$16="",U$18="",U$19="",U$20="",U$21=""),"",SUM($C15:U15))</f>
        <v>0</v>
      </c>
      <c r="V68" s="114">
        <f>IF(OR(V$13="",V$17="",V$14="",V$15="",V$16="",V$18="",V$19="",V$20="",V$21=""),"",SUM($C15:V15))</f>
        <v>0</v>
      </c>
      <c r="W68" s="114">
        <f>IF(OR(W$13="",W$17="",W$14="",W$15="",W$16="",W$18="",W$19="",W$20="",W$21=""),"",SUM($C15:W15))</f>
        <v>0</v>
      </c>
      <c r="X68" s="114">
        <f>IF(OR(X$13="",X$17="",X$14="",X$15="",X$16="",X$18="",X$19="",X$20="",X$21=""),"",SUM($C15:X15))</f>
        <v>24.99</v>
      </c>
      <c r="Y68" s="114">
        <f>IF(OR(Y$13="",Y$17="",Y$14="",Y$15="",Y$16="",Y$18="",Y$19="",Y$20="",Y$21=""),"",SUM($C15:Y15))</f>
        <v>24.99</v>
      </c>
      <c r="Z68" s="114">
        <f>IF(OR(Z$13="",Z$17="",Z$14="",Z$15="",Z$16="",Z$18="",Z$19="",Z$20="",Z$21=""),"",SUM($C15:Z15))</f>
        <v>25.669999999999998</v>
      </c>
      <c r="AA68" s="114">
        <f>IF(OR(AA$13="",AA$17="",AA$14="",AA$15="",AA$16="",AA$18="",AA$19="",AA$20="",AA$21=""),"",SUM($C15:AA15))</f>
        <v>25.669999999999998</v>
      </c>
      <c r="AB68" s="114">
        <f>IF(OR(AB$13="",AB$17="",AB$14="",AB$15="",AB$16="",AB$18="",AB$19="",AB$20="",AB$21=""),"",SUM($C15:AB15))</f>
        <v>25.669999999999998</v>
      </c>
      <c r="AC68" s="114">
        <f>IF(OR(AC$13="",AC$17="",AC$14="",AC$15="",AC$16="",AC$18="",AC$19="",AC$20="",AC$21=""),"",SUM($C15:AC15))</f>
        <v>25.669999999999998</v>
      </c>
      <c r="AD68" s="114">
        <f>IF(OR(AD$13="",AD$17="",AD$14="",AD$15="",AD$16="",AD$18="",AD$19="",AD$20="",AD$21=""),"",SUM($C15:AD15))</f>
        <v>25.669999999999998</v>
      </c>
      <c r="AE68" s="114">
        <f>IF(OR(AE$13="",AE$17="",AE$14="",AE$15="",AE$16="",AE$18="",AE$19="",AE$20="",AE$21=""),"",SUM($C15:AE15))</f>
        <v>25.669999999999998</v>
      </c>
      <c r="AF68" s="114">
        <f>IF(OR(AF$13="",AF$17="",AF$14="",AF$15="",AF$16="",AF$18="",AF$19="",AF$20="",AF$21=""),"",SUM($C15:AF15))</f>
        <v>25.669999999999998</v>
      </c>
      <c r="AG68" s="114">
        <f>IF(OR(AG$13="",AG$17="",AG$14="",AG$15="",AG$16="",AG$18="",AG$19="",AG$20="",AG$21=""),"",SUM($C15:AG15))</f>
        <v>25.669999999999998</v>
      </c>
      <c r="AH68" s="114">
        <f>IF(OR(AH$13="",AH$17="",AH$14="",AH$15="",AH$16="",AH$18="",AH$19="",AH$20="",AH$21=""),"",SUM($AH15:AH15))</f>
        <v>0</v>
      </c>
      <c r="AI68" s="114">
        <f>IF(OR(AI$13="",AI$17="",AI$14="",AI$15="",AI$16="",AI$18="",AI$19="",AI$20="",AI$21=""),"",SUM($AH15:AI15))</f>
        <v>5.25</v>
      </c>
      <c r="AJ68" s="114">
        <f>IF(OR(AJ$13="",AJ$17="",AJ$14="",AJ$15="",AJ$16="",AJ$18="",AJ$19="",AJ$20="",AJ$21=""),"",SUM($AH15:AJ15))</f>
        <v>5.25</v>
      </c>
      <c r="AK68" s="114">
        <f>IF(OR(AK$13="",AK$17="",AK$14="",AK$15="",AK$16="",AK$18="",AK$19="",AK$20="",AK$21=""),"",SUM($AH15:AK15))</f>
        <v>8</v>
      </c>
      <c r="AL68" s="114">
        <f>IF(OR(AL$13="",AL$17="",AL$14="",AL$15="",AL$16="",AL$18="",AL$19="",AL$20="",AL$21=""),"",SUM($AH15:AL15))</f>
        <v>13.15</v>
      </c>
      <c r="AM68" s="114">
        <f>IF(OR(AM$13="",AM$17="",AM$14="",AM$15="",AM$16="",AM$18="",AM$19="",AM$20="",AM$21=""),"",SUM($AH15:AM15))</f>
        <v>24.73</v>
      </c>
      <c r="AN68" s="114">
        <f>IF(OR(AN$13="",AN$17="",AN$14="",AN$15="",AN$16="",AN$18="",AN$19="",AN$20="",AN$21=""),"",SUM($AH15:AN15))</f>
        <v>27.75</v>
      </c>
      <c r="AO68" s="114">
        <f>IF(OR(AO$13="",AO$17="",AO$14="",AO$15="",AO$16="",AO$18="",AO$19="",AO$20="",AO$21=""),"",SUM($AH15:AO15))</f>
        <v>27.75</v>
      </c>
      <c r="AP68" s="114">
        <f>IF(OR(AP$13="",AP$17="",AP$14="",AP$15="",AP$16="",AP$18="",AP$19="",AP$20="",AP$21=""),"",SUM($AH15:AP15))</f>
        <v>32.31</v>
      </c>
      <c r="AQ68" s="114">
        <f>IF(OR(AQ$13="",AQ$17="",AQ$14="",AQ$15="",AQ$16="",AQ$18="",AQ$19="",AQ$20="",AQ$21=""),"",SUM($AH15:AQ15))</f>
        <v>41.050000000000004</v>
      </c>
      <c r="AR68" s="114">
        <f>IF(OR(AR$13="",AR$17="",AR$14="",AR$15="",AR$16="",AR$18="",AR$19="",AR$20="",AR$21=""),"",SUM($AH15:AR15))</f>
        <v>54.440000000000005</v>
      </c>
      <c r="AS68" s="114">
        <f>IF(OR(AS$13="",AS$17="",AS$14="",AS$15="",AS$16="",AS$18="",AS$19="",AS$20="",AS$21=""),"",SUM($AH15:AS15))</f>
        <v>54.440000000000005</v>
      </c>
      <c r="AT68" s="114">
        <f>IF(OR(AT$13="",AT$17="",AT$14="",AT$15="",AT$16="",AT$18="",AT$19="",AT$20="",AT$21=""),"",SUM($AH15:AT15))</f>
        <v>54.440000000000005</v>
      </c>
      <c r="AU68" s="114">
        <f>IF(OR(AU$13="",AU$17="",AU$14="",AU$15="",AU$16="",AU$18="",AU$19="",AU$20="",AU$21=""),"",SUM($AH15:AU15))</f>
        <v>54.440000000000005</v>
      </c>
      <c r="AV68" s="114">
        <f>IF(OR(AV$13="",AV$17="",AV$14="",AV$15="",AV$16="",AV$18="",AV$19="",AV$20="",AV$21=""),"",SUM($AH15:AV15))</f>
        <v>54.440000000000005</v>
      </c>
      <c r="AW68" s="114">
        <f>IF(OR(AW$13="",AW$17="",AW$14="",AW$15="",AW$16="",AW$18="",AW$19="",AW$20="",AW$21=""),"",SUM($AH15:AW15))</f>
        <v>57.42</v>
      </c>
      <c r="AX68" s="114">
        <f>IF(OR(AX$13="",AX$17="",AX$14="",AX$15="",AX$16="",AX$18="",AX$19="",AX$20="",AX$21=""),"",SUM($AH15:AX15))</f>
        <v>58.74</v>
      </c>
      <c r="AY68" s="114">
        <f>IF(OR(AY$13="",AY$17="",AY$14="",AY$15="",AY$16="",AY$18="",AY$19="",AY$20="",AY$21=""),"",SUM($AH15:AY15))</f>
        <v>67.56</v>
      </c>
      <c r="AZ68" s="114">
        <f>IF(OR(AZ$13="",AZ$17="",AZ$14="",AZ$15="",AZ$16="",AZ$18="",AZ$19="",AZ$20="",AZ$21=""),"",SUM($AH15:AZ15))</f>
        <v>67.56</v>
      </c>
      <c r="BA68" s="114">
        <f>IF(OR(BA$13="",BA$17="",BA$14="",BA$15="",BA$16="",BA$18="",BA$19="",BA$20="",BA$21=""),"",SUM($AH15:BA15))</f>
        <v>72.45</v>
      </c>
      <c r="BB68" s="114">
        <f>IF(OR(BB$13="",BB$17="",BB$14="",BB$15="",BB$16="",BB$18="",BB$19="",BB$20="",BB$21=""),"",SUM($AH15:BB15))</f>
        <v>73.95</v>
      </c>
      <c r="BC68" s="114">
        <f>IF(OR(BC$13="",BC$17="",BC$14="",BC$15="",BC$16="",BC$18="",BC$19="",BC$20="",BC$21=""),"",SUM($AH15:BC15))</f>
        <v>73.95</v>
      </c>
      <c r="BD68" s="114">
        <f>IF(OR(BD$13="",BD$17="",BD$14="",BD$15="",BD$16="",BD$18="",BD$19="",BD$20="",BD$21=""),"",SUM($AH15:BD15))</f>
        <v>73.95</v>
      </c>
      <c r="BE68" s="114">
        <f>IF(OR(BE$13="",BE$17="",BE$14="",BE$15="",BE$16="",BE$18="",BE$19="",BE$20="",BE$21=""),"",SUM($AH15:BE15))</f>
        <v>75.930000000000007</v>
      </c>
      <c r="BF68" s="114">
        <f>IF(OR(BF$13="",BF$17="",BF$14="",BF$15="",BF$16="",BF$18="",BF$19="",BF$20="",BF$21=""),"",SUM($AH15:BF15))</f>
        <v>79.850000000000009</v>
      </c>
      <c r="BG68" s="114">
        <f>IF(OR(BG$13="",BG$17="",BG$14="",BG$15="",BG$16="",BG$18="",BG$19="",BG$20="",BG$21=""),"",SUM($AH15:BG15))</f>
        <v>79.850000000000009</v>
      </c>
      <c r="BH68" s="114">
        <f>IF(OR(BH$13="",BH$17="",BH$14="",BH$15="",BH$16="",BH$18="",BH$19="",BH$20="",BH$21=""),"",SUM($AH15:BH15))</f>
        <v>79.850000000000009</v>
      </c>
      <c r="BI68" s="114">
        <f>IF(OR(BI$13="",BI$17="",BI$14="",BI$15="",BI$16="",BI$18="",BI$19="",BI$20="",BI$21=""),"",SUM($AH15:BI15))</f>
        <v>80.63000000000001</v>
      </c>
      <c r="BJ68" s="114">
        <f>IF(OR(BJ$13="",BJ$17="",BJ$14="",BJ$15="",BJ$16="",BJ$18="",BJ$19="",BJ$20="",BJ$21=""),"",SUM($BJ15:BJ15))</f>
        <v>4.7700000000000005</v>
      </c>
      <c r="BK68" s="114">
        <f>IF(OR(BK$13="",BK$17="",BK$14="",BK$15="",BK$16="",BK$18="",BK$19="",BK$20="",BK$21=""),"",SUM($BJ15:BK15))</f>
        <v>17.2</v>
      </c>
      <c r="BL68" s="114">
        <f>IF(OR(BL$13="",BL$17="",BL$14="",BL$15="",BL$16="",BL$18="",BL$19="",BL$20="",BL$21=""),"",SUM($BJ15:BL15))</f>
        <v>40.869999999999997</v>
      </c>
      <c r="BM68" s="114">
        <f>IF(OR(BM$13="",BM$17="",BM$14="",BM$15="",BM$16="",BM$18="",BM$19="",BM$20="",BM$21=""),"",SUM($BJ15:BM15))</f>
        <v>40.869999999999997</v>
      </c>
      <c r="BN68" s="114">
        <f>IF(OR(BN$13="",BN$17="",BN$14="",BN$15="",BN$16="",BN$18="",BN$19="",BN$20="",BN$21=""),"",SUM($BJ15:BN15))</f>
        <v>40.869999999999997</v>
      </c>
      <c r="BO68" s="114">
        <f>IF(OR(BO$13="",BO$17="",BO$14="",BO$15="",BO$16="",BO$18="",BO$19="",BO$20="",BO$21=""),"",SUM($BJ15:BO15))</f>
        <v>42.019999999999996</v>
      </c>
      <c r="BP68" s="114">
        <f>IF(OR(BP$13="",BP$17="",BP$14="",BP$15="",BP$16="",BP$18="",BP$19="",BP$20="",BP$21=""),"",SUM($BJ15:BP15))</f>
        <v>44.339999999999996</v>
      </c>
      <c r="BQ68" s="114">
        <f>IF(OR(BQ$13="",BQ$17="",BQ$14="",BQ$15="",BQ$16="",BQ$18="",BQ$19="",BQ$20="",BQ$21=""),"",SUM($BJ15:BQ15))</f>
        <v>47.61</v>
      </c>
      <c r="BR68" s="114">
        <f>IF(OR(BR$13="",BR$17="",BR$14="",BR$15="",BR$16="",BR$18="",BR$19="",BR$20="",BR$21=""),"",SUM($BJ15:BR15))</f>
        <v>58.84</v>
      </c>
      <c r="BS68" s="114">
        <f>IF(OR(BS$13="",BS$17="",BS$14="",BS$15="",BS$16="",BS$18="",BS$19="",BS$20="",BS$21=""),"",SUM($BJ15:BS15))</f>
        <v>64.55</v>
      </c>
      <c r="BT68" s="114">
        <f>IF(OR(BT$13="",BT$17="",BT$14="",BT$15="",BT$16="",BT$18="",BT$19="",BT$20="",BT$21=""),"",SUM($BJ15:BT15))</f>
        <v>68.7</v>
      </c>
      <c r="BU68" s="114">
        <f>IF(OR(BU$13="",BU$17="",BU$14="",BU$15="",BU$16="",BU$18="",BU$19="",BU$20="",BU$21=""),"",SUM($BJ15:BU15))</f>
        <v>72.52000000000001</v>
      </c>
      <c r="BV68" s="114">
        <f>IF(OR(BV$13="",BV$17="",BV$14="",BV$15="",BV$16="",BV$18="",BV$19="",BV$20="",BV$21=""),"",SUM($BJ15:BV15))</f>
        <v>80.930000000000007</v>
      </c>
      <c r="BW68" s="114">
        <f>IF(OR(BW$13="",BW$17="",BW$14="",BW$15="",BW$16="",BW$18="",BW$19="",BW$20="",BW$21=""),"",SUM($BJ15:BW15))</f>
        <v>91.960000000000008</v>
      </c>
      <c r="BX68" s="114">
        <f>IF(OR(BX$13="",BX$17="",BX$14="",BX$15="",BX$16="",BX$18="",BX$19="",BX$20="",BX$21=""),"",SUM($BJ15:BX15))</f>
        <v>91.960000000000008</v>
      </c>
      <c r="BY68" s="114">
        <f>IF(OR(BY$13="",BY$17="",BY$14="",BY$15="",BY$16="",BY$18="",BY$19="",BY$20="",BY$21=""),"",SUM($BJ15:BY15))</f>
        <v>91.960000000000008</v>
      </c>
      <c r="BZ68" s="114">
        <f>IF(OR(BZ$13="",BZ$17="",BZ$14="",BZ$15="",BZ$16="",BZ$18="",BZ$19="",BZ$20="",BZ$21=""),"",SUM($BJ15:BZ15))</f>
        <v>91.960000000000008</v>
      </c>
      <c r="CA68" s="114">
        <f>IF(OR(CA$13="",CA$17="",CA$14="",CA$15="",CA$16="",CA$18="",CA$19="",CA$20="",CA$21=""),"",SUM($BJ15:CA15))</f>
        <v>104.84</v>
      </c>
      <c r="CB68" s="114">
        <f>IF(OR(CB$13="",CB$17="",CB$14="",CB$15="",CB$16="",CB$18="",CB$19="",CB$20="",CB$21=""),"",SUM($BJ15:CB15))</f>
        <v>110.71000000000001</v>
      </c>
      <c r="CC68" s="114">
        <f>IF(OR(CC$13="",CC$17="",CC$14="",CC$15="",CC$16="",CC$18="",CC$19="",CC$20="",CC$21=""),"",SUM($BJ15:CC15))</f>
        <v>134.64000000000001</v>
      </c>
      <c r="CD68" s="114">
        <f>IF(OR(CD$13="",CD$17="",CD$14="",CD$15="",CD$16="",CD$18="",CD$19="",CD$20="",CD$21=""),"",SUM($BJ15:CD15))</f>
        <v>134.64000000000001</v>
      </c>
      <c r="CE68" s="114">
        <f>IF(OR(CE$13="",CE$17="",CE$14="",CE$15="",CE$16="",CE$18="",CE$19="",CE$20="",CE$21=""),"",SUM($BJ15:CE15))</f>
        <v>134.64000000000001</v>
      </c>
      <c r="CF68" s="114">
        <f>IF(OR(CF$13="",CF$17="",CF$14="",CF$15="",CF$16="",CF$18="",CF$19="",CF$20="",CF$21=""),"",SUM($BJ15:CF15))</f>
        <v>137.70000000000002</v>
      </c>
      <c r="CG68" s="114">
        <f>IF(OR(CG$13="",CG$17="",CG$14="",CG$15="",CG$16="",CG$18="",CG$19="",CG$20="",CG$21=""),"",SUM($BJ15:CG15))</f>
        <v>137.70000000000002</v>
      </c>
      <c r="CH68" s="114">
        <f>IF(OR(CH$13="",CH$17="",CH$14="",CH$15="",CH$16="",CH$18="",CH$19="",CH$20="",CH$21=""),"",SUM($BJ15:CH15))</f>
        <v>137.70000000000002</v>
      </c>
      <c r="CI68" s="114">
        <f>IF(OR(CI$13="",CI$17="",CI$14="",CI$15="",CI$16="",CI$18="",CI$19="",CI$20="",CI$21=""),"",SUM($BJ15:CI15))</f>
        <v>138.72000000000003</v>
      </c>
      <c r="CJ68" s="114">
        <f>IF(OR(CJ$13="",CJ$17="",CJ$14="",CJ$15="",CJ$16="",CJ$18="",CJ$19="",CJ$20="",CJ$21=""),"",SUM($BJ15:CJ15))</f>
        <v>147.78000000000003</v>
      </c>
      <c r="CK68" s="114">
        <f>IF(OR(CK$13="",CK$17="",CK$14="",CK$15="",CK$16="",CK$18="",CK$19="",CK$20="",CK$21=""),"",SUM($BJ15:CK15))</f>
        <v>147.78000000000003</v>
      </c>
      <c r="CL68" s="114">
        <f>IF(OR(CL$13="",CL$17="",CL$14="",CL$15="",CL$16="",CL$18="",CL$19="",CL$20="",CL$21=""),"",SUM($BJ15:CL15))</f>
        <v>147.78000000000003</v>
      </c>
      <c r="CM68" s="114">
        <f>IF(OR(CM$13="",CM$17="",CM$14="",CM$15="",CM$16="",CM$18="",CM$19="",CM$20="",CM$21=""),"",SUM($BJ15:CM15))</f>
        <v>155.60000000000002</v>
      </c>
      <c r="CN68" s="114">
        <f>IF(OR(CN$13="",CN$17="",CN$14="",CN$15="",CN$16="",CN$18="",CN$19="",CN$20="",CN$21=""),"",SUM($BJ15:CN15))</f>
        <v>155.60000000000002</v>
      </c>
      <c r="CO68" s="114">
        <f>IF(OR(CO$13="",CO$17="",CO$14="",CO$15="",CO$16="",CO$18="",CO$19="",CO$20="",CO$21=""),"",SUM($CO15:CO15))</f>
        <v>6.0299999999999994</v>
      </c>
      <c r="CP68" s="114">
        <f>IF(OR(CP$13="",CP$17="",CP$14="",CP$15="",CP$16="",CP$18="",CP$19="",CP$20="",CP$21=""),"",SUM($CO15:CP15))</f>
        <v>10.77</v>
      </c>
      <c r="CQ68" s="114">
        <f>IF(OR(CQ$13="",CQ$17="",CQ$14="",CQ$15="",CQ$16="",CQ$18="",CQ$19="",CQ$20="",CQ$21=""),"",SUM($CO15:CQ15))</f>
        <v>27.32</v>
      </c>
      <c r="CR68" s="114">
        <f>IF(OR(CR$13="",CR$17="",CR$14="",CR$15="",CR$16="",CR$18="",CR$19="",CR$20="",CR$21=""),"",SUM($CO15:CR15))</f>
        <v>60.300000000000004</v>
      </c>
      <c r="CS68" s="114">
        <f>IF(OR(CS$13="",CS$17="",CS$14="",CS$15="",CS$16="",CS$18="",CS$19="",CS$20="",CS$21=""),"",SUM($CO15:CS15))</f>
        <v>60.300000000000004</v>
      </c>
      <c r="CT68" s="114">
        <f>IF(OR(CT$13="",CT$17="",CT$14="",CT$15="",CT$16="",CT$18="",CT$19="",CT$20="",CT$21=""),"",SUM($CO15:CT15))</f>
        <v>60.300000000000004</v>
      </c>
      <c r="CU68" s="114">
        <f>IF(OR(CU$13="",CU$17="",CU$14="",CU$15="",CU$16="",CU$18="",CU$19="",CU$20="",CU$21=""),"",SUM($CO15:CU15))</f>
        <v>62.45</v>
      </c>
      <c r="CV68" s="114">
        <f>IF(OR(CV$13="",CV$17="",CV$14="",CV$15="",CV$16="",CV$18="",CV$19="",CV$20="",CV$21=""),"",SUM($CO15:CV15))</f>
        <v>62.45</v>
      </c>
      <c r="CW68" s="114">
        <f>IF(OR(CW$13="",CW$17="",CW$14="",CW$15="",CW$16="",CW$18="",CW$19="",CW$20="",CW$21=""),"",SUM($CO15:CW15))</f>
        <v>62.45</v>
      </c>
      <c r="CX68" s="114">
        <f>IF(OR(CX$13="",CX$17="",CX$14="",CX$15="",CX$16="",CX$18="",CX$19="",CX$20="",CX$21=""),"",SUM($CO15:CX15))</f>
        <v>62.45</v>
      </c>
      <c r="CY68" s="114">
        <f>IF(OR(CY$13="",CY$17="",CY$14="",CY$15="",CY$16="",CY$18="",CY$19="",CY$20="",CY$21=""),"",SUM($CO15:CY15))</f>
        <v>63.32</v>
      </c>
      <c r="CZ68" s="114">
        <f>IF(OR(CZ$13="",CZ$17="",CZ$14="",CZ$15="",CZ$16="",CZ$18="",CZ$19="",CZ$20="",CZ$21=""),"",SUM($CO15:CZ15))</f>
        <v>63.32</v>
      </c>
      <c r="DA68" s="114">
        <f>IF(OR(DA$13="",DA$17="",DA$14="",DA$15="",DA$16="",DA$18="",DA$19="",DA$20="",DA$21=""),"",SUM($CO15:DA15))</f>
        <v>68.52</v>
      </c>
      <c r="DB68" s="114">
        <f>IF(OR(DB$13="",DB$17="",DB$14="",DB$15="",DB$16="",DB$18="",DB$19="",DB$20="",DB$21=""),"",SUM($CO15:DB15))</f>
        <v>70.7</v>
      </c>
      <c r="DC68" s="114">
        <f>IF(OR(DC$13="",DC$17="",DC$14="",DC$15="",DC$16="",DC$18="",DC$19="",DC$20="",DC$21=""),"",SUM($CO15:DC15))</f>
        <v>70.7</v>
      </c>
      <c r="DD68" s="114">
        <f>IF(OR(DD$13="",DD$17="",DD$14="",DD$15="",DD$16="",DD$18="",DD$19="",DD$20="",DD$21=""),"",SUM($CO15:DD15))</f>
        <v>82.58</v>
      </c>
      <c r="DE68" s="114">
        <f>IF(OR(DE$13="",DE$17="",DE$14="",DE$15="",DE$16="",DE$18="",DE$19="",DE$20="",DE$21=""),"",SUM($CO15:DE15))</f>
        <v>85.22</v>
      </c>
      <c r="DF68" s="114">
        <f>IF(OR(DF$13="",DF$17="",DF$14="",DF$15="",DF$16="",DF$18="",DF$19="",DF$20="",DF$21=""),"",SUM($CO15:DF15))</f>
        <v>85.22</v>
      </c>
      <c r="DG68" s="114">
        <f>IF(OR(DG$13="",DG$17="",DG$14="",DG$15="",DG$16="",DG$18="",DG$19="",DG$20="",DG$21=""),"",SUM($CO15:DG15))</f>
        <v>88.65</v>
      </c>
      <c r="DH68" s="114">
        <f>IF(OR(DH$13="",DH$17="",DH$14="",DH$15="",DH$16="",DH$18="",DH$19="",DH$20="",DH$21=""),"",SUM($CO15:DH15))</f>
        <v>102.25</v>
      </c>
      <c r="DI68" s="114">
        <f>IF(OR(DI$13="",DI$17="",DI$14="",DI$15="",DI$16="",DI$18="",DI$19="",DI$20="",DI$21=""),"",SUM($CO15:DI15))</f>
        <v>102.25</v>
      </c>
      <c r="DJ68" s="114">
        <f>IF(OR(DJ$13="",DJ$17="",DJ$14="",DJ$15="",DJ$16="",DJ$18="",DJ$19="",DJ$20="",DJ$21=""),"",SUM($CO15:DJ15))</f>
        <v>102.25</v>
      </c>
      <c r="DK68" s="114">
        <f>IF(OR(DK$13="",DK$17="",DK$14="",DK$15="",DK$16="",DK$18="",DK$19="",DK$20="",DK$21=""),"",SUM($CO15:DK15))</f>
        <v>102.25</v>
      </c>
      <c r="DL68" s="114">
        <f>IF(OR(DL$13="",DL$17="",DL$14="",DL$15="",DL$16="",DL$18="",DL$19="",DL$20="",DL$21=""),"",SUM($CO15:DL15))</f>
        <v>102.25</v>
      </c>
      <c r="DM68" s="114">
        <f>IF(OR(DM$13="",DM$17="",DM$14="",DM$15="",DM$16="",DM$18="",DM$19="",DM$20="",DM$21=""),"",SUM($CO15:DM15))</f>
        <v>102.25</v>
      </c>
      <c r="DN68" s="114">
        <f>IF(OR(DN$13="",DN$17="",DN$14="",DN$15="",DN$16="",DN$18="",DN$19="",DN$20="",DN$21=""),"",SUM($CO15:DN15))</f>
        <v>102.25</v>
      </c>
      <c r="DO68" s="114">
        <f>IF(OR(DO$13="",DO$17="",DO$14="",DO$15="",DO$16="",DO$18="",DO$19="",DO$20="",DO$21=""),"",SUM($CO15:DO15))</f>
        <v>102.25</v>
      </c>
      <c r="DP68" s="114">
        <f>IF(OR(DP$13="",DP$17="",DP$14="",DP$15="",DP$16="",DP$18="",DP$19="",DP$20="",DP$21=""),"",SUM($CO15:DP15))</f>
        <v>102.25</v>
      </c>
      <c r="DQ68" s="114">
        <f>IF(OR(DQ$13="",DQ$17="",DQ$14="",DQ$15="",DQ$16="",DQ$18="",DQ$19="",DQ$20="",DQ$21=""),"",SUM($CO15:DQ15))</f>
        <v>102.25</v>
      </c>
      <c r="DR68" s="114">
        <f>IF(OR(DR$13="",DR$17="",DR$14="",DR$15="",DR$16="",DR$18="",DR$19="",DR$20="",DR$21=""),"",SUM($CO15:DR15))</f>
        <v>102.25</v>
      </c>
      <c r="DS68" s="114">
        <f>IF(OR(DS$13="",DS$17="",DS$14="",DS$15="",DS$16="",DS$18="",DS$19="",DS$20="",DS$21=""),"",SUM($DS15:DS15))</f>
        <v>0</v>
      </c>
      <c r="DT68" s="114">
        <f>IF(OR(DT$13="",DT$17="",DT$14="",DT$15="",DT$16="",DT$18="",DT$19="",DT$20="",DT$21=""),"",SUM($DS15:DT15))</f>
        <v>0</v>
      </c>
      <c r="DU68" s="114">
        <f>IF(OR(DU$13="",DU$17="",DU$14="",DU$15="",DU$16="",DU$18="",DU$19="",DU$20="",DU$21=""),"",SUM($DS15:DU15))</f>
        <v>9.2200000000000006</v>
      </c>
      <c r="DV68" s="114">
        <f>IF(OR(DV$13="",DV$17="",DV$14="",DV$15="",DV$16="",DV$18="",DV$19="",DV$20="",DV$21=""),"",SUM($DS15:DV15))</f>
        <v>9.2200000000000006</v>
      </c>
      <c r="DW68" s="114">
        <f>IF(OR(DW$13="",DW$17="",DW$14="",DW$15="",DW$16="",DW$18="",DW$19="",DW$20="",DW$21=""),"",SUM($DS15:DW15))</f>
        <v>9.2200000000000006</v>
      </c>
      <c r="DX68" s="114">
        <f>IF(OR(DX$13="",DX$17="",DX$14="",DX$15="",DX$16="",DX$18="",DX$19="",DX$20="",DX$21=""),"",SUM($DS15:DX15))</f>
        <v>9.2200000000000006</v>
      </c>
      <c r="DY68" s="114">
        <f>IF(OR(DY$13="",DY$17="",DY$14="",DY$15="",DY$16="",DY$18="",DY$19="",DY$20="",DY$21=""),"",SUM($DS15:DY15))</f>
        <v>9.2200000000000006</v>
      </c>
      <c r="DZ68" s="114">
        <f>IF(OR(DZ$13="",DZ$17="",DZ$14="",DZ$15="",DZ$16="",DZ$18="",DZ$19="",DZ$20="",DZ$21=""),"",SUM($DS15:DZ15))</f>
        <v>9.2200000000000006</v>
      </c>
      <c r="EA68" s="114">
        <f>IF(OR(EA$13="",EA$17="",EA$14="",EA$15="",EA$16="",EA$18="",EA$19="",EA$20="",EA$21=""),"",SUM($DS15:EA15))</f>
        <v>9.2200000000000006</v>
      </c>
      <c r="EB68" s="114">
        <f>IF(OR(EB$13="",EB$17="",EB$14="",EB$15="",EB$16="",EB$18="",EB$19="",EB$20="",EB$21=""),"",SUM($DS15:EB15))</f>
        <v>9.2200000000000006</v>
      </c>
      <c r="EC68" s="114">
        <f>IF(OR(EC$13="",EC$17="",EC$14="",EC$15="",EC$16="",EC$18="",EC$19="",EC$20="",EC$21=""),"",SUM($DS15:EC15))</f>
        <v>9.2200000000000006</v>
      </c>
      <c r="ED68" s="114">
        <f>IF(OR(ED$13="",ED$17="",ED$14="",ED$15="",ED$16="",ED$18="",ED$19="",ED$20="",ED$21=""),"",SUM($DS15:ED15))</f>
        <v>9.2200000000000006</v>
      </c>
      <c r="EE68" s="114">
        <f>IF(OR(EE$13="",EE$17="",EE$14="",EE$15="",EE$16="",EE$18="",EE$19="",EE$20="",EE$21=""),"",SUM($DS15:EE15))</f>
        <v>9.2200000000000006</v>
      </c>
      <c r="EF68" s="114">
        <f>IF(OR(EF$13="",EF$17="",EF$14="",EF$15="",EF$16="",EF$18="",EF$19="",EF$20="",EF$21=""),"",SUM($DS15:EF15))</f>
        <v>9.2200000000000006</v>
      </c>
      <c r="EG68" s="114">
        <f>IF(OR(EG$13="",EG$17="",EG$14="",EG$15="",EG$16="",EG$18="",EG$19="",EG$20="",EG$21=""),"",SUM($DS15:EG15))</f>
        <v>41.04</v>
      </c>
      <c r="EH68" s="114">
        <f>IF(OR(EH$13="",EH$17="",EH$14="",EH$15="",EH$16="",EH$18="",EH$19="",EH$20="",EH$21=""),"",SUM($DS15:EH15))</f>
        <v>41.04</v>
      </c>
      <c r="EI68" s="114">
        <f>IF(OR(EI$13="",EI$17="",EI$14="",EI$15="",EI$16="",EI$18="",EI$19="",EI$20="",EI$21=""),"",SUM($DS15:EI15))</f>
        <v>41.04</v>
      </c>
      <c r="EJ68" s="114">
        <f>IF(OR(EJ$13="",EJ$17="",EJ$14="",EJ$15="",EJ$16="",EJ$18="",EJ$19="",EJ$20="",EJ$21=""),"",SUM($DS15:EJ15))</f>
        <v>41.04</v>
      </c>
      <c r="EK68" s="114">
        <f>IF(OR(EK$13="",EK$17="",EK$14="",EK$15="",EK$16="",EK$18="",EK$19="",EK$20="",EK$21=""),"",SUM($DS15:EK15))</f>
        <v>41.04</v>
      </c>
      <c r="EL68" s="114">
        <f>IF(OR(EL$13="",EL$17="",EL$14="",EL$15="",EL$16="",EL$18="",EL$19="",EL$20="",EL$21=""),"",SUM($DS15:EL15))</f>
        <v>47.21</v>
      </c>
      <c r="EM68" s="114">
        <f>IF(OR(EM$13="",EM$17="",EM$14="",EM$15="",EM$16="",EM$18="",EM$19="",EM$20="",EM$21=""),"",SUM($DS15:EM15))</f>
        <v>47.21</v>
      </c>
      <c r="EN68" s="114">
        <f>IF(OR(EN$13="",EN$17="",EN$14="",EN$15="",EN$16="",EN$18="",EN$19="",EN$20="",EN$21=""),"",SUM($DS15:EN15))</f>
        <v>49.31</v>
      </c>
      <c r="EO68" s="114">
        <f>IF(OR(EO$13="",EO$17="",EO$14="",EO$15="",EO$16="",EO$18="",EO$19="",EO$20="",EO$21=""),"",SUM($DS15:EO15))</f>
        <v>73.31</v>
      </c>
      <c r="EP68" s="114">
        <f>IF(OR(EP$13="",EP$17="",EP$14="",EP$15="",EP$16="",EP$18="",EP$19="",EP$20="",EP$21=""),"",SUM($DS15:EP15))</f>
        <v>93.31</v>
      </c>
      <c r="EQ68" s="114">
        <f>IF(OR(EQ$13="",EQ$17="",EQ$14="",EQ$15="",EQ$16="",EQ$18="",EQ$19="",EQ$20="",EQ$21=""),"",SUM($DS15:EQ15))</f>
        <v>93.31</v>
      </c>
      <c r="ER68" s="114">
        <f>IF(OR(ER$13="",ER$17="",ER$14="",ER$15="",ER$16="",ER$18="",ER$19="",ER$20="",ER$21=""),"",SUM($DS15:ER15))</f>
        <v>93.31</v>
      </c>
      <c r="ES68" s="114">
        <f>IF(OR(ES$13="",ES$17="",ES$14="",ES$15="",ES$16="",ES$18="",ES$19="",ES$20="",ES$21=""),"",SUM($DS15:ES15))</f>
        <v>98.61</v>
      </c>
      <c r="ET68" s="114">
        <f>IF(OR(ET$13="",ET$17="",ET$14="",ET$15="",ET$16="",ET$18="",ET$19="",ET$20="",ET$21=""),"",SUM($DS15:ET15))</f>
        <v>100.11</v>
      </c>
      <c r="EU68" s="114">
        <f>IF(OR(EU$13="",EU$17="",EU$14="",EU$15="",EU$16="",EU$18="",EU$19="",EU$20="",EU$21=""),"",SUM($DS15:EU15))</f>
        <v>100.11</v>
      </c>
      <c r="EV68" s="114">
        <f>IF(OR(EV$13="",EV$17="",EV$14="",EV$15="",EV$16="",EV$18="",EV$19="",EV$20="",EV$21=""),"",SUM($DS15:EV15))</f>
        <v>100.11</v>
      </c>
      <c r="EW68" s="114">
        <f>IF(OR(EW$13="",EW$17="",EW$14="",EW$15="",EW$16="",EW$18="",EW$19="",EW$20="",EW$21=""),"",SUM($DS15:EW15))</f>
        <v>100.11</v>
      </c>
      <c r="EX68" s="114">
        <f>IF(OR(EX$13="",EX$17="",EX$14="",EX$15="",EX$16="",EX$18="",EX$19="",EX$20="",EX$21=""),"",SUM($EX15:EX15))</f>
        <v>0</v>
      </c>
      <c r="EY68" s="114">
        <f>IF(OR(EY$13="",EY$17="",EY$14="",EY$15="",EY$16="",EY$18="",EY$19="",EY$20="",EY$21=""),"",SUM($EX15:EY15))</f>
        <v>0</v>
      </c>
      <c r="EZ68" s="114">
        <f>IF(OR(EZ$13="",EZ$17="",EZ$14="",EZ$15="",EZ$16="",EZ$18="",EZ$19="",EZ$20="",EZ$21=""),"",SUM($EX15:EZ15))</f>
        <v>0</v>
      </c>
      <c r="FA68" s="114">
        <f>IF(OR(FA$13="",FA$17="",FA$14="",FA$15="",FA$16="",FA$18="",FA$19="",FA$20="",FA$21=""),"",SUM($EX15:FA15))</f>
        <v>0</v>
      </c>
      <c r="FB68" s="114">
        <f>IF(OR(FB$13="",FB$17="",FB$14="",FB$15="",FB$16="",FB$18="",FB$19="",FB$20="",FB$21=""),"",SUM($EX15:FB15))</f>
        <v>0</v>
      </c>
      <c r="FC68" s="114">
        <f>IF(OR(FC$13="",FC$17="",FC$14="",FC$15="",FC$16="",FC$18="",FC$19="",FC$20="",FC$21=""),"",SUM($EX15:FC15))</f>
        <v>0</v>
      </c>
      <c r="FD68" s="114">
        <f>IF(OR(FD$13="",FD$17="",FD$14="",FD$15="",FD$16="",FD$18="",FD$19="",FD$20="",FD$21=""),"",SUM($EX15:FD15))</f>
        <v>0</v>
      </c>
      <c r="FE68" s="114">
        <f>IF(OR(FE$13="",FE$17="",FE$14="",FE$15="",FE$16="",FE$18="",FE$19="",FE$20="",FE$21=""),"",SUM($EX15:FE15))</f>
        <v>0.03</v>
      </c>
      <c r="FF68" s="114">
        <f>IF(OR(FF$13="",FF$17="",FF$14="",FF$15="",FF$16="",FF$18="",FF$19="",FF$20="",FF$21=""),"",SUM($EX15:FF15))</f>
        <v>0.03</v>
      </c>
      <c r="FG68" s="114">
        <f>IF(OR(FG$13="",FG$17="",FG$14="",FG$15="",FG$16="",FG$18="",FG$19="",FG$20="",FG$21=""),"",SUM($EX15:FG15))</f>
        <v>13.11</v>
      </c>
      <c r="FH68" s="114">
        <f>IF(OR(FH$13="",FH$17="",FH$14="",FH$15="",FH$16="",FH$18="",FH$19="",FH$20="",FH$21=""),"",SUM($EX15:FH15))</f>
        <v>13.11</v>
      </c>
      <c r="FI68" s="114">
        <f>IF(OR(FI$13="",FI$17="",FI$14="",FI$15="",FI$16="",FI$18="",FI$19="",FI$20="",FI$21=""),"",SUM($EX15:FI15))</f>
        <v>13.379999999999999</v>
      </c>
      <c r="FJ68" s="114">
        <f>IF(OR(FJ$13="",FJ$17="",FJ$14="",FJ$15="",FJ$16="",FJ$18="",FJ$19="",FJ$20="",FJ$21=""),"",SUM($EX15:FJ15))</f>
        <v>13.379999999999999</v>
      </c>
      <c r="FK68" s="114">
        <f>IF(OR(FK$13="",FK$17="",FK$14="",FK$15="",FK$16="",FK$18="",FK$19="",FK$20="",FK$21=""),"",SUM($EX15:FK15))</f>
        <v>13.379999999999999</v>
      </c>
      <c r="FL68" s="114">
        <f>IF(OR(FL$13="",FL$17="",FL$14="",FL$15="",FL$16="",FL$18="",FL$19="",FL$20="",FL$21=""),"",SUM($EX15:FL15))</f>
        <v>16.579999999999998</v>
      </c>
      <c r="FM68" s="114">
        <f>IF(OR(FM$13="",FM$17="",FM$14="",FM$15="",FM$16="",FM$18="",FM$19="",FM$20="",FM$21=""),"",SUM($EX15:FM15))</f>
        <v>16.579999999999998</v>
      </c>
      <c r="FN68" s="114">
        <f>IF(OR(FN$13="",FN$17="",FN$14="",FN$15="",FN$16="",FN$18="",FN$19="",FN$20="",FN$21=""),"",SUM($EX15:FN15))</f>
        <v>16.579999999999998</v>
      </c>
      <c r="FO68" s="114">
        <f>IF(OR(FO$13="",FO$17="",FO$14="",FO$15="",FO$16="",FO$18="",FO$19="",FO$20="",FO$21=""),"",SUM($EX15:FO15))</f>
        <v>16.579999999999998</v>
      </c>
      <c r="FP68" s="114">
        <f>IF(OR(FP$13="",FP$17="",FP$14="",FP$15="",FP$16="",FP$18="",FP$19="",FP$20="",FP$21=""),"",SUM($EX15:FP15))</f>
        <v>16.579999999999998</v>
      </c>
      <c r="FQ68" s="114">
        <f>IF(OR(FQ$13="",FQ$17="",FQ$14="",FQ$15="",FQ$16="",FQ$18="",FQ$19="",FQ$20="",FQ$21=""),"",SUM($EX15:FQ15))</f>
        <v>16.579999999999998</v>
      </c>
      <c r="FR68" s="114">
        <f>IF(OR(FR$13="",FR$17="",FR$14="",FR$15="",FR$16="",FR$18="",FR$19="",FR$20="",FR$21=""),"",SUM($EX15:FR15))</f>
        <v>18.7</v>
      </c>
      <c r="FS68" s="114">
        <f>IF(OR(FS$13="",FS$17="",FS$14="",FS$15="",FS$16="",FS$18="",FS$19="",FS$20="",FS$21=""),"",SUM($EX15:FS15))</f>
        <v>18.7</v>
      </c>
      <c r="FT68" s="114">
        <f>IF(OR(FT$13="",FT$17="",FT$14="",FT$15="",FT$16="",FT$18="",FT$19="",FT$20="",FT$21=""),"",SUM($EX15:FT15))</f>
        <v>18.7</v>
      </c>
      <c r="FU68" s="114">
        <f>IF(OR(FU$13="",FU$17="",FU$14="",FU$15="",FU$16="",FU$18="",FU$19="",FU$20="",FU$21=""),"",SUM($EX15:FU15))</f>
        <v>25.869999999999997</v>
      </c>
      <c r="FV68" s="114">
        <f>IF(OR(FV$13="",FV$17="",FV$14="",FV$15="",FV$16="",FV$18="",FV$19="",FV$20="",FV$21=""),"",SUM($EX15:FV15))</f>
        <v>35.449999999999996</v>
      </c>
      <c r="FW68" s="114">
        <f>IF(OR(FW$13="",FW$17="",FW$14="",FW$15="",FW$16="",FW$18="",FW$19="",FW$20="",FW$21=""),"",SUM($EX15:FW15))</f>
        <v>41.33</v>
      </c>
      <c r="FX68" s="114">
        <f>IF(OR(FX$13="",FX$17="",FX$14="",FX$15="",FX$16="",FX$18="",FX$19="",FX$20="",FX$21=""),"",SUM($EX15:FX15))</f>
        <v>41.33</v>
      </c>
      <c r="FY68" s="114">
        <f>IF(OR(FY$13="",FY$17="",FY$14="",FY$15="",FY$16="",FY$18="",FY$19="",FY$20="",FY$21=""),"",SUM($EX15:FY15))</f>
        <v>41.33</v>
      </c>
      <c r="FZ68" s="114">
        <f>IF(OR(FZ$13="",FZ$17="",FZ$14="",FZ$15="",FZ$16="",FZ$18="",FZ$19="",FZ$20="",FZ$21=""),"",SUM($EX15:FZ15))</f>
        <v>41.33</v>
      </c>
      <c r="GA68" s="114">
        <f>IF(OR(GA$13="",GA$17="",GA$14="",GA$15="",GA$16="",GA$18="",GA$19="",GA$20="",GA$21=""),"",SUM($EX15:GA15))</f>
        <v>42.629999999999995</v>
      </c>
      <c r="GB68" s="114">
        <f>IF(OR(GB$13="",GB$17="",GB$14="",GB$15="",GB$16="",GB$18="",GB$19="",GB$20="",GB$21=""),"",SUM($GB15:GB15))</f>
        <v>0</v>
      </c>
      <c r="GC68" s="114">
        <f>IF(OR(GC$13="",GC$17="",GC$14="",GC$15="",GC$16="",GC$18="",GC$19="",GC$20="",GC$21=""),"",SUM($GB15:GC15))</f>
        <v>0</v>
      </c>
      <c r="GD68" s="114">
        <f>IF(OR(GD$13="",GD$17="",GD$14="",GD$15="",GD$16="",GD$18="",GD$19="",GD$20="",GD$21=""),"",SUM($GB15:GD15))</f>
        <v>0</v>
      </c>
      <c r="GE68" s="114">
        <f>IF(OR(GE$13="",GE$17="",GE$14="",GE$15="",GE$16="",GE$18="",GE$19="",GE$20="",GE$21=""),"",SUM($GB15:GE15))</f>
        <v>0</v>
      </c>
      <c r="GF68" s="114">
        <f>IF(OR(GF$13="",GF$17="",GF$14="",GF$15="",GF$16="",GF$18="",GF$19="",GF$20="",GF$21=""),"",SUM($GB15:GF15))</f>
        <v>3.02</v>
      </c>
      <c r="GG68" s="114">
        <f>IF(OR(GG$13="",GG$17="",GG$14="",GG$15="",GG$16="",GG$18="",GG$19="",GG$20="",GG$21=""),"",SUM($GB15:GG15))</f>
        <v>3.02</v>
      </c>
      <c r="GH68" s="114">
        <f>IF(OR(GH$13="",GH$17="",GH$14="",GH$15="",GH$16="",GH$18="",GH$19="",GH$20="",GH$21=""),"",SUM($GB15:GH15))</f>
        <v>3.02</v>
      </c>
      <c r="GI68" s="114">
        <f>IF(OR(GI$13="",GI$17="",GI$14="",GI$15="",GI$16="",GI$18="",GI$19="",GI$20="",GI$21=""),"",SUM($GB15:GI15))</f>
        <v>9.44</v>
      </c>
      <c r="GJ68" s="114">
        <f>IF(OR(GJ$13="",GJ$17="",GJ$14="",GJ$15="",GJ$16="",GJ$18="",GJ$19="",GJ$20="",GJ$21=""),"",SUM($GB15:GJ15))</f>
        <v>15.459999999999999</v>
      </c>
      <c r="GK68" s="114">
        <f>IF(OR(GK$13="",GK$17="",GK$14="",GK$15="",GK$16="",GK$18="",GK$19="",GK$20="",GK$21=""),"",SUM($GB15:GK15))</f>
        <v>15.459999999999999</v>
      </c>
      <c r="GL68" s="114">
        <f>IF(OR(GL$13="",GL$17="",GL$14="",GL$15="",GL$16="",GL$18="",GL$19="",GL$20="",GL$21=""),"",SUM($GB15:GL15))</f>
        <v>206.34</v>
      </c>
      <c r="GM68" s="114">
        <f>IF(OR(GM$13="",GM$17="",GM$14="",GM$15="",GM$16="",GM$18="",GM$19="",GM$20="",GM$21=""),"",SUM($GB15:GM15))</f>
        <v>206.34</v>
      </c>
      <c r="GN68" s="114">
        <f>IF(OR(GN$13="",GN$17="",GN$14="",GN$15="",GN$16="",GN$18="",GN$19="",GN$20="",GN$21=""),"",SUM($GB15:GN15))</f>
        <v>206.34</v>
      </c>
      <c r="GO68" s="114">
        <f>IF(OR(GO$13="",GO$17="",GO$14="",GO$15="",GO$16="",GO$18="",GO$19="",GO$20="",GO$21=""),"",SUM($GB15:GO15))</f>
        <v>206.34</v>
      </c>
      <c r="GP68" s="114">
        <f>IF(OR(GP$13="",GP$17="",GP$14="",GP$15="",GP$16="",GP$18="",GP$19="",GP$20="",GP$21=""),"",SUM($GB15:GP15))</f>
        <v>206.34</v>
      </c>
      <c r="GQ68" s="114">
        <f>IF(OR(GQ$13="",GQ$17="",GQ$14="",GQ$15="",GQ$16="",GQ$18="",GQ$19="",GQ$20="",GQ$21=""),"",SUM($GB15:GQ15))</f>
        <v>206.34</v>
      </c>
      <c r="GR68" s="114">
        <f>IF(OR(GR$13="",GR$17="",GR$14="",GR$15="",GR$16="",GR$18="",GR$19="",GR$20="",GR$21=""),"",SUM($GB15:GR15))</f>
        <v>206.34</v>
      </c>
      <c r="GS68" s="114">
        <f>IF(OR(GS$13="",GS$17="",GS$14="",GS$15="",GS$16="",GS$18="",GS$19="",GS$20="",GS$21=""),"",SUM($GB15:GS15))</f>
        <v>206.34</v>
      </c>
      <c r="GT68" s="114">
        <f>IF(OR(GT$13="",GT$17="",GT$14="",GT$15="",GT$16="",GT$18="",GT$19="",GT$20="",GT$21=""),"",SUM($GB15:GT15))</f>
        <v>206.34</v>
      </c>
      <c r="GU68" s="114">
        <f>IF(OR(GU$13="",GU$17="",GU$14="",GU$15="",GU$16="",GU$18="",GU$19="",GU$20="",GU$21=""),"",SUM($GB15:GU15))</f>
        <v>206.34</v>
      </c>
      <c r="GV68" s="114">
        <f>IF(OR(GV$13="",GV$17="",GV$14="",GV$15="",GV$16="",GV$18="",GV$19="",GV$20="",GV$21=""),"",SUM($GB15:GV15))</f>
        <v>206.34</v>
      </c>
      <c r="GW68" s="114">
        <f>IF(OR(GW$13="",GW$17="",GW$14="",GW$15="",GW$16="",GW$18="",GW$19="",GW$20="",GW$21=""),"",SUM($GB15:GW15))</f>
        <v>211.34</v>
      </c>
      <c r="GX68" s="114">
        <f>IF(OR(GX$13="",GX$17="",GX$14="",GX$15="",GX$16="",GX$18="",GX$19="",GX$20="",GX$21=""),"",SUM($GB15:GX15))</f>
        <v>211.34</v>
      </c>
      <c r="GY68" s="114">
        <f>IF(OR(GY$13="",GY$17="",GY$14="",GY$15="",GY$16="",GY$18="",GY$19="",GY$20="",GY$21=""),"",SUM($GB15:GY15))</f>
        <v>211.34</v>
      </c>
      <c r="GZ68" s="114">
        <f>IF(OR(GZ$13="",GZ$17="",GZ$14="",GZ$15="",GZ$16="",GZ$18="",GZ$19="",GZ$20="",GZ$21=""),"",SUM($GB15:GZ15))</f>
        <v>211.34</v>
      </c>
      <c r="HA68" s="114">
        <f>IF(OR(HA$13="",HA$17="",HA$14="",HA$15="",HA$16="",HA$18="",HA$19="",HA$20="",HA$21=""),"",SUM($GB15:HA15))</f>
        <v>211.34</v>
      </c>
      <c r="HB68" s="114">
        <f>IF(OR(HB$13="",HB$17="",HB$14="",HB$15="",HB$16="",HB$18="",HB$19="",HB$20="",HB$21=""),"",SUM($GB15:HB15))</f>
        <v>211.34</v>
      </c>
      <c r="HC68" s="114">
        <f>IF(OR(HC$13="",HC$17="",HC$14="",HC$15="",HC$16="",HC$18="",HC$19="",HC$20="",HC$21=""),"",SUM($GB15:HC15))</f>
        <v>211.34</v>
      </c>
      <c r="HD68" s="114">
        <f>IF(OR(HD$13="",HD$17="",HD$14="",HD$15="",HD$16="",HD$18="",HD$19="",HD$20="",HD$21=""),"",SUM($GB15:HD15))</f>
        <v>211.34</v>
      </c>
      <c r="HE68" s="114">
        <f>IF(OR(HE$13="",HE$17="",HE$14="",HE$15="",HE$16="",HE$18="",HE$19="",HE$20="",HE$21=""),"",SUM($GB15:HE15))</f>
        <v>211.34</v>
      </c>
      <c r="HF68" s="114">
        <f>IF(OR(HF$13="",HF$17="",HF$14="",HF$15="",HF$16="",HF$18="",HF$19="",HF$20="",HF$21=""),"",SUM($GB15:HF15))</f>
        <v>226.51</v>
      </c>
      <c r="HG68" s="114">
        <f>IF(OR(HG$13="",HG$17="",HG$14="",HG$15="",HG$16="",HG$18="",HG$19="",HG$20="",HG$21=""),"",SUM($HG15:HG15))</f>
        <v>0</v>
      </c>
      <c r="HH68" s="114">
        <f>IF(OR(HH$13="",HH$17="",HH$14="",HH$15="",HH$16="",HH$18="",HH$19="",HH$20="",HH$21=""),"",SUM($HG15:HH15))</f>
        <v>0</v>
      </c>
      <c r="HI68" s="114">
        <f>IF(OR(HI$13="",HI$17="",HI$14="",HI$15="",HI$16="",HI$18="",HI$19="",HI$20="",HI$21=""),"",SUM($HG15:HI15))</f>
        <v>0</v>
      </c>
      <c r="HJ68" s="114">
        <f>IF(OR(HJ$13="",HJ$17="",HJ$14="",HJ$15="",HJ$16="",HJ$18="",HJ$19="",HJ$20="",HJ$21=""),"",SUM($HG15:HJ15))</f>
        <v>0</v>
      </c>
      <c r="HK68" s="114">
        <f>IF(OR(HK$13="",HK$17="",HK$14="",HK$15="",HK$16="",HK$18="",HK$19="",HK$20="",HK$21=""),"",SUM($HG15:HK15))</f>
        <v>0</v>
      </c>
      <c r="HL68" s="114">
        <f>IF(OR(HL$13="",HL$17="",HL$14="",HL$15="",HL$16="",HL$18="",HL$19="",HL$20="",HL$21=""),"",SUM($HG15:HL15))</f>
        <v>0</v>
      </c>
      <c r="HM68" s="114">
        <f>IF(OR(HM$13="",HM$17="",HM$14="",HM$15="",HM$16="",HM$18="",HM$19="",HM$20="",HM$21=""),"",SUM($HG15:HM15))</f>
        <v>0</v>
      </c>
      <c r="HN68" s="114">
        <f>IF(OR(HN$13="",HN$17="",HN$14="",HN$15="",HN$16="",HN$18="",HN$19="",HN$20="",HN$21=""),"",SUM($HG15:HN15))</f>
        <v>0</v>
      </c>
      <c r="HO68" s="114">
        <f>IF(OR(HO$13="",HO$17="",HO$14="",HO$15="",HO$16="",HO$18="",HO$19="",HO$20="",HO$21=""),"",SUM($HG15:HO15))</f>
        <v>0</v>
      </c>
      <c r="HP68" s="114">
        <f>IF(OR(HP$13="",HP$17="",HP$14="",HP$15="",HP$16="",HP$18="",HP$19="",HP$20="",HP$21=""),"",SUM($HG15:HP15))</f>
        <v>0</v>
      </c>
      <c r="HQ68" s="114">
        <f>IF(OR(HQ$13="",HQ$17="",HQ$14="",HQ$15="",HQ$16="",HQ$18="",HQ$19="",HQ$20="",HQ$21=""),"",SUM($HG15:HQ15))</f>
        <v>0</v>
      </c>
      <c r="HR68" s="114">
        <f>IF(OR(HR$13="",HR$17="",HR$14="",HR$15="",HR$16="",HR$18="",HR$19="",HR$20="",HR$21=""),"",SUM($HG15:HR15))</f>
        <v>0</v>
      </c>
      <c r="HS68" s="114">
        <f>IF(OR(HS$13="",HS$17="",HS$14="",HS$15="",HS$16="",HS$18="",HS$19="",HS$20="",HS$21=""),"",SUM($HG15:HS15))</f>
        <v>0</v>
      </c>
      <c r="HT68" s="114">
        <f>IF(OR(HT$13="",HT$17="",HT$14="",HT$15="",HT$16="",HT$18="",HT$19="",HT$20="",HT$21=""),"",SUM($HG15:HT15))</f>
        <v>0</v>
      </c>
      <c r="HU68" s="114">
        <f>IF(OR(HU$13="",HU$17="",HU$14="",HU$15="",HU$16="",HU$18="",HU$19="",HU$20="",HU$21=""),"",SUM($HG15:HU15))</f>
        <v>0</v>
      </c>
      <c r="HV68" s="114">
        <f>IF(OR(HV$13="",HV$17="",HV$14="",HV$15="",HV$16="",HV$18="",HV$19="",HV$20="",HV$21=""),"",SUM($HG15:HV15))</f>
        <v>0</v>
      </c>
      <c r="HW68" s="114">
        <f>IF(OR(HW$13="",HW$17="",HW$14="",HW$15="",HW$16="",HW$18="",HW$19="",HW$20="",HW$21=""),"",SUM($HG15:HW15))</f>
        <v>10.061944444444444</v>
      </c>
      <c r="HX68" s="114">
        <f>IF(OR(HX$13="",HX$17="",HX$14="",HX$15="",HX$16="",HX$18="",HX$19="",HX$20="",HX$21=""),"",SUM($HG15:HX15))</f>
        <v>10.061944444444444</v>
      </c>
      <c r="HY68" s="114">
        <f>IF(OR(HY$13="",HY$17="",HY$14="",HY$15="",HY$16="",HY$18="",HY$19="",HY$20="",HY$21=""),"",SUM($HG15:HY15))</f>
        <v>10.175833333333333</v>
      </c>
      <c r="HZ68" s="114">
        <f>IF(OR(HZ$13="",HZ$17="",HZ$14="",HZ$15="",HZ$16="",HZ$18="",HZ$19="",HZ$20="",HZ$21=""),"",SUM($HG15:HZ15))</f>
        <v>23.197500000000002</v>
      </c>
      <c r="IA68" s="114">
        <f>IF(OR(IA$13="",IA$17="",IA$14="",IA$15="",IA$16="",IA$18="",IA$19="",IA$20="",IA$21=""),"",SUM($HG15:IA15))</f>
        <v>23.197500000000002</v>
      </c>
      <c r="IB68" s="114">
        <f>IF(OR(IB$13="",IB$17="",IB$14="",IB$15="",IB$16="",IB$18="",IB$19="",IB$20="",IB$21=""),"",SUM($HG15:IB15))</f>
        <v>23.197500000000002</v>
      </c>
      <c r="IC68" s="114">
        <f>IF(OR(IC$13="",IC$17="",IC$14="",IC$15="",IC$16="",IC$18="",IC$19="",IC$20="",IC$21=""),"",SUM($HG15:IC15))</f>
        <v>23.197500000000002</v>
      </c>
      <c r="ID68" s="114">
        <f>IF(OR(ID$13="",ID$17="",ID$14="",ID$15="",ID$16="",ID$18="",ID$19="",ID$20="",ID$21=""),"",SUM($HG15:ID15))</f>
        <v>26.847500000000004</v>
      </c>
      <c r="IE68" s="114">
        <f>IF(OR(IE$13="",IE$17="",IE$14="",IE$15="",IE$16="",IE$18="",IE$19="",IE$20="",IE$21=""),"",SUM($HG15:IE15))</f>
        <v>26.847500000000004</v>
      </c>
      <c r="IF68" s="114">
        <f>IF(OR(IF$13="",IF$17="",IF$14="",IF$15="",IF$16="",IF$18="",IF$19="",IF$20="",IF$21=""),"",SUM($HG15:IF15))</f>
        <v>26.847500000000004</v>
      </c>
      <c r="IG68" s="114">
        <f>IF(OR(IG$13="",IG$17="",IG$14="",IG$15="",IG$16="",IG$18="",IG$19="",IG$20="",IG$21=""),"",SUM($HG15:IG15))</f>
        <v>26.847500000000004</v>
      </c>
      <c r="IH68" s="114">
        <f>IF(OR(IH$13="",IH$17="",IH$14="",IH$15="",IH$16="",IH$18="",IH$19="",IH$20="",IH$21=""),"",SUM($HG15:IH15))</f>
        <v>26.847500000000004</v>
      </c>
      <c r="II68" s="114">
        <f>IF(OR(II$13="",II$17="",II$14="",II$15="",II$16="",II$18="",II$19="",II$20="",II$21=""),"",SUM($HG15:II15))</f>
        <v>26.847500000000004</v>
      </c>
      <c r="IJ68" s="114">
        <f>IF(OR(IJ$13="",IJ$17="",IJ$14="",IJ$15="",IJ$16="",IJ$18="",IJ$19="",IJ$20="",IJ$21=""),"",SUM($HG15:IJ15))</f>
        <v>26.847500000000004</v>
      </c>
      <c r="IK68" s="114">
        <f>IF(OR(IK$13="",IK$17="",IK$14="",IK$15="",IK$16="",IK$18="",IK$19="",IK$20="",IK$21=""),"",SUM($HG15:IK15))</f>
        <v>26.847500000000004</v>
      </c>
      <c r="IL68" s="114">
        <f>IF(OR(IL$13="",IL$17="",IL$14="",IL$15="",IL$16="",IL$18="",IL$19="",IL$20="",IL$21=""),"",SUM($IL15:IL15))</f>
        <v>3.8786111111111112</v>
      </c>
      <c r="IM68" s="114">
        <f>IF(OR(IM$13="",IM$17="",IM$14="",IM$15="",IM$16="",IM$18="",IM$19="",IM$20="",IM$21=""),"",SUM($IL15:IM15))</f>
        <v>3.8786111111111112</v>
      </c>
      <c r="IN68" s="114">
        <f>IF(OR(IN$13="",IN$17="",IN$14="",IN$15="",IN$16="",IN$18="",IN$19="",IN$20="",IN$21=""),"",SUM($IL15:IN15))</f>
        <v>3.8786111111111112</v>
      </c>
      <c r="IO68" s="114">
        <f>IF(OR(IO$13="",IO$17="",IO$14="",IO$15="",IO$16="",IO$18="",IO$19="",IO$20="",IO$21=""),"",SUM($IL15:IO15))</f>
        <v>3.8786111111111112</v>
      </c>
      <c r="IP68" s="114">
        <f>IF(OR(IP$13="",IP$17="",IP$14="",IP$15="",IP$16="",IP$18="",IP$19="",IP$20="",IP$21=""),"",SUM($IL15:IP15))</f>
        <v>3.8786111111111112</v>
      </c>
      <c r="IQ68" s="114">
        <f>IF(OR(IQ$13="",IQ$17="",IQ$14="",IQ$15="",IQ$16="",IQ$18="",IQ$19="",IQ$20="",IQ$21=""),"",SUM($IL15:IQ15))</f>
        <v>3.8786111111111112</v>
      </c>
      <c r="IR68" s="114">
        <f>IF(OR(IR$13="",IR$17="",IR$14="",IR$15="",IR$16="",IR$18="",IR$19="",IR$20="",IR$21=""),"",SUM($IL15:IR15))</f>
        <v>5.2324999999999999</v>
      </c>
      <c r="IS68" s="114">
        <f>IF(OR(IS$13="",IS$17="",IS$14="",IS$15="",IS$16="",IS$18="",IS$19="",IS$20="",IS$21=""),"",SUM($IL15:IS15))</f>
        <v>9.2952777777777786</v>
      </c>
      <c r="IT68" s="114">
        <f>IF(OR(IT$13="",IT$17="",IT$14="",IT$15="",IT$16="",IT$18="",IT$19="",IT$20="",IT$21=""),"",SUM($IL15:IT15))</f>
        <v>28.638888888888886</v>
      </c>
      <c r="IU68" s="114">
        <f>IF(OR(IU$13="",IU$17="",IU$14="",IU$15="",IU$16="",IU$18="",IU$19="",IU$20="",IU$21=""),"",SUM($IL15:IU15))</f>
        <v>52.51</v>
      </c>
      <c r="IV68" s="114">
        <f>IF(OR(IV$13="",IV$17="",IV$14="",IV$15="",IV$16="",IV$18="",IV$19="",IV$20="",IV$21=""),"",SUM($IL15:IV15))</f>
        <v>76.509999999999991</v>
      </c>
      <c r="IW68" s="114">
        <f>IF(OR(IW$13="",IW$17="",IW$14="",IW$15="",IW$16="",IW$18="",IW$19="",IW$20="",IW$21=""),"",SUM($IL15:IW15))</f>
        <v>100.50999999999999</v>
      </c>
      <c r="IX68" s="114">
        <f>IF(OR(IX$13="",IX$17="",IX$14="",IX$15="",IX$16="",IX$18="",IX$19="",IX$20="",IX$21=""),"",SUM($IL15:IX15))</f>
        <v>124.50999999999999</v>
      </c>
      <c r="IY68" s="114">
        <f>IF(OR(IY$13="",IY$17="",IY$14="",IY$15="",IY$16="",IY$18="",IY$19="",IY$20="",IY$21=""),"",SUM($IL15:IY15))</f>
        <v>139.71833333333333</v>
      </c>
      <c r="IZ68" s="114">
        <f>IF(OR(IZ$13="",IZ$17="",IZ$14="",IZ$15="",IZ$16="",IZ$18="",IZ$19="",IZ$20="",IZ$21=""),"",SUM($IL15:IZ15))</f>
        <v>139.71833333333333</v>
      </c>
      <c r="JA68" s="114">
        <f>IF(OR(JA$13="",JA$17="",JA$14="",JA$15="",JA$16="",JA$18="",JA$19="",JA$20="",JA$21=""),"",SUM($IL15:JA15))</f>
        <v>139.71833333333333</v>
      </c>
      <c r="JB68" s="114">
        <f>IF(OR(JB$13="",JB$17="",JB$14="",JB$15="",JB$16="",JB$18="",JB$19="",JB$20="",JB$21=""),"",SUM($IL15:JB15))</f>
        <v>139.71833333333333</v>
      </c>
      <c r="JC68" s="114">
        <f>IF(OR(JC$13="",JC$17="",JC$14="",JC$15="",JC$16="",JC$18="",JC$19="",JC$20="",JC$21=""),"",SUM($IL15:JC15))</f>
        <v>139.71833333333333</v>
      </c>
      <c r="JD68" s="114">
        <f>IF(OR(JD$13="",JD$17="",JD$14="",JD$15="",JD$16="",JD$18="",JD$19="",JD$20="",JD$21=""),"",SUM($IL15:JD15))</f>
        <v>139.71833333333333</v>
      </c>
      <c r="JE68" s="114">
        <f>IF(OR(JE$13="",JE$17="",JE$14="",JE$15="",JE$16="",JE$18="",JE$19="",JE$20="",JE$21=""),"",SUM($IL15:JE15))</f>
        <v>142.18277777777777</v>
      </c>
      <c r="JF68" s="114">
        <f>IF(OR(JF$13="",JF$17="",JF$14="",JF$15="",JF$16="",JF$18="",JF$19="",JF$20="",JF$21=""),"",SUM($IL15:JF15))</f>
        <v>142.18277777777777</v>
      </c>
      <c r="JG68" s="114">
        <f>IF(OR(JG$13="",JG$17="",JG$14="",JG$15="",JG$16="",JG$18="",JG$19="",JG$20="",JG$21=""),"",SUM($IL15:JG15))</f>
        <v>142.18277777777777</v>
      </c>
      <c r="JH68" s="114">
        <f>IF(OR(JH$13="",JH$17="",JH$14="",JH$15="",JH$16="",JH$18="",JH$19="",JH$20="",JH$21=""),"",SUM($IL15:JH15))</f>
        <v>142.18277777777777</v>
      </c>
      <c r="JI68" s="114">
        <f>IF(OR(JI$13="",JI$17="",JI$14="",JI$15="",JI$16="",JI$18="",JI$19="",JI$20="",JI$21=""),"",SUM($IL15:JI15))</f>
        <v>142.23472222222222</v>
      </c>
      <c r="JJ68" s="114">
        <f>IF(OR(JJ$13="",JJ$17="",JJ$14="",JJ$15="",JJ$16="",JJ$18="",JJ$19="",JJ$20="",JJ$21=""),"",SUM($IL15:JJ15))</f>
        <v>142.67638888888888</v>
      </c>
      <c r="JK68" s="114">
        <f>IF(OR(JK$13="",JK$17="",JK$14="",JK$15="",JK$16="",JK$18="",JK$19="",JK$20="",JK$21=""),"",SUM($IL15:JK15))</f>
        <v>142.87805555555553</v>
      </c>
      <c r="JL68" s="114">
        <f>IF(OR(JL$13="",JL$17="",JL$14="",JL$15="",JL$16="",JL$18="",JL$19="",JL$20="",JL$21=""),"",SUM($IL15:JL15))</f>
        <v>142.87805555555553</v>
      </c>
      <c r="JM68" s="114">
        <f>IF(OR(JM$13="",JM$17="",JM$14="",JM$15="",JM$16="",JM$18="",JM$19="",JM$20="",JM$21=""),"",SUM($IL15:JM15))</f>
        <v>142.87805555555553</v>
      </c>
      <c r="JN68" s="114">
        <f>IF(OR(JN$13="",JN$17="",JN$14="",JN$15="",JN$16="",JN$18="",JN$19="",JN$20="",JN$21=""),"",SUM($IL15:JN15))</f>
        <v>151.98305555555552</v>
      </c>
      <c r="JO68" s="114">
        <f>IF(OR(JO$13="",JO$17="",JO$14="",JO$15="",JO$16="",JO$18="",JO$19="",JO$20="",JO$21=""),"",SUM($IL15:JO15))</f>
        <v>152.98305555555552</v>
      </c>
      <c r="JP68" s="114">
        <f>IF(OR(JP$13="",JP$17="",JP$14="",JP$15="",JP$16="",JP$18="",JP$19="",JP$20="",JP$21=""),"",SUM($JP15:JP15))</f>
        <v>2.4525000000000001</v>
      </c>
      <c r="JQ68" s="114">
        <f>IF(OR(JQ$13="",JQ$17="",JQ$14="",JQ$15="",JQ$16="",JQ$18="",JQ$19="",JQ$20="",JQ$21=""),"",SUM($JP15:JQ15))</f>
        <v>3.4525000000000001</v>
      </c>
      <c r="JR68" s="114">
        <f>IF(OR(JR$13="",JR$17="",JR$14="",JR$15="",JR$16="",JR$18="",JR$19="",JR$20="",JR$21=""),"",SUM($JP15:JR15))</f>
        <v>10.202500000000001</v>
      </c>
      <c r="JS68" s="114">
        <f>IF(OR(JS$13="",JS$17="",JS$14="",JS$15="",JS$16="",JS$18="",JS$19="",JS$20="",JS$21=""),"",SUM($JP15:JS15))</f>
        <v>13.202500000000001</v>
      </c>
      <c r="JT68" s="114">
        <f>IF(OR(JT$13="",JT$17="",JT$14="",JT$15="",JT$16="",JT$18="",JT$19="",JT$20="",JT$21=""),"",SUM($JP15:JT15))</f>
        <v>14.8825</v>
      </c>
      <c r="JU68" s="114">
        <f>IF(OR(JU$13="",JU$17="",JU$14="",JU$15="",JU$16="",JU$18="",JU$19="",JU$20="",JU$21=""),"",SUM($JP15:JU15))</f>
        <v>14.8825</v>
      </c>
      <c r="JV68" s="114">
        <f>IF(OR(JV$13="",JV$17="",JV$14="",JV$15="",JV$16="",JV$18="",JV$19="",JV$20="",JV$21=""),"",SUM($JP15:JV15))</f>
        <v>15.032500000000001</v>
      </c>
      <c r="JW68" s="114">
        <f>IF(OR(JW$13="",JW$17="",JW$14="",JW$15="",JW$16="",JW$18="",JW$19="",JW$20="",JW$21=""),"",SUM($JP15:JW15))</f>
        <v>15.032500000000001</v>
      </c>
      <c r="JX68" s="114">
        <f>IF(OR(JX$13="",JX$17="",JX$14="",JX$15="",JX$16="",JX$18="",JX$19="",JX$20="",JX$21=""),"",SUM($JP15:JX15))</f>
        <v>15.032500000000001</v>
      </c>
      <c r="JY68" s="114">
        <f>IF(OR(JY$13="",JY$17="",JY$14="",JY$15="",JY$16="",JY$18="",JY$19="",JY$20="",JY$21=""),"",SUM($JP15:JY15))</f>
        <v>15.032500000000001</v>
      </c>
      <c r="JZ68" s="114">
        <f>IF(OR(JZ$13="",JZ$17="",JZ$14="",JZ$15="",JZ$16="",JZ$18="",JZ$19="",JZ$20="",JZ$21=""),"",SUM($JP15:JZ15))</f>
        <v>15.032500000000001</v>
      </c>
      <c r="KA68" s="114">
        <f>IF(OR(KA$13="",KA$17="",KA$14="",KA$15="",KA$16="",KA$18="",KA$19="",KA$20="",KA$21=""),"",SUM($JP15:KA15))</f>
        <v>15.032500000000001</v>
      </c>
      <c r="KB68" s="114">
        <f>IF(OR(KB$13="",KB$17="",KB$14="",KB$15="",KB$16="",KB$18="",KB$19="",KB$20="",KB$21=""),"",SUM($JP15:KB15))</f>
        <v>15.032500000000001</v>
      </c>
      <c r="KC68" s="114">
        <f>IF(OR(KC$13="",KC$17="",KC$14="",KC$15="",KC$16="",KC$18="",KC$19="",KC$20="",KC$21=""),"",SUM($JP15:KC15))</f>
        <v>15.032500000000001</v>
      </c>
      <c r="KD68" s="114">
        <f>IF(OR(KD$13="",KD$17="",KD$14="",KD$15="",KD$16="",KD$18="",KD$19="",KD$20="",KD$21=""),"",SUM($JP15:KD15))</f>
        <v>15.032500000000001</v>
      </c>
      <c r="KE68" s="114">
        <f>IF(OR(KE$13="",KE$17="",KE$14="",KE$15="",KE$16="",KE$18="",KE$19="",KE$20="",KE$21=""),"",SUM($JP15:KE15))</f>
        <v>15.032500000000001</v>
      </c>
      <c r="KF68" s="114">
        <f>IF(OR(KF$13="",KF$17="",KF$14="",KF$15="",KF$16="",KF$18="",KF$19="",KF$20="",KF$21=""),"",SUM($JP15:KF15))</f>
        <v>15.032500000000001</v>
      </c>
      <c r="KG68" s="114">
        <f>IF(OR(KG$13="",KG$17="",KG$14="",KG$15="",KG$16="",KG$18="",KG$19="",KG$20="",KG$21=""),"",SUM($JP15:KG15))</f>
        <v>15.032500000000001</v>
      </c>
      <c r="KH68" s="114">
        <f>IF(OR(KH$13="",KH$17="",KH$14="",KH$15="",KH$16="",KH$18="",KH$19="",KH$20="",KH$21=""),"",SUM($JP15:KH15))</f>
        <v>15.032500000000001</v>
      </c>
      <c r="KI68" s="114">
        <f>IF(OR(KI$13="",KI$17="",KI$14="",KI$15="",KI$16="",KI$18="",KI$19="",KI$20="",KI$21=""),"",SUM($JP15:KI15))</f>
        <v>15.032500000000001</v>
      </c>
      <c r="KJ68" s="114">
        <f>IF(OR(KJ$13="",KJ$17="",KJ$14="",KJ$15="",KJ$16="",KJ$18="",KJ$19="",KJ$20="",KJ$21=""),"",SUM($JP15:KJ15))</f>
        <v>15.032500000000001</v>
      </c>
      <c r="KK68" s="114">
        <f>IF(OR(KK$13="",KK$17="",KK$14="",KK$15="",KK$16="",KK$18="",KK$19="",KK$20="",KK$21=""),"",SUM($JP15:KK15))</f>
        <v>15.032500000000001</v>
      </c>
      <c r="KL68" s="114">
        <f>IF(OR(KL$13="",KL$17="",KL$14="",KL$15="",KL$16="",KL$18="",KL$19="",KL$20="",KL$21=""),"",SUM($JP15:KL15))</f>
        <v>15.032500000000001</v>
      </c>
      <c r="KM68" s="114">
        <f>IF(OR(KM$13="",KM$17="",KM$14="",KM$15="",KM$16="",KM$18="",KM$19="",KM$20="",KM$21=""),"",SUM($JP15:KM15))</f>
        <v>15.032500000000001</v>
      </c>
      <c r="KN68" s="114">
        <f>IF(OR(KN$13="",KN$17="",KN$14="",KN$15="",KN$16="",KN$18="",KN$19="",KN$20="",KN$21=""),"",SUM($JP15:KN15))</f>
        <v>15.032500000000001</v>
      </c>
      <c r="KO68" s="114">
        <f>IF(OR(KO$13="",KO$17="",KO$14="",KO$15="",KO$16="",KO$18="",KO$19="",KO$20="",KO$21=""),"",SUM($JP15:KO15))</f>
        <v>15.032500000000001</v>
      </c>
      <c r="KP68" s="114">
        <f>IF(OR(KP$13="",KP$17="",KP$14="",KP$15="",KP$16="",KP$18="",KP$19="",KP$20="",KP$21=""),"",SUM($JP15:KP15))</f>
        <v>15.032500000000001</v>
      </c>
      <c r="KQ68" s="114">
        <f>IF(OR(KQ$13="",KQ$17="",KQ$14="",KQ$15="",KQ$16="",KQ$18="",KQ$19="",KQ$20="",KQ$21=""),"",SUM($JP15:KQ15))</f>
        <v>15.032500000000001</v>
      </c>
      <c r="KR68" s="114">
        <f>IF(OR(KR$13="",KR$17="",KR$14="",KR$15="",KR$16="",KR$18="",KR$19="",KR$20="",KR$21=""),"",SUM($JP15:KR15))</f>
        <v>15.032500000000001</v>
      </c>
      <c r="KS68" s="114">
        <f>IF(OR(KS$13="",KS$17="",KS$14="",KS$15="",KS$16="",KS$18="",KS$19="",KS$20="",KS$21=""),"",SUM($JP15:KS15))</f>
        <v>15.032500000000001</v>
      </c>
      <c r="KT68" s="114">
        <f>IF(OR(KT$13="",KT$17="",KT$14="",KT$15="",KT$16="",KT$18="",KT$19="",KT$20="",KT$21=""),"",SUM($JP15:KT15))</f>
        <v>15.032500000000001</v>
      </c>
      <c r="KU68" s="114" t="str">
        <f>IF(OR(KU$13="",KU$17="",KU$14="",KU$15="",KU$16="",KU$18="",KU$19="",KU$20="",KU$21=""),"",SUM($KU15:KU15))</f>
        <v/>
      </c>
      <c r="KV68" s="114" t="str">
        <f>IF(OR(KV$13="",KV$17="",KV$14="",KV$15="",KV$16="",KV$18="",KV$19="",KV$20="",KV$21=""),"",SUM($KU15:KV15))</f>
        <v/>
      </c>
      <c r="KW68" s="114" t="str">
        <f>IF(OR(KW$13="",KW$17="",KW$14="",KW$15="",KW$16="",KW$18="",KW$19="",KW$20="",KW$21=""),"",SUM($KU15:KW15))</f>
        <v/>
      </c>
      <c r="KX68" s="114" t="str">
        <f>IF(OR(KX$13="",KX$17="",KX$14="",KX$15="",KX$16="",KX$18="",KX$19="",KX$20="",KX$21=""),"",SUM($KU15:KX15))</f>
        <v/>
      </c>
      <c r="KY68" s="114" t="str">
        <f>IF(OR(KY$13="",KY$17="",KY$14="",KY$15="",KY$16="",KY$18="",KY$19="",KY$20="",KY$21=""),"",SUM($KU15:KY15))</f>
        <v/>
      </c>
      <c r="KZ68" s="114" t="str">
        <f>IF(OR(KZ$13="",KZ$17="",KZ$14="",KZ$15="",KZ$16="",KZ$18="",KZ$19="",KZ$20="",KZ$21=""),"",SUM($KU15:KZ15))</f>
        <v/>
      </c>
      <c r="LA68" s="114" t="str">
        <f>IF(OR(LA$13="",LA$17="",LA$14="",LA$15="",LA$16="",LA$18="",LA$19="",LA$20="",LA$21=""),"",SUM($KU15:LA15))</f>
        <v/>
      </c>
      <c r="LB68" s="114" t="str">
        <f>IF(OR(LB$13="",LB$17="",LB$14="",LB$15="",LB$16="",LB$18="",LB$19="",LB$20="",LB$21=""),"",SUM($KU15:LB15))</f>
        <v/>
      </c>
      <c r="LC68" s="114" t="str">
        <f>IF(OR(LC$13="",LC$17="",LC$14="",LC$15="",LC$16="",LC$18="",LC$19="",LC$20="",LC$21=""),"",SUM($KU15:LC15))</f>
        <v/>
      </c>
      <c r="LD68" s="114" t="str">
        <f>IF(OR(LD$13="",LD$17="",LD$14="",LD$15="",LD$16="",LD$18="",LD$19="",LD$20="",LD$21=""),"",SUM($KU15:LD15))</f>
        <v/>
      </c>
      <c r="LE68" s="114" t="str">
        <f>IF(OR(LE$13="",LE$17="",LE$14="",LE$15="",LE$16="",LE$18="",LE$19="",LE$20="",LE$21=""),"",SUM($KU15:LE15))</f>
        <v/>
      </c>
      <c r="LF68" s="114" t="str">
        <f>IF(OR(LF$13="",LF$17="",LF$14="",LF$15="",LF$16="",LF$18="",LF$19="",LF$20="",LF$21=""),"",SUM($KU15:LF15))</f>
        <v/>
      </c>
      <c r="LG68" s="114" t="str">
        <f>IF(OR(LG$13="",LG$17="",LG$14="",LG$15="",LG$16="",LG$18="",LG$19="",LG$20="",LG$21=""),"",SUM($KU15:LG15))</f>
        <v/>
      </c>
      <c r="LH68" s="114" t="str">
        <f>IF(OR(LH$13="",LH$17="",LH$14="",LH$15="",LH$16="",LH$18="",LH$19="",LH$20="",LH$21=""),"",SUM($KU15:LH15))</f>
        <v/>
      </c>
      <c r="LI68" s="114" t="str">
        <f>IF(OR(LI$13="",LI$17="",LI$14="",LI$15="",LI$16="",LI$18="",LI$19="",LI$20="",LI$21=""),"",SUM($KU15:LI15))</f>
        <v/>
      </c>
      <c r="LJ68" s="114" t="str">
        <f>IF(OR(LJ$13="",LJ$17="",LJ$14="",LJ$15="",LJ$16="",LJ$18="",LJ$19="",LJ$20="",LJ$21=""),"",SUM($KU15:LJ15))</f>
        <v/>
      </c>
      <c r="LK68" s="114" t="str">
        <f>IF(OR(LK$13="",LK$17="",LK$14="",LK$15="",LK$16="",LK$18="",LK$19="",LK$20="",LK$21=""),"",SUM($KU15:LK15))</f>
        <v/>
      </c>
      <c r="LL68" s="114" t="str">
        <f>IF(OR(LL$13="",LL$17="",LL$14="",LL$15="",LL$16="",LL$18="",LL$19="",LL$20="",LL$21=""),"",SUM($KU15:LL15))</f>
        <v/>
      </c>
      <c r="LM68" s="114" t="str">
        <f>IF(OR(LM$13="",LM$17="",LM$14="",LM$15="",LM$16="",LM$18="",LM$19="",LM$20="",LM$21=""),"",SUM($KU15:LM15))</f>
        <v/>
      </c>
      <c r="LN68" s="114" t="str">
        <f>IF(OR(LN$13="",LN$17="",LN$14="",LN$15="",LN$16="",LN$18="",LN$19="",LN$20="",LN$21=""),"",SUM($KU15:LN15))</f>
        <v/>
      </c>
      <c r="LO68" s="114" t="str">
        <f>IF(OR(LO$13="",LO$17="",LO$14="",LO$15="",LO$16="",LO$18="",LO$19="",LO$20="",LO$21=""),"",SUM($KU15:LO15))</f>
        <v/>
      </c>
      <c r="LP68" s="114" t="str">
        <f>IF(OR(LP$13="",LP$17="",LP$14="",LP$15="",LP$16="",LP$18="",LP$19="",LP$20="",LP$21=""),"",SUM($KU15:LP15))</f>
        <v/>
      </c>
      <c r="LQ68" s="114" t="str">
        <f>IF(OR(LQ$13="",LQ$17="",LQ$14="",LQ$15="",LQ$16="",LQ$18="",LQ$19="",LQ$20="",LQ$21=""),"",SUM($KU15:LQ15))</f>
        <v/>
      </c>
      <c r="LR68" s="114" t="str">
        <f>IF(OR(LR$13="",LR$17="",LR$14="",LR$15="",LR$16="",LR$18="",LR$19="",LR$20="",LR$21=""),"",SUM($KU15:LR15))</f>
        <v/>
      </c>
      <c r="LS68" s="114" t="str">
        <f>IF(OR(LS$13="",LS$17="",LS$14="",LS$15="",LS$16="",LS$18="",LS$19="",LS$20="",LS$21=""),"",SUM($KU15:LS15))</f>
        <v/>
      </c>
      <c r="LT68" s="114" t="str">
        <f>IF(OR(LT$13="",LT$17="",LT$14="",LT$15="",LT$16="",LT$18="",LT$19="",LT$20="",LT$21=""),"",SUM($KU15:LT15))</f>
        <v/>
      </c>
      <c r="LU68" s="114" t="str">
        <f>IF(OR(LU$13="",LU$17="",LU$14="",LU$15="",LU$16="",LU$18="",LU$19="",LU$20="",LU$21=""),"",SUM($KU15:LU15))</f>
        <v/>
      </c>
      <c r="LV68" s="114" t="str">
        <f>IF(OR(LV$13="",LV$17="",LV$14="",LV$15="",LV$16="",LV$18="",LV$19="",LV$20="",LV$21=""),"",SUM($KU15:LV15))</f>
        <v/>
      </c>
      <c r="LW68" s="114" t="str">
        <f>IF(OR(LW$13="",LW$17="",LW$14="",LW$15="",LW$16="",LW$18="",LW$19="",LW$20="",LW$21=""),"",SUM($KU15:LW15))</f>
        <v/>
      </c>
      <c r="LX68" s="114" t="str">
        <f>IF(OR(LX$13="",LX$17="",LX$14="",LX$15="",LX$16="",LX$18="",LX$19="",LX$20="",LX$21=""),"",SUM($KU15:LX15))</f>
        <v/>
      </c>
      <c r="LY68" s="114" t="str">
        <f>IF(OR(LY$13="",LY$17="",LY$14="",LY$15="",LY$16="",LY$18="",LY$19="",LY$20="",LY$21=""),"",SUM($LY15:LY15))</f>
        <v/>
      </c>
      <c r="LZ68" s="114" t="str">
        <f>IF(OR(LZ$13="",LZ$17="",LZ$14="",LZ$15="",LZ$16="",LZ$18="",LZ$19="",LZ$20="",LZ$21=""),"",SUM($LY15:LZ15))</f>
        <v/>
      </c>
      <c r="MA68" s="114" t="str">
        <f>IF(OR(MA$13="",MA$17="",MA$14="",MA$15="",MA$16="",MA$18="",MA$19="",MA$20="",MA$21=""),"",SUM($LY15:MA15))</f>
        <v/>
      </c>
      <c r="MB68" s="114" t="str">
        <f>IF(OR(MB$13="",MB$17="",MB$14="",MB$15="",MB$16="",MB$18="",MB$19="",MB$20="",MB$21=""),"",SUM($LY15:MB15))</f>
        <v/>
      </c>
      <c r="MC68" s="114" t="str">
        <f>IF(OR(MC$13="",MC$17="",MC$14="",MC$15="",MC$16="",MC$18="",MC$19="",MC$20="",MC$21=""),"",SUM($LY15:MC15))</f>
        <v/>
      </c>
      <c r="MD68" s="114" t="str">
        <f>IF(OR(MD$13="",MD$17="",MD$14="",MD$15="",MD$16="",MD$18="",MD$19="",MD$20="",MD$21=""),"",SUM($LY15:MD15))</f>
        <v/>
      </c>
      <c r="ME68" s="114" t="str">
        <f>IF(OR(ME$13="",ME$17="",ME$14="",ME$15="",ME$16="",ME$18="",ME$19="",ME$20="",ME$21=""),"",SUM($LY15:ME15))</f>
        <v/>
      </c>
      <c r="MF68" s="114" t="str">
        <f>IF(OR(MF$13="",MF$17="",MF$14="",MF$15="",MF$16="",MF$18="",MF$19="",MF$20="",MF$21=""),"",SUM($LY15:MF15))</f>
        <v/>
      </c>
      <c r="MG68" s="114" t="str">
        <f>IF(OR(MG$13="",MG$17="",MG$14="",MG$15="",MG$16="",MG$18="",MG$19="",MG$20="",MG$21=""),"",SUM($LY15:MG15))</f>
        <v/>
      </c>
      <c r="MH68" s="114" t="str">
        <f>IF(OR(MH$13="",MH$17="",MH$14="",MH$15="",MH$16="",MH$18="",MH$19="",MH$20="",MH$21=""),"",SUM($LY15:MH15))</f>
        <v/>
      </c>
      <c r="MI68" s="114" t="str">
        <f>IF(OR(MI$13="",MI$17="",MI$14="",MI$15="",MI$16="",MI$18="",MI$19="",MI$20="",MI$21=""),"",SUM($LY15:MI15))</f>
        <v/>
      </c>
      <c r="MJ68" s="114" t="str">
        <f>IF(OR(MJ$13="",MJ$17="",MJ$14="",MJ$15="",MJ$16="",MJ$18="",MJ$19="",MJ$20="",MJ$21=""),"",SUM($LY15:MJ15))</f>
        <v/>
      </c>
      <c r="MK68" s="114" t="str">
        <f>IF(OR(MK$13="",MK$17="",MK$14="",MK$15="",MK$16="",MK$18="",MK$19="",MK$20="",MK$21=""),"",SUM($LY15:MK15))</f>
        <v/>
      </c>
      <c r="ML68" s="114" t="str">
        <f>IF(OR(ML$13="",ML$17="",ML$14="",ML$15="",ML$16="",ML$18="",ML$19="",ML$20="",ML$21=""),"",SUM($LY15:ML15))</f>
        <v/>
      </c>
      <c r="MM68" s="114" t="str">
        <f>IF(OR(MM$13="",MM$17="",MM$14="",MM$15="",MM$16="",MM$18="",MM$19="",MM$20="",MM$21=""),"",SUM($LY15:MM15))</f>
        <v/>
      </c>
      <c r="MN68" s="114" t="str">
        <f>IF(OR(MN$13="",MN$17="",MN$14="",MN$15="",MN$16="",MN$18="",MN$19="",MN$20="",MN$21=""),"",SUM($LY15:MN15))</f>
        <v/>
      </c>
      <c r="MO68" s="114" t="str">
        <f>IF(OR(MO$13="",MO$17="",MO$14="",MO$15="",MO$16="",MO$18="",MO$19="",MO$20="",MO$21=""),"",SUM($LY15:MO15))</f>
        <v/>
      </c>
      <c r="MP68" s="114" t="str">
        <f>IF(OR(MP$13="",MP$17="",MP$14="",MP$15="",MP$16="",MP$18="",MP$19="",MP$20="",MP$21=""),"",SUM($LY15:MP15))</f>
        <v/>
      </c>
      <c r="MQ68" s="114" t="str">
        <f>IF(OR(MQ$13="",MQ$17="",MQ$14="",MQ$15="",MQ$16="",MQ$18="",MQ$19="",MQ$20="",MQ$21=""),"",SUM($LY15:MQ15))</f>
        <v/>
      </c>
      <c r="MR68" s="114" t="str">
        <f>IF(OR(MR$13="",MR$17="",MR$14="",MR$15="",MR$16="",MR$18="",MR$19="",MR$20="",MR$21=""),"",SUM($LY15:MR15))</f>
        <v/>
      </c>
      <c r="MS68" s="114" t="str">
        <f>IF(OR(MS$13="",MS$17="",MS$14="",MS$15="",MS$16="",MS$18="",MS$19="",MS$20="",MS$21=""),"",SUM($LY15:MS15))</f>
        <v/>
      </c>
      <c r="MT68" s="114" t="str">
        <f>IF(OR(MT$13="",MT$17="",MT$14="",MT$15="",MT$16="",MT$18="",MT$19="",MT$20="",MT$21=""),"",SUM($LY15:MT15))</f>
        <v/>
      </c>
      <c r="MU68" s="114" t="str">
        <f>IF(OR(MU$13="",MU$17="",MU$14="",MU$15="",MU$16="",MU$18="",MU$19="",MU$20="",MU$21=""),"",SUM($LY15:MU15))</f>
        <v/>
      </c>
      <c r="MV68" s="114" t="str">
        <f>IF(OR(MV$13="",MV$17="",MV$14="",MV$15="",MV$16="",MV$18="",MV$19="",MV$20="",MV$21=""),"",SUM($LY15:MV15))</f>
        <v/>
      </c>
      <c r="MW68" s="114" t="str">
        <f>IF(OR(MW$13="",MW$17="",MW$14="",MW$15="",MW$16="",MW$18="",MW$19="",MW$20="",MW$21=""),"",SUM($LY15:MW15))</f>
        <v/>
      </c>
      <c r="MX68" s="114" t="str">
        <f>IF(OR(MX$13="",MX$17="",MX$14="",MX$15="",MX$16="",MX$18="",MX$19="",MX$20="",MX$21=""),"",SUM($LY15:MX15))</f>
        <v/>
      </c>
      <c r="MY68" s="114" t="str">
        <f>IF(OR(MY$13="",MY$17="",MY$14="",MY$15="",MY$16="",MY$18="",MY$19="",MY$20="",MY$21=""),"",SUM($LY15:MY15))</f>
        <v/>
      </c>
      <c r="MZ68" s="114" t="str">
        <f>IF(OR(MZ$13="",MZ$17="",MZ$14="",MZ$15="",MZ$16="",MZ$18="",MZ$19="",MZ$20="",MZ$21=""),"",SUM($LY15:MZ15))</f>
        <v/>
      </c>
      <c r="NA68" s="114" t="str">
        <f>IF(OR(NA$13="",NA$17="",NA$14="",NA$15="",NA$16="",NA$18="",NA$19="",NA$20="",NA$21=""),"",SUM($LY15:NA15))</f>
        <v/>
      </c>
      <c r="NB68" s="114" t="str">
        <f>IF(OR(NB$13="",NB$17="",NB$14="",NB$15="",NB$16="",NB$18="",NB$19="",NB$20="",NB$21=""),"",SUM($LY15:NB15))</f>
        <v/>
      </c>
      <c r="NC68" s="114" t="str">
        <f>IF(OR(NC$13="",NC$17="",NC$14="",NC$15="",NC$16="",NC$18="",NC$19="",NC$20="",NC$21=""),"",SUM($LY15:NC15))</f>
        <v/>
      </c>
      <c r="ND68" s="114" t="str">
        <f>IF(OR(ND$13="",ND$17="",ND$14="",ND$15="",ND$16="",ND$18="",ND$19="",ND$20="",ND$21=""),"",SUM($ND15:ND15))</f>
        <v/>
      </c>
      <c r="NE68" s="114" t="str">
        <f>IF(OR(NE$13="",NE$17="",NE$14="",NE$15="",NE$16="",NE$18="",NE$19="",NE$20="",NE$21=""),"",SUM($ND15:NE15))</f>
        <v/>
      </c>
      <c r="NF68" s="114" t="str">
        <f>IF(OR(NF$13="",NF$17="",NF$14="",NF$15="",NF$16="",NF$18="",NF$19="",NF$20="",NF$21=""),"",SUM($ND15:NF15))</f>
        <v/>
      </c>
      <c r="NG68" s="114" t="str">
        <f>IF(OR(NG$13="",NG$17="",NG$14="",NG$15="",NG$16="",NG$18="",NG$19="",NG$20="",NG$21=""),"",SUM($ND15:NG15))</f>
        <v/>
      </c>
      <c r="NH68" s="114" t="str">
        <f>IF(OR(NH$13="",NH$17="",NH$14="",NH$15="",NH$16="",NH$18="",NH$19="",NH$20="",NH$21=""),"",SUM($ND15:NH15))</f>
        <v/>
      </c>
      <c r="NI68" s="114" t="str">
        <f>IF(OR(NI$13="",NI$17="",NI$14="",NI$15="",NI$16="",NI$18="",NI$19="",NI$20="",NI$21=""),"",SUM($ND15:NI15))</f>
        <v/>
      </c>
      <c r="NJ68" s="114" t="str">
        <f>IF(OR(NJ$13="",NJ$17="",NJ$14="",NJ$15="",NJ$16="",NJ$18="",NJ$19="",NJ$20="",NJ$21=""),"",SUM($ND15:NJ15))</f>
        <v/>
      </c>
      <c r="NK68" s="114" t="str">
        <f>IF(OR(NK$13="",NK$17="",NK$14="",NK$15="",NK$16="",NK$18="",NK$19="",NK$20="",NK$21=""),"",SUM($ND15:NK15))</f>
        <v/>
      </c>
      <c r="NL68" s="114" t="str">
        <f>IF(OR(NL$13="",NL$17="",NL$14="",NL$15="",NL$16="",NL$18="",NL$19="",NL$20="",NL$21=""),"",SUM($ND15:NL15))</f>
        <v/>
      </c>
      <c r="NM68" s="114" t="str">
        <f>IF(OR(NM$13="",NM$17="",NM$14="",NM$15="",NM$16="",NM$18="",NM$19="",NM$20="",NM$21=""),"",SUM($ND15:NM15))</f>
        <v/>
      </c>
      <c r="NN68" s="114" t="str">
        <f>IF(OR(NN$13="",NN$17="",NN$14="",NN$15="",NN$16="",NN$18="",NN$19="",NN$20="",NN$21=""),"",SUM($ND15:NN15))</f>
        <v/>
      </c>
      <c r="NO68" s="114" t="str">
        <f>IF(OR(NO$13="",NO$17="",NO$14="",NO$15="",NO$16="",NO$18="",NO$19="",NO$20="",NO$21=""),"",SUM($ND15:NO15))</f>
        <v/>
      </c>
      <c r="NP68" s="114" t="str">
        <f>IF(OR(NP$13="",NP$17="",NP$14="",NP$15="",NP$16="",NP$18="",NP$19="",NP$20="",NP$21=""),"",SUM($ND15:NP15))</f>
        <v/>
      </c>
      <c r="NQ68" s="114" t="str">
        <f>IF(OR(NQ$13="",NQ$17="",NQ$14="",NQ$15="",NQ$16="",NQ$18="",NQ$19="",NQ$20="",NQ$21=""),"",SUM($ND15:NQ15))</f>
        <v/>
      </c>
      <c r="NR68" s="114" t="str">
        <f>IF(OR(NR$13="",NR$17="",NR$14="",NR$15="",NR$16="",NR$18="",NR$19="",NR$20="",NR$21=""),"",SUM($ND15:NR15))</f>
        <v/>
      </c>
      <c r="NS68" s="114" t="str">
        <f>IF(OR(NS$13="",NS$17="",NS$14="",NS$15="",NS$16="",NS$18="",NS$19="",NS$20="",NS$21=""),"",SUM($ND15:NS15))</f>
        <v/>
      </c>
      <c r="NT68" s="114" t="str">
        <f>IF(OR(NT$13="",NT$17="",NT$14="",NT$15="",NT$16="",NT$18="",NT$19="",NT$20="",NT$21=""),"",SUM($ND15:NT15))</f>
        <v/>
      </c>
      <c r="NU68" s="114" t="str">
        <f>IF(OR(NU$13="",NU$17="",NU$14="",NU$15="",NU$16="",NU$18="",NU$19="",NU$20="",NU$21=""),"",SUM($ND15:NU15))</f>
        <v/>
      </c>
      <c r="NV68" s="114" t="str">
        <f>IF(OR(NV$13="",NV$17="",NV$14="",NV$15="",NV$16="",NV$18="",NV$19="",NV$20="",NV$21=""),"",SUM($ND15:NV15))</f>
        <v/>
      </c>
      <c r="NW68" s="114" t="str">
        <f>IF(OR(NW$13="",NW$17="",NW$14="",NW$15="",NW$16="",NW$18="",NW$19="",NW$20="",NW$21=""),"",SUM($ND15:NW15))</f>
        <v/>
      </c>
      <c r="NX68" s="114" t="str">
        <f>IF(OR(NX$13="",NX$17="",NX$14="",NX$15="",NX$16="",NX$18="",NX$19="",NX$20="",NX$21=""),"",SUM($ND15:NX15))</f>
        <v/>
      </c>
      <c r="NY68" s="114" t="str">
        <f>IF(OR(NY$13="",NY$17="",NY$14="",NY$15="",NY$16="",NY$18="",NY$19="",NY$20="",NY$21=""),"",SUM($ND15:NY15))</f>
        <v/>
      </c>
      <c r="NZ68" s="114" t="str">
        <f>IF(OR(NZ$13="",NZ$17="",NZ$14="",NZ$15="",NZ$16="",NZ$18="",NZ$19="",NZ$20="",NZ$21=""),"",SUM($ND15:NZ15))</f>
        <v/>
      </c>
      <c r="OA68" s="114" t="str">
        <f>IF(OR(OA$13="",OA$17="",OA$14="",OA$15="",OA$16="",OA$18="",OA$19="",OA$20="",OA$21=""),"",SUM($ND15:OA15))</f>
        <v/>
      </c>
      <c r="OB68" s="114" t="str">
        <f>IF(OR(OB$13="",OB$17="",OB$14="",OB$15="",OB$16="",OB$18="",OB$19="",OB$20="",OB$21=""),"",SUM($ND15:OB15))</f>
        <v/>
      </c>
      <c r="OC68" s="114" t="str">
        <f>IF(OR(OC$13="",OC$17="",OC$14="",OC$15="",OC$16="",OC$18="",OC$19="",OC$20="",OC$21=""),"",SUM($ND15:OC15))</f>
        <v/>
      </c>
      <c r="OD68" s="114" t="str">
        <f>IF(OR(OD$13="",OD$17="",OD$14="",OD$15="",OD$16="",OD$18="",OD$19="",OD$20="",OD$21=""),"",SUM($ND15:OD15))</f>
        <v/>
      </c>
      <c r="OE68" s="114" t="str">
        <f>IF(OR(OE$13="",OE$17="",OE$14="",OE$15="",OE$16="",OE$18="",OE$19="",OE$20="",OE$21=""),"",SUM($ND15:OE15))</f>
        <v/>
      </c>
      <c r="OF68" s="114" t="str">
        <f>IF(OR(OF$13="",OF$17="",OF$14="",OF$15="",OF$16="",OF$18="",OF$19="",OF$20="",OF$21=""),"",SUM($ND15:OF15))</f>
        <v/>
      </c>
      <c r="OG68" s="114" t="str">
        <f>IF(OR(OG$13="",OG$17="",OG$14="",OG$15="",OG$16="",OG$18="",OG$19="",OG$20="",OG$21=""),"",SUM($ND15:OG15))</f>
        <v/>
      </c>
      <c r="OH68" s="114" t="str">
        <f>IF(OR(OH$13="",OH$17="",OH$14="",OH$15="",OH$16="",OH$18="",OH$19="",OH$20="",OH$21=""),"",SUM($ND15:OH15))</f>
        <v/>
      </c>
      <c r="OI68" s="114" t="str">
        <f>IF(OR(OI$13="",OI$17="",OI$14="",OI$15="",OI$16="",OI$18="",OI$19="",OI$20="",OI$21=""),"",SUM($OI15:OI15))</f>
        <v/>
      </c>
      <c r="OJ68" s="114" t="str">
        <f>IF(OR(OJ$13="",OJ$17="",OJ$14="",OJ$15="",OJ$16="",OJ$18="",OJ$19="",OJ$20="",OJ$21=""),"",SUM($OI15:OJ15))</f>
        <v/>
      </c>
      <c r="OK68" s="114" t="str">
        <f>IF(OR(OK$13="",OK$17="",OK$14="",OK$15="",OK$16="",OK$18="",OK$19="",OK$20="",OK$21=""),"",SUM($OI15:OK15))</f>
        <v/>
      </c>
      <c r="OL68" s="114" t="str">
        <f>IF(OR(OL$13="",OL$17="",OL$14="",OL$15="",OL$16="",OL$18="",OL$19="",OL$20="",OL$21=""),"",SUM($OI15:OL15))</f>
        <v/>
      </c>
      <c r="OM68" s="114" t="str">
        <f>IF(OR(OM$13="",OM$17="",OM$14="",OM$15="",OM$16="",OM$18="",OM$19="",OM$20="",OM$21=""),"",SUM($OI15:OM15))</f>
        <v/>
      </c>
      <c r="ON68" s="114" t="str">
        <f>IF(OR(ON$13="",ON$17="",ON$14="",ON$15="",ON$16="",ON$18="",ON$19="",ON$20="",ON$21=""),"",SUM($OI15:ON15))</f>
        <v/>
      </c>
      <c r="OO68" s="114" t="str">
        <f>IF(OR(OO$13="",OO$17="",OO$14="",OO$15="",OO$16="",OO$18="",OO$19="",OO$20="",OO$21=""),"",SUM($OI15:OO15))</f>
        <v/>
      </c>
      <c r="OP68" s="114" t="str">
        <f>IF(OR(OP$13="",OP$17="",OP$14="",OP$15="",OP$16="",OP$18="",OP$19="",OP$20="",OP$21=""),"",SUM($OI15:OP15))</f>
        <v/>
      </c>
      <c r="OQ68" s="114" t="str">
        <f>IF(OR(OQ$13="",OQ$17="",OQ$14="",OQ$15="",OQ$16="",OQ$18="",OQ$19="",OQ$20="",OQ$21=""),"",SUM($OI15:OQ15))</f>
        <v/>
      </c>
      <c r="OR68" s="114" t="str">
        <f>IF(OR(OR$13="",OR$17="",OR$14="",OR$15="",OR$16="",OR$18="",OR$19="",OR$20="",OR$21=""),"",SUM($OI15:OR15))</f>
        <v/>
      </c>
      <c r="OS68" s="114" t="str">
        <f>IF(OR(OS$13="",OS$17="",OS$14="",OS$15="",OS$16="",OS$18="",OS$19="",OS$20="",OS$21=""),"",SUM($OI15:OS15))</f>
        <v/>
      </c>
      <c r="OT68" s="114" t="str">
        <f>IF(OR(OT$13="",OT$17="",OT$14="",OT$15="",OT$16="",OT$18="",OT$19="",OT$20="",OT$21=""),"",SUM($OI15:OT15))</f>
        <v/>
      </c>
      <c r="OU68" s="114" t="str">
        <f>IF(OR(OU$13="",OU$17="",OU$14="",OU$15="",OU$16="",OU$18="",OU$19="",OU$20="",OU$21=""),"",SUM($OI15:OU15))</f>
        <v/>
      </c>
      <c r="OV68" s="114" t="str">
        <f>IF(OR(OV$13="",OV$17="",OV$14="",OV$15="",OV$16="",OV$18="",OV$19="",OV$20="",OV$21=""),"",SUM($OI15:OV15))</f>
        <v/>
      </c>
      <c r="OW68" s="114" t="str">
        <f>IF(OR(OW$13="",OW$17="",OW$14="",OW$15="",OW$16="",OW$18="",OW$19="",OW$20="",OW$21=""),"",SUM($OI15:OW15))</f>
        <v/>
      </c>
      <c r="OX68" s="114" t="str">
        <f>IF(OR(OX$13="",OX$17="",OX$14="",OX$15="",OX$16="",OX$18="",OX$19="",OX$20="",OX$21=""),"",SUM($OI15:OX15))</f>
        <v/>
      </c>
      <c r="OY68" s="114" t="str">
        <f>IF(OR(OY$13="",OY$17="",OY$14="",OY$15="",OY$16="",OY$18="",OY$19="",OY$20="",OY$21=""),"",SUM($OI15:OY15))</f>
        <v/>
      </c>
      <c r="OZ68" s="114" t="str">
        <f>IF(OR(OZ$13="",OZ$17="",OZ$14="",OZ$15="",OZ$16="",OZ$18="",OZ$19="",OZ$20="",OZ$21=""),"",SUM($OI15:OZ15))</f>
        <v/>
      </c>
      <c r="PA68" s="114" t="str">
        <f>IF(OR(PA$13="",PA$17="",PA$14="",PA$15="",PA$16="",PA$18="",PA$19="",PA$20="",PA$21=""),"",SUM($OI15:PA15))</f>
        <v/>
      </c>
      <c r="PB68" s="114" t="str">
        <f>IF(OR(PB$13="",PB$17="",PB$14="",PB$15="",PB$16="",PB$18="",PB$19="",PB$20="",PB$21=""),"",SUM($OI15:PB15))</f>
        <v/>
      </c>
      <c r="PC68" s="114" t="str">
        <f>IF(OR(PC$13="",PC$17="",PC$14="",PC$15="",PC$16="",PC$18="",PC$19="",PC$20="",PC$21=""),"",SUM($OI15:PC15))</f>
        <v/>
      </c>
      <c r="PD68" s="114" t="str">
        <f>IF(OR(PD$13="",PD$17="",PD$14="",PD$15="",PD$16="",PD$18="",PD$19="",PD$20="",PD$21=""),"",SUM($OI15:PD15))</f>
        <v/>
      </c>
      <c r="PE68" s="114" t="str">
        <f>IF(OR(PE$13="",PE$17="",PE$14="",PE$15="",PE$16="",PE$18="",PE$19="",PE$20="",PE$21=""),"",SUM($OI15:PE15))</f>
        <v/>
      </c>
      <c r="PF68" s="114" t="str">
        <f>IF(OR(PF$13="",PF$17="",PF$14="",PF$15="",PF$16="",PF$18="",PF$19="",PF$20="",PF$21=""),"",SUM($OI15:PF15))</f>
        <v/>
      </c>
      <c r="PG68" s="114" t="str">
        <f>IF(OR(PG$13="",PG$17="",PG$14="",PG$15="",PG$16="",PG$18="",PG$19="",PG$20="",PG$21=""),"",SUM($OI15:PG15))</f>
        <v/>
      </c>
      <c r="PH68" s="114" t="str">
        <f>IF(OR(PH$13="",PH$17="",PH$14="",PH$15="",PH$16="",PH$18="",PH$19="",PH$20="",PH$21=""),"",SUM($OI15:PH15))</f>
        <v/>
      </c>
      <c r="PI68" s="114" t="str">
        <f>IF(OR(PI$13="",PI$17="",PI$14="",PI$15="",PI$16="",PI$18="",PI$19="",PI$20="",PI$21=""),"",SUM($OI15:PI15))</f>
        <v/>
      </c>
      <c r="PJ68" s="114" t="str">
        <f>IF(OR(PJ$13="",PJ$17="",PJ$14="",PJ$15="",PJ$16="",PJ$18="",PJ$19="",PJ$20="",PJ$21=""),"",SUM($OI15:PJ15))</f>
        <v/>
      </c>
      <c r="PK68" s="114" t="str">
        <f>IF(OR(PK$13="",PK$17="",PK$14="",PK$15="",PK$16="",PK$18="",PK$19="",PK$20="",PK$21=""),"",SUM($PK15:PK15))</f>
        <v/>
      </c>
      <c r="PL68" s="114" t="str">
        <f>IF(OR(PL$13="",PL$17="",PL$14="",PL$15="",PL$16="",PL$18="",PL$19="",PL$20="",PL$21=""),"",SUM($PK15:PL15))</f>
        <v/>
      </c>
      <c r="PM68" s="114" t="str">
        <f>IF(OR(PM$13="",PM$17="",PM$14="",PM$15="",PM$16="",PM$18="",PM$19="",PM$20="",PM$21=""),"",SUM($PK15:PM15))</f>
        <v/>
      </c>
      <c r="PN68" s="114" t="str">
        <f>IF(OR(PN$13="",PN$17="",PN$14="",PN$15="",PN$16="",PN$18="",PN$19="",PN$20="",PN$21=""),"",SUM($PK15:PN15))</f>
        <v/>
      </c>
      <c r="PO68" s="114" t="str">
        <f>IF(OR(PO$13="",PO$17="",PO$14="",PO$15="",PO$16="",PO$18="",PO$19="",PO$20="",PO$21=""),"",SUM($PK15:PO15))</f>
        <v/>
      </c>
      <c r="PP68" s="114" t="str">
        <f>IF(OR(PP$13="",PP$17="",PP$14="",PP$15="",PP$16="",PP$18="",PP$19="",PP$20="",PP$21=""),"",SUM($PK15:PP15))</f>
        <v/>
      </c>
      <c r="PQ68" s="114" t="str">
        <f>IF(OR(PQ$13="",PQ$17="",PQ$14="",PQ$15="",PQ$16="",PQ$18="",PQ$19="",PQ$20="",PQ$21=""),"",SUM($PK15:PQ15))</f>
        <v/>
      </c>
      <c r="PR68" s="114" t="str">
        <f>IF(OR(PR$13="",PR$17="",PR$14="",PR$15="",PR$16="",PR$18="",PR$19="",PR$20="",PR$21=""),"",SUM($PK15:PR15))</f>
        <v/>
      </c>
      <c r="PS68" s="114" t="str">
        <f>IF(OR(PS$13="",PS$17="",PS$14="",PS$15="",PS$16="",PS$18="",PS$19="",PS$20="",PS$21=""),"",SUM($PK15:PS15))</f>
        <v/>
      </c>
      <c r="PT68" s="114" t="str">
        <f>IF(OR(PT$13="",PT$17="",PT$14="",PT$15="",PT$16="",PT$18="",PT$19="",PT$20="",PT$21=""),"",SUM($PK15:PT15))</f>
        <v/>
      </c>
      <c r="PU68" s="114" t="str">
        <f>IF(OR(PU$13="",PU$17="",PU$14="",PU$15="",PU$16="",PU$18="",PU$19="",PU$20="",PU$21=""),"",SUM($PK15:PU15))</f>
        <v/>
      </c>
      <c r="PV68" s="114" t="str">
        <f>IF(OR(PV$13="",PV$17="",PV$14="",PV$15="",PV$16="",PV$18="",PV$19="",PV$20="",PV$21=""),"",SUM($PK15:PV15))</f>
        <v/>
      </c>
      <c r="PW68" s="114" t="str">
        <f>IF(OR(PW$13="",PW$17="",PW$14="",PW$15="",PW$16="",PW$18="",PW$19="",PW$20="",PW$21=""),"",SUM($PK15:PW15))</f>
        <v/>
      </c>
      <c r="PX68" s="114" t="str">
        <f>IF(OR(PX$13="",PX$17="",PX$14="",PX$15="",PX$16="",PX$18="",PX$19="",PX$20="",PX$21=""),"",SUM($PK15:PX15))</f>
        <v/>
      </c>
      <c r="PY68" s="114" t="str">
        <f>IF(OR(PY$13="",PY$17="",PY$14="",PY$15="",PY$16="",PY$18="",PY$19="",PY$20="",PY$21=""),"",SUM($PK15:PY15))</f>
        <v/>
      </c>
      <c r="PZ68" s="114" t="str">
        <f>IF(OR(PZ$13="",PZ$17="",PZ$14="",PZ$15="",PZ$16="",PZ$18="",PZ$19="",PZ$20="",PZ$21=""),"",SUM($PK15:PZ15))</f>
        <v/>
      </c>
      <c r="QA68" s="114" t="str">
        <f>IF(OR(QA$13="",QA$17="",QA$14="",QA$15="",QA$16="",QA$18="",QA$19="",QA$20="",QA$21=""),"",SUM($PK15:QA15))</f>
        <v/>
      </c>
      <c r="QB68" s="114" t="str">
        <f>IF(OR(QB$13="",QB$17="",QB$14="",QB$15="",QB$16="",QB$18="",QB$19="",QB$20="",QB$21=""),"",SUM($PK15:QB15))</f>
        <v/>
      </c>
      <c r="QC68" s="114" t="str">
        <f>IF(OR(QC$13="",QC$17="",QC$14="",QC$15="",QC$16="",QC$18="",QC$19="",QC$20="",QC$21=""),"",SUM($PK15:QC15))</f>
        <v/>
      </c>
      <c r="QD68" s="114" t="str">
        <f>IF(OR(QD$13="",QD$17="",QD$14="",QD$15="",QD$16="",QD$18="",QD$19="",QD$20="",QD$21=""),"",SUM($PK15:QD15))</f>
        <v/>
      </c>
      <c r="QE68" s="114" t="str">
        <f>IF(OR(QE$13="",QE$17="",QE$14="",QE$15="",QE$16="",QE$18="",QE$19="",QE$20="",QE$21=""),"",SUM($PK15:QE15))</f>
        <v/>
      </c>
      <c r="QF68" s="114" t="str">
        <f>IF(OR(QF$13="",QF$17="",QF$14="",QF$15="",QF$16="",QF$18="",QF$19="",QF$20="",QF$21=""),"",SUM($PK15:QF15))</f>
        <v/>
      </c>
      <c r="QG68" s="114" t="str">
        <f>IF(OR(QG$13="",QG$17="",QG$14="",QG$15="",QG$16="",QG$18="",QG$19="",QG$20="",QG$21=""),"",SUM($PK15:QG15))</f>
        <v/>
      </c>
      <c r="QH68" s="114" t="str">
        <f>IF(OR(QH$13="",QH$17="",QH$14="",QH$15="",QH$16="",QH$18="",QH$19="",QH$20="",QH$21=""),"",SUM($PK15:QH15))</f>
        <v/>
      </c>
      <c r="QI68" s="114" t="str">
        <f>IF(OR(QI$13="",QI$17="",QI$14="",QI$15="",QI$16="",QI$18="",QI$19="",QI$20="",QI$21=""),"",SUM($PK15:QI15))</f>
        <v/>
      </c>
      <c r="QJ68" s="114" t="str">
        <f>IF(OR(QJ$13="",QJ$17="",QJ$14="",QJ$15="",QJ$16="",QJ$18="",QJ$19="",QJ$20="",QJ$21=""),"",SUM($PK15:QJ15))</f>
        <v/>
      </c>
      <c r="QK68" s="114" t="str">
        <f>IF(OR(QK$13="",QK$17="",QK$14="",QK$15="",QK$16="",QK$18="",QK$19="",QK$20="",QK$21=""),"",SUM($PK15:QK15))</f>
        <v/>
      </c>
      <c r="QL68" s="114" t="str">
        <f>IF(OR(QL$13="",QL$17="",QL$14="",QL$15="",QL$16="",QL$18="",QL$19="",QL$20="",QL$21=""),"",SUM($PK15:QL15))</f>
        <v/>
      </c>
      <c r="QM68" s="114" t="str">
        <f>IF(OR(QM$13="",QM$17="",QM$14="",QM$15="",QM$16="",QM$18="",QM$19="",QM$20="",QM$21=""),"",SUM($PK15:QM15))</f>
        <v/>
      </c>
      <c r="QN68" s="114" t="str">
        <f>IF(OR(QN$13="",QN$17="",QN$14="",QN$15="",QN$16="",QN$18="",QN$19="",QN$20="",QN$21=""),"",SUM($PK15:QN15))</f>
        <v/>
      </c>
      <c r="QO68" s="114" t="str">
        <f>IF(OR(QO$13="",QO$17="",QO$14="",QO$15="",QO$16="",QO$18="",QO$19="",QO$20="",QO$21=""),"",SUM($PK15:QO15))</f>
        <v/>
      </c>
      <c r="QP68" s="114" t="str">
        <f>IF(OR(QP$13="",QP$17="",QP$14="",QP$15="",QP$16="",QP$18="",QP$19="",QP$20="",QP$21=""),"",SUM($QP15:QP15))</f>
        <v/>
      </c>
      <c r="QQ68" s="114" t="str">
        <f>IF(OR(QQ$13="",QQ$17="",QQ$14="",QQ$15="",QQ$16="",QQ$18="",QQ$19="",QQ$20="",QQ$21=""),"",SUM($QP15:QQ15))</f>
        <v/>
      </c>
      <c r="QR68" s="114" t="str">
        <f>IF(OR(QR$13="",QR$17="",QR$14="",QR$15="",QR$16="",QR$18="",QR$19="",QR$20="",QR$21=""),"",SUM($QP15:QR15))</f>
        <v/>
      </c>
      <c r="QS68" s="114" t="str">
        <f>IF(OR(QS$13="",QS$17="",QS$14="",QS$15="",QS$16="",QS$18="",QS$19="",QS$20="",QS$21=""),"",SUM($QP15:QS15))</f>
        <v/>
      </c>
      <c r="QT68" s="114" t="str">
        <f>IF(OR(QT$13="",QT$17="",QT$14="",QT$15="",QT$16="",QT$18="",QT$19="",QT$20="",QT$21=""),"",SUM($QP15:QT15))</f>
        <v/>
      </c>
      <c r="QU68" s="114" t="str">
        <f>IF(OR(QU$13="",QU$17="",QU$14="",QU$15="",QU$16="",QU$18="",QU$19="",QU$20="",QU$21=""),"",SUM($QP15:QU15))</f>
        <v/>
      </c>
      <c r="QV68" s="114" t="str">
        <f>IF(OR(QV$13="",QV$17="",QV$14="",QV$15="",QV$16="",QV$18="",QV$19="",QV$20="",QV$21=""),"",SUM($QP15:QV15))</f>
        <v/>
      </c>
      <c r="QW68" s="114" t="str">
        <f>IF(OR(QW$13="",QW$17="",QW$14="",QW$15="",QW$16="",QW$18="",QW$19="",QW$20="",QW$21=""),"",SUM($QP15:QW15))</f>
        <v/>
      </c>
      <c r="QX68" s="114" t="str">
        <f>IF(OR(QX$13="",QX$17="",QX$14="",QX$15="",QX$16="",QX$18="",QX$19="",QX$20="",QX$21=""),"",SUM($QP15:QX15))</f>
        <v/>
      </c>
      <c r="QY68" s="114" t="str">
        <f>IF(OR(QY$13="",QY$17="",QY$14="",QY$15="",QY$16="",QY$18="",QY$19="",QY$20="",QY$21=""),"",SUM($QP15:QY15))</f>
        <v/>
      </c>
      <c r="QZ68" s="114" t="str">
        <f>IF(OR(QZ$13="",QZ$17="",QZ$14="",QZ$15="",QZ$16="",QZ$18="",QZ$19="",QZ$20="",QZ$21=""),"",SUM($QP15:QZ15))</f>
        <v/>
      </c>
      <c r="RA68" s="114" t="str">
        <f>IF(OR(RA$13="",RA$17="",RA$14="",RA$15="",RA$16="",RA$18="",RA$19="",RA$20="",RA$21=""),"",SUM($QP15:RA15))</f>
        <v/>
      </c>
      <c r="RB68" s="114" t="str">
        <f>IF(OR(RB$13="",RB$17="",RB$14="",RB$15="",RB$16="",RB$18="",RB$19="",RB$20="",RB$21=""),"",SUM($QP15:RB15))</f>
        <v/>
      </c>
      <c r="RC68" s="114" t="str">
        <f>IF(OR(RC$13="",RC$17="",RC$14="",RC$15="",RC$16="",RC$18="",RC$19="",RC$20="",RC$21=""),"",SUM($QP15:RC15))</f>
        <v/>
      </c>
      <c r="RD68" s="114" t="str">
        <f>IF(OR(RD$13="",RD$17="",RD$14="",RD$15="",RD$16="",RD$18="",RD$19="",RD$20="",RD$21=""),"",SUM($QP15:RD15))</f>
        <v/>
      </c>
      <c r="RE68" s="114" t="str">
        <f>IF(OR(RE$13="",RE$17="",RE$14="",RE$15="",RE$16="",RE$18="",RE$19="",RE$20="",RE$21=""),"",SUM($QP15:RE15))</f>
        <v/>
      </c>
      <c r="RF68" s="114" t="str">
        <f>IF(OR(RF$13="",RF$17="",RF$14="",RF$15="",RF$16="",RF$18="",RF$19="",RF$20="",RF$21=""),"",SUM($QP15:RF15))</f>
        <v/>
      </c>
      <c r="RG68" s="114" t="str">
        <f>IF(OR(RG$13="",RG$17="",RG$14="",RG$15="",RG$16="",RG$18="",RG$19="",RG$20="",RG$21=""),"",SUM($QP15:RG15))</f>
        <v/>
      </c>
      <c r="RH68" s="114" t="str">
        <f>IF(OR(RH$13="",RH$17="",RH$14="",RH$15="",RH$16="",RH$18="",RH$19="",RH$20="",RH$21=""),"",SUM($QP15:RH15))</f>
        <v/>
      </c>
      <c r="RI68" s="114" t="str">
        <f>IF(OR(RI$13="",RI$17="",RI$14="",RI$15="",RI$16="",RI$18="",RI$19="",RI$20="",RI$21=""),"",SUM($QP15:RI15))</f>
        <v/>
      </c>
      <c r="RJ68" s="114" t="str">
        <f>IF(OR(RJ$13="",RJ$17="",RJ$14="",RJ$15="",RJ$16="",RJ$18="",RJ$19="",RJ$20="",RJ$21=""),"",SUM($QP15:RJ15))</f>
        <v/>
      </c>
      <c r="RK68" s="114" t="str">
        <f>IF(OR(RK$13="",RK$17="",RK$14="",RK$15="",RK$16="",RK$18="",RK$19="",RK$20="",RK$21=""),"",SUM($QP15:RK15))</f>
        <v/>
      </c>
      <c r="RL68" s="114" t="str">
        <f>IF(OR(RL$13="",RL$17="",RL$14="",RL$15="",RL$16="",RL$18="",RL$19="",RL$20="",RL$21=""),"",SUM($QP15:RL15))</f>
        <v/>
      </c>
      <c r="RM68" s="114" t="str">
        <f>IF(OR(RM$13="",RM$17="",RM$14="",RM$15="",RM$16="",RM$18="",RM$19="",RM$20="",RM$21=""),"",SUM($QP15:RM15))</f>
        <v/>
      </c>
      <c r="RN68" s="114" t="str">
        <f>IF(OR(RN$13="",RN$17="",RN$14="",RN$15="",RN$16="",RN$18="",RN$19="",RN$20="",RN$21=""),"",SUM($QP15:RN15))</f>
        <v/>
      </c>
      <c r="RO68" s="114" t="str">
        <f>IF(OR(RO$13="",RO$17="",RO$14="",RO$15="",RO$16="",RO$18="",RO$19="",RO$20="",RO$21=""),"",SUM($QP15:RO15))</f>
        <v/>
      </c>
      <c r="RP68" s="114" t="str">
        <f>IF(OR(RP$13="",RP$17="",RP$14="",RP$15="",RP$16="",RP$18="",RP$19="",RP$20="",RP$21=""),"",SUM($QP15:RP15))</f>
        <v/>
      </c>
      <c r="RQ68" s="114" t="str">
        <f>IF(OR(RQ$13="",RQ$17="",RQ$14="",RQ$15="",RQ$16="",RQ$18="",RQ$19="",RQ$20="",RQ$21=""),"",SUM($QP15:RQ15))</f>
        <v/>
      </c>
      <c r="RR68" s="114" t="str">
        <f>IF(OR(RR$13="",RR$17="",RR$14="",RR$15="",RR$16="",RR$18="",RR$19="",RR$20="",RR$21=""),"",SUM($QP15:RR15))</f>
        <v/>
      </c>
      <c r="RS68" s="114" t="str">
        <f>IF(OR(RS$13="",RS$17="",RS$14="",RS$15="",RS$16="",RS$18="",RS$19="",RS$20="",RS$21=""),"",SUM($QP15:RS15))</f>
        <v/>
      </c>
      <c r="RT68" s="114" t="str">
        <f>IF(OR(RT$13="",RT$17="",RT$14="",RT$15="",RT$16="",RT$18="",RT$19="",RT$20="",RT$21=""),"",SUM($RT15:RT15))</f>
        <v/>
      </c>
      <c r="RU68" s="114" t="str">
        <f>IF(OR(RU$13="",RU$17="",RU$14="",RU$15="",RU$16="",RU$18="",RU$19="",RU$20="",RU$21=""),"",SUM($RT15:RU15))</f>
        <v/>
      </c>
      <c r="RV68" s="114" t="str">
        <f>IF(OR(RV$13="",RV$17="",RV$14="",RV$15="",RV$16="",RV$18="",RV$19="",RV$20="",RV$21=""),"",SUM($RT15:RV15))</f>
        <v/>
      </c>
      <c r="RW68" s="114" t="str">
        <f>IF(OR(RW$13="",RW$17="",RW$14="",RW$15="",RW$16="",RW$18="",RW$19="",RW$20="",RW$21=""),"",SUM($RT15:RW15))</f>
        <v/>
      </c>
      <c r="RX68" s="114" t="str">
        <f>IF(OR(RX$13="",RX$17="",RX$14="",RX$15="",RX$16="",RX$18="",RX$19="",RX$20="",RX$21=""),"",SUM($RT15:RX15))</f>
        <v/>
      </c>
      <c r="RY68" s="114" t="str">
        <f>IF(OR(RY$13="",RY$17="",RY$14="",RY$15="",RY$16="",RY$18="",RY$19="",RY$20="",RY$21=""),"",SUM($RT15:RY15))</f>
        <v/>
      </c>
      <c r="RZ68" s="114" t="str">
        <f>IF(OR(RZ$13="",RZ$17="",RZ$14="",RZ$15="",RZ$16="",RZ$18="",RZ$19="",RZ$20="",RZ$21=""),"",SUM($RT15:RZ15))</f>
        <v/>
      </c>
      <c r="SA68" s="114" t="str">
        <f>IF(OR(SA$13="",SA$17="",SA$14="",SA$15="",SA$16="",SA$18="",SA$19="",SA$20="",SA$21=""),"",SUM($RT15:SA15))</f>
        <v/>
      </c>
      <c r="SB68" s="114" t="str">
        <f>IF(OR(SB$13="",SB$17="",SB$14="",SB$15="",SB$16="",SB$18="",SB$19="",SB$20="",SB$21=""),"",SUM($RT15:SB15))</f>
        <v/>
      </c>
      <c r="SC68" s="114" t="str">
        <f>IF(OR(SC$13="",SC$17="",SC$14="",SC$15="",SC$16="",SC$18="",SC$19="",SC$20="",SC$21=""),"",SUM($RT15:SC15))</f>
        <v/>
      </c>
      <c r="SD68" s="114" t="str">
        <f>IF(OR(SD$13="",SD$17="",SD$14="",SD$15="",SD$16="",SD$18="",SD$19="",SD$20="",SD$21=""),"",SUM($RT15:SD15))</f>
        <v/>
      </c>
      <c r="SE68" s="114" t="str">
        <f>IF(OR(SE$13="",SE$17="",SE$14="",SE$15="",SE$16="",SE$18="",SE$19="",SE$20="",SE$21=""),"",SUM($RT15:SE15))</f>
        <v/>
      </c>
      <c r="SF68" s="114" t="str">
        <f>IF(OR(SF$13="",SF$17="",SF$14="",SF$15="",SF$16="",SF$18="",SF$19="",SF$20="",SF$21=""),"",SUM($RT15:SF15))</f>
        <v/>
      </c>
      <c r="SG68" s="114" t="str">
        <f>IF(OR(SG$13="",SG$17="",SG$14="",SG$15="",SG$16="",SG$18="",SG$19="",SG$20="",SG$21=""),"",SUM($RT15:SG15))</f>
        <v/>
      </c>
      <c r="SH68" s="114" t="str">
        <f>IF(OR(SH$13="",SH$17="",SH$14="",SH$15="",SH$16="",SH$18="",SH$19="",SH$20="",SH$21=""),"",SUM($RT15:SH15))</f>
        <v/>
      </c>
      <c r="SI68" s="114" t="str">
        <f>IF(OR(SI$13="",SI$17="",SI$14="",SI$15="",SI$16="",SI$18="",SI$19="",SI$20="",SI$21=""),"",SUM($RT15:SI15))</f>
        <v/>
      </c>
      <c r="SJ68" s="114" t="str">
        <f>IF(OR(SJ$13="",SJ$17="",SJ$14="",SJ$15="",SJ$16="",SJ$18="",SJ$19="",SJ$20="",SJ$21=""),"",SUM($RT15:SJ15))</f>
        <v/>
      </c>
      <c r="SK68" s="114" t="str">
        <f>IF(OR(SK$13="",SK$17="",SK$14="",SK$15="",SK$16="",SK$18="",SK$19="",SK$20="",SK$21=""),"",SUM($RT15:SK15))</f>
        <v/>
      </c>
      <c r="SL68" s="114" t="str">
        <f>IF(OR(SL$13="",SL$17="",SL$14="",SL$15="",SL$16="",SL$18="",SL$19="",SL$20="",SL$21=""),"",SUM($RT15:SL15))</f>
        <v/>
      </c>
      <c r="SM68" s="114" t="str">
        <f>IF(OR(SM$13="",SM$17="",SM$14="",SM$15="",SM$16="",SM$18="",SM$19="",SM$20="",SM$21=""),"",SUM($RT15:SM15))</f>
        <v/>
      </c>
      <c r="SN68" s="114" t="str">
        <f>IF(OR(SN$13="",SN$17="",SN$14="",SN$15="",SN$16="",SN$18="",SN$19="",SN$20="",SN$21=""),"",SUM($RT15:SN15))</f>
        <v/>
      </c>
      <c r="SO68" s="114" t="str">
        <f>IF(OR(SO$13="",SO$17="",SO$14="",SO$15="",SO$16="",SO$18="",SO$19="",SO$20="",SO$21=""),"",SUM($RT15:SO15))</f>
        <v/>
      </c>
      <c r="SP68" s="114" t="str">
        <f>IF(OR(SP$13="",SP$17="",SP$14="",SP$15="",SP$16="",SP$18="",SP$19="",SP$20="",SP$21=""),"",SUM($RT15:SP15))</f>
        <v/>
      </c>
      <c r="SQ68" s="114" t="str">
        <f>IF(OR(SQ$13="",SQ$17="",SQ$14="",SQ$15="",SQ$16="",SQ$18="",SQ$19="",SQ$20="",SQ$21=""),"",SUM($RT15:SQ15))</f>
        <v/>
      </c>
      <c r="SR68" s="114" t="str">
        <f>IF(OR(SR$13="",SR$17="",SR$14="",SR$15="",SR$16="",SR$18="",SR$19="",SR$20="",SR$21=""),"",SUM($RT15:SR15))</f>
        <v/>
      </c>
      <c r="SS68" s="114" t="str">
        <f>IF(OR(SS$13="",SS$17="",SS$14="",SS$15="",SS$16="",SS$18="",SS$19="",SS$20="",SS$21=""),"",SUM($RT15:SS15))</f>
        <v/>
      </c>
      <c r="ST68" s="114" t="str">
        <f>IF(OR(ST$13="",ST$17="",ST$14="",ST$15="",ST$16="",ST$18="",ST$19="",ST$20="",ST$21=""),"",SUM($RT15:ST15))</f>
        <v/>
      </c>
      <c r="SU68" s="114" t="str">
        <f>IF(OR(SU$13="",SU$17="",SU$14="",SU$15="",SU$16="",SU$18="",SU$19="",SU$20="",SU$21=""),"",SUM($RT15:SU15))</f>
        <v/>
      </c>
      <c r="SV68" s="114" t="str">
        <f>IF(OR(SV$13="",SV$17="",SV$14="",SV$15="",SV$16="",SV$18="",SV$19="",SV$20="",SV$21=""),"",SUM($RT15:SV15))</f>
        <v/>
      </c>
      <c r="SW68" s="114" t="str">
        <f>IF(OR(SW$13="",SW$17="",SW$14="",SW$15="",SW$16="",SW$18="",SW$19="",SW$20="",SW$21=""),"",SUM($RT15:SW15))</f>
        <v/>
      </c>
    </row>
    <row r="69" spans="1:517" ht="24.6" customHeight="1" x14ac:dyDescent="0.2">
      <c r="A69" s="94" t="s">
        <v>86</v>
      </c>
      <c r="B69" s="119" t="s">
        <v>80</v>
      </c>
      <c r="C69" s="114">
        <f>IF(OR(C$13="",C$17="",C$14="",C$15="",C$16="",C$18="",C$19="",C$20="",C$21=""),"",SUM($C16:C16))</f>
        <v>0</v>
      </c>
      <c r="D69" s="114">
        <f>IF(OR(D$13="",D$17="",D$14="",D$15="",D$16="",D$18="",D$19="",D$20="",D$21=""),"",SUM($C16:D16))</f>
        <v>0</v>
      </c>
      <c r="E69" s="114">
        <f>IF(OR(E$13="",E$17="",E$14="",E$15="",E$16="",E$18="",E$19="",E$20="",E$21=""),"",SUM($C16:E16))</f>
        <v>0</v>
      </c>
      <c r="F69" s="114">
        <f>IF(OR(F$13="",F$17="",F$14="",F$15="",F$16="",F$18="",F$19="",F$20="",F$21=""),"",SUM($C16:F16))</f>
        <v>0</v>
      </c>
      <c r="G69" s="114">
        <f>IF(OR(G$13="",G$17="",G$14="",G$15="",G$16="",G$18="",G$19="",G$20="",G$21=""),"",SUM($C16:G16))</f>
        <v>0</v>
      </c>
      <c r="H69" s="114">
        <f>IF(OR(H$13="",H$17="",H$14="",H$15="",H$16="",H$18="",H$19="",H$20="",H$21=""),"",SUM($C16:H16))</f>
        <v>0</v>
      </c>
      <c r="I69" s="114">
        <f>IF(OR(I$13="",I$17="",I$14="",I$15="",I$16="",I$18="",I$19="",I$20="",I$21=""),"",SUM($C16:I16))</f>
        <v>0</v>
      </c>
      <c r="J69" s="114">
        <f>IF(OR(J$13="",J$17="",J$14="",J$15="",J$16="",J$18="",J$19="",J$20="",J$21=""),"",SUM($C16:J16))</f>
        <v>0</v>
      </c>
      <c r="K69" s="114">
        <f>IF(OR(K$13="",K$17="",K$14="",K$15="",K$16="",K$18="",K$19="",K$20="",K$21=""),"",SUM($C16:K16))</f>
        <v>0</v>
      </c>
      <c r="L69" s="114">
        <f>IF(OR(L$13="",L$17="",L$14="",L$15="",L$16="",L$18="",L$19="",L$20="",L$21=""),"",SUM($C16:L16))</f>
        <v>0</v>
      </c>
      <c r="M69" s="114">
        <f>IF(OR(M$13="",M$17="",M$14="",M$15="",M$16="",M$18="",M$19="",M$20="",M$21=""),"",SUM($C16:M16))</f>
        <v>0</v>
      </c>
      <c r="N69" s="114">
        <f>IF(OR(N$13="",N$17="",N$14="",N$15="",N$16="",N$18="",N$19="",N$20="",N$21=""),"",SUM($C16:N16))</f>
        <v>0</v>
      </c>
      <c r="O69" s="114">
        <f>IF(OR(O$13="",O$17="",O$14="",O$15="",O$16="",O$18="",O$19="",O$20="",O$21=""),"",SUM($C16:O16))</f>
        <v>0</v>
      </c>
      <c r="P69" s="114">
        <f>IF(OR(P$13="",P$17="",P$14="",P$15="",P$16="",P$18="",P$19="",P$20="",P$21=""),"",SUM($C16:P16))</f>
        <v>0</v>
      </c>
      <c r="Q69" s="114">
        <f>IF(OR(Q$13="",Q$17="",Q$14="",Q$15="",Q$16="",Q$18="",Q$19="",Q$20="",Q$21=""),"",SUM($C16:Q16))</f>
        <v>0</v>
      </c>
      <c r="R69" s="114">
        <f>IF(OR(R$13="",R$17="",R$14="",R$15="",R$16="",R$18="",R$19="",R$20="",R$21=""),"",SUM($C16:R16))</f>
        <v>0</v>
      </c>
      <c r="S69" s="114">
        <f>IF(OR(S$13="",S$17="",S$14="",S$15="",S$16="",S$18="",S$19="",S$20="",S$21=""),"",SUM($C16:S16))</f>
        <v>0</v>
      </c>
      <c r="T69" s="114">
        <f>IF(OR(T$13="",T$17="",T$14="",T$15="",T$16="",T$18="",T$19="",T$20="",T$21=""),"",SUM($C16:T16))</f>
        <v>0</v>
      </c>
      <c r="U69" s="114">
        <f>IF(OR(U$13="",U$17="",U$14="",U$15="",U$16="",U$18="",U$19="",U$20="",U$21=""),"",SUM($C16:U16))</f>
        <v>0</v>
      </c>
      <c r="V69" s="114">
        <f>IF(OR(V$13="",V$17="",V$14="",V$15="",V$16="",V$18="",V$19="",V$20="",V$21=""),"",SUM($C16:V16))</f>
        <v>0</v>
      </c>
      <c r="W69" s="114">
        <f>IF(OR(W$13="",W$17="",W$14="",W$15="",W$16="",W$18="",W$19="",W$20="",W$21=""),"",SUM($C16:W16))</f>
        <v>0</v>
      </c>
      <c r="X69" s="114">
        <f>IF(OR(X$13="",X$17="",X$14="",X$15="",X$16="",X$18="",X$19="",X$20="",X$21=""),"",SUM($C16:X16))</f>
        <v>0</v>
      </c>
      <c r="Y69" s="114">
        <f>IF(OR(Y$13="",Y$17="",Y$14="",Y$15="",Y$16="",Y$18="",Y$19="",Y$20="",Y$21=""),"",SUM($C16:Y16))</f>
        <v>28.400000000000002</v>
      </c>
      <c r="Z69" s="114">
        <f>IF(OR(Z$13="",Z$17="",Z$14="",Z$15="",Z$16="",Z$18="",Z$19="",Z$20="",Z$21=""),"",SUM($C16:Z16))</f>
        <v>28.400000000000002</v>
      </c>
      <c r="AA69" s="114">
        <f>IF(OR(AA$13="",AA$17="",AA$14="",AA$15="",AA$16="",AA$18="",AA$19="",AA$20="",AA$21=""),"",SUM($C16:AA16))</f>
        <v>28.400000000000002</v>
      </c>
      <c r="AB69" s="114">
        <f>IF(OR(AB$13="",AB$17="",AB$14="",AB$15="",AB$16="",AB$18="",AB$19="",AB$20="",AB$21=""),"",SUM($C16:AB16))</f>
        <v>28.400000000000002</v>
      </c>
      <c r="AC69" s="114">
        <f>IF(OR(AC$13="",AC$17="",AC$14="",AC$15="",AC$16="",AC$18="",AC$19="",AC$20="",AC$21=""),"",SUM($C16:AC16))</f>
        <v>28.400000000000002</v>
      </c>
      <c r="AD69" s="114">
        <f>IF(OR(AD$13="",AD$17="",AD$14="",AD$15="",AD$16="",AD$18="",AD$19="",AD$20="",AD$21=""),"",SUM($C16:AD16))</f>
        <v>28.400000000000002</v>
      </c>
      <c r="AE69" s="114">
        <f>IF(OR(AE$13="",AE$17="",AE$14="",AE$15="",AE$16="",AE$18="",AE$19="",AE$20="",AE$21=""),"",SUM($C16:AE16))</f>
        <v>28.400000000000002</v>
      </c>
      <c r="AF69" s="114">
        <f>IF(OR(AF$13="",AF$17="",AF$14="",AF$15="",AF$16="",AF$18="",AF$19="",AF$20="",AF$21=""),"",SUM($C16:AF16))</f>
        <v>28.400000000000002</v>
      </c>
      <c r="AG69" s="114">
        <f>IF(OR(AG$13="",AG$17="",AG$14="",AG$15="",AG$16="",AG$18="",AG$19="",AG$20="",AG$21=""),"",SUM($C16:AG16))</f>
        <v>29.810000000000002</v>
      </c>
      <c r="AH69" s="114">
        <f>IF(OR(AH$13="",AH$17="",AH$14="",AH$15="",AH$16="",AH$18="",AH$19="",AH$20="",AH$21=""),"",SUM($AH16:AH16))</f>
        <v>0</v>
      </c>
      <c r="AI69" s="114">
        <f>IF(OR(AI$13="",AI$17="",AI$14="",AI$15="",AI$16="",AI$18="",AI$19="",AI$20="",AI$21=""),"",SUM($AH16:AI16))</f>
        <v>2.7800000000000002</v>
      </c>
      <c r="AJ69" s="114">
        <f>IF(OR(AJ$13="",AJ$17="",AJ$14="",AJ$15="",AJ$16="",AJ$18="",AJ$19="",AJ$20="",AJ$21=""),"",SUM($AH16:AJ16))</f>
        <v>2.7800000000000002</v>
      </c>
      <c r="AK69" s="114">
        <f>IF(OR(AK$13="",AK$17="",AK$14="",AK$15="",AK$16="",AK$18="",AK$19="",AK$20="",AK$21=""),"",SUM($AH16:AK16))</f>
        <v>3.7300000000000004</v>
      </c>
      <c r="AL69" s="114">
        <f>IF(OR(AL$13="",AL$17="",AL$14="",AL$15="",AL$16="",AL$18="",AL$19="",AL$20="",AL$21=""),"",SUM($AH16:AL16))</f>
        <v>5.1300000000000008</v>
      </c>
      <c r="AM69" s="114">
        <f>IF(OR(AM$13="",AM$17="",AM$14="",AM$15="",AM$16="",AM$18="",AM$19="",AM$20="",AM$21=""),"",SUM($AH16:AM16))</f>
        <v>5.1300000000000008</v>
      </c>
      <c r="AN69" s="114">
        <f>IF(OR(AN$13="",AN$17="",AN$14="",AN$15="",AN$16="",AN$18="",AN$19="",AN$20="",AN$21=""),"",SUM($AH16:AN16))</f>
        <v>7.07</v>
      </c>
      <c r="AO69" s="114">
        <f>IF(OR(AO$13="",AO$17="",AO$14="",AO$15="",AO$16="",AO$18="",AO$19="",AO$20="",AO$21=""),"",SUM($AH16:AO16))</f>
        <v>10.040000000000001</v>
      </c>
      <c r="AP69" s="114">
        <f>IF(OR(AP$13="",AP$17="",AP$14="",AP$15="",AP$16="",AP$18="",AP$19="",AP$20="",AP$21=""),"",SUM($AH16:AP16))</f>
        <v>10.040000000000001</v>
      </c>
      <c r="AQ69" s="114">
        <f>IF(OR(AQ$13="",AQ$17="",AQ$14="",AQ$15="",AQ$16="",AQ$18="",AQ$19="",AQ$20="",AQ$21=""),"",SUM($AH16:AQ16))</f>
        <v>10.040000000000001</v>
      </c>
      <c r="AR69" s="114">
        <f>IF(OR(AR$13="",AR$17="",AR$14="",AR$15="",AR$16="",AR$18="",AR$19="",AR$20="",AR$21=""),"",SUM($AH16:AR16))</f>
        <v>10.040000000000001</v>
      </c>
      <c r="AS69" s="114">
        <f>IF(OR(AS$13="",AS$17="",AS$14="",AS$15="",AS$16="",AS$18="",AS$19="",AS$20="",AS$21=""),"",SUM($AH16:AS16))</f>
        <v>10.040000000000001</v>
      </c>
      <c r="AT69" s="114">
        <f>IF(OR(AT$13="",AT$17="",AT$14="",AT$15="",AT$16="",AT$18="",AT$19="",AT$20="",AT$21=""),"",SUM($AH16:AT16))</f>
        <v>12.850000000000001</v>
      </c>
      <c r="AU69" s="114">
        <f>IF(OR(AU$13="",AU$17="",AU$14="",AU$15="",AU$16="",AU$18="",AU$19="",AU$20="",AU$21=""),"",SUM($AH16:AU16))</f>
        <v>12.850000000000001</v>
      </c>
      <c r="AV69" s="114">
        <f>IF(OR(AV$13="",AV$17="",AV$14="",AV$15="",AV$16="",AV$18="",AV$19="",AV$20="",AV$21=""),"",SUM($AH16:AV16))</f>
        <v>34.08</v>
      </c>
      <c r="AW69" s="114">
        <f>IF(OR(AW$13="",AW$17="",AW$14="",AW$15="",AW$16="",AW$18="",AW$19="",AW$20="",AW$21=""),"",SUM($AH16:AW16))</f>
        <v>34.08</v>
      </c>
      <c r="AX69" s="114">
        <f>IF(OR(AX$13="",AX$17="",AX$14="",AX$15="",AX$16="",AX$18="",AX$19="",AX$20="",AX$21=""),"",SUM($AH16:AX16))</f>
        <v>34.08</v>
      </c>
      <c r="AY69" s="114">
        <f>IF(OR(AY$13="",AY$17="",AY$14="",AY$15="",AY$16="",AY$18="",AY$19="",AY$20="",AY$21=""),"",SUM($AH16:AY16))</f>
        <v>34.08</v>
      </c>
      <c r="AZ69" s="114">
        <f>IF(OR(AZ$13="",AZ$17="",AZ$14="",AZ$15="",AZ$16="",AZ$18="",AZ$19="",AZ$20="",AZ$21=""),"",SUM($AH16:AZ16))</f>
        <v>37.65</v>
      </c>
      <c r="BA69" s="114">
        <f>IF(OR(BA$13="",BA$17="",BA$14="",BA$15="",BA$16="",BA$18="",BA$19="",BA$20="",BA$21=""),"",SUM($AH16:BA16))</f>
        <v>37.65</v>
      </c>
      <c r="BB69" s="114">
        <f>IF(OR(BB$13="",BB$17="",BB$14="",BB$15="",BB$16="",BB$18="",BB$19="",BB$20="",BB$21=""),"",SUM($AH16:BB16))</f>
        <v>37.65</v>
      </c>
      <c r="BC69" s="114">
        <f>IF(OR(BC$13="",BC$17="",BC$14="",BC$15="",BC$16="",BC$18="",BC$19="",BC$20="",BC$21=""),"",SUM($AH16:BC16))</f>
        <v>37.65</v>
      </c>
      <c r="BD69" s="114">
        <f>IF(OR(BD$13="",BD$17="",BD$14="",BD$15="",BD$16="",BD$18="",BD$19="",BD$20="",BD$21=""),"",SUM($AH16:BD16))</f>
        <v>37.65</v>
      </c>
      <c r="BE69" s="114">
        <f>IF(OR(BE$13="",BE$17="",BE$14="",BE$15="",BE$16="",BE$18="",BE$19="",BE$20="",BE$21=""),"",SUM($AH16:BE16))</f>
        <v>37.65</v>
      </c>
      <c r="BF69" s="114">
        <f>IF(OR(BF$13="",BF$17="",BF$14="",BF$15="",BF$16="",BF$18="",BF$19="",BF$20="",BF$21=""),"",SUM($AH16:BF16))</f>
        <v>37.65</v>
      </c>
      <c r="BG69" s="114">
        <f>IF(OR(BG$13="",BG$17="",BG$14="",BG$15="",BG$16="",BG$18="",BG$19="",BG$20="",BG$21=""),"",SUM($AH16:BG16))</f>
        <v>42.48</v>
      </c>
      <c r="BH69" s="114">
        <f>IF(OR(BH$13="",BH$17="",BH$14="",BH$15="",BH$16="",BH$18="",BH$19="",BH$20="",BH$21=""),"",SUM($AH16:BH16))</f>
        <v>42.48</v>
      </c>
      <c r="BI69" s="114">
        <f>IF(OR(BI$13="",BI$17="",BI$14="",BI$15="",BI$16="",BI$18="",BI$19="",BI$20="",BI$21=""),"",SUM($AH16:BI16))</f>
        <v>42.48</v>
      </c>
      <c r="BJ69" s="114">
        <f>IF(OR(BJ$13="",BJ$17="",BJ$14="",BJ$15="",BJ$16="",BJ$18="",BJ$19="",BJ$20="",BJ$21=""),"",SUM($BJ16:BJ16))</f>
        <v>0</v>
      </c>
      <c r="BK69" s="114">
        <f>IF(OR(BK$13="",BK$17="",BK$14="",BK$15="",BK$16="",BK$18="",BK$19="",BK$20="",BK$21=""),"",SUM($BJ16:BK16))</f>
        <v>14.91</v>
      </c>
      <c r="BL69" s="114">
        <f>IF(OR(BL$13="",BL$17="",BL$14="",BL$15="",BL$16="",BL$18="",BL$19="",BL$20="",BL$21=""),"",SUM($BJ16:BL16))</f>
        <v>26.44</v>
      </c>
      <c r="BM69" s="114">
        <f>IF(OR(BM$13="",BM$17="",BM$14="",BM$15="",BM$16="",BM$18="",BM$19="",BM$20="",BM$21=""),"",SUM($BJ16:BM16))</f>
        <v>26.44</v>
      </c>
      <c r="BN69" s="114">
        <f>IF(OR(BN$13="",BN$17="",BN$14="",BN$15="",BN$16="",BN$18="",BN$19="",BN$20="",BN$21=""),"",SUM($BJ16:BN16))</f>
        <v>49.96</v>
      </c>
      <c r="BO69" s="114">
        <f>IF(OR(BO$13="",BO$17="",BO$14="",BO$15="",BO$16="",BO$18="",BO$19="",BO$20="",BO$21=""),"",SUM($BJ16:BO16))</f>
        <v>49.96</v>
      </c>
      <c r="BP69" s="114">
        <f>IF(OR(BP$13="",BP$17="",BP$14="",BP$15="",BP$16="",BP$18="",BP$19="",BP$20="",BP$21=""),"",SUM($BJ16:BP16))</f>
        <v>49.96</v>
      </c>
      <c r="BQ69" s="114">
        <f>IF(OR(BQ$13="",BQ$17="",BQ$14="",BQ$15="",BQ$16="",BQ$18="",BQ$19="",BQ$20="",BQ$21=""),"",SUM($BJ16:BQ16))</f>
        <v>49.96</v>
      </c>
      <c r="BR69" s="114">
        <f>IF(OR(BR$13="",BR$17="",BR$14="",BR$15="",BR$16="",BR$18="",BR$19="",BR$20="",BR$21=""),"",SUM($BJ16:BR16))</f>
        <v>49.96</v>
      </c>
      <c r="BS69" s="114">
        <f>IF(OR(BS$13="",BS$17="",BS$14="",BS$15="",BS$16="",BS$18="",BS$19="",BS$20="",BS$21=""),"",SUM($BJ16:BS16))</f>
        <v>49.96</v>
      </c>
      <c r="BT69" s="114">
        <f>IF(OR(BT$13="",BT$17="",BT$14="",BT$15="",BT$16="",BT$18="",BT$19="",BT$20="",BT$21=""),"",SUM($BJ16:BT16))</f>
        <v>49.96</v>
      </c>
      <c r="BU69" s="114">
        <f>IF(OR(BU$13="",BU$17="",BU$14="",BU$15="",BU$16="",BU$18="",BU$19="",BU$20="",BU$21=""),"",SUM($BJ16:BU16))</f>
        <v>50.93</v>
      </c>
      <c r="BV69" s="114">
        <f>IF(OR(BV$13="",BV$17="",BV$14="",BV$15="",BV$16="",BV$18="",BV$19="",BV$20="",BV$21=""),"",SUM($BJ16:BV16))</f>
        <v>50.93</v>
      </c>
      <c r="BW69" s="114">
        <f>IF(OR(BW$13="",BW$17="",BW$14="",BW$15="",BW$16="",BW$18="",BW$19="",BW$20="",BW$21=""),"",SUM($BJ16:BW16))</f>
        <v>50.93</v>
      </c>
      <c r="BX69" s="114">
        <f>IF(OR(BX$13="",BX$17="",BX$14="",BX$15="",BX$16="",BX$18="",BX$19="",BX$20="",BX$21=""),"",SUM($BJ16:BX16))</f>
        <v>50.93</v>
      </c>
      <c r="BY69" s="114">
        <f>IF(OR(BY$13="",BY$17="",BY$14="",BY$15="",BY$16="",BY$18="",BY$19="",BY$20="",BY$21=""),"",SUM($BJ16:BY16))</f>
        <v>50.93</v>
      </c>
      <c r="BZ69" s="114">
        <f>IF(OR(BZ$13="",BZ$17="",BZ$14="",BZ$15="",BZ$16="",BZ$18="",BZ$19="",BZ$20="",BZ$21=""),"",SUM($BJ16:BZ16))</f>
        <v>50.93</v>
      </c>
      <c r="CA69" s="114">
        <f>IF(OR(CA$13="",CA$17="",CA$14="",CA$15="",CA$16="",CA$18="",CA$19="",CA$20="",CA$21=""),"",SUM($BJ16:CA16))</f>
        <v>50.93</v>
      </c>
      <c r="CB69" s="114">
        <f>IF(OR(CB$13="",CB$17="",CB$14="",CB$15="",CB$16="",CB$18="",CB$19="",CB$20="",CB$21=""),"",SUM($BJ16:CB16))</f>
        <v>83.759999999999991</v>
      </c>
      <c r="CC69" s="114">
        <f>IF(OR(CC$13="",CC$17="",CC$14="",CC$15="",CC$16="",CC$18="",CC$19="",CC$20="",CC$21=""),"",SUM($BJ16:CC16))</f>
        <v>83.759999999999991</v>
      </c>
      <c r="CD69" s="114">
        <f>IF(OR(CD$13="",CD$17="",CD$14="",CD$15="",CD$16="",CD$18="",CD$19="",CD$20="",CD$21=""),"",SUM($BJ16:CD16))</f>
        <v>83.759999999999991</v>
      </c>
      <c r="CE69" s="114">
        <f>IF(OR(CE$13="",CE$17="",CE$14="",CE$15="",CE$16="",CE$18="",CE$19="",CE$20="",CE$21=""),"",SUM($BJ16:CE16))</f>
        <v>83.759999999999991</v>
      </c>
      <c r="CF69" s="114">
        <f>IF(OR(CF$13="",CF$17="",CF$14="",CF$15="",CF$16="",CF$18="",CF$19="",CF$20="",CF$21=""),"",SUM($BJ16:CF16))</f>
        <v>83.759999999999991</v>
      </c>
      <c r="CG69" s="114">
        <f>IF(OR(CG$13="",CG$17="",CG$14="",CG$15="",CG$16="",CG$18="",CG$19="",CG$20="",CG$21=""),"",SUM($BJ16:CG16))</f>
        <v>83.759999999999991</v>
      </c>
      <c r="CH69" s="114">
        <f>IF(OR(CH$13="",CH$17="",CH$14="",CH$15="",CH$16="",CH$18="",CH$19="",CH$20="",CH$21=""),"",SUM($BJ16:CH16))</f>
        <v>84.46</v>
      </c>
      <c r="CI69" s="114">
        <f>IF(OR(CI$13="",CI$17="",CI$14="",CI$15="",CI$16="",CI$18="",CI$19="",CI$20="",CI$21=""),"",SUM($BJ16:CI16))</f>
        <v>84.46</v>
      </c>
      <c r="CJ69" s="114">
        <f>IF(OR(CJ$13="",CJ$17="",CJ$14="",CJ$15="",CJ$16="",CJ$18="",CJ$19="",CJ$20="",CJ$21=""),"",SUM($BJ16:CJ16))</f>
        <v>84.46</v>
      </c>
      <c r="CK69" s="114">
        <f>IF(OR(CK$13="",CK$17="",CK$14="",CK$15="",CK$16="",CK$18="",CK$19="",CK$20="",CK$21=""),"",SUM($BJ16:CK16))</f>
        <v>84.46</v>
      </c>
      <c r="CL69" s="114">
        <f>IF(OR(CL$13="",CL$17="",CL$14="",CL$15="",CL$16="",CL$18="",CL$19="",CL$20="",CL$21=""),"",SUM($BJ16:CL16))</f>
        <v>84.46</v>
      </c>
      <c r="CM69" s="114">
        <f>IF(OR(CM$13="",CM$17="",CM$14="",CM$15="",CM$16="",CM$18="",CM$19="",CM$20="",CM$21=""),"",SUM($BJ16:CM16))</f>
        <v>84.46</v>
      </c>
      <c r="CN69" s="114">
        <f>IF(OR(CN$13="",CN$17="",CN$14="",CN$15="",CN$16="",CN$18="",CN$19="",CN$20="",CN$21=""),"",SUM($BJ16:CN16))</f>
        <v>84.46</v>
      </c>
      <c r="CO69" s="114">
        <f>IF(OR(CO$13="",CO$17="",CO$14="",CO$15="",CO$16="",CO$18="",CO$19="",CO$20="",CO$21=""),"",SUM($CO16:CO16))</f>
        <v>22.67</v>
      </c>
      <c r="CP69" s="114">
        <f>IF(OR(CP$13="",CP$17="",CP$14="",CP$15="",CP$16="",CP$18="",CP$19="",CP$20="",CP$21=""),"",SUM($CO16:CP16))</f>
        <v>22.67</v>
      </c>
      <c r="CQ69" s="114">
        <f>IF(OR(CQ$13="",CQ$17="",CQ$14="",CQ$15="",CQ$16="",CQ$18="",CQ$19="",CQ$20="",CQ$21=""),"",SUM($CO16:CQ16))</f>
        <v>22.67</v>
      </c>
      <c r="CR69" s="114">
        <f>IF(OR(CR$13="",CR$17="",CR$14="",CR$15="",CR$16="",CR$18="",CR$19="",CR$20="",CR$21=""),"",SUM($CO16:CR16))</f>
        <v>22.67</v>
      </c>
      <c r="CS69" s="114">
        <f>IF(OR(CS$13="",CS$17="",CS$14="",CS$15="",CS$16="",CS$18="",CS$19="",CS$20="",CS$21=""),"",SUM($CO16:CS16))</f>
        <v>53.85</v>
      </c>
      <c r="CT69" s="114">
        <f>IF(OR(CT$13="",CT$17="",CT$14="",CT$15="",CT$16="",CT$18="",CT$19="",CT$20="",CT$21=""),"",SUM($CO16:CT16))</f>
        <v>71.45</v>
      </c>
      <c r="CU69" s="114">
        <f>IF(OR(CU$13="",CU$17="",CU$14="",CU$15="",CU$16="",CU$18="",CU$19="",CU$20="",CU$21=""),"",SUM($CO16:CU16))</f>
        <v>75.55</v>
      </c>
      <c r="CV69" s="114">
        <f>IF(OR(CV$13="",CV$17="",CV$14="",CV$15="",CV$16="",CV$18="",CV$19="",CV$20="",CV$21=""),"",SUM($CO16:CV16))</f>
        <v>76.38</v>
      </c>
      <c r="CW69" s="114">
        <f>IF(OR(CW$13="",CW$17="",CW$14="",CW$15="",CW$16="",CW$18="",CW$19="",CW$20="",CW$21=""),"",SUM($CO16:CW16))</f>
        <v>76.38</v>
      </c>
      <c r="CX69" s="114">
        <f>IF(OR(CX$13="",CX$17="",CX$14="",CX$15="",CX$16="",CX$18="",CX$19="",CX$20="",CX$21=""),"",SUM($CO16:CX16))</f>
        <v>76.38</v>
      </c>
      <c r="CY69" s="114">
        <f>IF(OR(CY$13="",CY$17="",CY$14="",CY$15="",CY$16="",CY$18="",CY$19="",CY$20="",CY$21=""),"",SUM($CO16:CY16))</f>
        <v>80.459999999999994</v>
      </c>
      <c r="CZ69" s="114">
        <f>IF(OR(CZ$13="",CZ$17="",CZ$14="",CZ$15="",CZ$16="",CZ$18="",CZ$19="",CZ$20="",CZ$21=""),"",SUM($CO16:CZ16))</f>
        <v>80.459999999999994</v>
      </c>
      <c r="DA69" s="114">
        <f>IF(OR(DA$13="",DA$17="",DA$14="",DA$15="",DA$16="",DA$18="",DA$19="",DA$20="",DA$21=""),"",SUM($CO16:DA16))</f>
        <v>80.459999999999994</v>
      </c>
      <c r="DB69" s="114">
        <f>IF(OR(DB$13="",DB$17="",DB$14="",DB$15="",DB$16="",DB$18="",DB$19="",DB$20="",DB$21=""),"",SUM($CO16:DB16))</f>
        <v>82.66</v>
      </c>
      <c r="DC69" s="114">
        <f>IF(OR(DC$13="",DC$17="",DC$14="",DC$15="",DC$16="",DC$18="",DC$19="",DC$20="",DC$21=""),"",SUM($CO16:DC16))</f>
        <v>82.66</v>
      </c>
      <c r="DD69" s="114">
        <f>IF(OR(DD$13="",DD$17="",DD$14="",DD$15="",DD$16="",DD$18="",DD$19="",DD$20="",DD$21=""),"",SUM($CO16:DD16))</f>
        <v>82.66</v>
      </c>
      <c r="DE69" s="114">
        <f>IF(OR(DE$13="",DE$17="",DE$14="",DE$15="",DE$16="",DE$18="",DE$19="",DE$20="",DE$21=""),"",SUM($CO16:DE16))</f>
        <v>87.78</v>
      </c>
      <c r="DF69" s="114">
        <f>IF(OR(DF$13="",DF$17="",DF$14="",DF$15="",DF$16="",DF$18="",DF$19="",DF$20="",DF$21=""),"",SUM($CO16:DF16))</f>
        <v>87.78</v>
      </c>
      <c r="DG69" s="114">
        <f>IF(OR(DG$13="",DG$17="",DG$14="",DG$15="",DG$16="",DG$18="",DG$19="",DG$20="",DG$21=""),"",SUM($CO16:DG16))</f>
        <v>87.78</v>
      </c>
      <c r="DH69" s="114">
        <f>IF(OR(DH$13="",DH$17="",DH$14="",DH$15="",DH$16="",DH$18="",DH$19="",DH$20="",DH$21=""),"",SUM($CO16:DH16))</f>
        <v>87.78</v>
      </c>
      <c r="DI69" s="114">
        <f>IF(OR(DI$13="",DI$17="",DI$14="",DI$15="",DI$16="",DI$18="",DI$19="",DI$20="",DI$21=""),"",SUM($CO16:DI16))</f>
        <v>89.62</v>
      </c>
      <c r="DJ69" s="114">
        <f>IF(OR(DJ$13="",DJ$17="",DJ$14="",DJ$15="",DJ$16="",DJ$18="",DJ$19="",DJ$20="",DJ$21=""),"",SUM($CO16:DJ16))</f>
        <v>89.62</v>
      </c>
      <c r="DK69" s="114">
        <f>IF(OR(DK$13="",DK$17="",DK$14="",DK$15="",DK$16="",DK$18="",DK$19="",DK$20="",DK$21=""),"",SUM($CO16:DK16))</f>
        <v>91.04</v>
      </c>
      <c r="DL69" s="114">
        <f>IF(OR(DL$13="",DL$17="",DL$14="",DL$15="",DL$16="",DL$18="",DL$19="",DL$20="",DL$21=""),"",SUM($CO16:DL16))</f>
        <v>91.04</v>
      </c>
      <c r="DM69" s="114">
        <f>IF(OR(DM$13="",DM$17="",DM$14="",DM$15="",DM$16="",DM$18="",DM$19="",DM$20="",DM$21=""),"",SUM($CO16:DM16))</f>
        <v>91.04</v>
      </c>
      <c r="DN69" s="114">
        <f>IF(OR(DN$13="",DN$17="",DN$14="",DN$15="",DN$16="",DN$18="",DN$19="",DN$20="",DN$21=""),"",SUM($CO16:DN16))</f>
        <v>91.04</v>
      </c>
      <c r="DO69" s="114">
        <f>IF(OR(DO$13="",DO$17="",DO$14="",DO$15="",DO$16="",DO$18="",DO$19="",DO$20="",DO$21=""),"",SUM($CO16:DO16))</f>
        <v>91.04</v>
      </c>
      <c r="DP69" s="114">
        <f>IF(OR(DP$13="",DP$17="",DP$14="",DP$15="",DP$16="",DP$18="",DP$19="",DP$20="",DP$21=""),"",SUM($CO16:DP16))</f>
        <v>94.59</v>
      </c>
      <c r="DQ69" s="114">
        <f>IF(OR(DQ$13="",DQ$17="",DQ$14="",DQ$15="",DQ$16="",DQ$18="",DQ$19="",DQ$20="",DQ$21=""),"",SUM($CO16:DQ16))</f>
        <v>94.59</v>
      </c>
      <c r="DR69" s="114">
        <f>IF(OR(DR$13="",DR$17="",DR$14="",DR$15="",DR$16="",DR$18="",DR$19="",DR$20="",DR$21=""),"",SUM($CO16:DR16))</f>
        <v>94.59</v>
      </c>
      <c r="DS69" s="114">
        <f>IF(OR(DS$13="",DS$17="",DS$14="",DS$15="",DS$16="",DS$18="",DS$19="",DS$20="",DS$21=""),"",SUM($DS16:DS16))</f>
        <v>2.83</v>
      </c>
      <c r="DT69" s="114">
        <f>IF(OR(DT$13="",DT$17="",DT$14="",DT$15="",DT$16="",DT$18="",DT$19="",DT$20="",DT$21=""),"",SUM($DS16:DT16))</f>
        <v>4.74</v>
      </c>
      <c r="DU69" s="114">
        <f>IF(OR(DU$13="",DU$17="",DU$14="",DU$15="",DU$16="",DU$18="",DU$19="",DU$20="",DU$21=""),"",SUM($DS16:DU16))</f>
        <v>9.7899999999999991</v>
      </c>
      <c r="DV69" s="114">
        <f>IF(OR(DV$13="",DV$17="",DV$14="",DV$15="",DV$16="",DV$18="",DV$19="",DV$20="",DV$21=""),"",SUM($DS16:DV16))</f>
        <v>9.7899999999999991</v>
      </c>
      <c r="DW69" s="114">
        <f>IF(OR(DW$13="",DW$17="",DW$14="",DW$15="",DW$16="",DW$18="",DW$19="",DW$20="",DW$21=""),"",SUM($DS16:DW16))</f>
        <v>9.7899999999999991</v>
      </c>
      <c r="DX69" s="114">
        <f>IF(OR(DX$13="",DX$17="",DX$14="",DX$15="",DX$16="",DX$18="",DX$19="",DX$20="",DX$21=""),"",SUM($DS16:DX16))</f>
        <v>12.94</v>
      </c>
      <c r="DY69" s="114">
        <f>IF(OR(DY$13="",DY$17="",DY$14="",DY$15="",DY$16="",DY$18="",DY$19="",DY$20="",DY$21=""),"",SUM($DS16:DY16))</f>
        <v>17.53</v>
      </c>
      <c r="DZ69" s="114">
        <f>IF(OR(DZ$13="",DZ$17="",DZ$14="",DZ$15="",DZ$16="",DZ$18="",DZ$19="",DZ$20="",DZ$21=""),"",SUM($DS16:DZ16))</f>
        <v>27.400000000000002</v>
      </c>
      <c r="EA69" s="114">
        <f>IF(OR(EA$13="",EA$17="",EA$14="",EA$15="",EA$16="",EA$18="",EA$19="",EA$20="",EA$21=""),"",SUM($DS16:EA16))</f>
        <v>27.400000000000002</v>
      </c>
      <c r="EB69" s="114">
        <f>IF(OR(EB$13="",EB$17="",EB$14="",EB$15="",EB$16="",EB$18="",EB$19="",EB$20="",EB$21=""),"",SUM($DS16:EB16))</f>
        <v>27.400000000000002</v>
      </c>
      <c r="EC69" s="114">
        <f>IF(OR(EC$13="",EC$17="",EC$14="",EC$15="",EC$16="",EC$18="",EC$19="",EC$20="",EC$21=""),"",SUM($DS16:EC16))</f>
        <v>27.400000000000002</v>
      </c>
      <c r="ED69" s="114">
        <f>IF(OR(ED$13="",ED$17="",ED$14="",ED$15="",ED$16="",ED$18="",ED$19="",ED$20="",ED$21=""),"",SUM($DS16:ED16))</f>
        <v>27.400000000000002</v>
      </c>
      <c r="EE69" s="114">
        <f>IF(OR(EE$13="",EE$17="",EE$14="",EE$15="",EE$16="",EE$18="",EE$19="",EE$20="",EE$21=""),"",SUM($DS16:EE16))</f>
        <v>27.400000000000002</v>
      </c>
      <c r="EF69" s="114">
        <f>IF(OR(EF$13="",EF$17="",EF$14="",EF$15="",EF$16="",EF$18="",EF$19="",EF$20="",EF$21=""),"",SUM($DS16:EF16))</f>
        <v>27.400000000000002</v>
      </c>
      <c r="EG69" s="114">
        <f>IF(OR(EG$13="",EG$17="",EG$14="",EG$15="",EG$16="",EG$18="",EG$19="",EG$20="",EG$21=""),"",SUM($DS16:EG16))</f>
        <v>27.400000000000002</v>
      </c>
      <c r="EH69" s="114">
        <f>IF(OR(EH$13="",EH$17="",EH$14="",EH$15="",EH$16="",EH$18="",EH$19="",EH$20="",EH$21=""),"",SUM($DS16:EH16))</f>
        <v>27.400000000000002</v>
      </c>
      <c r="EI69" s="114">
        <f>IF(OR(EI$13="",EI$17="",EI$14="",EI$15="",EI$16="",EI$18="",EI$19="",EI$20="",EI$21=""),"",SUM($DS16:EI16))</f>
        <v>51</v>
      </c>
      <c r="EJ69" s="114">
        <f>IF(OR(EJ$13="",EJ$17="",EJ$14="",EJ$15="",EJ$16="",EJ$18="",EJ$19="",EJ$20="",EJ$21=""),"",SUM($DS16:EJ16))</f>
        <v>51</v>
      </c>
      <c r="EK69" s="114">
        <f>IF(OR(EK$13="",EK$17="",EK$14="",EK$15="",EK$16="",EK$18="",EK$19="",EK$20="",EK$21=""),"",SUM($DS16:EK16))</f>
        <v>51</v>
      </c>
      <c r="EL69" s="114">
        <f>IF(OR(EL$13="",EL$17="",EL$14="",EL$15="",EL$16="",EL$18="",EL$19="",EL$20="",EL$21=""),"",SUM($DS16:EL16))</f>
        <v>69.98</v>
      </c>
      <c r="EM69" s="114">
        <f>IF(OR(EM$13="",EM$17="",EM$14="",EM$15="",EM$16="",EM$18="",EM$19="",EM$20="",EM$21=""),"",SUM($DS16:EM16))</f>
        <v>70.600000000000009</v>
      </c>
      <c r="EN69" s="114">
        <f>IF(OR(EN$13="",EN$17="",EN$14="",EN$15="",EN$16="",EN$18="",EN$19="",EN$20="",EN$21=""),"",SUM($DS16:EN16))</f>
        <v>70.600000000000009</v>
      </c>
      <c r="EO69" s="114">
        <f>IF(OR(EO$13="",EO$17="",EO$14="",EO$15="",EO$16="",EO$18="",EO$19="",EO$20="",EO$21=""),"",SUM($DS16:EO16))</f>
        <v>74.530000000000015</v>
      </c>
      <c r="EP69" s="114">
        <f>IF(OR(EP$13="",EP$17="",EP$14="",EP$15="",EP$16="",EP$18="",EP$19="",EP$20="",EP$21=""),"",SUM($DS16:EP16))</f>
        <v>74.530000000000015</v>
      </c>
      <c r="EQ69" s="114">
        <f>IF(OR(EQ$13="",EQ$17="",EQ$14="",EQ$15="",EQ$16="",EQ$18="",EQ$19="",EQ$20="",EQ$21=""),"",SUM($DS16:EQ16))</f>
        <v>77.910000000000011</v>
      </c>
      <c r="ER69" s="114">
        <f>IF(OR(ER$13="",ER$17="",ER$14="",ER$15="",ER$16="",ER$18="",ER$19="",ER$20="",ER$21=""),"",SUM($DS16:ER16))</f>
        <v>77.910000000000011</v>
      </c>
      <c r="ES69" s="114">
        <f>IF(OR(ES$13="",ES$17="",ES$14="",ES$15="",ES$16="",ES$18="",ES$19="",ES$20="",ES$21=""),"",SUM($DS16:ES16))</f>
        <v>80.360000000000014</v>
      </c>
      <c r="ET69" s="114">
        <f>IF(OR(ET$13="",ET$17="",ET$14="",ET$15="",ET$16="",ET$18="",ET$19="",ET$20="",ET$21=""),"",SUM($DS16:ET16))</f>
        <v>80.360000000000014</v>
      </c>
      <c r="EU69" s="114">
        <f>IF(OR(EU$13="",EU$17="",EU$14="",EU$15="",EU$16="",EU$18="",EU$19="",EU$20="",EU$21=""),"",SUM($DS16:EU16))</f>
        <v>80.360000000000014</v>
      </c>
      <c r="EV69" s="114">
        <f>IF(OR(EV$13="",EV$17="",EV$14="",EV$15="",EV$16="",EV$18="",EV$19="",EV$20="",EV$21=""),"",SUM($DS16:EV16))</f>
        <v>80.360000000000014</v>
      </c>
      <c r="EW69" s="114">
        <f>IF(OR(EW$13="",EW$17="",EW$14="",EW$15="",EW$16="",EW$18="",EW$19="",EW$20="",EW$21=""),"",SUM($DS16:EW16))</f>
        <v>80.360000000000014</v>
      </c>
      <c r="EX69" s="114">
        <f>IF(OR(EX$13="",EX$17="",EX$14="",EX$15="",EX$16="",EX$18="",EX$19="",EX$20="",EX$21=""),"",SUM($EX16:EX16))</f>
        <v>0</v>
      </c>
      <c r="EY69" s="114">
        <f>IF(OR(EY$13="",EY$17="",EY$14="",EY$15="",EY$16="",EY$18="",EY$19="",EY$20="",EY$21=""),"",SUM($EX16:EY16))</f>
        <v>0</v>
      </c>
      <c r="EZ69" s="114">
        <f>IF(OR(EZ$13="",EZ$17="",EZ$14="",EZ$15="",EZ$16="",EZ$18="",EZ$19="",EZ$20="",EZ$21=""),"",SUM($EX16:EZ16))</f>
        <v>0</v>
      </c>
      <c r="FA69" s="114">
        <f>IF(OR(FA$13="",FA$17="",FA$14="",FA$15="",FA$16="",FA$18="",FA$19="",FA$20="",FA$21=""),"",SUM($EX16:FA16))</f>
        <v>0</v>
      </c>
      <c r="FB69" s="114">
        <f>IF(OR(FB$13="",FB$17="",FB$14="",FB$15="",FB$16="",FB$18="",FB$19="",FB$20="",FB$21=""),"",SUM($EX16:FB16))</f>
        <v>0</v>
      </c>
      <c r="FC69" s="114">
        <f>IF(OR(FC$13="",FC$17="",FC$14="",FC$15="",FC$16="",FC$18="",FC$19="",FC$20="",FC$21=""),"",SUM($EX16:FC16))</f>
        <v>0</v>
      </c>
      <c r="FD69" s="114">
        <f>IF(OR(FD$13="",FD$17="",FD$14="",FD$15="",FD$16="",FD$18="",FD$19="",FD$20="",FD$21=""),"",SUM($EX16:FD16))</f>
        <v>0</v>
      </c>
      <c r="FE69" s="114">
        <f>IF(OR(FE$13="",FE$17="",FE$14="",FE$15="",FE$16="",FE$18="",FE$19="",FE$20="",FE$21=""),"",SUM($EX16:FE16))</f>
        <v>0</v>
      </c>
      <c r="FF69" s="114">
        <f>IF(OR(FF$13="",FF$17="",FF$14="",FF$15="",FF$16="",FF$18="",FF$19="",FF$20="",FF$21=""),"",SUM($EX16:FF16))</f>
        <v>0</v>
      </c>
      <c r="FG69" s="114">
        <f>IF(OR(FG$13="",FG$17="",FG$14="",FG$15="",FG$16="",FG$18="",FG$19="",FG$20="",FG$21=""),"",SUM($EX16:FG16))</f>
        <v>0</v>
      </c>
      <c r="FH69" s="114">
        <f>IF(OR(FH$13="",FH$17="",FH$14="",FH$15="",FH$16="",FH$18="",FH$19="",FH$20="",FH$21=""),"",SUM($EX16:FH16))</f>
        <v>0</v>
      </c>
      <c r="FI69" s="114">
        <f>IF(OR(FI$13="",FI$17="",FI$14="",FI$15="",FI$16="",FI$18="",FI$19="",FI$20="",FI$21=""),"",SUM($EX16:FI16))</f>
        <v>12.48</v>
      </c>
      <c r="FJ69" s="114">
        <f>IF(OR(FJ$13="",FJ$17="",FJ$14="",FJ$15="",FJ$16="",FJ$18="",FJ$19="",FJ$20="",FJ$21=""),"",SUM($EX16:FJ16))</f>
        <v>12.48</v>
      </c>
      <c r="FK69" s="114">
        <f>IF(OR(FK$13="",FK$17="",FK$14="",FK$15="",FK$16="",FK$18="",FK$19="",FK$20="",FK$21=""),"",SUM($EX16:FK16))</f>
        <v>35.31</v>
      </c>
      <c r="FL69" s="114">
        <f>IF(OR(FL$13="",FL$17="",FL$14="",FL$15="",FL$16="",FL$18="",FL$19="",FL$20="",FL$21=""),"",SUM($EX16:FL16))</f>
        <v>35.31</v>
      </c>
      <c r="FM69" s="114">
        <f>IF(OR(FM$13="",FM$17="",FM$14="",FM$15="",FM$16="",FM$18="",FM$19="",FM$20="",FM$21=""),"",SUM($EX16:FM16))</f>
        <v>35.31</v>
      </c>
      <c r="FN69" s="114">
        <f>IF(OR(FN$13="",FN$17="",FN$14="",FN$15="",FN$16="",FN$18="",FN$19="",FN$20="",FN$21=""),"",SUM($EX16:FN16))</f>
        <v>35.31</v>
      </c>
      <c r="FO69" s="114">
        <f>IF(OR(FO$13="",FO$17="",FO$14="",FO$15="",FO$16="",FO$18="",FO$19="",FO$20="",FO$21=""),"",SUM($EX16:FO16))</f>
        <v>35.31</v>
      </c>
      <c r="FP69" s="114">
        <f>IF(OR(FP$13="",FP$17="",FP$14="",FP$15="",FP$16="",FP$18="",FP$19="",FP$20="",FP$21=""),"",SUM($EX16:FP16))</f>
        <v>35.510000000000005</v>
      </c>
      <c r="FQ69" s="114">
        <f>IF(OR(FQ$13="",FQ$17="",FQ$14="",FQ$15="",FQ$16="",FQ$18="",FQ$19="",FQ$20="",FQ$21=""),"",SUM($EX16:FQ16))</f>
        <v>44.740000000000009</v>
      </c>
      <c r="FR69" s="114">
        <f>IF(OR(FR$13="",FR$17="",FR$14="",FR$15="",FR$16="",FR$18="",FR$19="",FR$20="",FR$21=""),"",SUM($EX16:FR16))</f>
        <v>52.690000000000012</v>
      </c>
      <c r="FS69" s="114">
        <f>IF(OR(FS$13="",FS$17="",FS$14="",FS$15="",FS$16="",FS$18="",FS$19="",FS$20="",FS$21=""),"",SUM($EX16:FS16))</f>
        <v>54.590000000000011</v>
      </c>
      <c r="FT69" s="114">
        <f>IF(OR(FT$13="",FT$17="",FT$14="",FT$15="",FT$16="",FT$18="",FT$19="",FT$20="",FT$21=""),"",SUM($EX16:FT16))</f>
        <v>54.590000000000011</v>
      </c>
      <c r="FU69" s="114">
        <f>IF(OR(FU$13="",FU$17="",FU$14="",FU$15="",FU$16="",FU$18="",FU$19="",FU$20="",FU$21=""),"",SUM($EX16:FU16))</f>
        <v>69.240000000000009</v>
      </c>
      <c r="FV69" s="114">
        <f>IF(OR(FV$13="",FV$17="",FV$14="",FV$15="",FV$16="",FV$18="",FV$19="",FV$20="",FV$21=""),"",SUM($EX16:FV16))</f>
        <v>69.240000000000009</v>
      </c>
      <c r="FW69" s="114">
        <f>IF(OR(FW$13="",FW$17="",FW$14="",FW$15="",FW$16="",FW$18="",FW$19="",FW$20="",FW$21=""),"",SUM($EX16:FW16))</f>
        <v>79.12</v>
      </c>
      <c r="FX69" s="114">
        <f>IF(OR(FX$13="",FX$17="",FX$14="",FX$15="",FX$16="",FX$18="",FX$19="",FX$20="",FX$21=""),"",SUM($EX16:FX16))</f>
        <v>79.12</v>
      </c>
      <c r="FY69" s="114">
        <f>IF(OR(FY$13="",FY$17="",FY$14="",FY$15="",FY$16="",FY$18="",FY$19="",FY$20="",FY$21=""),"",SUM($EX16:FY16))</f>
        <v>81.900000000000006</v>
      </c>
      <c r="FZ69" s="114">
        <f>IF(OR(FZ$13="",FZ$17="",FZ$14="",FZ$15="",FZ$16="",FZ$18="",FZ$19="",FZ$20="",FZ$21=""),"",SUM($EX16:FZ16))</f>
        <v>81.900000000000006</v>
      </c>
      <c r="GA69" s="114">
        <f>IF(OR(GA$13="",GA$17="",GA$14="",GA$15="",GA$16="",GA$18="",GA$19="",GA$20="",GA$21=""),"",SUM($EX16:GA16))</f>
        <v>81.900000000000006</v>
      </c>
      <c r="GB69" s="114">
        <f>IF(OR(GB$13="",GB$17="",GB$14="",GB$15="",GB$16="",GB$18="",GB$19="",GB$20="",GB$21=""),"",SUM($GB16:GB16))</f>
        <v>0</v>
      </c>
      <c r="GC69" s="114">
        <f>IF(OR(GC$13="",GC$17="",GC$14="",GC$15="",GC$16="",GC$18="",GC$19="",GC$20="",GC$21=""),"",SUM($GB16:GC16))</f>
        <v>14.26</v>
      </c>
      <c r="GD69" s="114">
        <f>IF(OR(GD$13="",GD$17="",GD$14="",GD$15="",GD$16="",GD$18="",GD$19="",GD$20="",GD$21=""),"",SUM($GB16:GD16))</f>
        <v>14.26</v>
      </c>
      <c r="GE69" s="114">
        <f>IF(OR(GE$13="",GE$17="",GE$14="",GE$15="",GE$16="",GE$18="",GE$19="",GE$20="",GE$21=""),"",SUM($GB16:GE16))</f>
        <v>14.26</v>
      </c>
      <c r="GF69" s="114">
        <f>IF(OR(GF$13="",GF$17="",GF$14="",GF$15="",GF$16="",GF$18="",GF$19="",GF$20="",GF$21=""),"",SUM($GB16:GF16))</f>
        <v>14.26</v>
      </c>
      <c r="GG69" s="114">
        <f>IF(OR(GG$13="",GG$17="",GG$14="",GG$15="",GG$16="",GG$18="",GG$19="",GG$20="",GG$21=""),"",SUM($GB16:GG16))</f>
        <v>14.26</v>
      </c>
      <c r="GH69" s="114">
        <f>IF(OR(GH$13="",GH$17="",GH$14="",GH$15="",GH$16="",GH$18="",GH$19="",GH$20="",GH$21=""),"",SUM($GB16:GH16))</f>
        <v>14.26</v>
      </c>
      <c r="GI69" s="114">
        <f>IF(OR(GI$13="",GI$17="",GI$14="",GI$15="",GI$16="",GI$18="",GI$19="",GI$20="",GI$21=""),"",SUM($GB16:GI16))</f>
        <v>14.26</v>
      </c>
      <c r="GJ69" s="114">
        <f>IF(OR(GJ$13="",GJ$17="",GJ$14="",GJ$15="",GJ$16="",GJ$18="",GJ$19="",GJ$20="",GJ$21=""),"",SUM($GB16:GJ16))</f>
        <v>14.26</v>
      </c>
      <c r="GK69" s="114">
        <f>IF(OR(GK$13="",GK$17="",GK$14="",GK$15="",GK$16="",GK$18="",GK$19="",GK$20="",GK$21=""),"",SUM($GB16:GK16))</f>
        <v>14.26</v>
      </c>
      <c r="GL69" s="114">
        <f>IF(OR(GL$13="",GL$17="",GL$14="",GL$15="",GL$16="",GL$18="",GL$19="",GL$20="",GL$21=""),"",SUM($GB16:GL16))</f>
        <v>14.26</v>
      </c>
      <c r="GM69" s="114">
        <f>IF(OR(GM$13="",GM$17="",GM$14="",GM$15="",GM$16="",GM$18="",GM$19="",GM$20="",GM$21=""),"",SUM($GB16:GM16))</f>
        <v>24.53</v>
      </c>
      <c r="GN69" s="114">
        <f>IF(OR(GN$13="",GN$17="",GN$14="",GN$15="",GN$16="",GN$18="",GN$19="",GN$20="",GN$21=""),"",SUM($GB16:GN16))</f>
        <v>24.53</v>
      </c>
      <c r="GO69" s="114">
        <f>IF(OR(GO$13="",GO$17="",GO$14="",GO$15="",GO$16="",GO$18="",GO$19="",GO$20="",GO$21=""),"",SUM($GB16:GO16))</f>
        <v>24.53</v>
      </c>
      <c r="GP69" s="114">
        <f>IF(OR(GP$13="",GP$17="",GP$14="",GP$15="",GP$16="",GP$18="",GP$19="",GP$20="",GP$21=""),"",SUM($GB16:GP16))</f>
        <v>24.53</v>
      </c>
      <c r="GQ69" s="114">
        <f>IF(OR(GQ$13="",GQ$17="",GQ$14="",GQ$15="",GQ$16="",GQ$18="",GQ$19="",GQ$20="",GQ$21=""),"",SUM($GB16:GQ16))</f>
        <v>24.53</v>
      </c>
      <c r="GR69" s="114">
        <f>IF(OR(GR$13="",GR$17="",GR$14="",GR$15="",GR$16="",GR$18="",GR$19="",GR$20="",GR$21=""),"",SUM($GB16:GR16))</f>
        <v>72.45</v>
      </c>
      <c r="GS69" s="114">
        <f>IF(OR(GS$13="",GS$17="",GS$14="",GS$15="",GS$16="",GS$18="",GS$19="",GS$20="",GS$21=""),"",SUM($GB16:GS16))</f>
        <v>72.45</v>
      </c>
      <c r="GT69" s="114">
        <f>IF(OR(GT$13="",GT$17="",GT$14="",GT$15="",GT$16="",GT$18="",GT$19="",GT$20="",GT$21=""),"",SUM($GB16:GT16))</f>
        <v>84.03</v>
      </c>
      <c r="GU69" s="114">
        <f>IF(OR(GU$13="",GU$17="",GU$14="",GU$15="",GU$16="",GU$18="",GU$19="",GU$20="",GU$21=""),"",SUM($GB16:GU16))</f>
        <v>84.03</v>
      </c>
      <c r="GV69" s="114">
        <f>IF(OR(GV$13="",GV$17="",GV$14="",GV$15="",GV$16="",GV$18="",GV$19="",GV$20="",GV$21=""),"",SUM($GB16:GV16))</f>
        <v>84.03</v>
      </c>
      <c r="GW69" s="114">
        <f>IF(OR(GW$13="",GW$17="",GW$14="",GW$15="",GW$16="",GW$18="",GW$19="",GW$20="",GW$21=""),"",SUM($GB16:GW16))</f>
        <v>84.03</v>
      </c>
      <c r="GX69" s="114">
        <f>IF(OR(GX$13="",GX$17="",GX$14="",GX$15="",GX$16="",GX$18="",GX$19="",GX$20="",GX$21=""),"",SUM($GB16:GX16))</f>
        <v>84.03</v>
      </c>
      <c r="GY69" s="114">
        <f>IF(OR(GY$13="",GY$17="",GY$14="",GY$15="",GY$16="",GY$18="",GY$19="",GY$20="",GY$21=""),"",SUM($GB16:GY16))</f>
        <v>84.03</v>
      </c>
      <c r="GZ69" s="114">
        <f>IF(OR(GZ$13="",GZ$17="",GZ$14="",GZ$15="",GZ$16="",GZ$18="",GZ$19="",GZ$20="",GZ$21=""),"",SUM($GB16:GZ16))</f>
        <v>84.03</v>
      </c>
      <c r="HA69" s="114">
        <f>IF(OR(HA$13="",HA$17="",HA$14="",HA$15="",HA$16="",HA$18="",HA$19="",HA$20="",HA$21=""),"",SUM($GB16:HA16))</f>
        <v>84.03</v>
      </c>
      <c r="HB69" s="114">
        <f>IF(OR(HB$13="",HB$17="",HB$14="",HB$15="",HB$16="",HB$18="",HB$19="",HB$20="",HB$21=""),"",SUM($GB16:HB16))</f>
        <v>84.03</v>
      </c>
      <c r="HC69" s="114">
        <f>IF(OR(HC$13="",HC$17="",HC$14="",HC$15="",HC$16="",HC$18="",HC$19="",HC$20="",HC$21=""),"",SUM($GB16:HC16))</f>
        <v>84.03</v>
      </c>
      <c r="HD69" s="114">
        <f>IF(OR(HD$13="",HD$17="",HD$14="",HD$15="",HD$16="",HD$18="",HD$19="",HD$20="",HD$21=""),"",SUM($GB16:HD16))</f>
        <v>84.03</v>
      </c>
      <c r="HE69" s="114">
        <f>IF(OR(HE$13="",HE$17="",HE$14="",HE$15="",HE$16="",HE$18="",HE$19="",HE$20="",HE$21=""),"",SUM($GB16:HE16))</f>
        <v>84.03</v>
      </c>
      <c r="HF69" s="114">
        <f>IF(OR(HF$13="",HF$17="",HF$14="",HF$15="",HF$16="",HF$18="",HF$19="",HF$20="",HF$21=""),"",SUM($GB16:HF16))</f>
        <v>84.03</v>
      </c>
      <c r="HG69" s="114">
        <f>IF(OR(HG$13="",HG$17="",HG$14="",HG$15="",HG$16="",HG$18="",HG$19="",HG$20="",HG$21=""),"",SUM($HG16:HG16))</f>
        <v>0</v>
      </c>
      <c r="HH69" s="114">
        <f>IF(OR(HH$13="",HH$17="",HH$14="",HH$15="",HH$16="",HH$18="",HH$19="",HH$20="",HH$21=""),"",SUM($HG16:HH16))</f>
        <v>0</v>
      </c>
      <c r="HI69" s="114">
        <f>IF(OR(HI$13="",HI$17="",HI$14="",HI$15="",HI$16="",HI$18="",HI$19="",HI$20="",HI$21=""),"",SUM($HG16:HI16))</f>
        <v>0</v>
      </c>
      <c r="HJ69" s="114">
        <f>IF(OR(HJ$13="",HJ$17="",HJ$14="",HJ$15="",HJ$16="",HJ$18="",HJ$19="",HJ$20="",HJ$21=""),"",SUM($HG16:HJ16))</f>
        <v>0</v>
      </c>
      <c r="HK69" s="114">
        <f>IF(OR(HK$13="",HK$17="",HK$14="",HK$15="",HK$16="",HK$18="",HK$19="",HK$20="",HK$21=""),"",SUM($HG16:HK16))</f>
        <v>0</v>
      </c>
      <c r="HL69" s="114">
        <f>IF(OR(HL$13="",HL$17="",HL$14="",HL$15="",HL$16="",HL$18="",HL$19="",HL$20="",HL$21=""),"",SUM($HG16:HL16))</f>
        <v>0</v>
      </c>
      <c r="HM69" s="114">
        <f>IF(OR(HM$13="",HM$17="",HM$14="",HM$15="",HM$16="",HM$18="",HM$19="",HM$20="",HM$21=""),"",SUM($HG16:HM16))</f>
        <v>0</v>
      </c>
      <c r="HN69" s="114">
        <f>IF(OR(HN$13="",HN$17="",HN$14="",HN$15="",HN$16="",HN$18="",HN$19="",HN$20="",HN$21=""),"",SUM($HG16:HN16))</f>
        <v>6.8033333333333328</v>
      </c>
      <c r="HO69" s="114">
        <f>IF(OR(HO$13="",HO$17="",HO$14="",HO$15="",HO$16="",HO$18="",HO$19="",HO$20="",HO$21=""),"",SUM($HG16:HO16))</f>
        <v>6.8033333333333328</v>
      </c>
      <c r="HP69" s="114">
        <f>IF(OR(HP$13="",HP$17="",HP$14="",HP$15="",HP$16="",HP$18="",HP$19="",HP$20="",HP$21=""),"",SUM($HG16:HP16))</f>
        <v>6.8033333333333328</v>
      </c>
      <c r="HQ69" s="114">
        <f>IF(OR(HQ$13="",HQ$17="",HQ$14="",HQ$15="",HQ$16="",HQ$18="",HQ$19="",HQ$20="",HQ$21=""),"",SUM($HG16:HQ16))</f>
        <v>6.8033333333333328</v>
      </c>
      <c r="HR69" s="114">
        <f>IF(OR(HR$13="",HR$17="",HR$14="",HR$15="",HR$16="",HR$18="",HR$19="",HR$20="",HR$21=""),"",SUM($HG16:HR16))</f>
        <v>6.8033333333333328</v>
      </c>
      <c r="HS69" s="114">
        <f>IF(OR(HS$13="",HS$17="",HS$14="",HS$15="",HS$16="",HS$18="",HS$19="",HS$20="",HS$21=""),"",SUM($HG16:HS16))</f>
        <v>6.8033333333333328</v>
      </c>
      <c r="HT69" s="114">
        <f>IF(OR(HT$13="",HT$17="",HT$14="",HT$15="",HT$16="",HT$18="",HT$19="",HT$20="",HT$21=""),"",SUM($HG16:HT16))</f>
        <v>6.8033333333333328</v>
      </c>
      <c r="HU69" s="114">
        <f>IF(OR(HU$13="",HU$17="",HU$14="",HU$15="",HU$16="",HU$18="",HU$19="",HU$20="",HU$21=""),"",SUM($HG16:HU16))</f>
        <v>6.8033333333333328</v>
      </c>
      <c r="HV69" s="114">
        <f>IF(OR(HV$13="",HV$17="",HV$14="",HV$15="",HV$16="",HV$18="",HV$19="",HV$20="",HV$21=""),"",SUM($HG16:HV16))</f>
        <v>6.8033333333333328</v>
      </c>
      <c r="HW69" s="114">
        <f>IF(OR(HW$13="",HW$17="",HW$14="",HW$15="",HW$16="",HW$18="",HW$19="",HW$20="",HW$21=""),"",SUM($HG16:HW16))</f>
        <v>6.8033333333333328</v>
      </c>
      <c r="HX69" s="114">
        <f>IF(OR(HX$13="",HX$17="",HX$14="",HX$15="",HX$16="",HX$18="",HX$19="",HX$20="",HX$21=""),"",SUM($HG16:HX16))</f>
        <v>6.9847222222222216</v>
      </c>
      <c r="HY69" s="114">
        <f>IF(OR(HY$13="",HY$17="",HY$14="",HY$15="",HY$16="",HY$18="",HY$19="",HY$20="",HY$21=""),"",SUM($HG16:HY16))</f>
        <v>11.3375</v>
      </c>
      <c r="HZ69" s="114">
        <f>IF(OR(HZ$13="",HZ$17="",HZ$14="",HZ$15="",HZ$16="",HZ$18="",HZ$19="",HZ$20="",HZ$21=""),"",SUM($HG16:HZ16))</f>
        <v>32.623888888888892</v>
      </c>
      <c r="IA69" s="114">
        <f>IF(OR(IA$13="",IA$17="",IA$14="",IA$15="",IA$16="",IA$18="",IA$19="",IA$20="",IA$21=""),"",SUM($HG16:IA16))</f>
        <v>40.840833333333336</v>
      </c>
      <c r="IB69" s="114">
        <f>IF(OR(IB$13="",IB$17="",IB$14="",IB$15="",IB$16="",IB$18="",IB$19="",IB$20="",IB$21=""),"",SUM($HG16:IB16))</f>
        <v>40.840833333333336</v>
      </c>
      <c r="IC69" s="114">
        <f>IF(OR(IC$13="",IC$17="",IC$14="",IC$15="",IC$16="",IC$18="",IC$19="",IC$20="",IC$21=""),"",SUM($HG16:IC16))</f>
        <v>40.840833333333336</v>
      </c>
      <c r="ID69" s="114">
        <f>IF(OR(ID$13="",ID$17="",ID$14="",ID$15="",ID$16="",ID$18="",ID$19="",ID$20="",ID$21=""),"",SUM($HG16:ID16))</f>
        <v>40.840833333333336</v>
      </c>
      <c r="IE69" s="114">
        <f>IF(OR(IE$13="",IE$17="",IE$14="",IE$15="",IE$16="",IE$18="",IE$19="",IE$20="",IE$21=""),"",SUM($HG16:IE16))</f>
        <v>40.840833333333336</v>
      </c>
      <c r="IF69" s="114">
        <f>IF(OR(IF$13="",IF$17="",IF$14="",IF$15="",IF$16="",IF$18="",IF$19="",IF$20="",IF$21=""),"",SUM($HG16:IF16))</f>
        <v>44.640833333333333</v>
      </c>
      <c r="IG69" s="114">
        <f>IF(OR(IG$13="",IG$17="",IG$14="",IG$15="",IG$16="",IG$18="",IG$19="",IG$20="",IG$21=""),"",SUM($HG16:IG16))</f>
        <v>44.640833333333333</v>
      </c>
      <c r="IH69" s="114">
        <f>IF(OR(IH$13="",IH$17="",IH$14="",IH$15="",IH$16="",IH$18="",IH$19="",IH$20="",IH$21=""),"",SUM($HG16:IH16))</f>
        <v>44.640833333333333</v>
      </c>
      <c r="II69" s="114">
        <f>IF(OR(II$13="",II$17="",II$14="",II$15="",II$16="",II$18="",II$19="",II$20="",II$21=""),"",SUM($HG16:II16))</f>
        <v>44.640833333333333</v>
      </c>
      <c r="IJ69" s="114">
        <f>IF(OR(IJ$13="",IJ$17="",IJ$14="",IJ$15="",IJ$16="",IJ$18="",IJ$19="",IJ$20="",IJ$21=""),"",SUM($HG16:IJ16))</f>
        <v>44.640833333333333</v>
      </c>
      <c r="IK69" s="114">
        <f>IF(OR(IK$13="",IK$17="",IK$14="",IK$15="",IK$16="",IK$18="",IK$19="",IK$20="",IK$21=""),"",SUM($HG16:IK16))</f>
        <v>58.888333333333335</v>
      </c>
      <c r="IL69" s="114">
        <f>IF(OR(IL$13="",IL$17="",IL$14="",IL$15="",IL$16="",IL$18="",IL$19="",IL$20="",IL$21=""),"",SUM($IL16:IL16))</f>
        <v>5.2391666666666667</v>
      </c>
      <c r="IM69" s="114">
        <f>IF(OR(IM$13="",IM$17="",IM$14="",IM$15="",IM$16="",IM$18="",IM$19="",IM$20="",IM$21=""),"",SUM($IL16:IM16))</f>
        <v>5.2391666666666667</v>
      </c>
      <c r="IN69" s="114">
        <f>IF(OR(IN$13="",IN$17="",IN$14="",IN$15="",IN$16="",IN$18="",IN$19="",IN$20="",IN$21=""),"",SUM($IL16:IN16))</f>
        <v>5.2391666666666667</v>
      </c>
      <c r="IO69" s="114">
        <f>IF(OR(IO$13="",IO$17="",IO$14="",IO$15="",IO$16="",IO$18="",IO$19="",IO$20="",IO$21=""),"",SUM($IL16:IO16))</f>
        <v>10.269444444444446</v>
      </c>
      <c r="IP69" s="114">
        <f>IF(OR(IP$13="",IP$17="",IP$14="",IP$15="",IP$16="",IP$18="",IP$19="",IP$20="",IP$21=""),"",SUM($IL16:IP16))</f>
        <v>19.040833333333335</v>
      </c>
      <c r="IQ69" s="114">
        <f>IF(OR(IQ$13="",IQ$17="",IQ$14="",IQ$15="",IQ$16="",IQ$18="",IQ$19="",IQ$20="",IQ$21=""),"",SUM($IL16:IQ16))</f>
        <v>25.226388888888891</v>
      </c>
      <c r="IR69" s="114">
        <f>IF(OR(IR$13="",IR$17="",IR$14="",IR$15="",IR$16="",IR$18="",IR$19="",IR$20="",IR$21=""),"",SUM($IL16:IR16))</f>
        <v>35.365000000000002</v>
      </c>
      <c r="IS69" s="114">
        <f>IF(OR(IS$13="",IS$17="",IS$14="",IS$15="",IS$16="",IS$18="",IS$19="",IS$20="",IS$21=""),"",SUM($IL16:IS16))</f>
        <v>35.454166666666666</v>
      </c>
      <c r="IT69" s="114">
        <f>IF(OR(IT$13="",IT$17="",IT$14="",IT$15="",IT$16="",IT$18="",IT$19="",IT$20="",IT$21=""),"",SUM($IL16:IT16))</f>
        <v>36.003055555555555</v>
      </c>
      <c r="IU69" s="114">
        <f>IF(OR(IU$13="",IU$17="",IU$14="",IU$15="",IU$16="",IU$18="",IU$19="",IU$20="",IU$21=""),"",SUM($IL16:IU16))</f>
        <v>36.003055555555555</v>
      </c>
      <c r="IV69" s="114">
        <f>IF(OR(IV$13="",IV$17="",IV$14="",IV$15="",IV$16="",IV$18="",IV$19="",IV$20="",IV$21=""),"",SUM($IL16:IV16))</f>
        <v>38.071944444444441</v>
      </c>
      <c r="IW69" s="114">
        <f>IF(OR(IW$13="",IW$17="",IW$14="",IW$15="",IW$16="",IW$18="",IW$19="",IW$20="",IW$21=""),"",SUM($IL16:IW16))</f>
        <v>38.071944444444441</v>
      </c>
      <c r="IX69" s="114">
        <f>IF(OR(IX$13="",IX$17="",IX$14="",IX$15="",IX$16="",IX$18="",IX$19="",IX$20="",IX$21=""),"",SUM($IL16:IX16))</f>
        <v>54.621388888888887</v>
      </c>
      <c r="IY69" s="114">
        <f>IF(OR(IY$13="",IY$17="",IY$14="",IY$15="",IY$16="",IY$18="",IY$19="",IY$20="",IY$21=""),"",SUM($IL16:IY16))</f>
        <v>75.474722222222226</v>
      </c>
      <c r="IZ69" s="114">
        <f>IF(OR(IZ$13="",IZ$17="",IZ$14="",IZ$15="",IZ$16="",IZ$18="",IZ$19="",IZ$20="",IZ$21=""),"",SUM($IL16:IZ16))</f>
        <v>84.325277777777785</v>
      </c>
      <c r="JA69" s="114">
        <f>IF(OR(JA$13="",JA$17="",JA$14="",JA$15="",JA$16="",JA$18="",JA$19="",JA$20="",JA$21=""),"",SUM($IL16:JA16))</f>
        <v>87.927777777777791</v>
      </c>
      <c r="JB69" s="114">
        <f>IF(OR(JB$13="",JB$17="",JB$14="",JB$15="",JB$16="",JB$18="",JB$19="",JB$20="",JB$21=""),"",SUM($IL16:JB16))</f>
        <v>87.927777777777791</v>
      </c>
      <c r="JC69" s="114">
        <f>IF(OR(JC$13="",JC$17="",JC$14="",JC$15="",JC$16="",JC$18="",JC$19="",JC$20="",JC$21=""),"",SUM($IL16:JC16))</f>
        <v>87.981111111111119</v>
      </c>
      <c r="JD69" s="114">
        <f>IF(OR(JD$13="",JD$17="",JD$14="",JD$15="",JD$16="",JD$18="",JD$19="",JD$20="",JD$21=""),"",SUM($IL16:JD16))</f>
        <v>87.981111111111119</v>
      </c>
      <c r="JE69" s="114">
        <f>IF(OR(JE$13="",JE$17="",JE$14="",JE$15="",JE$16="",JE$18="",JE$19="",JE$20="",JE$21=""),"",SUM($IL16:JE16))</f>
        <v>87.996388888888902</v>
      </c>
      <c r="JF69" s="114">
        <f>IF(OR(JF$13="",JF$17="",JF$14="",JF$15="",JF$16="",JF$18="",JF$19="",JF$20="",JF$21=""),"",SUM($IL16:JF16))</f>
        <v>87.996388888888902</v>
      </c>
      <c r="JG69" s="114">
        <f>IF(OR(JG$13="",JG$17="",JG$14="",JG$15="",JG$16="",JG$18="",JG$19="",JG$20="",JG$21=""),"",SUM($IL16:JG16))</f>
        <v>87.996388888888902</v>
      </c>
      <c r="JH69" s="114">
        <f>IF(OR(JH$13="",JH$17="",JH$14="",JH$15="",JH$16="",JH$18="",JH$19="",JH$20="",JH$21=""),"",SUM($IL16:JH16))</f>
        <v>87.996388888888902</v>
      </c>
      <c r="JI69" s="114">
        <f>IF(OR(JI$13="",JI$17="",JI$14="",JI$15="",JI$16="",JI$18="",JI$19="",JI$20="",JI$21=""),"",SUM($IL16:JI16))</f>
        <v>102.79611111111112</v>
      </c>
      <c r="JJ69" s="114">
        <f>IF(OR(JJ$13="",JJ$17="",JJ$14="",JJ$15="",JJ$16="",JJ$18="",JJ$19="",JJ$20="",JJ$21=""),"",SUM($IL16:JJ16))</f>
        <v>126.79611111111112</v>
      </c>
      <c r="JK69" s="114">
        <f>IF(OR(JK$13="",JK$17="",JK$14="",JK$15="",JK$16="",JK$18="",JK$19="",JK$20="",JK$21=""),"",SUM($IL16:JK16))</f>
        <v>133.08555555555557</v>
      </c>
      <c r="JL69" s="114">
        <f>IF(OR(JL$13="",JL$17="",JL$14="",JL$15="",JL$16="",JL$18="",JL$19="",JL$20="",JL$21=""),"",SUM($IL16:JL16))</f>
        <v>133.08555555555557</v>
      </c>
      <c r="JM69" s="114">
        <f>IF(OR(JM$13="",JM$17="",JM$14="",JM$15="",JM$16="",JM$18="",JM$19="",JM$20="",JM$21=""),"",SUM($IL16:JM16))</f>
        <v>133.08555555555557</v>
      </c>
      <c r="JN69" s="114">
        <f>IF(OR(JN$13="",JN$17="",JN$14="",JN$15="",JN$16="",JN$18="",JN$19="",JN$20="",JN$21=""),"",SUM($IL16:JN16))</f>
        <v>140.69555555555559</v>
      </c>
      <c r="JO69" s="114">
        <f>IF(OR(JO$13="",JO$17="",JO$14="",JO$15="",JO$16="",JO$18="",JO$19="",JO$20="",JO$21=""),"",SUM($IL16:JO16))</f>
        <v>141.69555555555559</v>
      </c>
      <c r="JP69" s="114">
        <f>IF(OR(JP$13="",JP$17="",JP$14="",JP$15="",JP$16="",JP$18="",JP$19="",JP$20="",JP$21=""),"",SUM($JP16:JP16))</f>
        <v>1</v>
      </c>
      <c r="JQ69" s="114">
        <f>IF(OR(JQ$13="",JQ$17="",JQ$14="",JQ$15="",JQ$16="",JQ$18="",JQ$19="",JQ$20="",JQ$21=""),"",SUM($JP16:JQ16))</f>
        <v>2</v>
      </c>
      <c r="JR69" s="114">
        <f>IF(OR(JR$13="",JR$17="",JR$14="",JR$15="",JR$16="",JR$18="",JR$19="",JR$20="",JR$21=""),"",SUM($JP16:JR16))</f>
        <v>15.062777777777777</v>
      </c>
      <c r="JS69" s="114">
        <f>IF(OR(JS$13="",JS$17="",JS$14="",JS$15="",JS$16="",JS$18="",JS$19="",JS$20="",JS$21=""),"",SUM($JP16:JS16))</f>
        <v>16.062777777777775</v>
      </c>
      <c r="JT69" s="114">
        <f>IF(OR(JT$13="",JT$17="",JT$14="",JT$15="",JT$16="",JT$18="",JT$19="",JT$20="",JT$21=""),"",SUM($JP16:JT16))</f>
        <v>16.662777777777777</v>
      </c>
      <c r="JU69" s="114">
        <f>IF(OR(JU$13="",JU$17="",JU$14="",JU$15="",JU$16="",JU$18="",JU$19="",JU$20="",JU$21=""),"",SUM($JP16:JU16))</f>
        <v>21.122777777777777</v>
      </c>
      <c r="JV69" s="114">
        <f>IF(OR(JV$13="",JV$17="",JV$14="",JV$15="",JV$16="",JV$18="",JV$19="",JV$20="",JV$21=""),"",SUM($JP16:JV16))</f>
        <v>21.272777777777776</v>
      </c>
      <c r="JW69" s="114">
        <f>IF(OR(JW$13="",JW$17="",JW$14="",JW$15="",JW$16="",JW$18="",JW$19="",JW$20="",JW$21=""),"",SUM($JP16:JW16))</f>
        <v>21.272777777777776</v>
      </c>
      <c r="JX69" s="114">
        <f>IF(OR(JX$13="",JX$17="",JX$14="",JX$15="",JX$16="",JX$18="",JX$19="",JX$20="",JX$21=""),"",SUM($JP16:JX16))</f>
        <v>21.272777777777776</v>
      </c>
      <c r="JY69" s="114">
        <f>IF(OR(JY$13="",JY$17="",JY$14="",JY$15="",JY$16="",JY$18="",JY$19="",JY$20="",JY$21=""),"",SUM($JP16:JY16))</f>
        <v>21.272777777777776</v>
      </c>
      <c r="JZ69" s="114">
        <f>IF(OR(JZ$13="",JZ$17="",JZ$14="",JZ$15="",JZ$16="",JZ$18="",JZ$19="",JZ$20="",JZ$21=""),"",SUM($JP16:JZ16))</f>
        <v>21.272777777777776</v>
      </c>
      <c r="KA69" s="114">
        <f>IF(OR(KA$13="",KA$17="",KA$14="",KA$15="",KA$16="",KA$18="",KA$19="",KA$20="",KA$21=""),"",SUM($JP16:KA16))</f>
        <v>21.272777777777776</v>
      </c>
      <c r="KB69" s="114">
        <f>IF(OR(KB$13="",KB$17="",KB$14="",KB$15="",KB$16="",KB$18="",KB$19="",KB$20="",KB$21=""),"",SUM($JP16:KB16))</f>
        <v>21.272777777777776</v>
      </c>
      <c r="KC69" s="114">
        <f>IF(OR(KC$13="",KC$17="",KC$14="",KC$15="",KC$16="",KC$18="",KC$19="",KC$20="",KC$21=""),"",SUM($JP16:KC16))</f>
        <v>21.272777777777776</v>
      </c>
      <c r="KD69" s="114">
        <f>IF(OR(KD$13="",KD$17="",KD$14="",KD$15="",KD$16="",KD$18="",KD$19="",KD$20="",KD$21=""),"",SUM($JP16:KD16))</f>
        <v>21.272777777777776</v>
      </c>
      <c r="KE69" s="114">
        <f>IF(OR(KE$13="",KE$17="",KE$14="",KE$15="",KE$16="",KE$18="",KE$19="",KE$20="",KE$21=""),"",SUM($JP16:KE16))</f>
        <v>21.272777777777776</v>
      </c>
      <c r="KF69" s="114">
        <f>IF(OR(KF$13="",KF$17="",KF$14="",KF$15="",KF$16="",KF$18="",KF$19="",KF$20="",KF$21=""),"",SUM($JP16:KF16))</f>
        <v>21.272777777777776</v>
      </c>
      <c r="KG69" s="114">
        <f>IF(OR(KG$13="",KG$17="",KG$14="",KG$15="",KG$16="",KG$18="",KG$19="",KG$20="",KG$21=""),"",SUM($JP16:KG16))</f>
        <v>21.272777777777776</v>
      </c>
      <c r="KH69" s="114">
        <f>IF(OR(KH$13="",KH$17="",KH$14="",KH$15="",KH$16="",KH$18="",KH$19="",KH$20="",KH$21=""),"",SUM($JP16:KH16))</f>
        <v>45.272777777777776</v>
      </c>
      <c r="KI69" s="114">
        <f>IF(OR(KI$13="",KI$17="",KI$14="",KI$15="",KI$16="",KI$18="",KI$19="",KI$20="",KI$21=""),"",SUM($JP16:KI16))</f>
        <v>45.272777777777776</v>
      </c>
      <c r="KJ69" s="114">
        <f>IF(OR(KJ$13="",KJ$17="",KJ$14="",KJ$15="",KJ$16="",KJ$18="",KJ$19="",KJ$20="",KJ$21=""),"",SUM($JP16:KJ16))</f>
        <v>45.272777777777776</v>
      </c>
      <c r="KK69" s="114">
        <f>IF(OR(KK$13="",KK$17="",KK$14="",KK$15="",KK$16="",KK$18="",KK$19="",KK$20="",KK$21=""),"",SUM($JP16:KK16))</f>
        <v>45.272777777777776</v>
      </c>
      <c r="KL69" s="114">
        <f>IF(OR(KL$13="",KL$17="",KL$14="",KL$15="",KL$16="",KL$18="",KL$19="",KL$20="",KL$21=""),"",SUM($JP16:KL16))</f>
        <v>45.272777777777776</v>
      </c>
      <c r="KM69" s="114">
        <f>IF(OR(KM$13="",KM$17="",KM$14="",KM$15="",KM$16="",KM$18="",KM$19="",KM$20="",KM$21=""),"",SUM($JP16:KM16))</f>
        <v>45.272777777777776</v>
      </c>
      <c r="KN69" s="114">
        <f>IF(OR(KN$13="",KN$17="",KN$14="",KN$15="",KN$16="",KN$18="",KN$19="",KN$20="",KN$21=""),"",SUM($JP16:KN16))</f>
        <v>45.272777777777776</v>
      </c>
      <c r="KO69" s="114">
        <f>IF(OR(KO$13="",KO$17="",KO$14="",KO$15="",KO$16="",KO$18="",KO$19="",KO$20="",KO$21=""),"",SUM($JP16:KO16))</f>
        <v>45.272777777777776</v>
      </c>
      <c r="KP69" s="114">
        <f>IF(OR(KP$13="",KP$17="",KP$14="",KP$15="",KP$16="",KP$18="",KP$19="",KP$20="",KP$21=""),"",SUM($JP16:KP16))</f>
        <v>45.272777777777776</v>
      </c>
      <c r="KQ69" s="114">
        <f>IF(OR(KQ$13="",KQ$17="",KQ$14="",KQ$15="",KQ$16="",KQ$18="",KQ$19="",KQ$20="",KQ$21=""),"",SUM($JP16:KQ16))</f>
        <v>45.272777777777776</v>
      </c>
      <c r="KR69" s="114">
        <f>IF(OR(KR$13="",KR$17="",KR$14="",KR$15="",KR$16="",KR$18="",KR$19="",KR$20="",KR$21=""),"",SUM($JP16:KR16))</f>
        <v>45.272777777777776</v>
      </c>
      <c r="KS69" s="114">
        <f>IF(OR(KS$13="",KS$17="",KS$14="",KS$15="",KS$16="",KS$18="",KS$19="",KS$20="",KS$21=""),"",SUM($JP16:KS16))</f>
        <v>45.272777777777776</v>
      </c>
      <c r="KT69" s="114">
        <f>IF(OR(KT$13="",KT$17="",KT$14="",KT$15="",KT$16="",KT$18="",KT$19="",KT$20="",KT$21=""),"",SUM($JP16:KT16))</f>
        <v>45.272777777777776</v>
      </c>
      <c r="KU69" s="114" t="str">
        <f>IF(OR(KU$13="",KU$17="",KU$14="",KU$15="",KU$16="",KU$18="",KU$19="",KU$20="",KU$21=""),"",SUM($KU16:KU16))</f>
        <v/>
      </c>
      <c r="KV69" s="114" t="str">
        <f>IF(OR(KV$13="",KV$17="",KV$14="",KV$15="",KV$16="",KV$18="",KV$19="",KV$20="",KV$21=""),"",SUM($KU16:KV16))</f>
        <v/>
      </c>
      <c r="KW69" s="114" t="str">
        <f>IF(OR(KW$13="",KW$17="",KW$14="",KW$15="",KW$16="",KW$18="",KW$19="",KW$20="",KW$21=""),"",SUM($KU16:KW16))</f>
        <v/>
      </c>
      <c r="KX69" s="114" t="str">
        <f>IF(OR(KX$13="",KX$17="",KX$14="",KX$15="",KX$16="",KX$18="",KX$19="",KX$20="",KX$21=""),"",SUM($KU16:KX16))</f>
        <v/>
      </c>
      <c r="KY69" s="114" t="str">
        <f>IF(OR(KY$13="",KY$17="",KY$14="",KY$15="",KY$16="",KY$18="",KY$19="",KY$20="",KY$21=""),"",SUM($KU16:KY16))</f>
        <v/>
      </c>
      <c r="KZ69" s="114" t="str">
        <f>IF(OR(KZ$13="",KZ$17="",KZ$14="",KZ$15="",KZ$16="",KZ$18="",KZ$19="",KZ$20="",KZ$21=""),"",SUM($KU16:KZ16))</f>
        <v/>
      </c>
      <c r="LA69" s="114" t="str">
        <f>IF(OR(LA$13="",LA$17="",LA$14="",LA$15="",LA$16="",LA$18="",LA$19="",LA$20="",LA$21=""),"",SUM($KU16:LA16))</f>
        <v/>
      </c>
      <c r="LB69" s="114" t="str">
        <f>IF(OR(LB$13="",LB$17="",LB$14="",LB$15="",LB$16="",LB$18="",LB$19="",LB$20="",LB$21=""),"",SUM($KU16:LB16))</f>
        <v/>
      </c>
      <c r="LC69" s="114" t="str">
        <f>IF(OR(LC$13="",LC$17="",LC$14="",LC$15="",LC$16="",LC$18="",LC$19="",LC$20="",LC$21=""),"",SUM($KU16:LC16))</f>
        <v/>
      </c>
      <c r="LD69" s="114" t="str">
        <f>IF(OR(LD$13="",LD$17="",LD$14="",LD$15="",LD$16="",LD$18="",LD$19="",LD$20="",LD$21=""),"",SUM($KU16:LD16))</f>
        <v/>
      </c>
      <c r="LE69" s="114" t="str">
        <f>IF(OR(LE$13="",LE$17="",LE$14="",LE$15="",LE$16="",LE$18="",LE$19="",LE$20="",LE$21=""),"",SUM($KU16:LE16))</f>
        <v/>
      </c>
      <c r="LF69" s="114" t="str">
        <f>IF(OR(LF$13="",LF$17="",LF$14="",LF$15="",LF$16="",LF$18="",LF$19="",LF$20="",LF$21=""),"",SUM($KU16:LF16))</f>
        <v/>
      </c>
      <c r="LG69" s="114" t="str">
        <f>IF(OR(LG$13="",LG$17="",LG$14="",LG$15="",LG$16="",LG$18="",LG$19="",LG$20="",LG$21=""),"",SUM($KU16:LG16))</f>
        <v/>
      </c>
      <c r="LH69" s="114" t="str">
        <f>IF(OR(LH$13="",LH$17="",LH$14="",LH$15="",LH$16="",LH$18="",LH$19="",LH$20="",LH$21=""),"",SUM($KU16:LH16))</f>
        <v/>
      </c>
      <c r="LI69" s="114" t="str">
        <f>IF(OR(LI$13="",LI$17="",LI$14="",LI$15="",LI$16="",LI$18="",LI$19="",LI$20="",LI$21=""),"",SUM($KU16:LI16))</f>
        <v/>
      </c>
      <c r="LJ69" s="114" t="str">
        <f>IF(OR(LJ$13="",LJ$17="",LJ$14="",LJ$15="",LJ$16="",LJ$18="",LJ$19="",LJ$20="",LJ$21=""),"",SUM($KU16:LJ16))</f>
        <v/>
      </c>
      <c r="LK69" s="114" t="str">
        <f>IF(OR(LK$13="",LK$17="",LK$14="",LK$15="",LK$16="",LK$18="",LK$19="",LK$20="",LK$21=""),"",SUM($KU16:LK16))</f>
        <v/>
      </c>
      <c r="LL69" s="114" t="str">
        <f>IF(OR(LL$13="",LL$17="",LL$14="",LL$15="",LL$16="",LL$18="",LL$19="",LL$20="",LL$21=""),"",SUM($KU16:LL16))</f>
        <v/>
      </c>
      <c r="LM69" s="114" t="str">
        <f>IF(OR(LM$13="",LM$17="",LM$14="",LM$15="",LM$16="",LM$18="",LM$19="",LM$20="",LM$21=""),"",SUM($KU16:LM16))</f>
        <v/>
      </c>
      <c r="LN69" s="114" t="str">
        <f>IF(OR(LN$13="",LN$17="",LN$14="",LN$15="",LN$16="",LN$18="",LN$19="",LN$20="",LN$21=""),"",SUM($KU16:LN16))</f>
        <v/>
      </c>
      <c r="LO69" s="114" t="str">
        <f>IF(OR(LO$13="",LO$17="",LO$14="",LO$15="",LO$16="",LO$18="",LO$19="",LO$20="",LO$21=""),"",SUM($KU16:LO16))</f>
        <v/>
      </c>
      <c r="LP69" s="114" t="str">
        <f>IF(OR(LP$13="",LP$17="",LP$14="",LP$15="",LP$16="",LP$18="",LP$19="",LP$20="",LP$21=""),"",SUM($KU16:LP16))</f>
        <v/>
      </c>
      <c r="LQ69" s="114" t="str">
        <f>IF(OR(LQ$13="",LQ$17="",LQ$14="",LQ$15="",LQ$16="",LQ$18="",LQ$19="",LQ$20="",LQ$21=""),"",SUM($KU16:LQ16))</f>
        <v/>
      </c>
      <c r="LR69" s="114" t="str">
        <f>IF(OR(LR$13="",LR$17="",LR$14="",LR$15="",LR$16="",LR$18="",LR$19="",LR$20="",LR$21=""),"",SUM($KU16:LR16))</f>
        <v/>
      </c>
      <c r="LS69" s="114" t="str">
        <f>IF(OR(LS$13="",LS$17="",LS$14="",LS$15="",LS$16="",LS$18="",LS$19="",LS$20="",LS$21=""),"",SUM($KU16:LS16))</f>
        <v/>
      </c>
      <c r="LT69" s="114" t="str">
        <f>IF(OR(LT$13="",LT$17="",LT$14="",LT$15="",LT$16="",LT$18="",LT$19="",LT$20="",LT$21=""),"",SUM($KU16:LT16))</f>
        <v/>
      </c>
      <c r="LU69" s="114" t="str">
        <f>IF(OR(LU$13="",LU$17="",LU$14="",LU$15="",LU$16="",LU$18="",LU$19="",LU$20="",LU$21=""),"",SUM($KU16:LU16))</f>
        <v/>
      </c>
      <c r="LV69" s="114" t="str">
        <f>IF(OR(LV$13="",LV$17="",LV$14="",LV$15="",LV$16="",LV$18="",LV$19="",LV$20="",LV$21=""),"",SUM($KU16:LV16))</f>
        <v/>
      </c>
      <c r="LW69" s="114" t="str">
        <f>IF(OR(LW$13="",LW$17="",LW$14="",LW$15="",LW$16="",LW$18="",LW$19="",LW$20="",LW$21=""),"",SUM($KU16:LW16))</f>
        <v/>
      </c>
      <c r="LX69" s="114" t="str">
        <f>IF(OR(LX$13="",LX$17="",LX$14="",LX$15="",LX$16="",LX$18="",LX$19="",LX$20="",LX$21=""),"",SUM($KU16:LX16))</f>
        <v/>
      </c>
      <c r="LY69" s="114" t="str">
        <f>IF(OR(LY$13="",LY$17="",LY$14="",LY$15="",LY$16="",LY$18="",LY$19="",LY$20="",LY$21=""),"",SUM($LY16:LY16))</f>
        <v/>
      </c>
      <c r="LZ69" s="114" t="str">
        <f>IF(OR(LZ$13="",LZ$17="",LZ$14="",LZ$15="",LZ$16="",LZ$18="",LZ$19="",LZ$20="",LZ$21=""),"",SUM($LY16:LZ16))</f>
        <v/>
      </c>
      <c r="MA69" s="114" t="str">
        <f>IF(OR(MA$13="",MA$17="",MA$14="",MA$15="",MA$16="",MA$18="",MA$19="",MA$20="",MA$21=""),"",SUM($LY16:MA16))</f>
        <v/>
      </c>
      <c r="MB69" s="114" t="str">
        <f>IF(OR(MB$13="",MB$17="",MB$14="",MB$15="",MB$16="",MB$18="",MB$19="",MB$20="",MB$21=""),"",SUM($LY16:MB16))</f>
        <v/>
      </c>
      <c r="MC69" s="114" t="str">
        <f>IF(OR(MC$13="",MC$17="",MC$14="",MC$15="",MC$16="",MC$18="",MC$19="",MC$20="",MC$21=""),"",SUM($LY16:MC16))</f>
        <v/>
      </c>
      <c r="MD69" s="114" t="str">
        <f>IF(OR(MD$13="",MD$17="",MD$14="",MD$15="",MD$16="",MD$18="",MD$19="",MD$20="",MD$21=""),"",SUM($LY16:MD16))</f>
        <v/>
      </c>
      <c r="ME69" s="114" t="str">
        <f>IF(OR(ME$13="",ME$17="",ME$14="",ME$15="",ME$16="",ME$18="",ME$19="",ME$20="",ME$21=""),"",SUM($LY16:ME16))</f>
        <v/>
      </c>
      <c r="MF69" s="114" t="str">
        <f>IF(OR(MF$13="",MF$17="",MF$14="",MF$15="",MF$16="",MF$18="",MF$19="",MF$20="",MF$21=""),"",SUM($LY16:MF16))</f>
        <v/>
      </c>
      <c r="MG69" s="114" t="str">
        <f>IF(OR(MG$13="",MG$17="",MG$14="",MG$15="",MG$16="",MG$18="",MG$19="",MG$20="",MG$21=""),"",SUM($LY16:MG16))</f>
        <v/>
      </c>
      <c r="MH69" s="114" t="str">
        <f>IF(OR(MH$13="",MH$17="",MH$14="",MH$15="",MH$16="",MH$18="",MH$19="",MH$20="",MH$21=""),"",SUM($LY16:MH16))</f>
        <v/>
      </c>
      <c r="MI69" s="114" t="str">
        <f>IF(OR(MI$13="",MI$17="",MI$14="",MI$15="",MI$16="",MI$18="",MI$19="",MI$20="",MI$21=""),"",SUM($LY16:MI16))</f>
        <v/>
      </c>
      <c r="MJ69" s="114" t="str">
        <f>IF(OR(MJ$13="",MJ$17="",MJ$14="",MJ$15="",MJ$16="",MJ$18="",MJ$19="",MJ$20="",MJ$21=""),"",SUM($LY16:MJ16))</f>
        <v/>
      </c>
      <c r="MK69" s="114" t="str">
        <f>IF(OR(MK$13="",MK$17="",MK$14="",MK$15="",MK$16="",MK$18="",MK$19="",MK$20="",MK$21=""),"",SUM($LY16:MK16))</f>
        <v/>
      </c>
      <c r="ML69" s="114" t="str">
        <f>IF(OR(ML$13="",ML$17="",ML$14="",ML$15="",ML$16="",ML$18="",ML$19="",ML$20="",ML$21=""),"",SUM($LY16:ML16))</f>
        <v/>
      </c>
      <c r="MM69" s="114" t="str">
        <f>IF(OR(MM$13="",MM$17="",MM$14="",MM$15="",MM$16="",MM$18="",MM$19="",MM$20="",MM$21=""),"",SUM($LY16:MM16))</f>
        <v/>
      </c>
      <c r="MN69" s="114" t="str">
        <f>IF(OR(MN$13="",MN$17="",MN$14="",MN$15="",MN$16="",MN$18="",MN$19="",MN$20="",MN$21=""),"",SUM($LY16:MN16))</f>
        <v/>
      </c>
      <c r="MO69" s="114" t="str">
        <f>IF(OR(MO$13="",MO$17="",MO$14="",MO$15="",MO$16="",MO$18="",MO$19="",MO$20="",MO$21=""),"",SUM($LY16:MO16))</f>
        <v/>
      </c>
      <c r="MP69" s="114" t="str">
        <f>IF(OR(MP$13="",MP$17="",MP$14="",MP$15="",MP$16="",MP$18="",MP$19="",MP$20="",MP$21=""),"",SUM($LY16:MP16))</f>
        <v/>
      </c>
      <c r="MQ69" s="114" t="str">
        <f>IF(OR(MQ$13="",MQ$17="",MQ$14="",MQ$15="",MQ$16="",MQ$18="",MQ$19="",MQ$20="",MQ$21=""),"",SUM($LY16:MQ16))</f>
        <v/>
      </c>
      <c r="MR69" s="114" t="str">
        <f>IF(OR(MR$13="",MR$17="",MR$14="",MR$15="",MR$16="",MR$18="",MR$19="",MR$20="",MR$21=""),"",SUM($LY16:MR16))</f>
        <v/>
      </c>
      <c r="MS69" s="114" t="str">
        <f>IF(OR(MS$13="",MS$17="",MS$14="",MS$15="",MS$16="",MS$18="",MS$19="",MS$20="",MS$21=""),"",SUM($LY16:MS16))</f>
        <v/>
      </c>
      <c r="MT69" s="114" t="str">
        <f>IF(OR(MT$13="",MT$17="",MT$14="",MT$15="",MT$16="",MT$18="",MT$19="",MT$20="",MT$21=""),"",SUM($LY16:MT16))</f>
        <v/>
      </c>
      <c r="MU69" s="114" t="str">
        <f>IF(OR(MU$13="",MU$17="",MU$14="",MU$15="",MU$16="",MU$18="",MU$19="",MU$20="",MU$21=""),"",SUM($LY16:MU16))</f>
        <v/>
      </c>
      <c r="MV69" s="114" t="str">
        <f>IF(OR(MV$13="",MV$17="",MV$14="",MV$15="",MV$16="",MV$18="",MV$19="",MV$20="",MV$21=""),"",SUM($LY16:MV16))</f>
        <v/>
      </c>
      <c r="MW69" s="114" t="str">
        <f>IF(OR(MW$13="",MW$17="",MW$14="",MW$15="",MW$16="",MW$18="",MW$19="",MW$20="",MW$21=""),"",SUM($LY16:MW16))</f>
        <v/>
      </c>
      <c r="MX69" s="114" t="str">
        <f>IF(OR(MX$13="",MX$17="",MX$14="",MX$15="",MX$16="",MX$18="",MX$19="",MX$20="",MX$21=""),"",SUM($LY16:MX16))</f>
        <v/>
      </c>
      <c r="MY69" s="114" t="str">
        <f>IF(OR(MY$13="",MY$17="",MY$14="",MY$15="",MY$16="",MY$18="",MY$19="",MY$20="",MY$21=""),"",SUM($LY16:MY16))</f>
        <v/>
      </c>
      <c r="MZ69" s="114" t="str">
        <f>IF(OR(MZ$13="",MZ$17="",MZ$14="",MZ$15="",MZ$16="",MZ$18="",MZ$19="",MZ$20="",MZ$21=""),"",SUM($LY16:MZ16))</f>
        <v/>
      </c>
      <c r="NA69" s="114" t="str">
        <f>IF(OR(NA$13="",NA$17="",NA$14="",NA$15="",NA$16="",NA$18="",NA$19="",NA$20="",NA$21=""),"",SUM($LY16:NA16))</f>
        <v/>
      </c>
      <c r="NB69" s="114" t="str">
        <f>IF(OR(NB$13="",NB$17="",NB$14="",NB$15="",NB$16="",NB$18="",NB$19="",NB$20="",NB$21=""),"",SUM($LY16:NB16))</f>
        <v/>
      </c>
      <c r="NC69" s="114" t="str">
        <f>IF(OR(NC$13="",NC$17="",NC$14="",NC$15="",NC$16="",NC$18="",NC$19="",NC$20="",NC$21=""),"",SUM($LY16:NC16))</f>
        <v/>
      </c>
      <c r="ND69" s="114" t="str">
        <f>IF(OR(ND$13="",ND$17="",ND$14="",ND$15="",ND$16="",ND$18="",ND$19="",ND$20="",ND$21=""),"",SUM($ND16:ND16))</f>
        <v/>
      </c>
      <c r="NE69" s="114" t="str">
        <f>IF(OR(NE$13="",NE$17="",NE$14="",NE$15="",NE$16="",NE$18="",NE$19="",NE$20="",NE$21=""),"",SUM($ND16:NE16))</f>
        <v/>
      </c>
      <c r="NF69" s="114" t="str">
        <f>IF(OR(NF$13="",NF$17="",NF$14="",NF$15="",NF$16="",NF$18="",NF$19="",NF$20="",NF$21=""),"",SUM($ND16:NF16))</f>
        <v/>
      </c>
      <c r="NG69" s="114" t="str">
        <f>IF(OR(NG$13="",NG$17="",NG$14="",NG$15="",NG$16="",NG$18="",NG$19="",NG$20="",NG$21=""),"",SUM($ND16:NG16))</f>
        <v/>
      </c>
      <c r="NH69" s="114" t="str">
        <f>IF(OR(NH$13="",NH$17="",NH$14="",NH$15="",NH$16="",NH$18="",NH$19="",NH$20="",NH$21=""),"",SUM($ND16:NH16))</f>
        <v/>
      </c>
      <c r="NI69" s="114" t="str">
        <f>IF(OR(NI$13="",NI$17="",NI$14="",NI$15="",NI$16="",NI$18="",NI$19="",NI$20="",NI$21=""),"",SUM($ND16:NI16))</f>
        <v/>
      </c>
      <c r="NJ69" s="114" t="str">
        <f>IF(OR(NJ$13="",NJ$17="",NJ$14="",NJ$15="",NJ$16="",NJ$18="",NJ$19="",NJ$20="",NJ$21=""),"",SUM($ND16:NJ16))</f>
        <v/>
      </c>
      <c r="NK69" s="114" t="str">
        <f>IF(OR(NK$13="",NK$17="",NK$14="",NK$15="",NK$16="",NK$18="",NK$19="",NK$20="",NK$21=""),"",SUM($ND16:NK16))</f>
        <v/>
      </c>
      <c r="NL69" s="114" t="str">
        <f>IF(OR(NL$13="",NL$17="",NL$14="",NL$15="",NL$16="",NL$18="",NL$19="",NL$20="",NL$21=""),"",SUM($ND16:NL16))</f>
        <v/>
      </c>
      <c r="NM69" s="114" t="str">
        <f>IF(OR(NM$13="",NM$17="",NM$14="",NM$15="",NM$16="",NM$18="",NM$19="",NM$20="",NM$21=""),"",SUM($ND16:NM16))</f>
        <v/>
      </c>
      <c r="NN69" s="114" t="str">
        <f>IF(OR(NN$13="",NN$17="",NN$14="",NN$15="",NN$16="",NN$18="",NN$19="",NN$20="",NN$21=""),"",SUM($ND16:NN16))</f>
        <v/>
      </c>
      <c r="NO69" s="114" t="str">
        <f>IF(OR(NO$13="",NO$17="",NO$14="",NO$15="",NO$16="",NO$18="",NO$19="",NO$20="",NO$21=""),"",SUM($ND16:NO16))</f>
        <v/>
      </c>
      <c r="NP69" s="114" t="str">
        <f>IF(OR(NP$13="",NP$17="",NP$14="",NP$15="",NP$16="",NP$18="",NP$19="",NP$20="",NP$21=""),"",SUM($ND16:NP16))</f>
        <v/>
      </c>
      <c r="NQ69" s="114" t="str">
        <f>IF(OR(NQ$13="",NQ$17="",NQ$14="",NQ$15="",NQ$16="",NQ$18="",NQ$19="",NQ$20="",NQ$21=""),"",SUM($ND16:NQ16))</f>
        <v/>
      </c>
      <c r="NR69" s="114" t="str">
        <f>IF(OR(NR$13="",NR$17="",NR$14="",NR$15="",NR$16="",NR$18="",NR$19="",NR$20="",NR$21=""),"",SUM($ND16:NR16))</f>
        <v/>
      </c>
      <c r="NS69" s="114" t="str">
        <f>IF(OR(NS$13="",NS$17="",NS$14="",NS$15="",NS$16="",NS$18="",NS$19="",NS$20="",NS$21=""),"",SUM($ND16:NS16))</f>
        <v/>
      </c>
      <c r="NT69" s="114" t="str">
        <f>IF(OR(NT$13="",NT$17="",NT$14="",NT$15="",NT$16="",NT$18="",NT$19="",NT$20="",NT$21=""),"",SUM($ND16:NT16))</f>
        <v/>
      </c>
      <c r="NU69" s="114" t="str">
        <f>IF(OR(NU$13="",NU$17="",NU$14="",NU$15="",NU$16="",NU$18="",NU$19="",NU$20="",NU$21=""),"",SUM($ND16:NU16))</f>
        <v/>
      </c>
      <c r="NV69" s="114" t="str">
        <f>IF(OR(NV$13="",NV$17="",NV$14="",NV$15="",NV$16="",NV$18="",NV$19="",NV$20="",NV$21=""),"",SUM($ND16:NV16))</f>
        <v/>
      </c>
      <c r="NW69" s="114" t="str">
        <f>IF(OR(NW$13="",NW$17="",NW$14="",NW$15="",NW$16="",NW$18="",NW$19="",NW$20="",NW$21=""),"",SUM($ND16:NW16))</f>
        <v/>
      </c>
      <c r="NX69" s="114" t="str">
        <f>IF(OR(NX$13="",NX$17="",NX$14="",NX$15="",NX$16="",NX$18="",NX$19="",NX$20="",NX$21=""),"",SUM($ND16:NX16))</f>
        <v/>
      </c>
      <c r="NY69" s="114" t="str">
        <f>IF(OR(NY$13="",NY$17="",NY$14="",NY$15="",NY$16="",NY$18="",NY$19="",NY$20="",NY$21=""),"",SUM($ND16:NY16))</f>
        <v/>
      </c>
      <c r="NZ69" s="114" t="str">
        <f>IF(OR(NZ$13="",NZ$17="",NZ$14="",NZ$15="",NZ$16="",NZ$18="",NZ$19="",NZ$20="",NZ$21=""),"",SUM($ND16:NZ16))</f>
        <v/>
      </c>
      <c r="OA69" s="114" t="str">
        <f>IF(OR(OA$13="",OA$17="",OA$14="",OA$15="",OA$16="",OA$18="",OA$19="",OA$20="",OA$21=""),"",SUM($ND16:OA16))</f>
        <v/>
      </c>
      <c r="OB69" s="114" t="str">
        <f>IF(OR(OB$13="",OB$17="",OB$14="",OB$15="",OB$16="",OB$18="",OB$19="",OB$20="",OB$21=""),"",SUM($ND16:OB16))</f>
        <v/>
      </c>
      <c r="OC69" s="114" t="str">
        <f>IF(OR(OC$13="",OC$17="",OC$14="",OC$15="",OC$16="",OC$18="",OC$19="",OC$20="",OC$21=""),"",SUM($ND16:OC16))</f>
        <v/>
      </c>
      <c r="OD69" s="114" t="str">
        <f>IF(OR(OD$13="",OD$17="",OD$14="",OD$15="",OD$16="",OD$18="",OD$19="",OD$20="",OD$21=""),"",SUM($ND16:OD16))</f>
        <v/>
      </c>
      <c r="OE69" s="114" t="str">
        <f>IF(OR(OE$13="",OE$17="",OE$14="",OE$15="",OE$16="",OE$18="",OE$19="",OE$20="",OE$21=""),"",SUM($ND16:OE16))</f>
        <v/>
      </c>
      <c r="OF69" s="114" t="str">
        <f>IF(OR(OF$13="",OF$17="",OF$14="",OF$15="",OF$16="",OF$18="",OF$19="",OF$20="",OF$21=""),"",SUM($ND16:OF16))</f>
        <v/>
      </c>
      <c r="OG69" s="114" t="str">
        <f>IF(OR(OG$13="",OG$17="",OG$14="",OG$15="",OG$16="",OG$18="",OG$19="",OG$20="",OG$21=""),"",SUM($ND16:OG16))</f>
        <v/>
      </c>
      <c r="OH69" s="114" t="str">
        <f>IF(OR(OH$13="",OH$17="",OH$14="",OH$15="",OH$16="",OH$18="",OH$19="",OH$20="",OH$21=""),"",SUM($ND16:OH16))</f>
        <v/>
      </c>
      <c r="OI69" s="114" t="str">
        <f>IF(OR(OI$13="",OI$17="",OI$14="",OI$15="",OI$16="",OI$18="",OI$19="",OI$20="",OI$21=""),"",SUM($OI16:OI16))</f>
        <v/>
      </c>
      <c r="OJ69" s="114" t="str">
        <f>IF(OR(OJ$13="",OJ$17="",OJ$14="",OJ$15="",OJ$16="",OJ$18="",OJ$19="",OJ$20="",OJ$21=""),"",SUM($OI16:OJ16))</f>
        <v/>
      </c>
      <c r="OK69" s="114" t="str">
        <f>IF(OR(OK$13="",OK$17="",OK$14="",OK$15="",OK$16="",OK$18="",OK$19="",OK$20="",OK$21=""),"",SUM($OI16:OK16))</f>
        <v/>
      </c>
      <c r="OL69" s="114" t="str">
        <f>IF(OR(OL$13="",OL$17="",OL$14="",OL$15="",OL$16="",OL$18="",OL$19="",OL$20="",OL$21=""),"",SUM($OI16:OL16))</f>
        <v/>
      </c>
      <c r="OM69" s="114" t="str">
        <f>IF(OR(OM$13="",OM$17="",OM$14="",OM$15="",OM$16="",OM$18="",OM$19="",OM$20="",OM$21=""),"",SUM($OI16:OM16))</f>
        <v/>
      </c>
      <c r="ON69" s="114" t="str">
        <f>IF(OR(ON$13="",ON$17="",ON$14="",ON$15="",ON$16="",ON$18="",ON$19="",ON$20="",ON$21=""),"",SUM($OI16:ON16))</f>
        <v/>
      </c>
      <c r="OO69" s="114" t="str">
        <f>IF(OR(OO$13="",OO$17="",OO$14="",OO$15="",OO$16="",OO$18="",OO$19="",OO$20="",OO$21=""),"",SUM($OI16:OO16))</f>
        <v/>
      </c>
      <c r="OP69" s="114" t="str">
        <f>IF(OR(OP$13="",OP$17="",OP$14="",OP$15="",OP$16="",OP$18="",OP$19="",OP$20="",OP$21=""),"",SUM($OI16:OP16))</f>
        <v/>
      </c>
      <c r="OQ69" s="114" t="str">
        <f>IF(OR(OQ$13="",OQ$17="",OQ$14="",OQ$15="",OQ$16="",OQ$18="",OQ$19="",OQ$20="",OQ$21=""),"",SUM($OI16:OQ16))</f>
        <v/>
      </c>
      <c r="OR69" s="114" t="str">
        <f>IF(OR(OR$13="",OR$17="",OR$14="",OR$15="",OR$16="",OR$18="",OR$19="",OR$20="",OR$21=""),"",SUM($OI16:OR16))</f>
        <v/>
      </c>
      <c r="OS69" s="114" t="str">
        <f>IF(OR(OS$13="",OS$17="",OS$14="",OS$15="",OS$16="",OS$18="",OS$19="",OS$20="",OS$21=""),"",SUM($OI16:OS16))</f>
        <v/>
      </c>
      <c r="OT69" s="114" t="str">
        <f>IF(OR(OT$13="",OT$17="",OT$14="",OT$15="",OT$16="",OT$18="",OT$19="",OT$20="",OT$21=""),"",SUM($OI16:OT16))</f>
        <v/>
      </c>
      <c r="OU69" s="114" t="str">
        <f>IF(OR(OU$13="",OU$17="",OU$14="",OU$15="",OU$16="",OU$18="",OU$19="",OU$20="",OU$21=""),"",SUM($OI16:OU16))</f>
        <v/>
      </c>
      <c r="OV69" s="114" t="str">
        <f>IF(OR(OV$13="",OV$17="",OV$14="",OV$15="",OV$16="",OV$18="",OV$19="",OV$20="",OV$21=""),"",SUM($OI16:OV16))</f>
        <v/>
      </c>
      <c r="OW69" s="114" t="str">
        <f>IF(OR(OW$13="",OW$17="",OW$14="",OW$15="",OW$16="",OW$18="",OW$19="",OW$20="",OW$21=""),"",SUM($OI16:OW16))</f>
        <v/>
      </c>
      <c r="OX69" s="114" t="str">
        <f>IF(OR(OX$13="",OX$17="",OX$14="",OX$15="",OX$16="",OX$18="",OX$19="",OX$20="",OX$21=""),"",SUM($OI16:OX16))</f>
        <v/>
      </c>
      <c r="OY69" s="114" t="str">
        <f>IF(OR(OY$13="",OY$17="",OY$14="",OY$15="",OY$16="",OY$18="",OY$19="",OY$20="",OY$21=""),"",SUM($OI16:OY16))</f>
        <v/>
      </c>
      <c r="OZ69" s="114" t="str">
        <f>IF(OR(OZ$13="",OZ$17="",OZ$14="",OZ$15="",OZ$16="",OZ$18="",OZ$19="",OZ$20="",OZ$21=""),"",SUM($OI16:OZ16))</f>
        <v/>
      </c>
      <c r="PA69" s="114" t="str">
        <f>IF(OR(PA$13="",PA$17="",PA$14="",PA$15="",PA$16="",PA$18="",PA$19="",PA$20="",PA$21=""),"",SUM($OI16:PA16))</f>
        <v/>
      </c>
      <c r="PB69" s="114" t="str">
        <f>IF(OR(PB$13="",PB$17="",PB$14="",PB$15="",PB$16="",PB$18="",PB$19="",PB$20="",PB$21=""),"",SUM($OI16:PB16))</f>
        <v/>
      </c>
      <c r="PC69" s="114" t="str">
        <f>IF(OR(PC$13="",PC$17="",PC$14="",PC$15="",PC$16="",PC$18="",PC$19="",PC$20="",PC$21=""),"",SUM($OI16:PC16))</f>
        <v/>
      </c>
      <c r="PD69" s="114" t="str">
        <f>IF(OR(PD$13="",PD$17="",PD$14="",PD$15="",PD$16="",PD$18="",PD$19="",PD$20="",PD$21=""),"",SUM($OI16:PD16))</f>
        <v/>
      </c>
      <c r="PE69" s="114" t="str">
        <f>IF(OR(PE$13="",PE$17="",PE$14="",PE$15="",PE$16="",PE$18="",PE$19="",PE$20="",PE$21=""),"",SUM($OI16:PE16))</f>
        <v/>
      </c>
      <c r="PF69" s="114" t="str">
        <f>IF(OR(PF$13="",PF$17="",PF$14="",PF$15="",PF$16="",PF$18="",PF$19="",PF$20="",PF$21=""),"",SUM($OI16:PF16))</f>
        <v/>
      </c>
      <c r="PG69" s="114" t="str">
        <f>IF(OR(PG$13="",PG$17="",PG$14="",PG$15="",PG$16="",PG$18="",PG$19="",PG$20="",PG$21=""),"",SUM($OI16:PG16))</f>
        <v/>
      </c>
      <c r="PH69" s="114" t="str">
        <f>IF(OR(PH$13="",PH$17="",PH$14="",PH$15="",PH$16="",PH$18="",PH$19="",PH$20="",PH$21=""),"",SUM($OI16:PH16))</f>
        <v/>
      </c>
      <c r="PI69" s="114" t="str">
        <f>IF(OR(PI$13="",PI$17="",PI$14="",PI$15="",PI$16="",PI$18="",PI$19="",PI$20="",PI$21=""),"",SUM($OI16:PI16))</f>
        <v/>
      </c>
      <c r="PJ69" s="114" t="str">
        <f>IF(OR(PJ$13="",PJ$17="",PJ$14="",PJ$15="",PJ$16="",PJ$18="",PJ$19="",PJ$20="",PJ$21=""),"",SUM($OI16:PJ16))</f>
        <v/>
      </c>
      <c r="PK69" s="114" t="str">
        <f>IF(OR(PK$13="",PK$17="",PK$14="",PK$15="",PK$16="",PK$18="",PK$19="",PK$20="",PK$21=""),"",SUM($PK16:PK16))</f>
        <v/>
      </c>
      <c r="PL69" s="114" t="str">
        <f>IF(OR(PL$13="",PL$17="",PL$14="",PL$15="",PL$16="",PL$18="",PL$19="",PL$20="",PL$21=""),"",SUM($PK16:PL16))</f>
        <v/>
      </c>
      <c r="PM69" s="114" t="str">
        <f>IF(OR(PM$13="",PM$17="",PM$14="",PM$15="",PM$16="",PM$18="",PM$19="",PM$20="",PM$21=""),"",SUM($PK16:PM16))</f>
        <v/>
      </c>
      <c r="PN69" s="114" t="str">
        <f>IF(OR(PN$13="",PN$17="",PN$14="",PN$15="",PN$16="",PN$18="",PN$19="",PN$20="",PN$21=""),"",SUM($PK16:PN16))</f>
        <v/>
      </c>
      <c r="PO69" s="114" t="str">
        <f>IF(OR(PO$13="",PO$17="",PO$14="",PO$15="",PO$16="",PO$18="",PO$19="",PO$20="",PO$21=""),"",SUM($PK16:PO16))</f>
        <v/>
      </c>
      <c r="PP69" s="114" t="str">
        <f>IF(OR(PP$13="",PP$17="",PP$14="",PP$15="",PP$16="",PP$18="",PP$19="",PP$20="",PP$21=""),"",SUM($PK16:PP16))</f>
        <v/>
      </c>
      <c r="PQ69" s="114" t="str">
        <f>IF(OR(PQ$13="",PQ$17="",PQ$14="",PQ$15="",PQ$16="",PQ$18="",PQ$19="",PQ$20="",PQ$21=""),"",SUM($PK16:PQ16))</f>
        <v/>
      </c>
      <c r="PR69" s="114" t="str">
        <f>IF(OR(PR$13="",PR$17="",PR$14="",PR$15="",PR$16="",PR$18="",PR$19="",PR$20="",PR$21=""),"",SUM($PK16:PR16))</f>
        <v/>
      </c>
      <c r="PS69" s="114" t="str">
        <f>IF(OR(PS$13="",PS$17="",PS$14="",PS$15="",PS$16="",PS$18="",PS$19="",PS$20="",PS$21=""),"",SUM($PK16:PS16))</f>
        <v/>
      </c>
      <c r="PT69" s="114" t="str">
        <f>IF(OR(PT$13="",PT$17="",PT$14="",PT$15="",PT$16="",PT$18="",PT$19="",PT$20="",PT$21=""),"",SUM($PK16:PT16))</f>
        <v/>
      </c>
      <c r="PU69" s="114" t="str">
        <f>IF(OR(PU$13="",PU$17="",PU$14="",PU$15="",PU$16="",PU$18="",PU$19="",PU$20="",PU$21=""),"",SUM($PK16:PU16))</f>
        <v/>
      </c>
      <c r="PV69" s="114" t="str">
        <f>IF(OR(PV$13="",PV$17="",PV$14="",PV$15="",PV$16="",PV$18="",PV$19="",PV$20="",PV$21=""),"",SUM($PK16:PV16))</f>
        <v/>
      </c>
      <c r="PW69" s="114" t="str">
        <f>IF(OR(PW$13="",PW$17="",PW$14="",PW$15="",PW$16="",PW$18="",PW$19="",PW$20="",PW$21=""),"",SUM($PK16:PW16))</f>
        <v/>
      </c>
      <c r="PX69" s="114" t="str">
        <f>IF(OR(PX$13="",PX$17="",PX$14="",PX$15="",PX$16="",PX$18="",PX$19="",PX$20="",PX$21=""),"",SUM($PK16:PX16))</f>
        <v/>
      </c>
      <c r="PY69" s="114" t="str">
        <f>IF(OR(PY$13="",PY$17="",PY$14="",PY$15="",PY$16="",PY$18="",PY$19="",PY$20="",PY$21=""),"",SUM($PK16:PY16))</f>
        <v/>
      </c>
      <c r="PZ69" s="114" t="str">
        <f>IF(OR(PZ$13="",PZ$17="",PZ$14="",PZ$15="",PZ$16="",PZ$18="",PZ$19="",PZ$20="",PZ$21=""),"",SUM($PK16:PZ16))</f>
        <v/>
      </c>
      <c r="QA69" s="114" t="str">
        <f>IF(OR(QA$13="",QA$17="",QA$14="",QA$15="",QA$16="",QA$18="",QA$19="",QA$20="",QA$21=""),"",SUM($PK16:QA16))</f>
        <v/>
      </c>
      <c r="QB69" s="114" t="str">
        <f>IF(OR(QB$13="",QB$17="",QB$14="",QB$15="",QB$16="",QB$18="",QB$19="",QB$20="",QB$21=""),"",SUM($PK16:QB16))</f>
        <v/>
      </c>
      <c r="QC69" s="114" t="str">
        <f>IF(OR(QC$13="",QC$17="",QC$14="",QC$15="",QC$16="",QC$18="",QC$19="",QC$20="",QC$21=""),"",SUM($PK16:QC16))</f>
        <v/>
      </c>
      <c r="QD69" s="114" t="str">
        <f>IF(OR(QD$13="",QD$17="",QD$14="",QD$15="",QD$16="",QD$18="",QD$19="",QD$20="",QD$21=""),"",SUM($PK16:QD16))</f>
        <v/>
      </c>
      <c r="QE69" s="114" t="str">
        <f>IF(OR(QE$13="",QE$17="",QE$14="",QE$15="",QE$16="",QE$18="",QE$19="",QE$20="",QE$21=""),"",SUM($PK16:QE16))</f>
        <v/>
      </c>
      <c r="QF69" s="114" t="str">
        <f>IF(OR(QF$13="",QF$17="",QF$14="",QF$15="",QF$16="",QF$18="",QF$19="",QF$20="",QF$21=""),"",SUM($PK16:QF16))</f>
        <v/>
      </c>
      <c r="QG69" s="114" t="str">
        <f>IF(OR(QG$13="",QG$17="",QG$14="",QG$15="",QG$16="",QG$18="",QG$19="",QG$20="",QG$21=""),"",SUM($PK16:QG16))</f>
        <v/>
      </c>
      <c r="QH69" s="114" t="str">
        <f>IF(OR(QH$13="",QH$17="",QH$14="",QH$15="",QH$16="",QH$18="",QH$19="",QH$20="",QH$21=""),"",SUM($PK16:QH16))</f>
        <v/>
      </c>
      <c r="QI69" s="114" t="str">
        <f>IF(OR(QI$13="",QI$17="",QI$14="",QI$15="",QI$16="",QI$18="",QI$19="",QI$20="",QI$21=""),"",SUM($PK16:QI16))</f>
        <v/>
      </c>
      <c r="QJ69" s="114" t="str">
        <f>IF(OR(QJ$13="",QJ$17="",QJ$14="",QJ$15="",QJ$16="",QJ$18="",QJ$19="",QJ$20="",QJ$21=""),"",SUM($PK16:QJ16))</f>
        <v/>
      </c>
      <c r="QK69" s="114" t="str">
        <f>IF(OR(QK$13="",QK$17="",QK$14="",QK$15="",QK$16="",QK$18="",QK$19="",QK$20="",QK$21=""),"",SUM($PK16:QK16))</f>
        <v/>
      </c>
      <c r="QL69" s="114" t="str">
        <f>IF(OR(QL$13="",QL$17="",QL$14="",QL$15="",QL$16="",QL$18="",QL$19="",QL$20="",QL$21=""),"",SUM($PK16:QL16))</f>
        <v/>
      </c>
      <c r="QM69" s="114" t="str">
        <f>IF(OR(QM$13="",QM$17="",QM$14="",QM$15="",QM$16="",QM$18="",QM$19="",QM$20="",QM$21=""),"",SUM($PK16:QM16))</f>
        <v/>
      </c>
      <c r="QN69" s="114" t="str">
        <f>IF(OR(QN$13="",QN$17="",QN$14="",QN$15="",QN$16="",QN$18="",QN$19="",QN$20="",QN$21=""),"",SUM($PK16:QN16))</f>
        <v/>
      </c>
      <c r="QO69" s="114" t="str">
        <f>IF(OR(QO$13="",QO$17="",QO$14="",QO$15="",QO$16="",QO$18="",QO$19="",QO$20="",QO$21=""),"",SUM($PK16:QO16))</f>
        <v/>
      </c>
      <c r="QP69" s="114" t="str">
        <f>IF(OR(QP$13="",QP$17="",QP$14="",QP$15="",QP$16="",QP$18="",QP$19="",QP$20="",QP$21=""),"",SUM($QP16:QP16))</f>
        <v/>
      </c>
      <c r="QQ69" s="114" t="str">
        <f>IF(OR(QQ$13="",QQ$17="",QQ$14="",QQ$15="",QQ$16="",QQ$18="",QQ$19="",QQ$20="",QQ$21=""),"",SUM($QP16:QQ16))</f>
        <v/>
      </c>
      <c r="QR69" s="114" t="str">
        <f>IF(OR(QR$13="",QR$17="",QR$14="",QR$15="",QR$16="",QR$18="",QR$19="",QR$20="",QR$21=""),"",SUM($QP16:QR16))</f>
        <v/>
      </c>
      <c r="QS69" s="114" t="str">
        <f>IF(OR(QS$13="",QS$17="",QS$14="",QS$15="",QS$16="",QS$18="",QS$19="",QS$20="",QS$21=""),"",SUM($QP16:QS16))</f>
        <v/>
      </c>
      <c r="QT69" s="114" t="str">
        <f>IF(OR(QT$13="",QT$17="",QT$14="",QT$15="",QT$16="",QT$18="",QT$19="",QT$20="",QT$21=""),"",SUM($QP16:QT16))</f>
        <v/>
      </c>
      <c r="QU69" s="114" t="str">
        <f>IF(OR(QU$13="",QU$17="",QU$14="",QU$15="",QU$16="",QU$18="",QU$19="",QU$20="",QU$21=""),"",SUM($QP16:QU16))</f>
        <v/>
      </c>
      <c r="QV69" s="114" t="str">
        <f>IF(OR(QV$13="",QV$17="",QV$14="",QV$15="",QV$16="",QV$18="",QV$19="",QV$20="",QV$21=""),"",SUM($QP16:QV16))</f>
        <v/>
      </c>
      <c r="QW69" s="114" t="str">
        <f>IF(OR(QW$13="",QW$17="",QW$14="",QW$15="",QW$16="",QW$18="",QW$19="",QW$20="",QW$21=""),"",SUM($QP16:QW16))</f>
        <v/>
      </c>
      <c r="QX69" s="114" t="str">
        <f>IF(OR(QX$13="",QX$17="",QX$14="",QX$15="",QX$16="",QX$18="",QX$19="",QX$20="",QX$21=""),"",SUM($QP16:QX16))</f>
        <v/>
      </c>
      <c r="QY69" s="114" t="str">
        <f>IF(OR(QY$13="",QY$17="",QY$14="",QY$15="",QY$16="",QY$18="",QY$19="",QY$20="",QY$21=""),"",SUM($QP16:QY16))</f>
        <v/>
      </c>
      <c r="QZ69" s="114" t="str">
        <f>IF(OR(QZ$13="",QZ$17="",QZ$14="",QZ$15="",QZ$16="",QZ$18="",QZ$19="",QZ$20="",QZ$21=""),"",SUM($QP16:QZ16))</f>
        <v/>
      </c>
      <c r="RA69" s="114" t="str">
        <f>IF(OR(RA$13="",RA$17="",RA$14="",RA$15="",RA$16="",RA$18="",RA$19="",RA$20="",RA$21=""),"",SUM($QP16:RA16))</f>
        <v/>
      </c>
      <c r="RB69" s="114" t="str">
        <f>IF(OR(RB$13="",RB$17="",RB$14="",RB$15="",RB$16="",RB$18="",RB$19="",RB$20="",RB$21=""),"",SUM($QP16:RB16))</f>
        <v/>
      </c>
      <c r="RC69" s="114" t="str">
        <f>IF(OR(RC$13="",RC$17="",RC$14="",RC$15="",RC$16="",RC$18="",RC$19="",RC$20="",RC$21=""),"",SUM($QP16:RC16))</f>
        <v/>
      </c>
      <c r="RD69" s="114" t="str">
        <f>IF(OR(RD$13="",RD$17="",RD$14="",RD$15="",RD$16="",RD$18="",RD$19="",RD$20="",RD$21=""),"",SUM($QP16:RD16))</f>
        <v/>
      </c>
      <c r="RE69" s="114" t="str">
        <f>IF(OR(RE$13="",RE$17="",RE$14="",RE$15="",RE$16="",RE$18="",RE$19="",RE$20="",RE$21=""),"",SUM($QP16:RE16))</f>
        <v/>
      </c>
      <c r="RF69" s="114" t="str">
        <f>IF(OR(RF$13="",RF$17="",RF$14="",RF$15="",RF$16="",RF$18="",RF$19="",RF$20="",RF$21=""),"",SUM($QP16:RF16))</f>
        <v/>
      </c>
      <c r="RG69" s="114" t="str">
        <f>IF(OR(RG$13="",RG$17="",RG$14="",RG$15="",RG$16="",RG$18="",RG$19="",RG$20="",RG$21=""),"",SUM($QP16:RG16))</f>
        <v/>
      </c>
      <c r="RH69" s="114" t="str">
        <f>IF(OR(RH$13="",RH$17="",RH$14="",RH$15="",RH$16="",RH$18="",RH$19="",RH$20="",RH$21=""),"",SUM($QP16:RH16))</f>
        <v/>
      </c>
      <c r="RI69" s="114" t="str">
        <f>IF(OR(RI$13="",RI$17="",RI$14="",RI$15="",RI$16="",RI$18="",RI$19="",RI$20="",RI$21=""),"",SUM($QP16:RI16))</f>
        <v/>
      </c>
      <c r="RJ69" s="114" t="str">
        <f>IF(OR(RJ$13="",RJ$17="",RJ$14="",RJ$15="",RJ$16="",RJ$18="",RJ$19="",RJ$20="",RJ$21=""),"",SUM($QP16:RJ16))</f>
        <v/>
      </c>
      <c r="RK69" s="114" t="str">
        <f>IF(OR(RK$13="",RK$17="",RK$14="",RK$15="",RK$16="",RK$18="",RK$19="",RK$20="",RK$21=""),"",SUM($QP16:RK16))</f>
        <v/>
      </c>
      <c r="RL69" s="114" t="str">
        <f>IF(OR(RL$13="",RL$17="",RL$14="",RL$15="",RL$16="",RL$18="",RL$19="",RL$20="",RL$21=""),"",SUM($QP16:RL16))</f>
        <v/>
      </c>
      <c r="RM69" s="114" t="str">
        <f>IF(OR(RM$13="",RM$17="",RM$14="",RM$15="",RM$16="",RM$18="",RM$19="",RM$20="",RM$21=""),"",SUM($QP16:RM16))</f>
        <v/>
      </c>
      <c r="RN69" s="114" t="str">
        <f>IF(OR(RN$13="",RN$17="",RN$14="",RN$15="",RN$16="",RN$18="",RN$19="",RN$20="",RN$21=""),"",SUM($QP16:RN16))</f>
        <v/>
      </c>
      <c r="RO69" s="114" t="str">
        <f>IF(OR(RO$13="",RO$17="",RO$14="",RO$15="",RO$16="",RO$18="",RO$19="",RO$20="",RO$21=""),"",SUM($QP16:RO16))</f>
        <v/>
      </c>
      <c r="RP69" s="114" t="str">
        <f>IF(OR(RP$13="",RP$17="",RP$14="",RP$15="",RP$16="",RP$18="",RP$19="",RP$20="",RP$21=""),"",SUM($QP16:RP16))</f>
        <v/>
      </c>
      <c r="RQ69" s="114" t="str">
        <f>IF(OR(RQ$13="",RQ$17="",RQ$14="",RQ$15="",RQ$16="",RQ$18="",RQ$19="",RQ$20="",RQ$21=""),"",SUM($QP16:RQ16))</f>
        <v/>
      </c>
      <c r="RR69" s="114" t="str">
        <f>IF(OR(RR$13="",RR$17="",RR$14="",RR$15="",RR$16="",RR$18="",RR$19="",RR$20="",RR$21=""),"",SUM($QP16:RR16))</f>
        <v/>
      </c>
      <c r="RS69" s="114" t="str">
        <f>IF(OR(RS$13="",RS$17="",RS$14="",RS$15="",RS$16="",RS$18="",RS$19="",RS$20="",RS$21=""),"",SUM($QP16:RS16))</f>
        <v/>
      </c>
      <c r="RT69" s="114" t="str">
        <f>IF(OR(RT$13="",RT$17="",RT$14="",RT$15="",RT$16="",RT$18="",RT$19="",RT$20="",RT$21=""),"",SUM($RT16:RT16))</f>
        <v/>
      </c>
      <c r="RU69" s="114" t="str">
        <f>IF(OR(RU$13="",RU$17="",RU$14="",RU$15="",RU$16="",RU$18="",RU$19="",RU$20="",RU$21=""),"",SUM($RT16:RU16))</f>
        <v/>
      </c>
      <c r="RV69" s="114" t="str">
        <f>IF(OR(RV$13="",RV$17="",RV$14="",RV$15="",RV$16="",RV$18="",RV$19="",RV$20="",RV$21=""),"",SUM($RT16:RV16))</f>
        <v/>
      </c>
      <c r="RW69" s="114" t="str">
        <f>IF(OR(RW$13="",RW$17="",RW$14="",RW$15="",RW$16="",RW$18="",RW$19="",RW$20="",RW$21=""),"",SUM($RT16:RW16))</f>
        <v/>
      </c>
      <c r="RX69" s="114" t="str">
        <f>IF(OR(RX$13="",RX$17="",RX$14="",RX$15="",RX$16="",RX$18="",RX$19="",RX$20="",RX$21=""),"",SUM($RT16:RX16))</f>
        <v/>
      </c>
      <c r="RY69" s="114" t="str">
        <f>IF(OR(RY$13="",RY$17="",RY$14="",RY$15="",RY$16="",RY$18="",RY$19="",RY$20="",RY$21=""),"",SUM($RT16:RY16))</f>
        <v/>
      </c>
      <c r="RZ69" s="114" t="str">
        <f>IF(OR(RZ$13="",RZ$17="",RZ$14="",RZ$15="",RZ$16="",RZ$18="",RZ$19="",RZ$20="",RZ$21=""),"",SUM($RT16:RZ16))</f>
        <v/>
      </c>
      <c r="SA69" s="114" t="str">
        <f>IF(OR(SA$13="",SA$17="",SA$14="",SA$15="",SA$16="",SA$18="",SA$19="",SA$20="",SA$21=""),"",SUM($RT16:SA16))</f>
        <v/>
      </c>
      <c r="SB69" s="114" t="str">
        <f>IF(OR(SB$13="",SB$17="",SB$14="",SB$15="",SB$16="",SB$18="",SB$19="",SB$20="",SB$21=""),"",SUM($RT16:SB16))</f>
        <v/>
      </c>
      <c r="SC69" s="114" t="str">
        <f>IF(OR(SC$13="",SC$17="",SC$14="",SC$15="",SC$16="",SC$18="",SC$19="",SC$20="",SC$21=""),"",SUM($RT16:SC16))</f>
        <v/>
      </c>
      <c r="SD69" s="114" t="str">
        <f>IF(OR(SD$13="",SD$17="",SD$14="",SD$15="",SD$16="",SD$18="",SD$19="",SD$20="",SD$21=""),"",SUM($RT16:SD16))</f>
        <v/>
      </c>
      <c r="SE69" s="114" t="str">
        <f>IF(OR(SE$13="",SE$17="",SE$14="",SE$15="",SE$16="",SE$18="",SE$19="",SE$20="",SE$21=""),"",SUM($RT16:SE16))</f>
        <v/>
      </c>
      <c r="SF69" s="114" t="str">
        <f>IF(OR(SF$13="",SF$17="",SF$14="",SF$15="",SF$16="",SF$18="",SF$19="",SF$20="",SF$21=""),"",SUM($RT16:SF16))</f>
        <v/>
      </c>
      <c r="SG69" s="114" t="str">
        <f>IF(OR(SG$13="",SG$17="",SG$14="",SG$15="",SG$16="",SG$18="",SG$19="",SG$20="",SG$21=""),"",SUM($RT16:SG16))</f>
        <v/>
      </c>
      <c r="SH69" s="114" t="str">
        <f>IF(OR(SH$13="",SH$17="",SH$14="",SH$15="",SH$16="",SH$18="",SH$19="",SH$20="",SH$21=""),"",SUM($RT16:SH16))</f>
        <v/>
      </c>
      <c r="SI69" s="114" t="str">
        <f>IF(OR(SI$13="",SI$17="",SI$14="",SI$15="",SI$16="",SI$18="",SI$19="",SI$20="",SI$21=""),"",SUM($RT16:SI16))</f>
        <v/>
      </c>
      <c r="SJ69" s="114" t="str">
        <f>IF(OR(SJ$13="",SJ$17="",SJ$14="",SJ$15="",SJ$16="",SJ$18="",SJ$19="",SJ$20="",SJ$21=""),"",SUM($RT16:SJ16))</f>
        <v/>
      </c>
      <c r="SK69" s="114" t="str">
        <f>IF(OR(SK$13="",SK$17="",SK$14="",SK$15="",SK$16="",SK$18="",SK$19="",SK$20="",SK$21=""),"",SUM($RT16:SK16))</f>
        <v/>
      </c>
      <c r="SL69" s="114" t="str">
        <f>IF(OR(SL$13="",SL$17="",SL$14="",SL$15="",SL$16="",SL$18="",SL$19="",SL$20="",SL$21=""),"",SUM($RT16:SL16))</f>
        <v/>
      </c>
      <c r="SM69" s="114" t="str">
        <f>IF(OR(SM$13="",SM$17="",SM$14="",SM$15="",SM$16="",SM$18="",SM$19="",SM$20="",SM$21=""),"",SUM($RT16:SM16))</f>
        <v/>
      </c>
      <c r="SN69" s="114" t="str">
        <f>IF(OR(SN$13="",SN$17="",SN$14="",SN$15="",SN$16="",SN$18="",SN$19="",SN$20="",SN$21=""),"",SUM($RT16:SN16))</f>
        <v/>
      </c>
      <c r="SO69" s="114" t="str">
        <f>IF(OR(SO$13="",SO$17="",SO$14="",SO$15="",SO$16="",SO$18="",SO$19="",SO$20="",SO$21=""),"",SUM($RT16:SO16))</f>
        <v/>
      </c>
      <c r="SP69" s="114" t="str">
        <f>IF(OR(SP$13="",SP$17="",SP$14="",SP$15="",SP$16="",SP$18="",SP$19="",SP$20="",SP$21=""),"",SUM($RT16:SP16))</f>
        <v/>
      </c>
      <c r="SQ69" s="114" t="str">
        <f>IF(OR(SQ$13="",SQ$17="",SQ$14="",SQ$15="",SQ$16="",SQ$18="",SQ$19="",SQ$20="",SQ$21=""),"",SUM($RT16:SQ16))</f>
        <v/>
      </c>
      <c r="SR69" s="114" t="str">
        <f>IF(OR(SR$13="",SR$17="",SR$14="",SR$15="",SR$16="",SR$18="",SR$19="",SR$20="",SR$21=""),"",SUM($RT16:SR16))</f>
        <v/>
      </c>
      <c r="SS69" s="114" t="str">
        <f>IF(OR(SS$13="",SS$17="",SS$14="",SS$15="",SS$16="",SS$18="",SS$19="",SS$20="",SS$21=""),"",SUM($RT16:SS16))</f>
        <v/>
      </c>
      <c r="ST69" s="114" t="str">
        <f>IF(OR(ST$13="",ST$17="",ST$14="",ST$15="",ST$16="",ST$18="",ST$19="",ST$20="",ST$21=""),"",SUM($RT16:ST16))</f>
        <v/>
      </c>
      <c r="SU69" s="114" t="str">
        <f>IF(OR(SU$13="",SU$17="",SU$14="",SU$15="",SU$16="",SU$18="",SU$19="",SU$20="",SU$21=""),"",SUM($RT16:SU16))</f>
        <v/>
      </c>
      <c r="SV69" s="114" t="str">
        <f>IF(OR(SV$13="",SV$17="",SV$14="",SV$15="",SV$16="",SV$18="",SV$19="",SV$20="",SV$21=""),"",SUM($RT16:SV16))</f>
        <v/>
      </c>
      <c r="SW69" s="114" t="str">
        <f>IF(OR(SW$13="",SW$17="",SW$14="",SW$15="",SW$16="",SW$18="",SW$19="",SW$20="",SW$21=""),"",SUM($RT16:SW16))</f>
        <v/>
      </c>
    </row>
    <row r="70" spans="1:517" ht="24" customHeight="1" x14ac:dyDescent="0.2">
      <c r="A70" s="94" t="s">
        <v>86</v>
      </c>
      <c r="B70" s="119" t="s">
        <v>81</v>
      </c>
      <c r="C70" s="114">
        <f>IF(OR(C$13="",C$17="",C$14="",C$15="",C$16="",C$18="",C$19="",C$20="",C$21=""),"",SUM($C17:C17))</f>
        <v>0</v>
      </c>
      <c r="D70" s="114">
        <f>IF(OR(D$13="",D$17="",D$14="",D$15="",D$16="",D$18="",D$19="",D$20="",D$21=""),"",SUM($C17:D17))</f>
        <v>0</v>
      </c>
      <c r="E70" s="114">
        <f>IF(OR(E$13="",E$17="",E$14="",E$15="",E$16="",E$18="",E$19="",E$20="",E$21=""),"",SUM($C17:E17))</f>
        <v>0</v>
      </c>
      <c r="F70" s="114">
        <f>IF(OR(F$13="",F$17="",F$14="",F$15="",F$16="",F$18="",F$19="",F$20="",F$21=""),"",SUM($C17:F17))</f>
        <v>0</v>
      </c>
      <c r="G70" s="114">
        <f>IF(OR(G$13="",G$17="",G$14="",G$15="",G$16="",G$18="",G$19="",G$20="",G$21=""),"",SUM($C17:G17))</f>
        <v>0</v>
      </c>
      <c r="H70" s="114">
        <f>IF(OR(H$13="",H$17="",H$14="",H$15="",H$16="",H$18="",H$19="",H$20="",H$21=""),"",SUM($C17:H17))</f>
        <v>0</v>
      </c>
      <c r="I70" s="114">
        <f>IF(OR(I$13="",I$17="",I$14="",I$15="",I$16="",I$18="",I$19="",I$20="",I$21=""),"",SUM($C17:I17))</f>
        <v>0</v>
      </c>
      <c r="J70" s="114">
        <f>IF(OR(J$13="",J$17="",J$14="",J$15="",J$16="",J$18="",J$19="",J$20="",J$21=""),"",SUM($C17:J17))</f>
        <v>0</v>
      </c>
      <c r="K70" s="114">
        <f>IF(OR(K$13="",K$17="",K$14="",K$15="",K$16="",K$18="",K$19="",K$20="",K$21=""),"",SUM($C17:K17))</f>
        <v>1.25</v>
      </c>
      <c r="L70" s="114">
        <f>IF(OR(L$13="",L$17="",L$14="",L$15="",L$16="",L$18="",L$19="",L$20="",L$21=""),"",SUM($C17:L17))</f>
        <v>9.48</v>
      </c>
      <c r="M70" s="114">
        <f>IF(OR(M$13="",M$17="",M$14="",M$15="",M$16="",M$18="",M$19="",M$20="",M$21=""),"",SUM($C17:M17))</f>
        <v>45.850000000000009</v>
      </c>
      <c r="N70" s="114">
        <f>IF(OR(N$13="",N$17="",N$14="",N$15="",N$16="",N$18="",N$19="",N$20="",N$21=""),"",SUM($C17:N17))</f>
        <v>45.850000000000009</v>
      </c>
      <c r="O70" s="114">
        <f>IF(OR(O$13="",O$17="",O$14="",O$15="",O$16="",O$18="",O$19="",O$20="",O$21=""),"",SUM($C17:O17))</f>
        <v>88.670000000000016</v>
      </c>
      <c r="P70" s="114">
        <f>IF(OR(P$13="",P$17="",P$14="",P$15="",P$16="",P$18="",P$19="",P$20="",P$21=""),"",SUM($C17:P17))</f>
        <v>88.670000000000016</v>
      </c>
      <c r="Q70" s="114">
        <f>IF(OR(Q$13="",Q$17="",Q$14="",Q$15="",Q$16="",Q$18="",Q$19="",Q$20="",Q$21=""),"",SUM($C17:Q17))</f>
        <v>95.120000000000019</v>
      </c>
      <c r="R70" s="114">
        <f>IF(OR(R$13="",R$17="",R$14="",R$15="",R$16="",R$18="",R$19="",R$20="",R$21=""),"",SUM($C17:R17))</f>
        <v>104.92000000000002</v>
      </c>
      <c r="S70" s="114">
        <f>IF(OR(S$13="",S$17="",S$14="",S$15="",S$16="",S$18="",S$19="",S$20="",S$21=""),"",SUM($C17:S17))</f>
        <v>105.94000000000001</v>
      </c>
      <c r="T70" s="114">
        <f>IF(OR(T$13="",T$17="",T$14="",T$15="",T$16="",T$18="",T$19="",T$20="",T$21=""),"",SUM($C17:T17))</f>
        <v>111.37</v>
      </c>
      <c r="U70" s="114">
        <f>IF(OR(U$13="",U$17="",U$14="",U$15="",U$16="",U$18="",U$19="",U$20="",U$21=""),"",SUM($C17:U17))</f>
        <v>114.64</v>
      </c>
      <c r="V70" s="114">
        <f>IF(OR(V$13="",V$17="",V$14="",V$15="",V$16="",V$18="",V$19="",V$20="",V$21=""),"",SUM($C17:V17))</f>
        <v>123.31</v>
      </c>
      <c r="W70" s="114">
        <f>IF(OR(W$13="",W$17="",W$14="",W$15="",W$16="",W$18="",W$19="",W$20="",W$21=""),"",SUM($C17:W17))</f>
        <v>123.31</v>
      </c>
      <c r="X70" s="114">
        <f>IF(OR(X$13="",X$17="",X$14="",X$15="",X$16="",X$18="",X$19="",X$20="",X$21=""),"",SUM($C17:X17))</f>
        <v>123.31</v>
      </c>
      <c r="Y70" s="114">
        <f>IF(OR(Y$13="",Y$17="",Y$14="",Y$15="",Y$16="",Y$18="",Y$19="",Y$20="",Y$21=""),"",SUM($C17:Y17))</f>
        <v>144.23000000000002</v>
      </c>
      <c r="Z70" s="114">
        <f>IF(OR(Z$13="",Z$17="",Z$14="",Z$15="",Z$16="",Z$18="",Z$19="",Z$20="",Z$21=""),"",SUM($C17:Z17))</f>
        <v>152.95000000000002</v>
      </c>
      <c r="AA70" s="114">
        <f>IF(OR(AA$13="",AA$17="",AA$14="",AA$15="",AA$16="",AA$18="",AA$19="",AA$20="",AA$21=""),"",SUM($C17:AA17))</f>
        <v>153.63000000000002</v>
      </c>
      <c r="AB70" s="114">
        <f>IF(OR(AB$13="",AB$17="",AB$14="",AB$15="",AB$16="",AB$18="",AB$19="",AB$20="",AB$21=""),"",SUM($C17:AB17))</f>
        <v>153.63000000000002</v>
      </c>
      <c r="AC70" s="114">
        <f>IF(OR(AC$13="",AC$17="",AC$14="",AC$15="",AC$16="",AC$18="",AC$19="",AC$20="",AC$21=""),"",SUM($C17:AC17))</f>
        <v>153.63000000000002</v>
      </c>
      <c r="AD70" s="114">
        <f>IF(OR(AD$13="",AD$17="",AD$14="",AD$15="",AD$16="",AD$18="",AD$19="",AD$20="",AD$21=""),"",SUM($C17:AD17))</f>
        <v>192.75000000000003</v>
      </c>
      <c r="AE70" s="114">
        <f>IF(OR(AE$13="",AE$17="",AE$14="",AE$15="",AE$16="",AE$18="",AE$19="",AE$20="",AE$21=""),"",SUM($C17:AE17))</f>
        <v>192.75000000000003</v>
      </c>
      <c r="AF70" s="114">
        <f>IF(OR(AF$13="",AF$17="",AF$14="",AF$15="",AF$16="",AF$18="",AF$19="",AF$20="",AF$21=""),"",SUM($C17:AF17))</f>
        <v>207.98000000000002</v>
      </c>
      <c r="AG70" s="114">
        <f>IF(OR(AG$13="",AG$17="",AG$14="",AG$15="",AG$16="",AG$18="",AG$19="",AG$20="",AG$21=""),"",SUM($C17:AG17))</f>
        <v>212.55</v>
      </c>
      <c r="AH70" s="114">
        <f>IF(OR(AH$13="",AH$17="",AH$14="",AH$15="",AH$16="",AH$18="",AH$19="",AH$20="",AH$21=""),"",SUM($AH17:AH17))</f>
        <v>1.97</v>
      </c>
      <c r="AI70" s="114">
        <f>IF(OR(AI$13="",AI$17="",AI$14="",AI$15="",AI$16="",AI$18="",AI$19="",AI$20="",AI$21=""),"",SUM($AH17:AI17))</f>
        <v>1.97</v>
      </c>
      <c r="AJ70" s="114">
        <f>IF(OR(AJ$13="",AJ$17="",AJ$14="",AJ$15="",AJ$16="",AJ$18="",AJ$19="",AJ$20="",AJ$21=""),"",SUM($AH17:AJ17))</f>
        <v>1.97</v>
      </c>
      <c r="AK70" s="114">
        <f>IF(OR(AK$13="",AK$17="",AK$14="",AK$15="",AK$16="",AK$18="",AK$19="",AK$20="",AK$21=""),"",SUM($AH17:AK17))</f>
        <v>1.97</v>
      </c>
      <c r="AL70" s="114">
        <f>IF(OR(AL$13="",AL$17="",AL$14="",AL$15="",AL$16="",AL$18="",AL$19="",AL$20="",AL$21=""),"",SUM($AH17:AL17))</f>
        <v>1.97</v>
      </c>
      <c r="AM70" s="114">
        <f>IF(OR(AM$13="",AM$17="",AM$14="",AM$15="",AM$16="",AM$18="",AM$19="",AM$20="",AM$21=""),"",SUM($AH17:AM17))</f>
        <v>3.17</v>
      </c>
      <c r="AN70" s="114">
        <f>IF(OR(AN$13="",AN$17="",AN$14="",AN$15="",AN$16="",AN$18="",AN$19="",AN$20="",AN$21=""),"",SUM($AH17:AN17))</f>
        <v>3.17</v>
      </c>
      <c r="AO70" s="114">
        <f>IF(OR(AO$13="",AO$17="",AO$14="",AO$15="",AO$16="",AO$18="",AO$19="",AO$20="",AO$21=""),"",SUM($AH17:AO17))</f>
        <v>14.4</v>
      </c>
      <c r="AP70" s="114">
        <f>IF(OR(AP$13="",AP$17="",AP$14="",AP$15="",AP$16="",AP$18="",AP$19="",AP$20="",AP$21=""),"",SUM($AH17:AP17))</f>
        <v>17.98</v>
      </c>
      <c r="AQ70" s="114">
        <f>IF(OR(AQ$13="",AQ$17="",AQ$14="",AQ$15="",AQ$16="",AQ$18="",AQ$19="",AQ$20="",AQ$21=""),"",SUM($AH17:AQ17))</f>
        <v>20.8</v>
      </c>
      <c r="AR70" s="114">
        <f>IF(OR(AR$13="",AR$17="",AR$14="",AR$15="",AR$16="",AR$18="",AR$19="",AR$20="",AR$21=""),"",SUM($AH17:AR17))</f>
        <v>20.8</v>
      </c>
      <c r="AS70" s="114">
        <f>IF(OR(AS$13="",AS$17="",AS$14="",AS$15="",AS$16="",AS$18="",AS$19="",AS$20="",AS$21=""),"",SUM($AH17:AS17))</f>
        <v>20.8</v>
      </c>
      <c r="AT70" s="114">
        <f>IF(OR(AT$13="",AT$17="",AT$14="",AT$15="",AT$16="",AT$18="",AT$19="",AT$20="",AT$21=""),"",SUM($AH17:AT17))</f>
        <v>20.8</v>
      </c>
      <c r="AU70" s="114">
        <f>IF(OR(AU$13="",AU$17="",AU$14="",AU$15="",AU$16="",AU$18="",AU$19="",AU$20="",AU$21=""),"",SUM($AH17:AU17))</f>
        <v>24.57</v>
      </c>
      <c r="AV70" s="114">
        <f>IF(OR(AV$13="",AV$17="",AV$14="",AV$15="",AV$16="",AV$18="",AV$19="",AV$20="",AV$21=""),"",SUM($AH17:AV17))</f>
        <v>24.57</v>
      </c>
      <c r="AW70" s="114">
        <f>IF(OR(AW$13="",AW$17="",AW$14="",AW$15="",AW$16="",AW$18="",AW$19="",AW$20="",AW$21=""),"",SUM($AH17:AW17))</f>
        <v>24.57</v>
      </c>
      <c r="AX70" s="114">
        <f>IF(OR(AX$13="",AX$17="",AX$14="",AX$15="",AX$16="",AX$18="",AX$19="",AX$20="",AX$21=""),"",SUM($AH17:AX17))</f>
        <v>24.57</v>
      </c>
      <c r="AY70" s="114">
        <f>IF(OR(AY$13="",AY$17="",AY$14="",AY$15="",AY$16="",AY$18="",AY$19="",AY$20="",AY$21=""),"",SUM($AH17:AY17))</f>
        <v>47.07</v>
      </c>
      <c r="AZ70" s="114">
        <f>IF(OR(AZ$13="",AZ$17="",AZ$14="",AZ$15="",AZ$16="",AZ$18="",AZ$19="",AZ$20="",AZ$21=""),"",SUM($AH17:AZ17))</f>
        <v>55.54</v>
      </c>
      <c r="BA70" s="114">
        <f>IF(OR(BA$13="",BA$17="",BA$14="",BA$15="",BA$16="",BA$18="",BA$19="",BA$20="",BA$21=""),"",SUM($AH17:BA17))</f>
        <v>55.54</v>
      </c>
      <c r="BB70" s="114">
        <f>IF(OR(BB$13="",BB$17="",BB$14="",BB$15="",BB$16="",BB$18="",BB$19="",BB$20="",BB$21=""),"",SUM($AH17:BB17))</f>
        <v>55.54</v>
      </c>
      <c r="BC70" s="114">
        <f>IF(OR(BC$13="",BC$17="",BC$14="",BC$15="",BC$16="",BC$18="",BC$19="",BC$20="",BC$21=""),"",SUM($AH17:BC17))</f>
        <v>55.54</v>
      </c>
      <c r="BD70" s="114">
        <f>IF(OR(BD$13="",BD$17="",BD$14="",BD$15="",BD$16="",BD$18="",BD$19="",BD$20="",BD$21=""),"",SUM($AH17:BD17))</f>
        <v>58.81</v>
      </c>
      <c r="BE70" s="114">
        <f>IF(OR(BE$13="",BE$17="",BE$14="",BE$15="",BE$16="",BE$18="",BE$19="",BE$20="",BE$21=""),"",SUM($AH17:BE17))</f>
        <v>58.81</v>
      </c>
      <c r="BF70" s="114">
        <f>IF(OR(BF$13="",BF$17="",BF$14="",BF$15="",BF$16="",BF$18="",BF$19="",BF$20="",BF$21=""),"",SUM($AH17:BF17))</f>
        <v>58.81</v>
      </c>
      <c r="BG70" s="114">
        <f>IF(OR(BG$13="",BG$17="",BG$14="",BG$15="",BG$16="",BG$18="",BG$19="",BG$20="",BG$21=""),"",SUM($AH17:BG17))</f>
        <v>58.81</v>
      </c>
      <c r="BH70" s="114">
        <f>IF(OR(BH$13="",BH$17="",BH$14="",BH$15="",BH$16="",BH$18="",BH$19="",BH$20="",BH$21=""),"",SUM($AH17:BH17))</f>
        <v>58.81</v>
      </c>
      <c r="BI70" s="114">
        <f>IF(OR(BI$13="",BI$17="",BI$14="",BI$15="",BI$16="",BI$18="",BI$19="",BI$20="",BI$21=""),"",SUM($AH17:BI17))</f>
        <v>58.81</v>
      </c>
      <c r="BJ70" s="114">
        <f>IF(OR(BJ$13="",BJ$17="",BJ$14="",BJ$15="",BJ$16="",BJ$18="",BJ$19="",BJ$20="",BJ$21=""),"",SUM($BJ17:BJ17))</f>
        <v>26.360000000000003</v>
      </c>
      <c r="BK70" s="114">
        <f>IF(OR(BK$13="",BK$17="",BK$14="",BK$15="",BK$16="",BK$18="",BK$19="",BK$20="",BK$21=""),"",SUM($BJ17:BK17))</f>
        <v>26.360000000000003</v>
      </c>
      <c r="BL70" s="114">
        <f>IF(OR(BL$13="",BL$17="",BL$14="",BL$15="",BL$16="",BL$18="",BL$19="",BL$20="",BL$21=""),"",SUM($BJ17:BL17))</f>
        <v>33.080000000000005</v>
      </c>
      <c r="BM70" s="114">
        <f>IF(OR(BM$13="",BM$17="",BM$14="",BM$15="",BM$16="",BM$18="",BM$19="",BM$20="",BM$21=""),"",SUM($BJ17:BM17))</f>
        <v>33.080000000000005</v>
      </c>
      <c r="BN70" s="114">
        <f>IF(OR(BN$13="",BN$17="",BN$14="",BN$15="",BN$16="",BN$18="",BN$19="",BN$20="",BN$21=""),"",SUM($BJ17:BN17))</f>
        <v>34.260000000000005</v>
      </c>
      <c r="BO70" s="114">
        <f>IF(OR(BO$13="",BO$17="",BO$14="",BO$15="",BO$16="",BO$18="",BO$19="",BO$20="",BO$21=""),"",SUM($BJ17:BO17))</f>
        <v>50.690000000000005</v>
      </c>
      <c r="BP70" s="114">
        <f>IF(OR(BP$13="",BP$17="",BP$14="",BP$15="",BP$16="",BP$18="",BP$19="",BP$20="",BP$21=""),"",SUM($BJ17:BP17))</f>
        <v>50.690000000000005</v>
      </c>
      <c r="BQ70" s="114">
        <f>IF(OR(BQ$13="",BQ$17="",BQ$14="",BQ$15="",BQ$16="",BQ$18="",BQ$19="",BQ$20="",BQ$21=""),"",SUM($BJ17:BQ17))</f>
        <v>53.410000000000004</v>
      </c>
      <c r="BR70" s="114">
        <f>IF(OR(BR$13="",BR$17="",BR$14="",BR$15="",BR$16="",BR$18="",BR$19="",BR$20="",BR$21=""),"",SUM($BJ17:BR17))</f>
        <v>55.080000000000005</v>
      </c>
      <c r="BS70" s="114">
        <f>IF(OR(BS$13="",BS$17="",BS$14="",BS$15="",BS$16="",BS$18="",BS$19="",BS$20="",BS$21=""),"",SUM($BJ17:BS17))</f>
        <v>72.25</v>
      </c>
      <c r="BT70" s="114">
        <f>IF(OR(BT$13="",BT$17="",BT$14="",BT$15="",BT$16="",BT$18="",BT$19="",BT$20="",BT$21=""),"",SUM($BJ17:BT17))</f>
        <v>72.25</v>
      </c>
      <c r="BU70" s="114">
        <f>IF(OR(BU$13="",BU$17="",BU$14="",BU$15="",BU$16="",BU$18="",BU$19="",BU$20="",BU$21=""),"",SUM($BJ17:BU17))</f>
        <v>72.25</v>
      </c>
      <c r="BV70" s="114">
        <f>IF(OR(BV$13="",BV$17="",BV$14="",BV$15="",BV$16="",BV$18="",BV$19="",BV$20="",BV$21=""),"",SUM($BJ17:BV17))</f>
        <v>81.849999999999994</v>
      </c>
      <c r="BW70" s="114">
        <f>IF(OR(BW$13="",BW$17="",BW$14="",BW$15="",BW$16="",BW$18="",BW$19="",BW$20="",BW$21=""),"",SUM($BJ17:BW17))</f>
        <v>83.02</v>
      </c>
      <c r="BX70" s="114">
        <f>IF(OR(BX$13="",BX$17="",BX$14="",BX$15="",BX$16="",BX$18="",BX$19="",BX$20="",BX$21=""),"",SUM($BJ17:BX17))</f>
        <v>83.02</v>
      </c>
      <c r="BY70" s="114">
        <f>IF(OR(BY$13="",BY$17="",BY$14="",BY$15="",BY$16="",BY$18="",BY$19="",BY$20="",BY$21=""),"",SUM($BJ17:BY17))</f>
        <v>83.02</v>
      </c>
      <c r="BZ70" s="114">
        <f>IF(OR(BZ$13="",BZ$17="",BZ$14="",BZ$15="",BZ$16="",BZ$18="",BZ$19="",BZ$20="",BZ$21=""),"",SUM($BJ17:BZ17))</f>
        <v>86.55</v>
      </c>
      <c r="CA70" s="114">
        <f>IF(OR(CA$13="",CA$17="",CA$14="",CA$15="",CA$16="",CA$18="",CA$19="",CA$20="",CA$21=""),"",SUM($BJ17:CA17))</f>
        <v>86.55</v>
      </c>
      <c r="CB70" s="114">
        <f>IF(OR(CB$13="",CB$17="",CB$14="",CB$15="",CB$16="",CB$18="",CB$19="",CB$20="",CB$21=""),"",SUM($BJ17:CB17))</f>
        <v>86.55</v>
      </c>
      <c r="CC70" s="114">
        <f>IF(OR(CC$13="",CC$17="",CC$14="",CC$15="",CC$16="",CC$18="",CC$19="",CC$20="",CC$21=""),"",SUM($BJ17:CC17))</f>
        <v>86.55</v>
      </c>
      <c r="CD70" s="114">
        <f>IF(OR(CD$13="",CD$17="",CD$14="",CD$15="",CD$16="",CD$18="",CD$19="",CD$20="",CD$21=""),"",SUM($BJ17:CD17))</f>
        <v>88.539999999999992</v>
      </c>
      <c r="CE70" s="114">
        <f>IF(OR(CE$13="",CE$17="",CE$14="",CE$15="",CE$16="",CE$18="",CE$19="",CE$20="",CE$21=""),"",SUM($BJ17:CE17))</f>
        <v>88.539999999999992</v>
      </c>
      <c r="CF70" s="114">
        <f>IF(OR(CF$13="",CF$17="",CF$14="",CF$15="",CF$16="",CF$18="",CF$19="",CF$20="",CF$21=""),"",SUM($BJ17:CF17))</f>
        <v>88.539999999999992</v>
      </c>
      <c r="CG70" s="114">
        <f>IF(OR(CG$13="",CG$17="",CG$14="",CG$15="",CG$16="",CG$18="",CG$19="",CG$20="",CG$21=""),"",SUM($BJ17:CG17))</f>
        <v>88.539999999999992</v>
      </c>
      <c r="CH70" s="114">
        <f>IF(OR(CH$13="",CH$17="",CH$14="",CH$15="",CH$16="",CH$18="",CH$19="",CH$20="",CH$21=""),"",SUM($BJ17:CH17))</f>
        <v>88.539999999999992</v>
      </c>
      <c r="CI70" s="114">
        <f>IF(OR(CI$13="",CI$17="",CI$14="",CI$15="",CI$16="",CI$18="",CI$19="",CI$20="",CI$21=""),"",SUM($BJ17:CI17))</f>
        <v>90.32</v>
      </c>
      <c r="CJ70" s="114">
        <f>IF(OR(CJ$13="",CJ$17="",CJ$14="",CJ$15="",CJ$16="",CJ$18="",CJ$19="",CJ$20="",CJ$21=""),"",SUM($BJ17:CJ17))</f>
        <v>90.32</v>
      </c>
      <c r="CK70" s="114">
        <f>IF(OR(CK$13="",CK$17="",CK$14="",CK$15="",CK$16="",CK$18="",CK$19="",CK$20="",CK$21=""),"",SUM($BJ17:CK17))</f>
        <v>90.32</v>
      </c>
      <c r="CL70" s="114">
        <f>IF(OR(CL$13="",CL$17="",CL$14="",CL$15="",CL$16="",CL$18="",CL$19="",CL$20="",CL$21=""),"",SUM($BJ17:CL17))</f>
        <v>92.399999999999991</v>
      </c>
      <c r="CM70" s="114">
        <f>IF(OR(CM$13="",CM$17="",CM$14="",CM$15="",CM$16="",CM$18="",CM$19="",CM$20="",CM$21=""),"",SUM($BJ17:CM17))</f>
        <v>109.79999999999998</v>
      </c>
      <c r="CN70" s="114">
        <f>IF(OR(CN$13="",CN$17="",CN$14="",CN$15="",CN$16="",CN$18="",CN$19="",CN$20="",CN$21=""),"",SUM($BJ17:CN17))</f>
        <v>120.54999999999998</v>
      </c>
      <c r="CO70" s="114">
        <f>IF(OR(CO$13="",CO$17="",CO$14="",CO$15="",CO$16="",CO$18="",CO$19="",CO$20="",CO$21=""),"",SUM($CO17:CO17))</f>
        <v>3.2299999999999995</v>
      </c>
      <c r="CP70" s="114">
        <f>IF(OR(CP$13="",CP$17="",CP$14="",CP$15="",CP$16="",CP$18="",CP$19="",CP$20="",CP$21=""),"",SUM($CO17:CP17))</f>
        <v>3.2299999999999995</v>
      </c>
      <c r="CQ70" s="114">
        <f>IF(OR(CQ$13="",CQ$17="",CQ$14="",CQ$15="",CQ$16="",CQ$18="",CQ$19="",CQ$20="",CQ$21=""),"",SUM($CO17:CQ17))</f>
        <v>3.2299999999999995</v>
      </c>
      <c r="CR70" s="114">
        <f>IF(OR(CR$13="",CR$17="",CR$14="",CR$15="",CR$16="",CR$18="",CR$19="",CR$20="",CR$21=""),"",SUM($CO17:CR17))</f>
        <v>3.2299999999999995</v>
      </c>
      <c r="CS70" s="114">
        <f>IF(OR(CS$13="",CS$17="",CS$14="",CS$15="",CS$16="",CS$18="",CS$19="",CS$20="",CS$21=""),"",SUM($CO17:CS17))</f>
        <v>3.2299999999999995</v>
      </c>
      <c r="CT70" s="114">
        <f>IF(OR(CT$13="",CT$17="",CT$14="",CT$15="",CT$16="",CT$18="",CT$19="",CT$20="",CT$21=""),"",SUM($CO17:CT17))</f>
        <v>3.2299999999999995</v>
      </c>
      <c r="CU70" s="114">
        <f>IF(OR(CU$13="",CU$17="",CU$14="",CU$15="",CU$16="",CU$18="",CU$19="",CU$20="",CU$21=""),"",SUM($CO17:CU17))</f>
        <v>7.45</v>
      </c>
      <c r="CV70" s="114">
        <f>IF(OR(CV$13="",CV$17="",CV$14="",CV$15="",CV$16="",CV$18="",CV$19="",CV$20="",CV$21=""),"",SUM($CO17:CV17))</f>
        <v>7.45</v>
      </c>
      <c r="CW70" s="114">
        <f>IF(OR(CW$13="",CW$17="",CW$14="",CW$15="",CW$16="",CW$18="",CW$19="",CW$20="",CW$21=""),"",SUM($CO17:CW17))</f>
        <v>7.45</v>
      </c>
      <c r="CX70" s="114">
        <f>IF(OR(CX$13="",CX$17="",CX$14="",CX$15="",CX$16="",CX$18="",CX$19="",CX$20="",CX$21=""),"",SUM($CO17:CX17))</f>
        <v>7.45</v>
      </c>
      <c r="CY70" s="114">
        <f>IF(OR(CY$13="",CY$17="",CY$14="",CY$15="",CY$16="",CY$18="",CY$19="",CY$20="",CY$21=""),"",SUM($CO17:CY17))</f>
        <v>10.85</v>
      </c>
      <c r="CZ70" s="114">
        <f>IF(OR(CZ$13="",CZ$17="",CZ$14="",CZ$15="",CZ$16="",CZ$18="",CZ$19="",CZ$20="",CZ$21=""),"",SUM($CO17:CZ17))</f>
        <v>10.85</v>
      </c>
      <c r="DA70" s="114">
        <f>IF(OR(DA$13="",DA$17="",DA$14="",DA$15="",DA$16="",DA$18="",DA$19="",DA$20="",DA$21=""),"",SUM($CO17:DA17))</f>
        <v>18.420000000000002</v>
      </c>
      <c r="DB70" s="114">
        <f>IF(OR(DB$13="",DB$17="",DB$14="",DB$15="",DB$16="",DB$18="",DB$19="",DB$20="",DB$21=""),"",SUM($CO17:DB17))</f>
        <v>18.420000000000002</v>
      </c>
      <c r="DC70" s="114">
        <f>IF(OR(DC$13="",DC$17="",DC$14="",DC$15="",DC$16="",DC$18="",DC$19="",DC$20="",DC$21=""),"",SUM($CO17:DC17))</f>
        <v>18.420000000000002</v>
      </c>
      <c r="DD70" s="114">
        <f>IF(OR(DD$13="",DD$17="",DD$14="",DD$15="",DD$16="",DD$18="",DD$19="",DD$20="",DD$21=""),"",SUM($CO17:DD17))</f>
        <v>18.420000000000002</v>
      </c>
      <c r="DE70" s="114">
        <f>IF(OR(DE$13="",DE$17="",DE$14="",DE$15="",DE$16="",DE$18="",DE$19="",DE$20="",DE$21=""),"",SUM($CO17:DE17))</f>
        <v>20.43</v>
      </c>
      <c r="DF70" s="114">
        <f>IF(OR(DF$13="",DF$17="",DF$14="",DF$15="",DF$16="",DF$18="",DF$19="",DF$20="",DF$21=""),"",SUM($CO17:DF17))</f>
        <v>20.43</v>
      </c>
      <c r="DG70" s="114">
        <f>IF(OR(DG$13="",DG$17="",DG$14="",DG$15="",DG$16="",DG$18="",DG$19="",DG$20="",DG$21=""),"",SUM($CO17:DG17))</f>
        <v>20.43</v>
      </c>
      <c r="DH70" s="114">
        <f>IF(OR(DH$13="",DH$17="",DH$14="",DH$15="",DH$16="",DH$18="",DH$19="",DH$20="",DH$21=""),"",SUM($CO17:DH17))</f>
        <v>51.57</v>
      </c>
      <c r="DI70" s="114">
        <f>IF(OR(DI$13="",DI$17="",DI$14="",DI$15="",DI$16="",DI$18="",DI$19="",DI$20="",DI$21=""),"",SUM($CO17:DI17))</f>
        <v>51.57</v>
      </c>
      <c r="DJ70" s="114">
        <f>IF(OR(DJ$13="",DJ$17="",DJ$14="",DJ$15="",DJ$16="",DJ$18="",DJ$19="",DJ$20="",DJ$21=""),"",SUM($CO17:DJ17))</f>
        <v>55.58</v>
      </c>
      <c r="DK70" s="114">
        <f>IF(OR(DK$13="",DK$17="",DK$14="",DK$15="",DK$16="",DK$18="",DK$19="",DK$20="",DK$21=""),"",SUM($CO17:DK17))</f>
        <v>55.58</v>
      </c>
      <c r="DL70" s="114">
        <f>IF(OR(DL$13="",DL$17="",DL$14="",DL$15="",DL$16="",DL$18="",DL$19="",DL$20="",DL$21=""),"",SUM($CO17:DL17))</f>
        <v>55.58</v>
      </c>
      <c r="DM70" s="114">
        <f>IF(OR(DM$13="",DM$17="",DM$14="",DM$15="",DM$16="",DM$18="",DM$19="",DM$20="",DM$21=""),"",SUM($CO17:DM17))</f>
        <v>55.58</v>
      </c>
      <c r="DN70" s="114">
        <f>IF(OR(DN$13="",DN$17="",DN$14="",DN$15="",DN$16="",DN$18="",DN$19="",DN$20="",DN$21=""),"",SUM($CO17:DN17))</f>
        <v>55.58</v>
      </c>
      <c r="DO70" s="114">
        <f>IF(OR(DO$13="",DO$17="",DO$14="",DO$15="",DO$16="",DO$18="",DO$19="",DO$20="",DO$21=""),"",SUM($CO17:DO17))</f>
        <v>60.06</v>
      </c>
      <c r="DP70" s="114">
        <f>IF(OR(DP$13="",DP$17="",DP$14="",DP$15="",DP$16="",DP$18="",DP$19="",DP$20="",DP$21=""),"",SUM($CO17:DP17))</f>
        <v>64.61</v>
      </c>
      <c r="DQ70" s="114">
        <f>IF(OR(DQ$13="",DQ$17="",DQ$14="",DQ$15="",DQ$16="",DQ$18="",DQ$19="",DQ$20="",DQ$21=""),"",SUM($CO17:DQ17))</f>
        <v>64.61</v>
      </c>
      <c r="DR70" s="114">
        <f>IF(OR(DR$13="",DR$17="",DR$14="",DR$15="",DR$16="",DR$18="",DR$19="",DR$20="",DR$21=""),"",SUM($CO17:DR17))</f>
        <v>64.61</v>
      </c>
      <c r="DS70" s="114">
        <f>IF(OR(DS$13="",DS$17="",DS$14="",DS$15="",DS$16="",DS$18="",DS$19="",DS$20="",DS$21=""),"",SUM($DS17:DS17))</f>
        <v>0</v>
      </c>
      <c r="DT70" s="114">
        <f>IF(OR(DT$13="",DT$17="",DT$14="",DT$15="",DT$16="",DT$18="",DT$19="",DT$20="",DT$21=""),"",SUM($DS17:DT17))</f>
        <v>0</v>
      </c>
      <c r="DU70" s="114">
        <f>IF(OR(DU$13="",DU$17="",DU$14="",DU$15="",DU$16="",DU$18="",DU$19="",DU$20="",DU$21=""),"",SUM($DS17:DU17))</f>
        <v>14.48</v>
      </c>
      <c r="DV70" s="114">
        <f>IF(OR(DV$13="",DV$17="",DV$14="",DV$15="",DV$16="",DV$18="",DV$19="",DV$20="",DV$21=""),"",SUM($DS17:DV17))</f>
        <v>20.329999999999998</v>
      </c>
      <c r="DW70" s="114">
        <f>IF(OR(DW$13="",DW$17="",DW$14="",DW$15="",DW$16="",DW$18="",DW$19="",DW$20="",DW$21=""),"",SUM($DS17:DW17))</f>
        <v>21.599999999999998</v>
      </c>
      <c r="DX70" s="114">
        <f>IF(OR(DX$13="",DX$17="",DX$14="",DX$15="",DX$16="",DX$18="",DX$19="",DX$20="",DX$21=""),"",SUM($DS17:DX17))</f>
        <v>32.5</v>
      </c>
      <c r="DY70" s="114">
        <f>IF(OR(DY$13="",DY$17="",DY$14="",DY$15="",DY$16="",DY$18="",DY$19="",DY$20="",DY$21=""),"",SUM($DS17:DY17))</f>
        <v>32.5</v>
      </c>
      <c r="DZ70" s="114">
        <f>IF(OR(DZ$13="",DZ$17="",DZ$14="",DZ$15="",DZ$16="",DZ$18="",DZ$19="",DZ$20="",DZ$21=""),"",SUM($DS17:DZ17))</f>
        <v>38.269999999999996</v>
      </c>
      <c r="EA70" s="114">
        <f>IF(OR(EA$13="",EA$17="",EA$14="",EA$15="",EA$16="",EA$18="",EA$19="",EA$20="",EA$21=""),"",SUM($DS17:EA17))</f>
        <v>38.269999999999996</v>
      </c>
      <c r="EB70" s="114">
        <f>IF(OR(EB$13="",EB$17="",EB$14="",EB$15="",EB$16="",EB$18="",EB$19="",EB$20="",EB$21=""),"",SUM($DS17:EB17))</f>
        <v>38.269999999999996</v>
      </c>
      <c r="EC70" s="114">
        <f>IF(OR(EC$13="",EC$17="",EC$14="",EC$15="",EC$16="",EC$18="",EC$19="",EC$20="",EC$21=""),"",SUM($DS17:EC17))</f>
        <v>38.269999999999996</v>
      </c>
      <c r="ED70" s="114">
        <f>IF(OR(ED$13="",ED$17="",ED$14="",ED$15="",ED$16="",ED$18="",ED$19="",ED$20="",ED$21=""),"",SUM($DS17:ED17))</f>
        <v>38.269999999999996</v>
      </c>
      <c r="EE70" s="114">
        <f>IF(OR(EE$13="",EE$17="",EE$14="",EE$15="",EE$16="",EE$18="",EE$19="",EE$20="",EE$21=""),"",SUM($DS17:EE17))</f>
        <v>38.269999999999996</v>
      </c>
      <c r="EF70" s="114">
        <f>IF(OR(EF$13="",EF$17="",EF$14="",EF$15="",EF$16="",EF$18="",EF$19="",EF$20="",EF$21=""),"",SUM($DS17:EF17))</f>
        <v>38.269999999999996</v>
      </c>
      <c r="EG70" s="114">
        <f>IF(OR(EG$13="",EG$17="",EG$14="",EG$15="",EG$16="",EG$18="",EG$19="",EG$20="",EG$21=""),"",SUM($DS17:EG17))</f>
        <v>38.269999999999996</v>
      </c>
      <c r="EH70" s="114">
        <f>IF(OR(EH$13="",EH$17="",EH$14="",EH$15="",EH$16="",EH$18="",EH$19="",EH$20="",EH$21=""),"",SUM($DS17:EH17))</f>
        <v>38.269999999999996</v>
      </c>
      <c r="EI70" s="114">
        <f>IF(OR(EI$13="",EI$17="",EI$14="",EI$15="",EI$16="",EI$18="",EI$19="",EI$20="",EI$21=""),"",SUM($DS17:EI17))</f>
        <v>38.269999999999996</v>
      </c>
      <c r="EJ70" s="114">
        <f>IF(OR(EJ$13="",EJ$17="",EJ$14="",EJ$15="",EJ$16="",EJ$18="",EJ$19="",EJ$20="",EJ$21=""),"",SUM($DS17:EJ17))</f>
        <v>51.73</v>
      </c>
      <c r="EK70" s="114">
        <f>IF(OR(EK$13="",EK$17="",EK$14="",EK$15="",EK$16="",EK$18="",EK$19="",EK$20="",EK$21=""),"",SUM($DS17:EK17))</f>
        <v>51.73</v>
      </c>
      <c r="EL70" s="114">
        <f>IF(OR(EL$13="",EL$17="",EL$14="",EL$15="",EL$16="",EL$18="",EL$19="",EL$20="",EL$21=""),"",SUM($DS17:EL17))</f>
        <v>51.73</v>
      </c>
      <c r="EM70" s="114">
        <f>IF(OR(EM$13="",EM$17="",EM$14="",EM$15="",EM$16="",EM$18="",EM$19="",EM$20="",EM$21=""),"",SUM($DS17:EM17))</f>
        <v>61.68</v>
      </c>
      <c r="EN70" s="114">
        <f>IF(OR(EN$13="",EN$17="",EN$14="",EN$15="",EN$16="",EN$18="",EN$19="",EN$20="",EN$21=""),"",SUM($DS17:EN17))</f>
        <v>61.68</v>
      </c>
      <c r="EO70" s="114">
        <f>IF(OR(EO$13="",EO$17="",EO$14="",EO$15="",EO$16="",EO$18="",EO$19="",EO$20="",EO$21=""),"",SUM($DS17:EO17))</f>
        <v>61.68</v>
      </c>
      <c r="EP70" s="114">
        <f>IF(OR(EP$13="",EP$17="",EP$14="",EP$15="",EP$16="",EP$18="",EP$19="",EP$20="",EP$21=""),"",SUM($DS17:EP17))</f>
        <v>76.55</v>
      </c>
      <c r="EQ70" s="114">
        <f>IF(OR(EQ$13="",EQ$17="",EQ$14="",EQ$15="",EQ$16="",EQ$18="",EQ$19="",EQ$20="",EQ$21=""),"",SUM($DS17:EQ17))</f>
        <v>76.55</v>
      </c>
      <c r="ER70" s="114">
        <f>IF(OR(ER$13="",ER$17="",ER$14="",ER$15="",ER$16="",ER$18="",ER$19="",ER$20="",ER$21=""),"",SUM($DS17:ER17))</f>
        <v>76.55</v>
      </c>
      <c r="ES70" s="114">
        <f>IF(OR(ES$13="",ES$17="",ES$14="",ES$15="",ES$16="",ES$18="",ES$19="",ES$20="",ES$21=""),"",SUM($DS17:ES17))</f>
        <v>76.55</v>
      </c>
      <c r="ET70" s="114">
        <f>IF(OR(ET$13="",ET$17="",ET$14="",ET$15="",ET$16="",ET$18="",ET$19="",ET$20="",ET$21=""),"",SUM($DS17:ET17))</f>
        <v>81.58</v>
      </c>
      <c r="EU70" s="114">
        <f>IF(OR(EU$13="",EU$17="",EU$14="",EU$15="",EU$16="",EU$18="",EU$19="",EU$20="",EU$21=""),"",SUM($DS17:EU17))</f>
        <v>81.58</v>
      </c>
      <c r="EV70" s="114">
        <f>IF(OR(EV$13="",EV$17="",EV$14="",EV$15="",EV$16="",EV$18="",EV$19="",EV$20="",EV$21=""),"",SUM($DS17:EV17))</f>
        <v>81.58</v>
      </c>
      <c r="EW70" s="114">
        <f>IF(OR(EW$13="",EW$17="",EW$14="",EW$15="",EW$16="",EW$18="",EW$19="",EW$20="",EW$21=""),"",SUM($DS17:EW17))</f>
        <v>81.58</v>
      </c>
      <c r="EX70" s="114">
        <f>IF(OR(EX$13="",EX$17="",EX$14="",EX$15="",EX$16="",EX$18="",EX$19="",EX$20="",EX$21=""),"",SUM($EX17:EX17))</f>
        <v>0</v>
      </c>
      <c r="EY70" s="114">
        <f>IF(OR(EY$13="",EY$17="",EY$14="",EY$15="",EY$16="",EY$18="",EY$19="",EY$20="",EY$21=""),"",SUM($EX17:EY17))</f>
        <v>0</v>
      </c>
      <c r="EZ70" s="114">
        <f>IF(OR(EZ$13="",EZ$17="",EZ$14="",EZ$15="",EZ$16="",EZ$18="",EZ$19="",EZ$20="",EZ$21=""),"",SUM($EX17:EZ17))</f>
        <v>0</v>
      </c>
      <c r="FA70" s="114">
        <f>IF(OR(FA$13="",FA$17="",FA$14="",FA$15="",FA$16="",FA$18="",FA$19="",FA$20="",FA$21=""),"",SUM($EX17:FA17))</f>
        <v>0</v>
      </c>
      <c r="FB70" s="114">
        <f>IF(OR(FB$13="",FB$17="",FB$14="",FB$15="",FB$16="",FB$18="",FB$19="",FB$20="",FB$21=""),"",SUM($EX17:FB17))</f>
        <v>0</v>
      </c>
      <c r="FC70" s="114">
        <f>IF(OR(FC$13="",FC$17="",FC$14="",FC$15="",FC$16="",FC$18="",FC$19="",FC$20="",FC$21=""),"",SUM($EX17:FC17))</f>
        <v>0</v>
      </c>
      <c r="FD70" s="114">
        <f>IF(OR(FD$13="",FD$17="",FD$14="",FD$15="",FD$16="",FD$18="",FD$19="",FD$20="",FD$21=""),"",SUM($EX17:FD17))</f>
        <v>4.5500000000000007</v>
      </c>
      <c r="FE70" s="114">
        <f>IF(OR(FE$13="",FE$17="",FE$14="",FE$15="",FE$16="",FE$18="",FE$19="",FE$20="",FE$21=""),"",SUM($EX17:FE17))</f>
        <v>4.5500000000000007</v>
      </c>
      <c r="FF70" s="114">
        <f>IF(OR(FF$13="",FF$17="",FF$14="",FF$15="",FF$16="",FF$18="",FF$19="",FF$20="",FF$21=""),"",SUM($EX17:FF17))</f>
        <v>4.5500000000000007</v>
      </c>
      <c r="FG70" s="114">
        <f>IF(OR(FG$13="",FG$17="",FG$14="",FG$15="",FG$16="",FG$18="",FG$19="",FG$20="",FG$21=""),"",SUM($EX17:FG17))</f>
        <v>4.5500000000000007</v>
      </c>
      <c r="FH70" s="114">
        <f>IF(OR(FH$13="",FH$17="",FH$14="",FH$15="",FH$16="",FH$18="",FH$19="",FH$20="",FH$21=""),"",SUM($EX17:FH17))</f>
        <v>4.5500000000000007</v>
      </c>
      <c r="FI70" s="114">
        <f>IF(OR(FI$13="",FI$17="",FI$14="",FI$15="",FI$16="",FI$18="",FI$19="",FI$20="",FI$21=""),"",SUM($EX17:FI17))</f>
        <v>4.5500000000000007</v>
      </c>
      <c r="FJ70" s="114">
        <f>IF(OR(FJ$13="",FJ$17="",FJ$14="",FJ$15="",FJ$16="",FJ$18="",FJ$19="",FJ$20="",FJ$21=""),"",SUM($EX17:FJ17))</f>
        <v>4.5500000000000007</v>
      </c>
      <c r="FK70" s="114">
        <f>IF(OR(FK$13="",FK$17="",FK$14="",FK$15="",FK$16="",FK$18="",FK$19="",FK$20="",FK$21=""),"",SUM($EX17:FK17))</f>
        <v>4.5500000000000007</v>
      </c>
      <c r="FL70" s="114">
        <f>IF(OR(FL$13="",FL$17="",FL$14="",FL$15="",FL$16="",FL$18="",FL$19="",FL$20="",FL$21=""),"",SUM($EX17:FL17))</f>
        <v>4.5500000000000007</v>
      </c>
      <c r="FM70" s="114">
        <f>IF(OR(FM$13="",FM$17="",FM$14="",FM$15="",FM$16="",FM$18="",FM$19="",FM$20="",FM$21=""),"",SUM($EX17:FM17))</f>
        <v>9.6700000000000017</v>
      </c>
      <c r="FN70" s="114">
        <f>IF(OR(FN$13="",FN$17="",FN$14="",FN$15="",FN$16="",FN$18="",FN$19="",FN$20="",FN$21=""),"",SUM($EX17:FN17))</f>
        <v>9.6700000000000017</v>
      </c>
      <c r="FO70" s="114">
        <f>IF(OR(FO$13="",FO$17="",FO$14="",FO$15="",FO$16="",FO$18="",FO$19="",FO$20="",FO$21=""),"",SUM($EX17:FO17))</f>
        <v>27.19</v>
      </c>
      <c r="FP70" s="114">
        <f>IF(OR(FP$13="",FP$17="",FP$14="",FP$15="",FP$16="",FP$18="",FP$19="",FP$20="",FP$21=""),"",SUM($EX17:FP17))</f>
        <v>27.19</v>
      </c>
      <c r="FQ70" s="114">
        <f>IF(OR(FQ$13="",FQ$17="",FQ$14="",FQ$15="",FQ$16="",FQ$18="",FQ$19="",FQ$20="",FQ$21=""),"",SUM($EX17:FQ17))</f>
        <v>27.19</v>
      </c>
      <c r="FR70" s="114">
        <f>IF(OR(FR$13="",FR$17="",FR$14="",FR$15="",FR$16="",FR$18="",FR$19="",FR$20="",FR$21=""),"",SUM($EX17:FR17))</f>
        <v>171.14000000000001</v>
      </c>
      <c r="FS70" s="114">
        <f>IF(OR(FS$13="",FS$17="",FS$14="",FS$15="",FS$16="",FS$18="",FS$19="",FS$20="",FS$21=""),"",SUM($EX17:FS17))</f>
        <v>171.14000000000001</v>
      </c>
      <c r="FT70" s="114">
        <f>IF(OR(FT$13="",FT$17="",FT$14="",FT$15="",FT$16="",FT$18="",FT$19="",FT$20="",FT$21=""),"",SUM($EX17:FT17))</f>
        <v>171.14000000000001</v>
      </c>
      <c r="FU70" s="114">
        <f>IF(OR(FU$13="",FU$17="",FU$14="",FU$15="",FU$16="",FU$18="",FU$19="",FU$20="",FU$21=""),"",SUM($EX17:FU17))</f>
        <v>171.14000000000001</v>
      </c>
      <c r="FV70" s="114">
        <f>IF(OR(FV$13="",FV$17="",FV$14="",FV$15="",FV$16="",FV$18="",FV$19="",FV$20="",FV$21=""),"",SUM($EX17:FV17))</f>
        <v>171.14000000000001</v>
      </c>
      <c r="FW70" s="114">
        <f>IF(OR(FW$13="",FW$17="",FW$14="",FW$15="",FW$16="",FW$18="",FW$19="",FW$20="",FW$21=""),"",SUM($EX17:FW17))</f>
        <v>171.14000000000001</v>
      </c>
      <c r="FX70" s="114">
        <f>IF(OR(FX$13="",FX$17="",FX$14="",FX$15="",FX$16="",FX$18="",FX$19="",FX$20="",FX$21=""),"",SUM($EX17:FX17))</f>
        <v>171.14000000000001</v>
      </c>
      <c r="FY70" s="114">
        <f>IF(OR(FY$13="",FY$17="",FY$14="",FY$15="",FY$16="",FY$18="",FY$19="",FY$20="",FY$21=""),"",SUM($EX17:FY17))</f>
        <v>171.14000000000001</v>
      </c>
      <c r="FZ70" s="114">
        <f>IF(OR(FZ$13="",FZ$17="",FZ$14="",FZ$15="",FZ$16="",FZ$18="",FZ$19="",FZ$20="",FZ$21=""),"",SUM($EX17:FZ17))</f>
        <v>171.14000000000001</v>
      </c>
      <c r="GA70" s="114">
        <f>IF(OR(GA$13="",GA$17="",GA$14="",GA$15="",GA$16="",GA$18="",GA$19="",GA$20="",GA$21=""),"",SUM($EX17:GA17))</f>
        <v>171.14000000000001</v>
      </c>
      <c r="GB70" s="114">
        <f>IF(OR(GB$13="",GB$17="",GB$14="",GB$15="",GB$16="",GB$18="",GB$19="",GB$20="",GB$21=""),"",SUM($GB17:GB17))</f>
        <v>0</v>
      </c>
      <c r="GC70" s="114">
        <f>IF(OR(GC$13="",GC$17="",GC$14="",GC$15="",GC$16="",GC$18="",GC$19="",GC$20="",GC$21=""),"",SUM($GB17:GC17))</f>
        <v>0</v>
      </c>
      <c r="GD70" s="114">
        <f>IF(OR(GD$13="",GD$17="",GD$14="",GD$15="",GD$16="",GD$18="",GD$19="",GD$20="",GD$21=""),"",SUM($GB17:GD17))</f>
        <v>0</v>
      </c>
      <c r="GE70" s="114">
        <f>IF(OR(GE$13="",GE$17="",GE$14="",GE$15="",GE$16="",GE$18="",GE$19="",GE$20="",GE$21=""),"",SUM($GB17:GE17))</f>
        <v>0</v>
      </c>
      <c r="GF70" s="114">
        <f>IF(OR(GF$13="",GF$17="",GF$14="",GF$15="",GF$16="",GF$18="",GF$19="",GF$20="",GF$21=""),"",SUM($GB17:GF17))</f>
        <v>6.6300000000000008</v>
      </c>
      <c r="GG70" s="114">
        <f>IF(OR(GG$13="",GG$17="",GG$14="",GG$15="",GG$16="",GG$18="",GG$19="",GG$20="",GG$21=""),"",SUM($GB17:GG17))</f>
        <v>18.329999999999998</v>
      </c>
      <c r="GH70" s="114">
        <f>IF(OR(GH$13="",GH$17="",GH$14="",GH$15="",GH$16="",GH$18="",GH$19="",GH$20="",GH$21=""),"",SUM($GB17:GH17))</f>
        <v>40.81</v>
      </c>
      <c r="GI70" s="114">
        <f>IF(OR(GI$13="",GI$17="",GI$14="",GI$15="",GI$16="",GI$18="",GI$19="",GI$20="",GI$21=""),"",SUM($GB17:GI17))</f>
        <v>40.81</v>
      </c>
      <c r="GJ70" s="114">
        <f>IF(OR(GJ$13="",GJ$17="",GJ$14="",GJ$15="",GJ$16="",GJ$18="",GJ$19="",GJ$20="",GJ$21=""),"",SUM($GB17:GJ17))</f>
        <v>41.18</v>
      </c>
      <c r="GK70" s="114">
        <f>IF(OR(GK$13="",GK$17="",GK$14="",GK$15="",GK$16="",GK$18="",GK$19="",GK$20="",GK$21=""),"",SUM($GB17:GK17))</f>
        <v>41.18</v>
      </c>
      <c r="GL70" s="114">
        <f>IF(OR(GL$13="",GL$17="",GL$14="",GL$15="",GL$16="",GL$18="",GL$19="",GL$20="",GL$21=""),"",SUM($GB17:GL17))</f>
        <v>41.18</v>
      </c>
      <c r="GM70" s="114">
        <f>IF(OR(GM$13="",GM$17="",GM$14="",GM$15="",GM$16="",GM$18="",GM$19="",GM$20="",GM$21=""),"",SUM($GB17:GM17))</f>
        <v>43.82</v>
      </c>
      <c r="GN70" s="114">
        <f>IF(OR(GN$13="",GN$17="",GN$14="",GN$15="",GN$16="",GN$18="",GN$19="",GN$20="",GN$21=""),"",SUM($GB17:GN17))</f>
        <v>43.82</v>
      </c>
      <c r="GO70" s="114">
        <f>IF(OR(GO$13="",GO$17="",GO$14="",GO$15="",GO$16="",GO$18="",GO$19="",GO$20="",GO$21=""),"",SUM($GB17:GO17))</f>
        <v>43.82</v>
      </c>
      <c r="GP70" s="114">
        <f>IF(OR(GP$13="",GP$17="",GP$14="",GP$15="",GP$16="",GP$18="",GP$19="",GP$20="",GP$21=""),"",SUM($GB17:GP17))</f>
        <v>43.82</v>
      </c>
      <c r="GQ70" s="114">
        <f>IF(OR(GQ$13="",GQ$17="",GQ$14="",GQ$15="",GQ$16="",GQ$18="",GQ$19="",GQ$20="",GQ$21=""),"",SUM($GB17:GQ17))</f>
        <v>43.82</v>
      </c>
      <c r="GR70" s="114">
        <f>IF(OR(GR$13="",GR$17="",GR$14="",GR$15="",GR$16="",GR$18="",GR$19="",GR$20="",GR$21=""),"",SUM($GB17:GR17))</f>
        <v>43.82</v>
      </c>
      <c r="GS70" s="114">
        <f>IF(OR(GS$13="",GS$17="",GS$14="",GS$15="",GS$16="",GS$18="",GS$19="",GS$20="",GS$21=""),"",SUM($GB17:GS17))</f>
        <v>43.82</v>
      </c>
      <c r="GT70" s="114">
        <f>IF(OR(GT$13="",GT$17="",GT$14="",GT$15="",GT$16="",GT$18="",GT$19="",GT$20="",GT$21=""),"",SUM($GB17:GT17))</f>
        <v>43.82</v>
      </c>
      <c r="GU70" s="114">
        <f>IF(OR(GU$13="",GU$17="",GU$14="",GU$15="",GU$16="",GU$18="",GU$19="",GU$20="",GU$21=""),"",SUM($GB17:GU17))</f>
        <v>43.82</v>
      </c>
      <c r="GV70" s="114">
        <f>IF(OR(GV$13="",GV$17="",GV$14="",GV$15="",GV$16="",GV$18="",GV$19="",GV$20="",GV$21=""),"",SUM($GB17:GV17))</f>
        <v>43.82</v>
      </c>
      <c r="GW70" s="114">
        <f>IF(OR(GW$13="",GW$17="",GW$14="",GW$15="",GW$16="",GW$18="",GW$19="",GW$20="",GW$21=""),"",SUM($GB17:GW17))</f>
        <v>78.490000000000009</v>
      </c>
      <c r="GX70" s="114">
        <f>IF(OR(GX$13="",GX$17="",GX$14="",GX$15="",GX$16="",GX$18="",GX$19="",GX$20="",GX$21=""),"",SUM($GB17:GX17))</f>
        <v>78.490000000000009</v>
      </c>
      <c r="GY70" s="114">
        <f>IF(OR(GY$13="",GY$17="",GY$14="",GY$15="",GY$16="",GY$18="",GY$19="",GY$20="",GY$21=""),"",SUM($GB17:GY17))</f>
        <v>78.490000000000009</v>
      </c>
      <c r="GZ70" s="114">
        <f>IF(OR(GZ$13="",GZ$17="",GZ$14="",GZ$15="",GZ$16="",GZ$18="",GZ$19="",GZ$20="",GZ$21=""),"",SUM($GB17:GZ17))</f>
        <v>78.490000000000009</v>
      </c>
      <c r="HA70" s="114">
        <f>IF(OR(HA$13="",HA$17="",HA$14="",HA$15="",HA$16="",HA$18="",HA$19="",HA$20="",HA$21=""),"",SUM($GB17:HA17))</f>
        <v>78.490000000000009</v>
      </c>
      <c r="HB70" s="114">
        <f>IF(OR(HB$13="",HB$17="",HB$14="",HB$15="",HB$16="",HB$18="",HB$19="",HB$20="",HB$21=""),"",SUM($GB17:HB17))</f>
        <v>78.490000000000009</v>
      </c>
      <c r="HC70" s="114">
        <f>IF(OR(HC$13="",HC$17="",HC$14="",HC$15="",HC$16="",HC$18="",HC$19="",HC$20="",HC$21=""),"",SUM($GB17:HC17))</f>
        <v>78.490000000000009</v>
      </c>
      <c r="HD70" s="114">
        <f>IF(OR(HD$13="",HD$17="",HD$14="",HD$15="",HD$16="",HD$18="",HD$19="",HD$20="",HD$21=""),"",SUM($GB17:HD17))</f>
        <v>78.490000000000009</v>
      </c>
      <c r="HE70" s="114">
        <f>IF(OR(HE$13="",HE$17="",HE$14="",HE$15="",HE$16="",HE$18="",HE$19="",HE$20="",HE$21=""),"",SUM($GB17:HE17))</f>
        <v>78.490000000000009</v>
      </c>
      <c r="HF70" s="114">
        <f>IF(OR(HF$13="",HF$17="",HF$14="",HF$15="",HF$16="",HF$18="",HF$19="",HF$20="",HF$21=""),"",SUM($GB17:HF17))</f>
        <v>78.490000000000009</v>
      </c>
      <c r="HG70" s="114">
        <f>IF(OR(HG$13="",HG$17="",HG$14="",HG$15="",HG$16="",HG$18="",HG$19="",HG$20="",HG$21=""),"",SUM($HG17:HG17))</f>
        <v>2.3536111111111113</v>
      </c>
      <c r="HH70" s="114">
        <f>IF(OR(HH$13="",HH$17="",HH$14="",HH$15="",HH$16="",HH$18="",HH$19="",HH$20="",HH$21=""),"",SUM($HG17:HH17))</f>
        <v>2.3536111111111113</v>
      </c>
      <c r="HI70" s="114">
        <f>IF(OR(HI$13="",HI$17="",HI$14="",HI$15="",HI$16="",HI$18="",HI$19="",HI$20="",HI$21=""),"",SUM($HG17:HI17))</f>
        <v>13.7225</v>
      </c>
      <c r="HJ70" s="114">
        <f>IF(OR(HJ$13="",HJ$17="",HJ$14="",HJ$15="",HJ$16="",HJ$18="",HJ$19="",HJ$20="",HJ$21=""),"",SUM($HG17:HJ17))</f>
        <v>21.185833333333335</v>
      </c>
      <c r="HK70" s="114">
        <f>IF(OR(HK$13="",HK$17="",HK$14="",HK$15="",HK$16="",HK$18="",HK$19="",HK$20="",HK$21=""),"",SUM($HG17:HK17))</f>
        <v>21.185833333333335</v>
      </c>
      <c r="HL70" s="114">
        <f>IF(OR(HL$13="",HL$17="",HL$14="",HL$15="",HL$16="",HL$18="",HL$19="",HL$20="",HL$21=""),"",SUM($HG17:HL17))</f>
        <v>21.185833333333335</v>
      </c>
      <c r="HM70" s="114">
        <f>IF(OR(HM$13="",HM$17="",HM$14="",HM$15="",HM$16="",HM$18="",HM$19="",HM$20="",HM$21=""),"",SUM($HG17:HM17))</f>
        <v>27.69027777777778</v>
      </c>
      <c r="HN70" s="114">
        <f>IF(OR(HN$13="",HN$17="",HN$14="",HN$15="",HN$16="",HN$18="",HN$19="",HN$20="",HN$21=""),"",SUM($HG17:HN17))</f>
        <v>28.100833333333334</v>
      </c>
      <c r="HO70" s="114">
        <f>IF(OR(HO$13="",HO$17="",HO$14="",HO$15="",HO$16="",HO$18="",HO$19="",HO$20="",HO$21=""),"",SUM($HG17:HO17))</f>
        <v>28.100833333333334</v>
      </c>
      <c r="HP70" s="114">
        <f>IF(OR(HP$13="",HP$17="",HP$14="",HP$15="",HP$16="",HP$18="",HP$19="",HP$20="",HP$21=""),"",SUM($HG17:HP17))</f>
        <v>52.319722222222225</v>
      </c>
      <c r="HQ70" s="114">
        <f>IF(OR(HQ$13="",HQ$17="",HQ$14="",HQ$15="",HQ$16="",HQ$18="",HQ$19="",HQ$20="",HQ$21=""),"",SUM($HG17:HQ17))</f>
        <v>54.150833333333338</v>
      </c>
      <c r="HR70" s="114">
        <f>IF(OR(HR$13="",HR$17="",HR$14="",HR$15="",HR$16="",HR$18="",HR$19="",HR$20="",HR$21=""),"",SUM($HG17:HR17))</f>
        <v>76.812222222222232</v>
      </c>
      <c r="HS70" s="114">
        <f>IF(OR(HS$13="",HS$17="",HS$14="",HS$15="",HS$16="",HS$18="",HS$19="",HS$20="",HS$21=""),"",SUM($HG17:HS17))</f>
        <v>76.812222222222232</v>
      </c>
      <c r="HT70" s="114">
        <f>IF(OR(HT$13="",HT$17="",HT$14="",HT$15="",HT$16="",HT$18="",HT$19="",HT$20="",HT$21=""),"",SUM($HG17:HT17))</f>
        <v>84.886944444444453</v>
      </c>
      <c r="HU70" s="114">
        <f>IF(OR(HU$13="",HU$17="",HU$14="",HU$15="",HU$16="",HU$18="",HU$19="",HU$20="",HU$21=""),"",SUM($HG17:HU17))</f>
        <v>91.332777777777778</v>
      </c>
      <c r="HV70" s="114">
        <f>IF(OR(HV$13="",HV$17="",HV$14="",HV$15="",HV$16="",HV$18="",HV$19="",HV$20="",HV$21=""),"",SUM($HG17:HV17))</f>
        <v>93.713055555555556</v>
      </c>
      <c r="HW70" s="114">
        <f>IF(OR(HW$13="",HW$17="",HW$14="",HW$15="",HW$16="",HW$18="",HW$19="",HW$20="",HW$21=""),"",SUM($HG17:HW17))</f>
        <v>93.803055555555559</v>
      </c>
      <c r="HX70" s="114">
        <f>IF(OR(HX$13="",HX$17="",HX$14="",HX$15="",HX$16="",HX$18="",HX$19="",HX$20="",HX$21=""),"",SUM($HG17:HX17))</f>
        <v>97.227222222222224</v>
      </c>
      <c r="HY70" s="114">
        <f>IF(OR(HY$13="",HY$17="",HY$14="",HY$15="",HY$16="",HY$18="",HY$19="",HY$20="",HY$21=""),"",SUM($HG17:HY17))</f>
        <v>97.444722222222225</v>
      </c>
      <c r="HZ70" s="114">
        <f>IF(OR(HZ$13="",HZ$17="",HZ$14="",HZ$15="",HZ$16="",HZ$18="",HZ$19="",HZ$20="",HZ$21=""),"",SUM($HG17:HZ17))</f>
        <v>105.19888888888889</v>
      </c>
      <c r="IA70" s="114">
        <f>IF(OR(IA$13="",IA$17="",IA$14="",IA$15="",IA$16="",IA$18="",IA$19="",IA$20="",IA$21=""),"",SUM($HG17:IA17))</f>
        <v>105.19888888888889</v>
      </c>
      <c r="IB70" s="114">
        <f>IF(OR(IB$13="",IB$17="",IB$14="",IB$15="",IB$16="",IB$18="",IB$19="",IB$20="",IB$21=""),"",SUM($HG17:IB17))</f>
        <v>105.19888888888889</v>
      </c>
      <c r="IC70" s="114">
        <f>IF(OR(IC$13="",IC$17="",IC$14="",IC$15="",IC$16="",IC$18="",IC$19="",IC$20="",IC$21=""),"",SUM($HG17:IC17))</f>
        <v>105.19888888888889</v>
      </c>
      <c r="ID70" s="114">
        <f>IF(OR(ID$13="",ID$17="",ID$14="",ID$15="",ID$16="",ID$18="",ID$19="",ID$20="",ID$21=""),"",SUM($HG17:ID17))</f>
        <v>105.19888888888889</v>
      </c>
      <c r="IE70" s="114">
        <f>IF(OR(IE$13="",IE$17="",IE$14="",IE$15="",IE$16="",IE$18="",IE$19="",IE$20="",IE$21=""),"",SUM($HG17:IE17))</f>
        <v>105.19888888888889</v>
      </c>
      <c r="IF70" s="114">
        <f>IF(OR(IF$13="",IF$17="",IF$14="",IF$15="",IF$16="",IF$18="",IF$19="",IF$20="",IF$21=""),"",SUM($HG17:IF17))</f>
        <v>107.04888888888888</v>
      </c>
      <c r="IG70" s="114">
        <f>IF(OR(IG$13="",IG$17="",IG$14="",IG$15="",IG$16="",IG$18="",IG$19="",IG$20="",IG$21=""),"",SUM($HG17:IG17))</f>
        <v>107.04888888888888</v>
      </c>
      <c r="IH70" s="114">
        <f>IF(OR(IH$13="",IH$17="",IH$14="",IH$15="",IH$16="",IH$18="",IH$19="",IH$20="",IH$21=""),"",SUM($HG17:IH17))</f>
        <v>194.79888888888888</v>
      </c>
      <c r="II70" s="114">
        <f>IF(OR(II$13="",II$17="",II$14="",II$15="",II$16="",II$18="",II$19="",II$20="",II$21=""),"",SUM($HG17:II17))</f>
        <v>194.79888888888888</v>
      </c>
      <c r="IJ70" s="114">
        <f>IF(OR(IJ$13="",IJ$17="",IJ$14="",IJ$15="",IJ$16="",IJ$18="",IJ$19="",IJ$20="",IJ$21=""),"",SUM($HG17:IJ17))</f>
        <v>262.42888888888888</v>
      </c>
      <c r="IK70" s="114">
        <f>IF(OR(IK$13="",IK$17="",IK$14="",IK$15="",IK$16="",IK$18="",IK$19="",IK$20="",IK$21=""),"",SUM($HG17:IK17))</f>
        <v>262.42888888888888</v>
      </c>
      <c r="IL70" s="114">
        <f>IF(OR(IL$13="",IL$17="",IL$14="",IL$15="",IL$16="",IL$18="",IL$19="",IL$20="",IL$21=""),"",SUM($IL17:IL17))</f>
        <v>0</v>
      </c>
      <c r="IM70" s="114">
        <f>IF(OR(IM$13="",IM$17="",IM$14="",IM$15="",IM$16="",IM$18="",IM$19="",IM$20="",IM$21=""),"",SUM($IL17:IM17))</f>
        <v>0</v>
      </c>
      <c r="IN70" s="114">
        <f>IF(OR(IN$13="",IN$17="",IN$14="",IN$15="",IN$16="",IN$18="",IN$19="",IN$20="",IN$21=""),"",SUM($IL17:IN17))</f>
        <v>0</v>
      </c>
      <c r="IO70" s="114">
        <f>IF(OR(IO$13="",IO$17="",IO$14="",IO$15="",IO$16="",IO$18="",IO$19="",IO$20="",IO$21=""),"",SUM($IL17:IO17))</f>
        <v>0</v>
      </c>
      <c r="IP70" s="114">
        <f>IF(OR(IP$13="",IP$17="",IP$14="",IP$15="",IP$16="",IP$18="",IP$19="",IP$20="",IP$21=""),"",SUM($IL17:IP17))</f>
        <v>0</v>
      </c>
      <c r="IQ70" s="114">
        <f>IF(OR(IQ$13="",IQ$17="",IQ$14="",IQ$15="",IQ$16="",IQ$18="",IQ$19="",IQ$20="",IQ$21=""),"",SUM($IL17:IQ17))</f>
        <v>0</v>
      </c>
      <c r="IR70" s="114">
        <f>IF(OR(IR$13="",IR$17="",IR$14="",IR$15="",IR$16="",IR$18="",IR$19="",IR$20="",IR$21=""),"",SUM($IL17:IR17))</f>
        <v>0</v>
      </c>
      <c r="IS70" s="114">
        <f>IF(OR(IS$13="",IS$17="",IS$14="",IS$15="",IS$16="",IS$18="",IS$19="",IS$20="",IS$21=""),"",SUM($IL17:IS17))</f>
        <v>0</v>
      </c>
      <c r="IT70" s="114">
        <f>IF(OR(IT$13="",IT$17="",IT$14="",IT$15="",IT$16="",IT$18="",IT$19="",IT$20="",IT$21=""),"",SUM($IL17:IT17))</f>
        <v>0</v>
      </c>
      <c r="IU70" s="114">
        <f>IF(OR(IU$13="",IU$17="",IU$14="",IU$15="",IU$16="",IU$18="",IU$19="",IU$20="",IU$21=""),"",SUM($IL17:IU17))</f>
        <v>0.94888888888888889</v>
      </c>
      <c r="IV70" s="114">
        <f>IF(OR(IV$13="",IV$17="",IV$14="",IV$15="",IV$16="",IV$18="",IV$19="",IV$20="",IV$21=""),"",SUM($IL17:IV17))</f>
        <v>6.7419444444444441</v>
      </c>
      <c r="IW70" s="114">
        <f>IF(OR(IW$13="",IW$17="",IW$14="",IW$15="",IW$16="",IW$18="",IW$19="",IW$20="",IW$21=""),"",SUM($IL17:IW17))</f>
        <v>16.93277777777778</v>
      </c>
      <c r="IX70" s="114">
        <f>IF(OR(IX$13="",IX$17="",IX$14="",IX$15="",IX$16="",IX$18="",IX$19="",IX$20="",IX$21=""),"",SUM($IL17:IX17))</f>
        <v>17.902500000000003</v>
      </c>
      <c r="IY70" s="114">
        <f>IF(OR(IY$13="",IY$17="",IY$14="",IY$15="",IY$16="",IY$18="",IY$19="",IY$20="",IY$21=""),"",SUM($IL17:IY17))</f>
        <v>24.693333333333335</v>
      </c>
      <c r="IZ70" s="114">
        <f>IF(OR(IZ$13="",IZ$17="",IZ$14="",IZ$15="",IZ$16="",IZ$18="",IZ$19="",IZ$20="",IZ$21=""),"",SUM($IL17:IZ17))</f>
        <v>33.555277777777775</v>
      </c>
      <c r="JA70" s="114">
        <f>IF(OR(JA$13="",JA$17="",JA$14="",JA$15="",JA$16="",JA$18="",JA$19="",JA$20="",JA$21=""),"",SUM($IL17:JA17))</f>
        <v>34.06861111111111</v>
      </c>
      <c r="JB70" s="114">
        <f>IF(OR(JB$13="",JB$17="",JB$14="",JB$15="",JB$16="",JB$18="",JB$19="",JB$20="",JB$21=""),"",SUM($IL17:JB17))</f>
        <v>34.06861111111111</v>
      </c>
      <c r="JC70" s="114">
        <f>IF(OR(JC$13="",JC$17="",JC$14="",JC$15="",JC$16="",JC$18="",JC$19="",JC$20="",JC$21=""),"",SUM($IL17:JC17))</f>
        <v>34.989166666666669</v>
      </c>
      <c r="JD70" s="114">
        <f>IF(OR(JD$13="",JD$17="",JD$14="",JD$15="",JD$16="",JD$18="",JD$19="",JD$20="",JD$21=""),"",SUM($IL17:JD17))</f>
        <v>40.847777777777779</v>
      </c>
      <c r="JE70" s="114">
        <f>IF(OR(JE$13="",JE$17="",JE$14="",JE$15="",JE$16="",JE$18="",JE$19="",JE$20="",JE$21=""),"",SUM($IL17:JE17))</f>
        <v>40.847777777777779</v>
      </c>
      <c r="JF70" s="114">
        <f>IF(OR(JF$13="",JF$17="",JF$14="",JF$15="",JF$16="",JF$18="",JF$19="",JF$20="",JF$21=""),"",SUM($IL17:JF17))</f>
        <v>40.847777777777779</v>
      </c>
      <c r="JG70" s="114">
        <f>IF(OR(JG$13="",JG$17="",JG$14="",JG$15="",JG$16="",JG$18="",JG$19="",JG$20="",JG$21=""),"",SUM($IL17:JG17))</f>
        <v>40.847777777777779</v>
      </c>
      <c r="JH70" s="114">
        <f>IF(OR(JH$13="",JH$17="",JH$14="",JH$15="",JH$16="",JH$18="",JH$19="",JH$20="",JH$21=""),"",SUM($IL17:JH17))</f>
        <v>40.847777777777779</v>
      </c>
      <c r="JI70" s="114">
        <f>IF(OR(JI$13="",JI$17="",JI$14="",JI$15="",JI$16="",JI$18="",JI$19="",JI$20="",JI$21=""),"",SUM($IL17:JI17))</f>
        <v>47.448055555555555</v>
      </c>
      <c r="JJ70" s="114">
        <f>IF(OR(JJ$13="",JJ$17="",JJ$14="",JJ$15="",JJ$16="",JJ$18="",JJ$19="",JJ$20="",JJ$21=""),"",SUM($IL17:JJ17))</f>
        <v>47.448055555555555</v>
      </c>
      <c r="JK70" s="114">
        <f>IF(OR(JK$13="",JK$17="",JK$14="",JK$15="",JK$16="",JK$18="",JK$19="",JK$20="",JK$21=""),"",SUM($IL17:JK17))</f>
        <v>47.448055555555555</v>
      </c>
      <c r="JL70" s="114">
        <f>IF(OR(JL$13="",JL$17="",JL$14="",JL$15="",JL$16="",JL$18="",JL$19="",JL$20="",JL$21=""),"",SUM($IL17:JL17))</f>
        <v>52.157499999999999</v>
      </c>
      <c r="JM70" s="114">
        <f>IF(OR(JM$13="",JM$17="",JM$14="",JM$15="",JM$16="",JM$18="",JM$19="",JM$20="",JM$21=""),"",SUM($IL17:JM17))</f>
        <v>52.157499999999999</v>
      </c>
      <c r="JN70" s="114">
        <f>IF(OR(JN$13="",JN$17="",JN$14="",JN$15="",JN$16="",JN$18="",JN$19="",JN$20="",JN$21=""),"",SUM($IL17:JN17))</f>
        <v>53.157499999999999</v>
      </c>
      <c r="JO70" s="114">
        <f>IF(OR(JO$13="",JO$17="",JO$14="",JO$15="",JO$16="",JO$18="",JO$19="",JO$20="",JO$21=""),"",SUM($IL17:JO17))</f>
        <v>54.157499999999999</v>
      </c>
      <c r="JP70" s="114">
        <f>IF(OR(JP$13="",JP$17="",JP$14="",JP$15="",JP$16="",JP$18="",JP$19="",JP$20="",JP$21=""),"",SUM($JP17:JP17))</f>
        <v>9</v>
      </c>
      <c r="JQ70" s="114">
        <f>IF(OR(JQ$13="",JQ$17="",JQ$14="",JQ$15="",JQ$16="",JQ$18="",JQ$19="",JQ$20="",JQ$21=""),"",SUM($JP17:JQ17))</f>
        <v>10.19</v>
      </c>
      <c r="JR70" s="114">
        <f>IF(OR(JR$13="",JR$17="",JR$14="",JR$15="",JR$16="",JR$18="",JR$19="",JR$20="",JR$21=""),"",SUM($JP17:JR17))</f>
        <v>11.19</v>
      </c>
      <c r="JS70" s="114">
        <f>IF(OR(JS$13="",JS$17="",JS$14="",JS$15="",JS$16="",JS$18="",JS$19="",JS$20="",JS$21=""),"",SUM($JP17:JS17))</f>
        <v>12.19</v>
      </c>
      <c r="JT70" s="114">
        <f>IF(OR(JT$13="",JT$17="",JT$14="",JT$15="",JT$16="",JT$18="",JT$19="",JT$20="",JT$21=""),"",SUM($JP17:JT17))</f>
        <v>12.19</v>
      </c>
      <c r="JU70" s="114">
        <f>IF(OR(JU$13="",JU$17="",JU$14="",JU$15="",JU$16="",JU$18="",JU$19="",JU$20="",JU$21=""),"",SUM($JP17:JU17))</f>
        <v>12.19</v>
      </c>
      <c r="JV70" s="114">
        <f>IF(OR(JV$13="",JV$17="",JV$14="",JV$15="",JV$16="",JV$18="",JV$19="",JV$20="",JV$21=""),"",SUM($JP17:JV17))</f>
        <v>12.19</v>
      </c>
      <c r="JW70" s="114">
        <f>IF(OR(JW$13="",JW$17="",JW$14="",JW$15="",JW$16="",JW$18="",JW$19="",JW$20="",JW$21=""),"",SUM($JP17:JW17))</f>
        <v>12.19</v>
      </c>
      <c r="JX70" s="114">
        <f>IF(OR(JX$13="",JX$17="",JX$14="",JX$15="",JX$16="",JX$18="",JX$19="",JX$20="",JX$21=""),"",SUM($JP17:JX17))</f>
        <v>12.19</v>
      </c>
      <c r="JY70" s="114">
        <f>IF(OR(JY$13="",JY$17="",JY$14="",JY$15="",JY$16="",JY$18="",JY$19="",JY$20="",JY$21=""),"",SUM($JP17:JY17))</f>
        <v>12.19</v>
      </c>
      <c r="JZ70" s="114">
        <f>IF(OR(JZ$13="",JZ$17="",JZ$14="",JZ$15="",JZ$16="",JZ$18="",JZ$19="",JZ$20="",JZ$21=""),"",SUM($JP17:JZ17))</f>
        <v>12.19</v>
      </c>
      <c r="KA70" s="114">
        <f>IF(OR(KA$13="",KA$17="",KA$14="",KA$15="",KA$16="",KA$18="",KA$19="",KA$20="",KA$21=""),"",SUM($JP17:KA17))</f>
        <v>12.19</v>
      </c>
      <c r="KB70" s="114">
        <f>IF(OR(KB$13="",KB$17="",KB$14="",KB$15="",KB$16="",KB$18="",KB$19="",KB$20="",KB$21=""),"",SUM($JP17:KB17))</f>
        <v>12.19</v>
      </c>
      <c r="KC70" s="114">
        <f>IF(OR(KC$13="",KC$17="",KC$14="",KC$15="",KC$16="",KC$18="",KC$19="",KC$20="",KC$21=""),"",SUM($JP17:KC17))</f>
        <v>12.19</v>
      </c>
      <c r="KD70" s="114">
        <f>IF(OR(KD$13="",KD$17="",KD$14="",KD$15="",KD$16="",KD$18="",KD$19="",KD$20="",KD$21=""),"",SUM($JP17:KD17))</f>
        <v>12.19</v>
      </c>
      <c r="KE70" s="114">
        <f>IF(OR(KE$13="",KE$17="",KE$14="",KE$15="",KE$16="",KE$18="",KE$19="",KE$20="",KE$21=""),"",SUM($JP17:KE17))</f>
        <v>12.19</v>
      </c>
      <c r="KF70" s="114">
        <f>IF(OR(KF$13="",KF$17="",KF$14="",KF$15="",KF$16="",KF$18="",KF$19="",KF$20="",KF$21=""),"",SUM($JP17:KF17))</f>
        <v>12.19</v>
      </c>
      <c r="KG70" s="114">
        <f>IF(OR(KG$13="",KG$17="",KG$14="",KG$15="",KG$16="",KG$18="",KG$19="",KG$20="",KG$21=""),"",SUM($JP17:KG17))</f>
        <v>12.19</v>
      </c>
      <c r="KH70" s="114">
        <f>IF(OR(KH$13="",KH$17="",KH$14="",KH$15="",KH$16="",KH$18="",KH$19="",KH$20="",KH$21=""),"",SUM($JP17:KH17))</f>
        <v>12.19</v>
      </c>
      <c r="KI70" s="114">
        <f>IF(OR(KI$13="",KI$17="",KI$14="",KI$15="",KI$16="",KI$18="",KI$19="",KI$20="",KI$21=""),"",SUM($JP17:KI17))</f>
        <v>12.19</v>
      </c>
      <c r="KJ70" s="114">
        <f>IF(OR(KJ$13="",KJ$17="",KJ$14="",KJ$15="",KJ$16="",KJ$18="",KJ$19="",KJ$20="",KJ$21=""),"",SUM($JP17:KJ17))</f>
        <v>12.19</v>
      </c>
      <c r="KK70" s="114">
        <f>IF(OR(KK$13="",KK$17="",KK$14="",KK$15="",KK$16="",KK$18="",KK$19="",KK$20="",KK$21=""),"",SUM($JP17:KK17))</f>
        <v>12.19</v>
      </c>
      <c r="KL70" s="114">
        <f>IF(OR(KL$13="",KL$17="",KL$14="",KL$15="",KL$16="",KL$18="",KL$19="",KL$20="",KL$21=""),"",SUM($JP17:KL17))</f>
        <v>12.19</v>
      </c>
      <c r="KM70" s="114">
        <f>IF(OR(KM$13="",KM$17="",KM$14="",KM$15="",KM$16="",KM$18="",KM$19="",KM$20="",KM$21=""),"",SUM($JP17:KM17))</f>
        <v>12.19</v>
      </c>
      <c r="KN70" s="114">
        <f>IF(OR(KN$13="",KN$17="",KN$14="",KN$15="",KN$16="",KN$18="",KN$19="",KN$20="",KN$21=""),"",SUM($JP17:KN17))</f>
        <v>12.19</v>
      </c>
      <c r="KO70" s="114">
        <f>IF(OR(KO$13="",KO$17="",KO$14="",KO$15="",KO$16="",KO$18="",KO$19="",KO$20="",KO$21=""),"",SUM($JP17:KO17))</f>
        <v>12.19</v>
      </c>
      <c r="KP70" s="114">
        <f>IF(OR(KP$13="",KP$17="",KP$14="",KP$15="",KP$16="",KP$18="",KP$19="",KP$20="",KP$21=""),"",SUM($JP17:KP17))</f>
        <v>12.19</v>
      </c>
      <c r="KQ70" s="114">
        <f>IF(OR(KQ$13="",KQ$17="",KQ$14="",KQ$15="",KQ$16="",KQ$18="",KQ$19="",KQ$20="",KQ$21=""),"",SUM($JP17:KQ17))</f>
        <v>12.19</v>
      </c>
      <c r="KR70" s="114">
        <f>IF(OR(KR$13="",KR$17="",KR$14="",KR$15="",KR$16="",KR$18="",KR$19="",KR$20="",KR$21=""),"",SUM($JP17:KR17))</f>
        <v>12.19</v>
      </c>
      <c r="KS70" s="114">
        <f>IF(OR(KS$13="",KS$17="",KS$14="",KS$15="",KS$16="",KS$18="",KS$19="",KS$20="",KS$21=""),"",SUM($JP17:KS17))</f>
        <v>12.19</v>
      </c>
      <c r="KT70" s="114">
        <f>IF(OR(KT$13="",KT$17="",KT$14="",KT$15="",KT$16="",KT$18="",KT$19="",KT$20="",KT$21=""),"",SUM($JP17:KT17))</f>
        <v>12.19</v>
      </c>
      <c r="KU70" s="114" t="str">
        <f>IF(OR(KU$13="",KU$17="",KU$14="",KU$15="",KU$16="",KU$18="",KU$19="",KU$20="",KU$21=""),"",SUM($KU17:KU17))</f>
        <v/>
      </c>
      <c r="KV70" s="114" t="str">
        <f>IF(OR(KV$13="",KV$17="",KV$14="",KV$15="",KV$16="",KV$18="",KV$19="",KV$20="",KV$21=""),"",SUM($KU17:KV17))</f>
        <v/>
      </c>
      <c r="KW70" s="114" t="str">
        <f>IF(OR(KW$13="",KW$17="",KW$14="",KW$15="",KW$16="",KW$18="",KW$19="",KW$20="",KW$21=""),"",SUM($KU17:KW17))</f>
        <v/>
      </c>
      <c r="KX70" s="114" t="str">
        <f>IF(OR(KX$13="",KX$17="",KX$14="",KX$15="",KX$16="",KX$18="",KX$19="",KX$20="",KX$21=""),"",SUM($KU17:KX17))</f>
        <v/>
      </c>
      <c r="KY70" s="114" t="str">
        <f>IF(OR(KY$13="",KY$17="",KY$14="",KY$15="",KY$16="",KY$18="",KY$19="",KY$20="",KY$21=""),"",SUM($KU17:KY17))</f>
        <v/>
      </c>
      <c r="KZ70" s="114" t="str">
        <f>IF(OR(KZ$13="",KZ$17="",KZ$14="",KZ$15="",KZ$16="",KZ$18="",KZ$19="",KZ$20="",KZ$21=""),"",SUM($KU17:KZ17))</f>
        <v/>
      </c>
      <c r="LA70" s="114" t="str">
        <f>IF(OR(LA$13="",LA$17="",LA$14="",LA$15="",LA$16="",LA$18="",LA$19="",LA$20="",LA$21=""),"",SUM($KU17:LA17))</f>
        <v/>
      </c>
      <c r="LB70" s="114" t="str">
        <f>IF(OR(LB$13="",LB$17="",LB$14="",LB$15="",LB$16="",LB$18="",LB$19="",LB$20="",LB$21=""),"",SUM($KU17:LB17))</f>
        <v/>
      </c>
      <c r="LC70" s="114" t="str">
        <f>IF(OR(LC$13="",LC$17="",LC$14="",LC$15="",LC$16="",LC$18="",LC$19="",LC$20="",LC$21=""),"",SUM($KU17:LC17))</f>
        <v/>
      </c>
      <c r="LD70" s="114" t="str">
        <f>IF(OR(LD$13="",LD$17="",LD$14="",LD$15="",LD$16="",LD$18="",LD$19="",LD$20="",LD$21=""),"",SUM($KU17:LD17))</f>
        <v/>
      </c>
      <c r="LE70" s="114" t="str">
        <f>IF(OR(LE$13="",LE$17="",LE$14="",LE$15="",LE$16="",LE$18="",LE$19="",LE$20="",LE$21=""),"",SUM($KU17:LE17))</f>
        <v/>
      </c>
      <c r="LF70" s="114" t="str">
        <f>IF(OR(LF$13="",LF$17="",LF$14="",LF$15="",LF$16="",LF$18="",LF$19="",LF$20="",LF$21=""),"",SUM($KU17:LF17))</f>
        <v/>
      </c>
      <c r="LG70" s="114" t="str">
        <f>IF(OR(LG$13="",LG$17="",LG$14="",LG$15="",LG$16="",LG$18="",LG$19="",LG$20="",LG$21=""),"",SUM($KU17:LG17))</f>
        <v/>
      </c>
      <c r="LH70" s="114" t="str">
        <f>IF(OR(LH$13="",LH$17="",LH$14="",LH$15="",LH$16="",LH$18="",LH$19="",LH$20="",LH$21=""),"",SUM($KU17:LH17))</f>
        <v/>
      </c>
      <c r="LI70" s="114" t="str">
        <f>IF(OR(LI$13="",LI$17="",LI$14="",LI$15="",LI$16="",LI$18="",LI$19="",LI$20="",LI$21=""),"",SUM($KU17:LI17))</f>
        <v/>
      </c>
      <c r="LJ70" s="114" t="str">
        <f>IF(OR(LJ$13="",LJ$17="",LJ$14="",LJ$15="",LJ$16="",LJ$18="",LJ$19="",LJ$20="",LJ$21=""),"",SUM($KU17:LJ17))</f>
        <v/>
      </c>
      <c r="LK70" s="114" t="str">
        <f>IF(OR(LK$13="",LK$17="",LK$14="",LK$15="",LK$16="",LK$18="",LK$19="",LK$20="",LK$21=""),"",SUM($KU17:LK17))</f>
        <v/>
      </c>
      <c r="LL70" s="114" t="str">
        <f>IF(OR(LL$13="",LL$17="",LL$14="",LL$15="",LL$16="",LL$18="",LL$19="",LL$20="",LL$21=""),"",SUM($KU17:LL17))</f>
        <v/>
      </c>
      <c r="LM70" s="114" t="str">
        <f>IF(OR(LM$13="",LM$17="",LM$14="",LM$15="",LM$16="",LM$18="",LM$19="",LM$20="",LM$21=""),"",SUM($KU17:LM17))</f>
        <v/>
      </c>
      <c r="LN70" s="114" t="str">
        <f>IF(OR(LN$13="",LN$17="",LN$14="",LN$15="",LN$16="",LN$18="",LN$19="",LN$20="",LN$21=""),"",SUM($KU17:LN17))</f>
        <v/>
      </c>
      <c r="LO70" s="114" t="str">
        <f>IF(OR(LO$13="",LO$17="",LO$14="",LO$15="",LO$16="",LO$18="",LO$19="",LO$20="",LO$21=""),"",SUM($KU17:LO17))</f>
        <v/>
      </c>
      <c r="LP70" s="114" t="str">
        <f>IF(OR(LP$13="",LP$17="",LP$14="",LP$15="",LP$16="",LP$18="",LP$19="",LP$20="",LP$21=""),"",SUM($KU17:LP17))</f>
        <v/>
      </c>
      <c r="LQ70" s="114" t="str">
        <f>IF(OR(LQ$13="",LQ$17="",LQ$14="",LQ$15="",LQ$16="",LQ$18="",LQ$19="",LQ$20="",LQ$21=""),"",SUM($KU17:LQ17))</f>
        <v/>
      </c>
      <c r="LR70" s="114" t="str">
        <f>IF(OR(LR$13="",LR$17="",LR$14="",LR$15="",LR$16="",LR$18="",LR$19="",LR$20="",LR$21=""),"",SUM($KU17:LR17))</f>
        <v/>
      </c>
      <c r="LS70" s="114" t="str">
        <f>IF(OR(LS$13="",LS$17="",LS$14="",LS$15="",LS$16="",LS$18="",LS$19="",LS$20="",LS$21=""),"",SUM($KU17:LS17))</f>
        <v/>
      </c>
      <c r="LT70" s="114" t="str">
        <f>IF(OR(LT$13="",LT$17="",LT$14="",LT$15="",LT$16="",LT$18="",LT$19="",LT$20="",LT$21=""),"",SUM($KU17:LT17))</f>
        <v/>
      </c>
      <c r="LU70" s="114" t="str">
        <f>IF(OR(LU$13="",LU$17="",LU$14="",LU$15="",LU$16="",LU$18="",LU$19="",LU$20="",LU$21=""),"",SUM($KU17:LU17))</f>
        <v/>
      </c>
      <c r="LV70" s="114" t="str">
        <f>IF(OR(LV$13="",LV$17="",LV$14="",LV$15="",LV$16="",LV$18="",LV$19="",LV$20="",LV$21=""),"",SUM($KU17:LV17))</f>
        <v/>
      </c>
      <c r="LW70" s="114" t="str">
        <f>IF(OR(LW$13="",LW$17="",LW$14="",LW$15="",LW$16="",LW$18="",LW$19="",LW$20="",LW$21=""),"",SUM($KU17:LW17))</f>
        <v/>
      </c>
      <c r="LX70" s="114" t="str">
        <f>IF(OR(LX$13="",LX$17="",LX$14="",LX$15="",LX$16="",LX$18="",LX$19="",LX$20="",LX$21=""),"",SUM($KU17:LX17))</f>
        <v/>
      </c>
      <c r="LY70" s="114" t="str">
        <f>IF(OR(LY$13="",LY$17="",LY$14="",LY$15="",LY$16="",LY$18="",LY$19="",LY$20="",LY$21=""),"",SUM($LY17:LY17))</f>
        <v/>
      </c>
      <c r="LZ70" s="114" t="str">
        <f>IF(OR(LZ$13="",LZ$17="",LZ$14="",LZ$15="",LZ$16="",LZ$18="",LZ$19="",LZ$20="",LZ$21=""),"",SUM($LY17:LZ17))</f>
        <v/>
      </c>
      <c r="MA70" s="114" t="str">
        <f>IF(OR(MA$13="",MA$17="",MA$14="",MA$15="",MA$16="",MA$18="",MA$19="",MA$20="",MA$21=""),"",SUM($LY17:MA17))</f>
        <v/>
      </c>
      <c r="MB70" s="114" t="str">
        <f>IF(OR(MB$13="",MB$17="",MB$14="",MB$15="",MB$16="",MB$18="",MB$19="",MB$20="",MB$21=""),"",SUM($LY17:MB17))</f>
        <v/>
      </c>
      <c r="MC70" s="114" t="str">
        <f>IF(OR(MC$13="",MC$17="",MC$14="",MC$15="",MC$16="",MC$18="",MC$19="",MC$20="",MC$21=""),"",SUM($LY17:MC17))</f>
        <v/>
      </c>
      <c r="MD70" s="114" t="str">
        <f>IF(OR(MD$13="",MD$17="",MD$14="",MD$15="",MD$16="",MD$18="",MD$19="",MD$20="",MD$21=""),"",SUM($LY17:MD17))</f>
        <v/>
      </c>
      <c r="ME70" s="114" t="str">
        <f>IF(OR(ME$13="",ME$17="",ME$14="",ME$15="",ME$16="",ME$18="",ME$19="",ME$20="",ME$21=""),"",SUM($LY17:ME17))</f>
        <v/>
      </c>
      <c r="MF70" s="114" t="str">
        <f>IF(OR(MF$13="",MF$17="",MF$14="",MF$15="",MF$16="",MF$18="",MF$19="",MF$20="",MF$21=""),"",SUM($LY17:MF17))</f>
        <v/>
      </c>
      <c r="MG70" s="114" t="str">
        <f>IF(OR(MG$13="",MG$17="",MG$14="",MG$15="",MG$16="",MG$18="",MG$19="",MG$20="",MG$21=""),"",SUM($LY17:MG17))</f>
        <v/>
      </c>
      <c r="MH70" s="114" t="str">
        <f>IF(OR(MH$13="",MH$17="",MH$14="",MH$15="",MH$16="",MH$18="",MH$19="",MH$20="",MH$21=""),"",SUM($LY17:MH17))</f>
        <v/>
      </c>
      <c r="MI70" s="114" t="str">
        <f>IF(OR(MI$13="",MI$17="",MI$14="",MI$15="",MI$16="",MI$18="",MI$19="",MI$20="",MI$21=""),"",SUM($LY17:MI17))</f>
        <v/>
      </c>
      <c r="MJ70" s="114" t="str">
        <f>IF(OR(MJ$13="",MJ$17="",MJ$14="",MJ$15="",MJ$16="",MJ$18="",MJ$19="",MJ$20="",MJ$21=""),"",SUM($LY17:MJ17))</f>
        <v/>
      </c>
      <c r="MK70" s="114" t="str">
        <f>IF(OR(MK$13="",MK$17="",MK$14="",MK$15="",MK$16="",MK$18="",MK$19="",MK$20="",MK$21=""),"",SUM($LY17:MK17))</f>
        <v/>
      </c>
      <c r="ML70" s="114" t="str">
        <f>IF(OR(ML$13="",ML$17="",ML$14="",ML$15="",ML$16="",ML$18="",ML$19="",ML$20="",ML$21=""),"",SUM($LY17:ML17))</f>
        <v/>
      </c>
      <c r="MM70" s="114" t="str">
        <f>IF(OR(MM$13="",MM$17="",MM$14="",MM$15="",MM$16="",MM$18="",MM$19="",MM$20="",MM$21=""),"",SUM($LY17:MM17))</f>
        <v/>
      </c>
      <c r="MN70" s="114" t="str">
        <f>IF(OR(MN$13="",MN$17="",MN$14="",MN$15="",MN$16="",MN$18="",MN$19="",MN$20="",MN$21=""),"",SUM($LY17:MN17))</f>
        <v/>
      </c>
      <c r="MO70" s="114" t="str">
        <f>IF(OR(MO$13="",MO$17="",MO$14="",MO$15="",MO$16="",MO$18="",MO$19="",MO$20="",MO$21=""),"",SUM($LY17:MO17))</f>
        <v/>
      </c>
      <c r="MP70" s="114" t="str">
        <f>IF(OR(MP$13="",MP$17="",MP$14="",MP$15="",MP$16="",MP$18="",MP$19="",MP$20="",MP$21=""),"",SUM($LY17:MP17))</f>
        <v/>
      </c>
      <c r="MQ70" s="114" t="str">
        <f>IF(OR(MQ$13="",MQ$17="",MQ$14="",MQ$15="",MQ$16="",MQ$18="",MQ$19="",MQ$20="",MQ$21=""),"",SUM($LY17:MQ17))</f>
        <v/>
      </c>
      <c r="MR70" s="114" t="str">
        <f>IF(OR(MR$13="",MR$17="",MR$14="",MR$15="",MR$16="",MR$18="",MR$19="",MR$20="",MR$21=""),"",SUM($LY17:MR17))</f>
        <v/>
      </c>
      <c r="MS70" s="114" t="str">
        <f>IF(OR(MS$13="",MS$17="",MS$14="",MS$15="",MS$16="",MS$18="",MS$19="",MS$20="",MS$21=""),"",SUM($LY17:MS17))</f>
        <v/>
      </c>
      <c r="MT70" s="114" t="str">
        <f>IF(OR(MT$13="",MT$17="",MT$14="",MT$15="",MT$16="",MT$18="",MT$19="",MT$20="",MT$21=""),"",SUM($LY17:MT17))</f>
        <v/>
      </c>
      <c r="MU70" s="114" t="str">
        <f>IF(OR(MU$13="",MU$17="",MU$14="",MU$15="",MU$16="",MU$18="",MU$19="",MU$20="",MU$21=""),"",SUM($LY17:MU17))</f>
        <v/>
      </c>
      <c r="MV70" s="114" t="str">
        <f>IF(OR(MV$13="",MV$17="",MV$14="",MV$15="",MV$16="",MV$18="",MV$19="",MV$20="",MV$21=""),"",SUM($LY17:MV17))</f>
        <v/>
      </c>
      <c r="MW70" s="114" t="str">
        <f>IF(OR(MW$13="",MW$17="",MW$14="",MW$15="",MW$16="",MW$18="",MW$19="",MW$20="",MW$21=""),"",SUM($LY17:MW17))</f>
        <v/>
      </c>
      <c r="MX70" s="114" t="str">
        <f>IF(OR(MX$13="",MX$17="",MX$14="",MX$15="",MX$16="",MX$18="",MX$19="",MX$20="",MX$21=""),"",SUM($LY17:MX17))</f>
        <v/>
      </c>
      <c r="MY70" s="114" t="str">
        <f>IF(OR(MY$13="",MY$17="",MY$14="",MY$15="",MY$16="",MY$18="",MY$19="",MY$20="",MY$21=""),"",SUM($LY17:MY17))</f>
        <v/>
      </c>
      <c r="MZ70" s="114" t="str">
        <f>IF(OR(MZ$13="",MZ$17="",MZ$14="",MZ$15="",MZ$16="",MZ$18="",MZ$19="",MZ$20="",MZ$21=""),"",SUM($LY17:MZ17))</f>
        <v/>
      </c>
      <c r="NA70" s="114" t="str">
        <f>IF(OR(NA$13="",NA$17="",NA$14="",NA$15="",NA$16="",NA$18="",NA$19="",NA$20="",NA$21=""),"",SUM($LY17:NA17))</f>
        <v/>
      </c>
      <c r="NB70" s="114" t="str">
        <f>IF(OR(NB$13="",NB$17="",NB$14="",NB$15="",NB$16="",NB$18="",NB$19="",NB$20="",NB$21=""),"",SUM($LY17:NB17))</f>
        <v/>
      </c>
      <c r="NC70" s="114" t="str">
        <f>IF(OR(NC$13="",NC$17="",NC$14="",NC$15="",NC$16="",NC$18="",NC$19="",NC$20="",NC$21=""),"",SUM($LY17:NC17))</f>
        <v/>
      </c>
      <c r="ND70" s="114" t="str">
        <f>IF(OR(ND$13="",ND$17="",ND$14="",ND$15="",ND$16="",ND$18="",ND$19="",ND$20="",ND$21=""),"",SUM($ND17:ND17))</f>
        <v/>
      </c>
      <c r="NE70" s="114" t="str">
        <f>IF(OR(NE$13="",NE$17="",NE$14="",NE$15="",NE$16="",NE$18="",NE$19="",NE$20="",NE$21=""),"",SUM($ND17:NE17))</f>
        <v/>
      </c>
      <c r="NF70" s="114" t="str">
        <f>IF(OR(NF$13="",NF$17="",NF$14="",NF$15="",NF$16="",NF$18="",NF$19="",NF$20="",NF$21=""),"",SUM($ND17:NF17))</f>
        <v/>
      </c>
      <c r="NG70" s="114" t="str">
        <f>IF(OR(NG$13="",NG$17="",NG$14="",NG$15="",NG$16="",NG$18="",NG$19="",NG$20="",NG$21=""),"",SUM($ND17:NG17))</f>
        <v/>
      </c>
      <c r="NH70" s="114" t="str">
        <f>IF(OR(NH$13="",NH$17="",NH$14="",NH$15="",NH$16="",NH$18="",NH$19="",NH$20="",NH$21=""),"",SUM($ND17:NH17))</f>
        <v/>
      </c>
      <c r="NI70" s="114" t="str">
        <f>IF(OR(NI$13="",NI$17="",NI$14="",NI$15="",NI$16="",NI$18="",NI$19="",NI$20="",NI$21=""),"",SUM($ND17:NI17))</f>
        <v/>
      </c>
      <c r="NJ70" s="114" t="str">
        <f>IF(OR(NJ$13="",NJ$17="",NJ$14="",NJ$15="",NJ$16="",NJ$18="",NJ$19="",NJ$20="",NJ$21=""),"",SUM($ND17:NJ17))</f>
        <v/>
      </c>
      <c r="NK70" s="114" t="str">
        <f>IF(OR(NK$13="",NK$17="",NK$14="",NK$15="",NK$16="",NK$18="",NK$19="",NK$20="",NK$21=""),"",SUM($ND17:NK17))</f>
        <v/>
      </c>
      <c r="NL70" s="114" t="str">
        <f>IF(OR(NL$13="",NL$17="",NL$14="",NL$15="",NL$16="",NL$18="",NL$19="",NL$20="",NL$21=""),"",SUM($ND17:NL17))</f>
        <v/>
      </c>
      <c r="NM70" s="114" t="str">
        <f>IF(OR(NM$13="",NM$17="",NM$14="",NM$15="",NM$16="",NM$18="",NM$19="",NM$20="",NM$21=""),"",SUM($ND17:NM17))</f>
        <v/>
      </c>
      <c r="NN70" s="114" t="str">
        <f>IF(OR(NN$13="",NN$17="",NN$14="",NN$15="",NN$16="",NN$18="",NN$19="",NN$20="",NN$21=""),"",SUM($ND17:NN17))</f>
        <v/>
      </c>
      <c r="NO70" s="114" t="str">
        <f>IF(OR(NO$13="",NO$17="",NO$14="",NO$15="",NO$16="",NO$18="",NO$19="",NO$20="",NO$21=""),"",SUM($ND17:NO17))</f>
        <v/>
      </c>
      <c r="NP70" s="114" t="str">
        <f>IF(OR(NP$13="",NP$17="",NP$14="",NP$15="",NP$16="",NP$18="",NP$19="",NP$20="",NP$21=""),"",SUM($ND17:NP17))</f>
        <v/>
      </c>
      <c r="NQ70" s="114" t="str">
        <f>IF(OR(NQ$13="",NQ$17="",NQ$14="",NQ$15="",NQ$16="",NQ$18="",NQ$19="",NQ$20="",NQ$21=""),"",SUM($ND17:NQ17))</f>
        <v/>
      </c>
      <c r="NR70" s="114" t="str">
        <f>IF(OR(NR$13="",NR$17="",NR$14="",NR$15="",NR$16="",NR$18="",NR$19="",NR$20="",NR$21=""),"",SUM($ND17:NR17))</f>
        <v/>
      </c>
      <c r="NS70" s="114" t="str">
        <f>IF(OR(NS$13="",NS$17="",NS$14="",NS$15="",NS$16="",NS$18="",NS$19="",NS$20="",NS$21=""),"",SUM($ND17:NS17))</f>
        <v/>
      </c>
      <c r="NT70" s="114" t="str">
        <f>IF(OR(NT$13="",NT$17="",NT$14="",NT$15="",NT$16="",NT$18="",NT$19="",NT$20="",NT$21=""),"",SUM($ND17:NT17))</f>
        <v/>
      </c>
      <c r="NU70" s="114" t="str">
        <f>IF(OR(NU$13="",NU$17="",NU$14="",NU$15="",NU$16="",NU$18="",NU$19="",NU$20="",NU$21=""),"",SUM($ND17:NU17))</f>
        <v/>
      </c>
      <c r="NV70" s="114" t="str">
        <f>IF(OR(NV$13="",NV$17="",NV$14="",NV$15="",NV$16="",NV$18="",NV$19="",NV$20="",NV$21=""),"",SUM($ND17:NV17))</f>
        <v/>
      </c>
      <c r="NW70" s="114" t="str">
        <f>IF(OR(NW$13="",NW$17="",NW$14="",NW$15="",NW$16="",NW$18="",NW$19="",NW$20="",NW$21=""),"",SUM($ND17:NW17))</f>
        <v/>
      </c>
      <c r="NX70" s="114" t="str">
        <f>IF(OR(NX$13="",NX$17="",NX$14="",NX$15="",NX$16="",NX$18="",NX$19="",NX$20="",NX$21=""),"",SUM($ND17:NX17))</f>
        <v/>
      </c>
      <c r="NY70" s="114" t="str">
        <f>IF(OR(NY$13="",NY$17="",NY$14="",NY$15="",NY$16="",NY$18="",NY$19="",NY$20="",NY$21=""),"",SUM($ND17:NY17))</f>
        <v/>
      </c>
      <c r="NZ70" s="114" t="str">
        <f>IF(OR(NZ$13="",NZ$17="",NZ$14="",NZ$15="",NZ$16="",NZ$18="",NZ$19="",NZ$20="",NZ$21=""),"",SUM($ND17:NZ17))</f>
        <v/>
      </c>
      <c r="OA70" s="114" t="str">
        <f>IF(OR(OA$13="",OA$17="",OA$14="",OA$15="",OA$16="",OA$18="",OA$19="",OA$20="",OA$21=""),"",SUM($ND17:OA17))</f>
        <v/>
      </c>
      <c r="OB70" s="114" t="str">
        <f>IF(OR(OB$13="",OB$17="",OB$14="",OB$15="",OB$16="",OB$18="",OB$19="",OB$20="",OB$21=""),"",SUM($ND17:OB17))</f>
        <v/>
      </c>
      <c r="OC70" s="114" t="str">
        <f>IF(OR(OC$13="",OC$17="",OC$14="",OC$15="",OC$16="",OC$18="",OC$19="",OC$20="",OC$21=""),"",SUM($ND17:OC17))</f>
        <v/>
      </c>
      <c r="OD70" s="114" t="str">
        <f>IF(OR(OD$13="",OD$17="",OD$14="",OD$15="",OD$16="",OD$18="",OD$19="",OD$20="",OD$21=""),"",SUM($ND17:OD17))</f>
        <v/>
      </c>
      <c r="OE70" s="114" t="str">
        <f>IF(OR(OE$13="",OE$17="",OE$14="",OE$15="",OE$16="",OE$18="",OE$19="",OE$20="",OE$21=""),"",SUM($ND17:OE17))</f>
        <v/>
      </c>
      <c r="OF70" s="114" t="str">
        <f>IF(OR(OF$13="",OF$17="",OF$14="",OF$15="",OF$16="",OF$18="",OF$19="",OF$20="",OF$21=""),"",SUM($ND17:OF17))</f>
        <v/>
      </c>
      <c r="OG70" s="114" t="str">
        <f>IF(OR(OG$13="",OG$17="",OG$14="",OG$15="",OG$16="",OG$18="",OG$19="",OG$20="",OG$21=""),"",SUM($ND17:OG17))</f>
        <v/>
      </c>
      <c r="OH70" s="114" t="str">
        <f>IF(OR(OH$13="",OH$17="",OH$14="",OH$15="",OH$16="",OH$18="",OH$19="",OH$20="",OH$21=""),"",SUM($ND17:OH17))</f>
        <v/>
      </c>
      <c r="OI70" s="114" t="str">
        <f>IF(OR(OI$13="",OI$17="",OI$14="",OI$15="",OI$16="",OI$18="",OI$19="",OI$20="",OI$21=""),"",SUM($OI17:OI17))</f>
        <v/>
      </c>
      <c r="OJ70" s="114" t="str">
        <f>IF(OR(OJ$13="",OJ$17="",OJ$14="",OJ$15="",OJ$16="",OJ$18="",OJ$19="",OJ$20="",OJ$21=""),"",SUM($OI17:OJ17))</f>
        <v/>
      </c>
      <c r="OK70" s="114" t="str">
        <f>IF(OR(OK$13="",OK$17="",OK$14="",OK$15="",OK$16="",OK$18="",OK$19="",OK$20="",OK$21=""),"",SUM($OI17:OK17))</f>
        <v/>
      </c>
      <c r="OL70" s="114" t="str">
        <f>IF(OR(OL$13="",OL$17="",OL$14="",OL$15="",OL$16="",OL$18="",OL$19="",OL$20="",OL$21=""),"",SUM($OI17:OL17))</f>
        <v/>
      </c>
      <c r="OM70" s="114" t="str">
        <f>IF(OR(OM$13="",OM$17="",OM$14="",OM$15="",OM$16="",OM$18="",OM$19="",OM$20="",OM$21=""),"",SUM($OI17:OM17))</f>
        <v/>
      </c>
      <c r="ON70" s="114" t="str">
        <f>IF(OR(ON$13="",ON$17="",ON$14="",ON$15="",ON$16="",ON$18="",ON$19="",ON$20="",ON$21=""),"",SUM($OI17:ON17))</f>
        <v/>
      </c>
      <c r="OO70" s="114" t="str">
        <f>IF(OR(OO$13="",OO$17="",OO$14="",OO$15="",OO$16="",OO$18="",OO$19="",OO$20="",OO$21=""),"",SUM($OI17:OO17))</f>
        <v/>
      </c>
      <c r="OP70" s="114" t="str">
        <f>IF(OR(OP$13="",OP$17="",OP$14="",OP$15="",OP$16="",OP$18="",OP$19="",OP$20="",OP$21=""),"",SUM($OI17:OP17))</f>
        <v/>
      </c>
      <c r="OQ70" s="114" t="str">
        <f>IF(OR(OQ$13="",OQ$17="",OQ$14="",OQ$15="",OQ$16="",OQ$18="",OQ$19="",OQ$20="",OQ$21=""),"",SUM($OI17:OQ17))</f>
        <v/>
      </c>
      <c r="OR70" s="114" t="str">
        <f>IF(OR(OR$13="",OR$17="",OR$14="",OR$15="",OR$16="",OR$18="",OR$19="",OR$20="",OR$21=""),"",SUM($OI17:OR17))</f>
        <v/>
      </c>
      <c r="OS70" s="114" t="str">
        <f>IF(OR(OS$13="",OS$17="",OS$14="",OS$15="",OS$16="",OS$18="",OS$19="",OS$20="",OS$21=""),"",SUM($OI17:OS17))</f>
        <v/>
      </c>
      <c r="OT70" s="114" t="str">
        <f>IF(OR(OT$13="",OT$17="",OT$14="",OT$15="",OT$16="",OT$18="",OT$19="",OT$20="",OT$21=""),"",SUM($OI17:OT17))</f>
        <v/>
      </c>
      <c r="OU70" s="114" t="str">
        <f>IF(OR(OU$13="",OU$17="",OU$14="",OU$15="",OU$16="",OU$18="",OU$19="",OU$20="",OU$21=""),"",SUM($OI17:OU17))</f>
        <v/>
      </c>
      <c r="OV70" s="114" t="str">
        <f>IF(OR(OV$13="",OV$17="",OV$14="",OV$15="",OV$16="",OV$18="",OV$19="",OV$20="",OV$21=""),"",SUM($OI17:OV17))</f>
        <v/>
      </c>
      <c r="OW70" s="114" t="str">
        <f>IF(OR(OW$13="",OW$17="",OW$14="",OW$15="",OW$16="",OW$18="",OW$19="",OW$20="",OW$21=""),"",SUM($OI17:OW17))</f>
        <v/>
      </c>
      <c r="OX70" s="114" t="str">
        <f>IF(OR(OX$13="",OX$17="",OX$14="",OX$15="",OX$16="",OX$18="",OX$19="",OX$20="",OX$21=""),"",SUM($OI17:OX17))</f>
        <v/>
      </c>
      <c r="OY70" s="114" t="str">
        <f>IF(OR(OY$13="",OY$17="",OY$14="",OY$15="",OY$16="",OY$18="",OY$19="",OY$20="",OY$21=""),"",SUM($OI17:OY17))</f>
        <v/>
      </c>
      <c r="OZ70" s="114" t="str">
        <f>IF(OR(OZ$13="",OZ$17="",OZ$14="",OZ$15="",OZ$16="",OZ$18="",OZ$19="",OZ$20="",OZ$21=""),"",SUM($OI17:OZ17))</f>
        <v/>
      </c>
      <c r="PA70" s="114" t="str">
        <f>IF(OR(PA$13="",PA$17="",PA$14="",PA$15="",PA$16="",PA$18="",PA$19="",PA$20="",PA$21=""),"",SUM($OI17:PA17))</f>
        <v/>
      </c>
      <c r="PB70" s="114" t="str">
        <f>IF(OR(PB$13="",PB$17="",PB$14="",PB$15="",PB$16="",PB$18="",PB$19="",PB$20="",PB$21=""),"",SUM($OI17:PB17))</f>
        <v/>
      </c>
      <c r="PC70" s="114" t="str">
        <f>IF(OR(PC$13="",PC$17="",PC$14="",PC$15="",PC$16="",PC$18="",PC$19="",PC$20="",PC$21=""),"",SUM($OI17:PC17))</f>
        <v/>
      </c>
      <c r="PD70" s="114" t="str">
        <f>IF(OR(PD$13="",PD$17="",PD$14="",PD$15="",PD$16="",PD$18="",PD$19="",PD$20="",PD$21=""),"",SUM($OI17:PD17))</f>
        <v/>
      </c>
      <c r="PE70" s="114" t="str">
        <f>IF(OR(PE$13="",PE$17="",PE$14="",PE$15="",PE$16="",PE$18="",PE$19="",PE$20="",PE$21=""),"",SUM($OI17:PE17))</f>
        <v/>
      </c>
      <c r="PF70" s="114" t="str">
        <f>IF(OR(PF$13="",PF$17="",PF$14="",PF$15="",PF$16="",PF$18="",PF$19="",PF$20="",PF$21=""),"",SUM($OI17:PF17))</f>
        <v/>
      </c>
      <c r="PG70" s="114" t="str">
        <f>IF(OR(PG$13="",PG$17="",PG$14="",PG$15="",PG$16="",PG$18="",PG$19="",PG$20="",PG$21=""),"",SUM($OI17:PG17))</f>
        <v/>
      </c>
      <c r="PH70" s="114" t="str">
        <f>IF(OR(PH$13="",PH$17="",PH$14="",PH$15="",PH$16="",PH$18="",PH$19="",PH$20="",PH$21=""),"",SUM($OI17:PH17))</f>
        <v/>
      </c>
      <c r="PI70" s="114" t="str">
        <f>IF(OR(PI$13="",PI$17="",PI$14="",PI$15="",PI$16="",PI$18="",PI$19="",PI$20="",PI$21=""),"",SUM($OI17:PI17))</f>
        <v/>
      </c>
      <c r="PJ70" s="114" t="str">
        <f>IF(OR(PJ$13="",PJ$17="",PJ$14="",PJ$15="",PJ$16="",PJ$18="",PJ$19="",PJ$20="",PJ$21=""),"",SUM($OI17:PJ17))</f>
        <v/>
      </c>
      <c r="PK70" s="114" t="str">
        <f>IF(OR(PK$13="",PK$17="",PK$14="",PK$15="",PK$16="",PK$18="",PK$19="",PK$20="",PK$21=""),"",SUM($PK17:PK17))</f>
        <v/>
      </c>
      <c r="PL70" s="114" t="str">
        <f>IF(OR(PL$13="",PL$17="",PL$14="",PL$15="",PL$16="",PL$18="",PL$19="",PL$20="",PL$21=""),"",SUM($PK17:PL17))</f>
        <v/>
      </c>
      <c r="PM70" s="114" t="str">
        <f>IF(OR(PM$13="",PM$17="",PM$14="",PM$15="",PM$16="",PM$18="",PM$19="",PM$20="",PM$21=""),"",SUM($PK17:PM17))</f>
        <v/>
      </c>
      <c r="PN70" s="114" t="str">
        <f>IF(OR(PN$13="",PN$17="",PN$14="",PN$15="",PN$16="",PN$18="",PN$19="",PN$20="",PN$21=""),"",SUM($PK17:PN17))</f>
        <v/>
      </c>
      <c r="PO70" s="114" t="str">
        <f>IF(OR(PO$13="",PO$17="",PO$14="",PO$15="",PO$16="",PO$18="",PO$19="",PO$20="",PO$21=""),"",SUM($PK17:PO17))</f>
        <v/>
      </c>
      <c r="PP70" s="114" t="str">
        <f>IF(OR(PP$13="",PP$17="",PP$14="",PP$15="",PP$16="",PP$18="",PP$19="",PP$20="",PP$21=""),"",SUM($PK17:PP17))</f>
        <v/>
      </c>
      <c r="PQ70" s="114" t="str">
        <f>IF(OR(PQ$13="",PQ$17="",PQ$14="",PQ$15="",PQ$16="",PQ$18="",PQ$19="",PQ$20="",PQ$21=""),"",SUM($PK17:PQ17))</f>
        <v/>
      </c>
      <c r="PR70" s="114" t="str">
        <f>IF(OR(PR$13="",PR$17="",PR$14="",PR$15="",PR$16="",PR$18="",PR$19="",PR$20="",PR$21=""),"",SUM($PK17:PR17))</f>
        <v/>
      </c>
      <c r="PS70" s="114" t="str">
        <f>IF(OR(PS$13="",PS$17="",PS$14="",PS$15="",PS$16="",PS$18="",PS$19="",PS$20="",PS$21=""),"",SUM($PK17:PS17))</f>
        <v/>
      </c>
      <c r="PT70" s="114" t="str">
        <f>IF(OR(PT$13="",PT$17="",PT$14="",PT$15="",PT$16="",PT$18="",PT$19="",PT$20="",PT$21=""),"",SUM($PK17:PT17))</f>
        <v/>
      </c>
      <c r="PU70" s="114" t="str">
        <f>IF(OR(PU$13="",PU$17="",PU$14="",PU$15="",PU$16="",PU$18="",PU$19="",PU$20="",PU$21=""),"",SUM($PK17:PU17))</f>
        <v/>
      </c>
      <c r="PV70" s="114" t="str">
        <f>IF(OR(PV$13="",PV$17="",PV$14="",PV$15="",PV$16="",PV$18="",PV$19="",PV$20="",PV$21=""),"",SUM($PK17:PV17))</f>
        <v/>
      </c>
      <c r="PW70" s="114" t="str">
        <f>IF(OR(PW$13="",PW$17="",PW$14="",PW$15="",PW$16="",PW$18="",PW$19="",PW$20="",PW$21=""),"",SUM($PK17:PW17))</f>
        <v/>
      </c>
      <c r="PX70" s="114" t="str">
        <f>IF(OR(PX$13="",PX$17="",PX$14="",PX$15="",PX$16="",PX$18="",PX$19="",PX$20="",PX$21=""),"",SUM($PK17:PX17))</f>
        <v/>
      </c>
      <c r="PY70" s="114" t="str">
        <f>IF(OR(PY$13="",PY$17="",PY$14="",PY$15="",PY$16="",PY$18="",PY$19="",PY$20="",PY$21=""),"",SUM($PK17:PY17))</f>
        <v/>
      </c>
      <c r="PZ70" s="114" t="str">
        <f>IF(OR(PZ$13="",PZ$17="",PZ$14="",PZ$15="",PZ$16="",PZ$18="",PZ$19="",PZ$20="",PZ$21=""),"",SUM($PK17:PZ17))</f>
        <v/>
      </c>
      <c r="QA70" s="114" t="str">
        <f>IF(OR(QA$13="",QA$17="",QA$14="",QA$15="",QA$16="",QA$18="",QA$19="",QA$20="",QA$21=""),"",SUM($PK17:QA17))</f>
        <v/>
      </c>
      <c r="QB70" s="114" t="str">
        <f>IF(OR(QB$13="",QB$17="",QB$14="",QB$15="",QB$16="",QB$18="",QB$19="",QB$20="",QB$21=""),"",SUM($PK17:QB17))</f>
        <v/>
      </c>
      <c r="QC70" s="114" t="str">
        <f>IF(OR(QC$13="",QC$17="",QC$14="",QC$15="",QC$16="",QC$18="",QC$19="",QC$20="",QC$21=""),"",SUM($PK17:QC17))</f>
        <v/>
      </c>
      <c r="QD70" s="114" t="str">
        <f>IF(OR(QD$13="",QD$17="",QD$14="",QD$15="",QD$16="",QD$18="",QD$19="",QD$20="",QD$21=""),"",SUM($PK17:QD17))</f>
        <v/>
      </c>
      <c r="QE70" s="114" t="str">
        <f>IF(OR(QE$13="",QE$17="",QE$14="",QE$15="",QE$16="",QE$18="",QE$19="",QE$20="",QE$21=""),"",SUM($PK17:QE17))</f>
        <v/>
      </c>
      <c r="QF70" s="114" t="str">
        <f>IF(OR(QF$13="",QF$17="",QF$14="",QF$15="",QF$16="",QF$18="",QF$19="",QF$20="",QF$21=""),"",SUM($PK17:QF17))</f>
        <v/>
      </c>
      <c r="QG70" s="114" t="str">
        <f>IF(OR(QG$13="",QG$17="",QG$14="",QG$15="",QG$16="",QG$18="",QG$19="",QG$20="",QG$21=""),"",SUM($PK17:QG17))</f>
        <v/>
      </c>
      <c r="QH70" s="114" t="str">
        <f>IF(OR(QH$13="",QH$17="",QH$14="",QH$15="",QH$16="",QH$18="",QH$19="",QH$20="",QH$21=""),"",SUM($PK17:QH17))</f>
        <v/>
      </c>
      <c r="QI70" s="114" t="str">
        <f>IF(OR(QI$13="",QI$17="",QI$14="",QI$15="",QI$16="",QI$18="",QI$19="",QI$20="",QI$21=""),"",SUM($PK17:QI17))</f>
        <v/>
      </c>
      <c r="QJ70" s="114" t="str">
        <f>IF(OR(QJ$13="",QJ$17="",QJ$14="",QJ$15="",QJ$16="",QJ$18="",QJ$19="",QJ$20="",QJ$21=""),"",SUM($PK17:QJ17))</f>
        <v/>
      </c>
      <c r="QK70" s="114" t="str">
        <f>IF(OR(QK$13="",QK$17="",QK$14="",QK$15="",QK$16="",QK$18="",QK$19="",QK$20="",QK$21=""),"",SUM($PK17:QK17))</f>
        <v/>
      </c>
      <c r="QL70" s="114" t="str">
        <f>IF(OR(QL$13="",QL$17="",QL$14="",QL$15="",QL$16="",QL$18="",QL$19="",QL$20="",QL$21=""),"",SUM($PK17:QL17))</f>
        <v/>
      </c>
      <c r="QM70" s="114" t="str">
        <f>IF(OR(QM$13="",QM$17="",QM$14="",QM$15="",QM$16="",QM$18="",QM$19="",QM$20="",QM$21=""),"",SUM($PK17:QM17))</f>
        <v/>
      </c>
      <c r="QN70" s="114" t="str">
        <f>IF(OR(QN$13="",QN$17="",QN$14="",QN$15="",QN$16="",QN$18="",QN$19="",QN$20="",QN$21=""),"",SUM($PK17:QN17))</f>
        <v/>
      </c>
      <c r="QO70" s="114" t="str">
        <f>IF(OR(QO$13="",QO$17="",QO$14="",QO$15="",QO$16="",QO$18="",QO$19="",QO$20="",QO$21=""),"",SUM($PK17:QO17))</f>
        <v/>
      </c>
      <c r="QP70" s="114" t="str">
        <f>IF(OR(QP$13="",QP$17="",QP$14="",QP$15="",QP$16="",QP$18="",QP$19="",QP$20="",QP$21=""),"",SUM($QP17:QP17))</f>
        <v/>
      </c>
      <c r="QQ70" s="114" t="str">
        <f>IF(OR(QQ$13="",QQ$17="",QQ$14="",QQ$15="",QQ$16="",QQ$18="",QQ$19="",QQ$20="",QQ$21=""),"",SUM($QP17:QQ17))</f>
        <v/>
      </c>
      <c r="QR70" s="114" t="str">
        <f>IF(OR(QR$13="",QR$17="",QR$14="",QR$15="",QR$16="",QR$18="",QR$19="",QR$20="",QR$21=""),"",SUM($QP17:QR17))</f>
        <v/>
      </c>
      <c r="QS70" s="114" t="str">
        <f>IF(OR(QS$13="",QS$17="",QS$14="",QS$15="",QS$16="",QS$18="",QS$19="",QS$20="",QS$21=""),"",SUM($QP17:QS17))</f>
        <v/>
      </c>
      <c r="QT70" s="114" t="str">
        <f>IF(OR(QT$13="",QT$17="",QT$14="",QT$15="",QT$16="",QT$18="",QT$19="",QT$20="",QT$21=""),"",SUM($QP17:QT17))</f>
        <v/>
      </c>
      <c r="QU70" s="114" t="str">
        <f>IF(OR(QU$13="",QU$17="",QU$14="",QU$15="",QU$16="",QU$18="",QU$19="",QU$20="",QU$21=""),"",SUM($QP17:QU17))</f>
        <v/>
      </c>
      <c r="QV70" s="114" t="str">
        <f>IF(OR(QV$13="",QV$17="",QV$14="",QV$15="",QV$16="",QV$18="",QV$19="",QV$20="",QV$21=""),"",SUM($QP17:QV17))</f>
        <v/>
      </c>
      <c r="QW70" s="114" t="str">
        <f>IF(OR(QW$13="",QW$17="",QW$14="",QW$15="",QW$16="",QW$18="",QW$19="",QW$20="",QW$21=""),"",SUM($QP17:QW17))</f>
        <v/>
      </c>
      <c r="QX70" s="114" t="str">
        <f>IF(OR(QX$13="",QX$17="",QX$14="",QX$15="",QX$16="",QX$18="",QX$19="",QX$20="",QX$21=""),"",SUM($QP17:QX17))</f>
        <v/>
      </c>
      <c r="QY70" s="114" t="str">
        <f>IF(OR(QY$13="",QY$17="",QY$14="",QY$15="",QY$16="",QY$18="",QY$19="",QY$20="",QY$21=""),"",SUM($QP17:QY17))</f>
        <v/>
      </c>
      <c r="QZ70" s="114" t="str">
        <f>IF(OR(QZ$13="",QZ$17="",QZ$14="",QZ$15="",QZ$16="",QZ$18="",QZ$19="",QZ$20="",QZ$21=""),"",SUM($QP17:QZ17))</f>
        <v/>
      </c>
      <c r="RA70" s="114" t="str">
        <f>IF(OR(RA$13="",RA$17="",RA$14="",RA$15="",RA$16="",RA$18="",RA$19="",RA$20="",RA$21=""),"",SUM($QP17:RA17))</f>
        <v/>
      </c>
      <c r="RB70" s="114" t="str">
        <f>IF(OR(RB$13="",RB$17="",RB$14="",RB$15="",RB$16="",RB$18="",RB$19="",RB$20="",RB$21=""),"",SUM($QP17:RB17))</f>
        <v/>
      </c>
      <c r="RC70" s="114" t="str">
        <f>IF(OR(RC$13="",RC$17="",RC$14="",RC$15="",RC$16="",RC$18="",RC$19="",RC$20="",RC$21=""),"",SUM($QP17:RC17))</f>
        <v/>
      </c>
      <c r="RD70" s="114" t="str">
        <f>IF(OR(RD$13="",RD$17="",RD$14="",RD$15="",RD$16="",RD$18="",RD$19="",RD$20="",RD$21=""),"",SUM($QP17:RD17))</f>
        <v/>
      </c>
      <c r="RE70" s="114" t="str">
        <f>IF(OR(RE$13="",RE$17="",RE$14="",RE$15="",RE$16="",RE$18="",RE$19="",RE$20="",RE$21=""),"",SUM($QP17:RE17))</f>
        <v/>
      </c>
      <c r="RF70" s="114" t="str">
        <f>IF(OR(RF$13="",RF$17="",RF$14="",RF$15="",RF$16="",RF$18="",RF$19="",RF$20="",RF$21=""),"",SUM($QP17:RF17))</f>
        <v/>
      </c>
      <c r="RG70" s="114" t="str">
        <f>IF(OR(RG$13="",RG$17="",RG$14="",RG$15="",RG$16="",RG$18="",RG$19="",RG$20="",RG$21=""),"",SUM($QP17:RG17))</f>
        <v/>
      </c>
      <c r="RH70" s="114" t="str">
        <f>IF(OR(RH$13="",RH$17="",RH$14="",RH$15="",RH$16="",RH$18="",RH$19="",RH$20="",RH$21=""),"",SUM($QP17:RH17))</f>
        <v/>
      </c>
      <c r="RI70" s="114" t="str">
        <f>IF(OR(RI$13="",RI$17="",RI$14="",RI$15="",RI$16="",RI$18="",RI$19="",RI$20="",RI$21=""),"",SUM($QP17:RI17))</f>
        <v/>
      </c>
      <c r="RJ70" s="114" t="str">
        <f>IF(OR(RJ$13="",RJ$17="",RJ$14="",RJ$15="",RJ$16="",RJ$18="",RJ$19="",RJ$20="",RJ$21=""),"",SUM($QP17:RJ17))</f>
        <v/>
      </c>
      <c r="RK70" s="114" t="str">
        <f>IF(OR(RK$13="",RK$17="",RK$14="",RK$15="",RK$16="",RK$18="",RK$19="",RK$20="",RK$21=""),"",SUM($QP17:RK17))</f>
        <v/>
      </c>
      <c r="RL70" s="114" t="str">
        <f>IF(OR(RL$13="",RL$17="",RL$14="",RL$15="",RL$16="",RL$18="",RL$19="",RL$20="",RL$21=""),"",SUM($QP17:RL17))</f>
        <v/>
      </c>
      <c r="RM70" s="114" t="str">
        <f>IF(OR(RM$13="",RM$17="",RM$14="",RM$15="",RM$16="",RM$18="",RM$19="",RM$20="",RM$21=""),"",SUM($QP17:RM17))</f>
        <v/>
      </c>
      <c r="RN70" s="114" t="str">
        <f>IF(OR(RN$13="",RN$17="",RN$14="",RN$15="",RN$16="",RN$18="",RN$19="",RN$20="",RN$21=""),"",SUM($QP17:RN17))</f>
        <v/>
      </c>
      <c r="RO70" s="114" t="str">
        <f>IF(OR(RO$13="",RO$17="",RO$14="",RO$15="",RO$16="",RO$18="",RO$19="",RO$20="",RO$21=""),"",SUM($QP17:RO17))</f>
        <v/>
      </c>
      <c r="RP70" s="114" t="str">
        <f>IF(OR(RP$13="",RP$17="",RP$14="",RP$15="",RP$16="",RP$18="",RP$19="",RP$20="",RP$21=""),"",SUM($QP17:RP17))</f>
        <v/>
      </c>
      <c r="RQ70" s="114" t="str">
        <f>IF(OR(RQ$13="",RQ$17="",RQ$14="",RQ$15="",RQ$16="",RQ$18="",RQ$19="",RQ$20="",RQ$21=""),"",SUM($QP17:RQ17))</f>
        <v/>
      </c>
      <c r="RR70" s="114" t="str">
        <f>IF(OR(RR$13="",RR$17="",RR$14="",RR$15="",RR$16="",RR$18="",RR$19="",RR$20="",RR$21=""),"",SUM($QP17:RR17))</f>
        <v/>
      </c>
      <c r="RS70" s="114" t="str">
        <f>IF(OR(RS$13="",RS$17="",RS$14="",RS$15="",RS$16="",RS$18="",RS$19="",RS$20="",RS$21=""),"",SUM($QP17:RS17))</f>
        <v/>
      </c>
      <c r="RT70" s="114" t="str">
        <f>IF(OR(RT$13="",RT$17="",RT$14="",RT$15="",RT$16="",RT$18="",RT$19="",RT$20="",RT$21=""),"",SUM($RT17:RT17))</f>
        <v/>
      </c>
      <c r="RU70" s="114" t="str">
        <f>IF(OR(RU$13="",RU$17="",RU$14="",RU$15="",RU$16="",RU$18="",RU$19="",RU$20="",RU$21=""),"",SUM($RT17:RU17))</f>
        <v/>
      </c>
      <c r="RV70" s="114" t="str">
        <f>IF(OR(RV$13="",RV$17="",RV$14="",RV$15="",RV$16="",RV$18="",RV$19="",RV$20="",RV$21=""),"",SUM($RT17:RV17))</f>
        <v/>
      </c>
      <c r="RW70" s="114" t="str">
        <f>IF(OR(RW$13="",RW$17="",RW$14="",RW$15="",RW$16="",RW$18="",RW$19="",RW$20="",RW$21=""),"",SUM($RT17:RW17))</f>
        <v/>
      </c>
      <c r="RX70" s="114" t="str">
        <f>IF(OR(RX$13="",RX$17="",RX$14="",RX$15="",RX$16="",RX$18="",RX$19="",RX$20="",RX$21=""),"",SUM($RT17:RX17))</f>
        <v/>
      </c>
      <c r="RY70" s="114" t="str">
        <f>IF(OR(RY$13="",RY$17="",RY$14="",RY$15="",RY$16="",RY$18="",RY$19="",RY$20="",RY$21=""),"",SUM($RT17:RY17))</f>
        <v/>
      </c>
      <c r="RZ70" s="114" t="str">
        <f>IF(OR(RZ$13="",RZ$17="",RZ$14="",RZ$15="",RZ$16="",RZ$18="",RZ$19="",RZ$20="",RZ$21=""),"",SUM($RT17:RZ17))</f>
        <v/>
      </c>
      <c r="SA70" s="114" t="str">
        <f>IF(OR(SA$13="",SA$17="",SA$14="",SA$15="",SA$16="",SA$18="",SA$19="",SA$20="",SA$21=""),"",SUM($RT17:SA17))</f>
        <v/>
      </c>
      <c r="SB70" s="114" t="str">
        <f>IF(OR(SB$13="",SB$17="",SB$14="",SB$15="",SB$16="",SB$18="",SB$19="",SB$20="",SB$21=""),"",SUM($RT17:SB17))</f>
        <v/>
      </c>
      <c r="SC70" s="114" t="str">
        <f>IF(OR(SC$13="",SC$17="",SC$14="",SC$15="",SC$16="",SC$18="",SC$19="",SC$20="",SC$21=""),"",SUM($RT17:SC17))</f>
        <v/>
      </c>
      <c r="SD70" s="114" t="str">
        <f>IF(OR(SD$13="",SD$17="",SD$14="",SD$15="",SD$16="",SD$18="",SD$19="",SD$20="",SD$21=""),"",SUM($RT17:SD17))</f>
        <v/>
      </c>
      <c r="SE70" s="114" t="str">
        <f>IF(OR(SE$13="",SE$17="",SE$14="",SE$15="",SE$16="",SE$18="",SE$19="",SE$20="",SE$21=""),"",SUM($RT17:SE17))</f>
        <v/>
      </c>
      <c r="SF70" s="114" t="str">
        <f>IF(OR(SF$13="",SF$17="",SF$14="",SF$15="",SF$16="",SF$18="",SF$19="",SF$20="",SF$21=""),"",SUM($RT17:SF17))</f>
        <v/>
      </c>
      <c r="SG70" s="114" t="str">
        <f>IF(OR(SG$13="",SG$17="",SG$14="",SG$15="",SG$16="",SG$18="",SG$19="",SG$20="",SG$21=""),"",SUM($RT17:SG17))</f>
        <v/>
      </c>
      <c r="SH70" s="114" t="str">
        <f>IF(OR(SH$13="",SH$17="",SH$14="",SH$15="",SH$16="",SH$18="",SH$19="",SH$20="",SH$21=""),"",SUM($RT17:SH17))</f>
        <v/>
      </c>
      <c r="SI70" s="114" t="str">
        <f>IF(OR(SI$13="",SI$17="",SI$14="",SI$15="",SI$16="",SI$18="",SI$19="",SI$20="",SI$21=""),"",SUM($RT17:SI17))</f>
        <v/>
      </c>
      <c r="SJ70" s="114" t="str">
        <f>IF(OR(SJ$13="",SJ$17="",SJ$14="",SJ$15="",SJ$16="",SJ$18="",SJ$19="",SJ$20="",SJ$21=""),"",SUM($RT17:SJ17))</f>
        <v/>
      </c>
      <c r="SK70" s="114" t="str">
        <f>IF(OR(SK$13="",SK$17="",SK$14="",SK$15="",SK$16="",SK$18="",SK$19="",SK$20="",SK$21=""),"",SUM($RT17:SK17))</f>
        <v/>
      </c>
      <c r="SL70" s="114" t="str">
        <f>IF(OR(SL$13="",SL$17="",SL$14="",SL$15="",SL$16="",SL$18="",SL$19="",SL$20="",SL$21=""),"",SUM($RT17:SL17))</f>
        <v/>
      </c>
      <c r="SM70" s="114" t="str">
        <f>IF(OR(SM$13="",SM$17="",SM$14="",SM$15="",SM$16="",SM$18="",SM$19="",SM$20="",SM$21=""),"",SUM($RT17:SM17))</f>
        <v/>
      </c>
      <c r="SN70" s="114" t="str">
        <f>IF(OR(SN$13="",SN$17="",SN$14="",SN$15="",SN$16="",SN$18="",SN$19="",SN$20="",SN$21=""),"",SUM($RT17:SN17))</f>
        <v/>
      </c>
      <c r="SO70" s="114" t="str">
        <f>IF(OR(SO$13="",SO$17="",SO$14="",SO$15="",SO$16="",SO$18="",SO$19="",SO$20="",SO$21=""),"",SUM($RT17:SO17))</f>
        <v/>
      </c>
      <c r="SP70" s="114" t="str">
        <f>IF(OR(SP$13="",SP$17="",SP$14="",SP$15="",SP$16="",SP$18="",SP$19="",SP$20="",SP$21=""),"",SUM($RT17:SP17))</f>
        <v/>
      </c>
      <c r="SQ70" s="114" t="str">
        <f>IF(OR(SQ$13="",SQ$17="",SQ$14="",SQ$15="",SQ$16="",SQ$18="",SQ$19="",SQ$20="",SQ$21=""),"",SUM($RT17:SQ17))</f>
        <v/>
      </c>
      <c r="SR70" s="114" t="str">
        <f>IF(OR(SR$13="",SR$17="",SR$14="",SR$15="",SR$16="",SR$18="",SR$19="",SR$20="",SR$21=""),"",SUM($RT17:SR17))</f>
        <v/>
      </c>
      <c r="SS70" s="114" t="str">
        <f>IF(OR(SS$13="",SS$17="",SS$14="",SS$15="",SS$16="",SS$18="",SS$19="",SS$20="",SS$21=""),"",SUM($RT17:SS17))</f>
        <v/>
      </c>
      <c r="ST70" s="114" t="str">
        <f>IF(OR(ST$13="",ST$17="",ST$14="",ST$15="",ST$16="",ST$18="",ST$19="",ST$20="",ST$21=""),"",SUM($RT17:ST17))</f>
        <v/>
      </c>
      <c r="SU70" s="114" t="str">
        <f>IF(OR(SU$13="",SU$17="",SU$14="",SU$15="",SU$16="",SU$18="",SU$19="",SU$20="",SU$21=""),"",SUM($RT17:SU17))</f>
        <v/>
      </c>
      <c r="SV70" s="114" t="str">
        <f>IF(OR(SV$13="",SV$17="",SV$14="",SV$15="",SV$16="",SV$18="",SV$19="",SV$20="",SV$21=""),"",SUM($RT17:SV17))</f>
        <v/>
      </c>
      <c r="SW70" s="114" t="str">
        <f>IF(OR(SW$13="",SW$17="",SW$14="",SW$15="",SW$16="",SW$18="",SW$19="",SW$20="",SW$21=""),"",SUM($RT17:SW17))</f>
        <v/>
      </c>
    </row>
    <row r="71" spans="1:517" ht="24.6" customHeight="1" x14ac:dyDescent="0.2">
      <c r="A71" s="94">
        <v>777</v>
      </c>
      <c r="B71" s="119" t="s">
        <v>82</v>
      </c>
      <c r="C71" s="114">
        <f>IF(OR(C$13="",C$17="",C$14="",C$15="",C$16="",C$18="",C$19="",C$20="",C$21=""),"",SUM($C18:C18))</f>
        <v>0</v>
      </c>
      <c r="D71" s="114">
        <f>IF(OR(D$13="",D$17="",D$14="",D$15="",D$16="",D$18="",D$19="",D$20="",D$21=""),"",SUM($C18:D18))</f>
        <v>54.120000000000005</v>
      </c>
      <c r="E71" s="114">
        <f>IF(OR(E$13="",E$17="",E$14="",E$15="",E$16="",E$18="",E$19="",E$20="",E$21=""),"",SUM($C18:E18))</f>
        <v>54.120000000000005</v>
      </c>
      <c r="F71" s="114">
        <f>IF(OR(F$13="",F$17="",F$14="",F$15="",F$16="",F$18="",F$19="",F$20="",F$21=""),"",SUM($C18:F18))</f>
        <v>54.120000000000005</v>
      </c>
      <c r="G71" s="114">
        <f>IF(OR(G$13="",G$17="",G$14="",G$15="",G$16="",G$18="",G$19="",G$20="",G$21=""),"",SUM($C18:G18))</f>
        <v>84.84</v>
      </c>
      <c r="H71" s="114">
        <f>IF(OR(H$13="",H$17="",H$14="",H$15="",H$16="",H$18="",H$19="",H$20="",H$21=""),"",SUM($C18:H18))</f>
        <v>91.990000000000009</v>
      </c>
      <c r="I71" s="114">
        <f>IF(OR(I$13="",I$17="",I$14="",I$15="",I$16="",I$18="",I$19="",I$20="",I$21=""),"",SUM($C18:I18))</f>
        <v>91.990000000000009</v>
      </c>
      <c r="J71" s="114">
        <f>IF(OR(J$13="",J$17="",J$14="",J$15="",J$16="",J$18="",J$19="",J$20="",J$21=""),"",SUM($C18:J18))</f>
        <v>103.7</v>
      </c>
      <c r="K71" s="114">
        <f>IF(OR(K$13="",K$17="",K$14="",K$15="",K$16="",K$18="",K$19="",K$20="",K$21=""),"",SUM($C18:K18))</f>
        <v>103.7</v>
      </c>
      <c r="L71" s="114">
        <f>IF(OR(L$13="",L$17="",L$14="",L$15="",L$16="",L$18="",L$19="",L$20="",L$21=""),"",SUM($C18:L18))</f>
        <v>106.92</v>
      </c>
      <c r="M71" s="114">
        <f>IF(OR(M$13="",M$17="",M$14="",M$15="",M$16="",M$18="",M$19="",M$20="",M$21=""),"",SUM($C18:M18))</f>
        <v>106.92</v>
      </c>
      <c r="N71" s="114">
        <f>IF(OR(N$13="",N$17="",N$14="",N$15="",N$16="",N$18="",N$19="",N$20="",N$21=""),"",SUM($C18:N18))</f>
        <v>108.14</v>
      </c>
      <c r="O71" s="114">
        <f>IF(OR(O$13="",O$17="",O$14="",O$15="",O$16="",O$18="",O$19="",O$20="",O$21=""),"",SUM($C18:O18))</f>
        <v>108.14</v>
      </c>
      <c r="P71" s="114">
        <f>IF(OR(P$13="",P$17="",P$14="",P$15="",P$16="",P$18="",P$19="",P$20="",P$21=""),"",SUM($C18:P18))</f>
        <v>111.32000000000001</v>
      </c>
      <c r="Q71" s="114">
        <f>IF(OR(Q$13="",Q$17="",Q$14="",Q$15="",Q$16="",Q$18="",Q$19="",Q$20="",Q$21=""),"",SUM($C18:Q18))</f>
        <v>111.32000000000001</v>
      </c>
      <c r="R71" s="114">
        <f>IF(OR(R$13="",R$17="",R$14="",R$15="",R$16="",R$18="",R$19="",R$20="",R$21=""),"",SUM($C18:R18))</f>
        <v>111.32000000000001</v>
      </c>
      <c r="S71" s="114">
        <f>IF(OR(S$13="",S$17="",S$14="",S$15="",S$16="",S$18="",S$19="",S$20="",S$21=""),"",SUM($C18:S18))</f>
        <v>111.32000000000001</v>
      </c>
      <c r="T71" s="114">
        <f>IF(OR(T$13="",T$17="",T$14="",T$15="",T$16="",T$18="",T$19="",T$20="",T$21=""),"",SUM($C18:T18))</f>
        <v>111.32000000000001</v>
      </c>
      <c r="U71" s="114">
        <f>IF(OR(U$13="",U$17="",U$14="",U$15="",U$16="",U$18="",U$19="",U$20="",U$21=""),"",SUM($C18:U18))</f>
        <v>111.32000000000001</v>
      </c>
      <c r="V71" s="114">
        <f>IF(OR(V$13="",V$17="",V$14="",V$15="",V$16="",V$18="",V$19="",V$20="",V$21=""),"",SUM($C18:V18))</f>
        <v>111.32000000000001</v>
      </c>
      <c r="W71" s="114">
        <f>IF(OR(W$13="",W$17="",W$14="",W$15="",W$16="",W$18="",W$19="",W$20="",W$21=""),"",SUM($C18:W18))</f>
        <v>111.32000000000001</v>
      </c>
      <c r="X71" s="114">
        <f>IF(OR(X$13="",X$17="",X$14="",X$15="",X$16="",X$18="",X$19="",X$20="",X$21=""),"",SUM($C18:X18))</f>
        <v>111.32000000000001</v>
      </c>
      <c r="Y71" s="114">
        <f>IF(OR(Y$13="",Y$17="",Y$14="",Y$15="",Y$16="",Y$18="",Y$19="",Y$20="",Y$21=""),"",SUM($C18:Y18))</f>
        <v>111.32000000000001</v>
      </c>
      <c r="Z71" s="114">
        <f>IF(OR(Z$13="",Z$17="",Z$14="",Z$15="",Z$16="",Z$18="",Z$19="",Z$20="",Z$21=""),"",SUM($C18:Z18))</f>
        <v>114.7</v>
      </c>
      <c r="AA71" s="114">
        <f>IF(OR(AA$13="",AA$17="",AA$14="",AA$15="",AA$16="",AA$18="",AA$19="",AA$20="",AA$21=""),"",SUM($C18:AA18))</f>
        <v>114.7</v>
      </c>
      <c r="AB71" s="114">
        <f>IF(OR(AB$13="",AB$17="",AB$14="",AB$15="",AB$16="",AB$18="",AB$19="",AB$20="",AB$21=""),"",SUM($C18:AB18))</f>
        <v>114.7</v>
      </c>
      <c r="AC71" s="114">
        <f>IF(OR(AC$13="",AC$17="",AC$14="",AC$15="",AC$16="",AC$18="",AC$19="",AC$20="",AC$21=""),"",SUM($C18:AC18))</f>
        <v>145.62</v>
      </c>
      <c r="AD71" s="114">
        <f>IF(OR(AD$13="",AD$17="",AD$14="",AD$15="",AD$16="",AD$18="",AD$19="",AD$20="",AD$21=""),"",SUM($C18:AD18))</f>
        <v>145.62</v>
      </c>
      <c r="AE71" s="114">
        <f>IF(OR(AE$13="",AE$17="",AE$14="",AE$15="",AE$16="",AE$18="",AE$19="",AE$20="",AE$21=""),"",SUM($C18:AE18))</f>
        <v>145.62</v>
      </c>
      <c r="AF71" s="114">
        <f>IF(OR(AF$13="",AF$17="",AF$14="",AF$15="",AF$16="",AF$18="",AF$19="",AF$20="",AF$21=""),"",SUM($C18:AF18))</f>
        <v>145.62</v>
      </c>
      <c r="AG71" s="114">
        <f>IF(OR(AG$13="",AG$17="",AG$14="",AG$15="",AG$16="",AG$18="",AG$19="",AG$20="",AG$21=""),"",SUM($C18:AG18))</f>
        <v>145.62</v>
      </c>
      <c r="AH71" s="114">
        <f>IF(OR(AH$13="",AH$17="",AH$14="",AH$15="",AH$16="",AH$18="",AH$19="",AH$20="",AH$21=""),"",SUM($AH18:AH18))</f>
        <v>0</v>
      </c>
      <c r="AI71" s="114">
        <f>IF(OR(AI$13="",AI$17="",AI$14="",AI$15="",AI$16="",AI$18="",AI$19="",AI$20="",AI$21=""),"",SUM($AH18:AI18))</f>
        <v>0</v>
      </c>
      <c r="AJ71" s="114">
        <f>IF(OR(AJ$13="",AJ$17="",AJ$14="",AJ$15="",AJ$16="",AJ$18="",AJ$19="",AJ$20="",AJ$21=""),"",SUM($AH18:AJ18))</f>
        <v>0</v>
      </c>
      <c r="AK71" s="114">
        <f>IF(OR(AK$13="",AK$17="",AK$14="",AK$15="",AK$16="",AK$18="",AK$19="",AK$20="",AK$21=""),"",SUM($AH18:AK18))</f>
        <v>0</v>
      </c>
      <c r="AL71" s="114">
        <f>IF(OR(AL$13="",AL$17="",AL$14="",AL$15="",AL$16="",AL$18="",AL$19="",AL$20="",AL$21=""),"",SUM($AH18:AL18))</f>
        <v>1.8399999999999999</v>
      </c>
      <c r="AM71" s="114">
        <f>IF(OR(AM$13="",AM$17="",AM$14="",AM$15="",AM$16="",AM$18="",AM$19="",AM$20="",AM$21=""),"",SUM($AH18:AM18))</f>
        <v>1.8399999999999999</v>
      </c>
      <c r="AN71" s="114">
        <f>IF(OR(AN$13="",AN$17="",AN$14="",AN$15="",AN$16="",AN$18="",AN$19="",AN$20="",AN$21=""),"",SUM($AH18:AN18))</f>
        <v>1.8399999999999999</v>
      </c>
      <c r="AO71" s="114">
        <f>IF(OR(AO$13="",AO$17="",AO$14="",AO$15="",AO$16="",AO$18="",AO$19="",AO$20="",AO$21=""),"",SUM($AH18:AO18))</f>
        <v>1.8399999999999999</v>
      </c>
      <c r="AP71" s="114">
        <f>IF(OR(AP$13="",AP$17="",AP$14="",AP$15="",AP$16="",AP$18="",AP$19="",AP$20="",AP$21=""),"",SUM($AH18:AP18))</f>
        <v>1.8399999999999999</v>
      </c>
      <c r="AQ71" s="114">
        <f>IF(OR(AQ$13="",AQ$17="",AQ$14="",AQ$15="",AQ$16="",AQ$18="",AQ$19="",AQ$20="",AQ$21=""),"",SUM($AH18:AQ18))</f>
        <v>1.8399999999999999</v>
      </c>
      <c r="AR71" s="114">
        <f>IF(OR(AR$13="",AR$17="",AR$14="",AR$15="",AR$16="",AR$18="",AR$19="",AR$20="",AR$21=""),"",SUM($AH18:AR18))</f>
        <v>1.8399999999999999</v>
      </c>
      <c r="AS71" s="114">
        <f>IF(OR(AS$13="",AS$17="",AS$14="",AS$15="",AS$16="",AS$18="",AS$19="",AS$20="",AS$21=""),"",SUM($AH18:AS18))</f>
        <v>1.8399999999999999</v>
      </c>
      <c r="AT71" s="114">
        <f>IF(OR(AT$13="",AT$17="",AT$14="",AT$15="",AT$16="",AT$18="",AT$19="",AT$20="",AT$21=""),"",SUM($AH18:AT18))</f>
        <v>1.8399999999999999</v>
      </c>
      <c r="AU71" s="114">
        <f>IF(OR(AU$13="",AU$17="",AU$14="",AU$15="",AU$16="",AU$18="",AU$19="",AU$20="",AU$21=""),"",SUM($AH18:AU18))</f>
        <v>1.8399999999999999</v>
      </c>
      <c r="AV71" s="114">
        <f>IF(OR(AV$13="",AV$17="",AV$14="",AV$15="",AV$16="",AV$18="",AV$19="",AV$20="",AV$21=""),"",SUM($AH18:AV18))</f>
        <v>1.8399999999999999</v>
      </c>
      <c r="AW71" s="114">
        <f>IF(OR(AW$13="",AW$17="",AW$14="",AW$15="",AW$16="",AW$18="",AW$19="",AW$20="",AW$21=""),"",SUM($AH18:AW18))</f>
        <v>1.8399999999999999</v>
      </c>
      <c r="AX71" s="114">
        <f>IF(OR(AX$13="",AX$17="",AX$14="",AX$15="",AX$16="",AX$18="",AX$19="",AX$20="",AX$21=""),"",SUM($AH18:AX18))</f>
        <v>1.8399999999999999</v>
      </c>
      <c r="AY71" s="114">
        <f>IF(OR(AY$13="",AY$17="",AY$14="",AY$15="",AY$16="",AY$18="",AY$19="",AY$20="",AY$21=""),"",SUM($AH18:AY18))</f>
        <v>1.8399999999999999</v>
      </c>
      <c r="AZ71" s="114">
        <f>IF(OR(AZ$13="",AZ$17="",AZ$14="",AZ$15="",AZ$16="",AZ$18="",AZ$19="",AZ$20="",AZ$21=""),"",SUM($AH18:AZ18))</f>
        <v>1.8399999999999999</v>
      </c>
      <c r="BA71" s="114">
        <f>IF(OR(BA$13="",BA$17="",BA$14="",BA$15="",BA$16="",BA$18="",BA$19="",BA$20="",BA$21=""),"",SUM($AH18:BA18))</f>
        <v>2.2399999999999998</v>
      </c>
      <c r="BB71" s="114">
        <f>IF(OR(BB$13="",BB$17="",BB$14="",BB$15="",BB$16="",BB$18="",BB$19="",BB$20="",BB$21=""),"",SUM($AH18:BB18))</f>
        <v>2.2399999999999998</v>
      </c>
      <c r="BC71" s="114">
        <f>IF(OR(BC$13="",BC$17="",BC$14="",BC$15="",BC$16="",BC$18="",BC$19="",BC$20="",BC$21=""),"",SUM($AH18:BC18))</f>
        <v>2.2399999999999998</v>
      </c>
      <c r="BD71" s="114">
        <f>IF(OR(BD$13="",BD$17="",BD$14="",BD$15="",BD$16="",BD$18="",BD$19="",BD$20="",BD$21=""),"",SUM($AH18:BD18))</f>
        <v>24.84</v>
      </c>
      <c r="BE71" s="114">
        <f>IF(OR(BE$13="",BE$17="",BE$14="",BE$15="",BE$16="",BE$18="",BE$19="",BE$20="",BE$21=""),"",SUM($AH18:BE18))</f>
        <v>24.84</v>
      </c>
      <c r="BF71" s="114">
        <f>IF(OR(BF$13="",BF$17="",BF$14="",BF$15="",BF$16="",BF$18="",BF$19="",BF$20="",BF$21=""),"",SUM($AH18:BF18))</f>
        <v>24.84</v>
      </c>
      <c r="BG71" s="114">
        <f>IF(OR(BG$13="",BG$17="",BG$14="",BG$15="",BG$16="",BG$18="",BG$19="",BG$20="",BG$21=""),"",SUM($AH18:BG18))</f>
        <v>24.84</v>
      </c>
      <c r="BH71" s="114">
        <f>IF(OR(BH$13="",BH$17="",BH$14="",BH$15="",BH$16="",BH$18="",BH$19="",BH$20="",BH$21=""),"",SUM($AH18:BH18))</f>
        <v>24.84</v>
      </c>
      <c r="BI71" s="114">
        <f>IF(OR(BI$13="",BI$17="",BI$14="",BI$15="",BI$16="",BI$18="",BI$19="",BI$20="",BI$21=""),"",SUM($AH18:BI18))</f>
        <v>30.009999999999998</v>
      </c>
      <c r="BJ71" s="114">
        <f>IF(OR(BJ$13="",BJ$17="",BJ$14="",BJ$15="",BJ$16="",BJ$18="",BJ$19="",BJ$20="",BJ$21=""),"",SUM($BJ18:BJ18))</f>
        <v>9.58</v>
      </c>
      <c r="BK71" s="114">
        <f>IF(OR(BK$13="",BK$17="",BK$14="",BK$15="",BK$16="",BK$18="",BK$19="",BK$20="",BK$21=""),"",SUM($BJ18:BK18))</f>
        <v>17.25</v>
      </c>
      <c r="BL71" s="114">
        <f>IF(OR(BL$13="",BL$17="",BL$14="",BL$15="",BL$16="",BL$18="",BL$19="",BL$20="",BL$21=""),"",SUM($BJ18:BL18))</f>
        <v>31.62</v>
      </c>
      <c r="BM71" s="114">
        <f>IF(OR(BM$13="",BM$17="",BM$14="",BM$15="",BM$16="",BM$18="",BM$19="",BM$20="",BM$21=""),"",SUM($BJ18:BM18))</f>
        <v>39.370000000000005</v>
      </c>
      <c r="BN71" s="114">
        <f>IF(OR(BN$13="",BN$17="",BN$14="",BN$15="",BN$16="",BN$18="",BN$19="",BN$20="",BN$21=""),"",SUM($BJ18:BN18))</f>
        <v>46.690000000000005</v>
      </c>
      <c r="BO71" s="114">
        <f>IF(OR(BO$13="",BO$17="",BO$14="",BO$15="",BO$16="",BO$18="",BO$19="",BO$20="",BO$21=""),"",SUM($BJ18:BO18))</f>
        <v>76.740000000000009</v>
      </c>
      <c r="BP71" s="114">
        <f>IF(OR(BP$13="",BP$17="",BP$14="",BP$15="",BP$16="",BP$18="",BP$19="",BP$20="",BP$21=""),"",SUM($BJ18:BP18))</f>
        <v>76.740000000000009</v>
      </c>
      <c r="BQ71" s="114">
        <f>IF(OR(BQ$13="",BQ$17="",BQ$14="",BQ$15="",BQ$16="",BQ$18="",BQ$19="",BQ$20="",BQ$21=""),"",SUM($BJ18:BQ18))</f>
        <v>77.610000000000014</v>
      </c>
      <c r="BR71" s="114">
        <f>IF(OR(BR$13="",BR$17="",BR$14="",BR$15="",BR$16="",BR$18="",BR$19="",BR$20="",BR$21=""),"",SUM($BJ18:BR18))</f>
        <v>81.090000000000018</v>
      </c>
      <c r="BS71" s="114">
        <f>IF(OR(BS$13="",BS$17="",BS$14="",BS$15="",BS$16="",BS$18="",BS$19="",BS$20="",BS$21=""),"",SUM($BJ18:BS18))</f>
        <v>86.320000000000022</v>
      </c>
      <c r="BT71" s="114">
        <f>IF(OR(BT$13="",BT$17="",BT$14="",BT$15="",BT$16="",BT$18="",BT$19="",BT$20="",BT$21=""),"",SUM($BJ18:BT18))</f>
        <v>86.320000000000022</v>
      </c>
      <c r="BU71" s="114">
        <f>IF(OR(BU$13="",BU$17="",BU$14="",BU$15="",BU$16="",BU$18="",BU$19="",BU$20="",BU$21=""),"",SUM($BJ18:BU18))</f>
        <v>86.320000000000022</v>
      </c>
      <c r="BV71" s="114">
        <f>IF(OR(BV$13="",BV$17="",BV$14="",BV$15="",BV$16="",BV$18="",BV$19="",BV$20="",BV$21=""),"",SUM($BJ18:BV18))</f>
        <v>86.320000000000022</v>
      </c>
      <c r="BW71" s="114">
        <f>IF(OR(BW$13="",BW$17="",BW$14="",BW$15="",BW$16="",BW$18="",BW$19="",BW$20="",BW$21=""),"",SUM($BJ18:BW18))</f>
        <v>86.320000000000022</v>
      </c>
      <c r="BX71" s="114">
        <f>IF(OR(BX$13="",BX$17="",BX$14="",BX$15="",BX$16="",BX$18="",BX$19="",BX$20="",BX$21=""),"",SUM($BJ18:BX18))</f>
        <v>111.17000000000002</v>
      </c>
      <c r="BY71" s="114">
        <f>IF(OR(BY$13="",BY$17="",BY$14="",BY$15="",BY$16="",BY$18="",BY$19="",BY$20="",BY$21=""),"",SUM($BJ18:BY18))</f>
        <v>127.34000000000002</v>
      </c>
      <c r="BZ71" s="114">
        <f>IF(OR(BZ$13="",BZ$17="",BZ$14="",BZ$15="",BZ$16="",BZ$18="",BZ$19="",BZ$20="",BZ$21=""),"",SUM($BJ18:BZ18))</f>
        <v>127.34000000000002</v>
      </c>
      <c r="CA71" s="114">
        <f>IF(OR(CA$13="",CA$17="",CA$14="",CA$15="",CA$16="",CA$18="",CA$19="",CA$20="",CA$21=""),"",SUM($BJ18:CA18))</f>
        <v>127.34000000000002</v>
      </c>
      <c r="CB71" s="114">
        <f>IF(OR(CB$13="",CB$17="",CB$14="",CB$15="",CB$16="",CB$18="",CB$19="",CB$20="",CB$21=""),"",SUM($BJ18:CB18))</f>
        <v>128.53000000000003</v>
      </c>
      <c r="CC71" s="114">
        <f>IF(OR(CC$13="",CC$17="",CC$14="",CC$15="",CC$16="",CC$18="",CC$19="",CC$20="",CC$21=""),"",SUM($BJ18:CC18))</f>
        <v>132.23000000000002</v>
      </c>
      <c r="CD71" s="114">
        <f>IF(OR(CD$13="",CD$17="",CD$14="",CD$15="",CD$16="",CD$18="",CD$19="",CD$20="",CD$21=""),"",SUM($BJ18:CD18))</f>
        <v>132.23000000000002</v>
      </c>
      <c r="CE71" s="114">
        <f>IF(OR(CE$13="",CE$17="",CE$14="",CE$15="",CE$16="",CE$18="",CE$19="",CE$20="",CE$21=""),"",SUM($BJ18:CE18))</f>
        <v>132.23000000000002</v>
      </c>
      <c r="CF71" s="114">
        <f>IF(OR(CF$13="",CF$17="",CF$14="",CF$15="",CF$16="",CF$18="",CF$19="",CF$20="",CF$21=""),"",SUM($BJ18:CF18))</f>
        <v>132.23000000000002</v>
      </c>
      <c r="CG71" s="114">
        <f>IF(OR(CG$13="",CG$17="",CG$14="",CG$15="",CG$16="",CG$18="",CG$19="",CG$20="",CG$21=""),"",SUM($BJ18:CG18))</f>
        <v>132.23000000000002</v>
      </c>
      <c r="CH71" s="114">
        <f>IF(OR(CH$13="",CH$17="",CH$14="",CH$15="",CH$16="",CH$18="",CH$19="",CH$20="",CH$21=""),"",SUM($BJ18:CH18))</f>
        <v>134.95000000000002</v>
      </c>
      <c r="CI71" s="114">
        <f>IF(OR(CI$13="",CI$17="",CI$14="",CI$15="",CI$16="",CI$18="",CI$19="",CI$20="",CI$21=""),"",SUM($BJ18:CI18))</f>
        <v>147.00000000000003</v>
      </c>
      <c r="CJ71" s="114">
        <f>IF(OR(CJ$13="",CJ$17="",CJ$14="",CJ$15="",CJ$16="",CJ$18="",CJ$19="",CJ$20="",CJ$21=""),"",SUM($BJ18:CJ18))</f>
        <v>147.00000000000003</v>
      </c>
      <c r="CK71" s="114">
        <f>IF(OR(CK$13="",CK$17="",CK$14="",CK$15="",CK$16="",CK$18="",CK$19="",CK$20="",CK$21=""),"",SUM($BJ18:CK18))</f>
        <v>147.00000000000003</v>
      </c>
      <c r="CL71" s="114">
        <f>IF(OR(CL$13="",CL$17="",CL$14="",CL$15="",CL$16="",CL$18="",CL$19="",CL$20="",CL$21=""),"",SUM($BJ18:CL18))</f>
        <v>148.44000000000003</v>
      </c>
      <c r="CM71" s="114">
        <f>IF(OR(CM$13="",CM$17="",CM$14="",CM$15="",CM$16="",CM$18="",CM$19="",CM$20="",CM$21=""),"",SUM($BJ18:CM18))</f>
        <v>148.44000000000003</v>
      </c>
      <c r="CN71" s="114">
        <f>IF(OR(CN$13="",CN$17="",CN$14="",CN$15="",CN$16="",CN$18="",CN$19="",CN$20="",CN$21=""),"",SUM($BJ18:CN18))</f>
        <v>148.44000000000003</v>
      </c>
      <c r="CO71" s="114">
        <f>IF(OR(CO$13="",CO$17="",CO$14="",CO$15="",CO$16="",CO$18="",CO$19="",CO$20="",CO$21=""),"",SUM($CO18:CO18))</f>
        <v>0</v>
      </c>
      <c r="CP71" s="114">
        <f>IF(OR(CP$13="",CP$17="",CP$14="",CP$15="",CP$16="",CP$18="",CP$19="",CP$20="",CP$21=""),"",SUM($CO18:CP18))</f>
        <v>0</v>
      </c>
      <c r="CQ71" s="114">
        <f>IF(OR(CQ$13="",CQ$17="",CQ$14="",CQ$15="",CQ$16="",CQ$18="",CQ$19="",CQ$20="",CQ$21=""),"",SUM($CO18:CQ18))</f>
        <v>1.77</v>
      </c>
      <c r="CR71" s="114">
        <f>IF(OR(CR$13="",CR$17="",CR$14="",CR$15="",CR$16="",CR$18="",CR$19="",CR$20="",CR$21=""),"",SUM($CO18:CR18))</f>
        <v>1.77</v>
      </c>
      <c r="CS71" s="114">
        <f>IF(OR(CS$13="",CS$17="",CS$14="",CS$15="",CS$16="",CS$18="",CS$19="",CS$20="",CS$21=""),"",SUM($CO18:CS18))</f>
        <v>2.99</v>
      </c>
      <c r="CT71" s="114">
        <f>IF(OR(CT$13="",CT$17="",CT$14="",CT$15="",CT$16="",CT$18="",CT$19="",CT$20="",CT$21=""),"",SUM($CO18:CT18))</f>
        <v>2.99</v>
      </c>
      <c r="CU71" s="114">
        <f>IF(OR(CU$13="",CU$17="",CU$14="",CU$15="",CU$16="",CU$18="",CU$19="",CU$20="",CU$21=""),"",SUM($CO18:CU18))</f>
        <v>2.99</v>
      </c>
      <c r="CV71" s="114">
        <f>IF(OR(CV$13="",CV$17="",CV$14="",CV$15="",CV$16="",CV$18="",CV$19="",CV$20="",CV$21=""),"",SUM($CO18:CV18))</f>
        <v>2.99</v>
      </c>
      <c r="CW71" s="114">
        <f>IF(OR(CW$13="",CW$17="",CW$14="",CW$15="",CW$16="",CW$18="",CW$19="",CW$20="",CW$21=""),"",SUM($CO18:CW18))</f>
        <v>2.99</v>
      </c>
      <c r="CX71" s="114">
        <f>IF(OR(CX$13="",CX$17="",CX$14="",CX$15="",CX$16="",CX$18="",CX$19="",CX$20="",CX$21=""),"",SUM($CO18:CX18))</f>
        <v>39.57</v>
      </c>
      <c r="CY71" s="114">
        <f>IF(OR(CY$13="",CY$17="",CY$14="",CY$15="",CY$16="",CY$18="",CY$19="",CY$20="",CY$21=""),"",SUM($CO18:CY18))</f>
        <v>39.57</v>
      </c>
      <c r="CZ71" s="114">
        <f>IF(OR(CZ$13="",CZ$17="",CZ$14="",CZ$15="",CZ$16="",CZ$18="",CZ$19="",CZ$20="",CZ$21=""),"",SUM($CO18:CZ18))</f>
        <v>41.07</v>
      </c>
      <c r="DA71" s="114">
        <f>IF(OR(DA$13="",DA$17="",DA$14="",DA$15="",DA$16="",DA$18="",DA$19="",DA$20="",DA$21=""),"",SUM($CO18:DA18))</f>
        <v>41.07</v>
      </c>
      <c r="DB71" s="114">
        <f>IF(OR(DB$13="",DB$17="",DB$14="",DB$15="",DB$16="",DB$18="",DB$19="",DB$20="",DB$21=""),"",SUM($CO18:DB18))</f>
        <v>50.82</v>
      </c>
      <c r="DC71" s="114">
        <f>IF(OR(DC$13="",DC$17="",DC$14="",DC$15="",DC$16="",DC$18="",DC$19="",DC$20="",DC$21=""),"",SUM($CO18:DC18))</f>
        <v>52.52</v>
      </c>
      <c r="DD71" s="114">
        <f>IF(OR(DD$13="",DD$17="",DD$14="",DD$15="",DD$16="",DD$18="",DD$19="",DD$20="",DD$21=""),"",SUM($CO18:DD18))</f>
        <v>52.52</v>
      </c>
      <c r="DE71" s="114">
        <f>IF(OR(DE$13="",DE$17="",DE$14="",DE$15="",DE$16="",DE$18="",DE$19="",DE$20="",DE$21=""),"",SUM($CO18:DE18))</f>
        <v>52.52</v>
      </c>
      <c r="DF71" s="114">
        <f>IF(OR(DF$13="",DF$17="",DF$14="",DF$15="",DF$16="",DF$18="",DF$19="",DF$20="",DF$21=""),"",SUM($CO18:DF18))</f>
        <v>54.09</v>
      </c>
      <c r="DG71" s="114">
        <f>IF(OR(DG$13="",DG$17="",DG$14="",DG$15="",DG$16="",DG$18="",DG$19="",DG$20="",DG$21=""),"",SUM($CO18:DG18))</f>
        <v>54.09</v>
      </c>
      <c r="DH71" s="114">
        <f>IF(OR(DH$13="",DH$17="",DH$14="",DH$15="",DH$16="",DH$18="",DH$19="",DH$20="",DH$21=""),"",SUM($CO18:DH18))</f>
        <v>54.09</v>
      </c>
      <c r="DI71" s="114">
        <f>IF(OR(DI$13="",DI$17="",DI$14="",DI$15="",DI$16="",DI$18="",DI$19="",DI$20="",DI$21=""),"",SUM($CO18:DI18))</f>
        <v>54.09</v>
      </c>
      <c r="DJ71" s="114">
        <f>IF(OR(DJ$13="",DJ$17="",DJ$14="",DJ$15="",DJ$16="",DJ$18="",DJ$19="",DJ$20="",DJ$21=""),"",SUM($CO18:DJ18))</f>
        <v>54.09</v>
      </c>
      <c r="DK71" s="114">
        <f>IF(OR(DK$13="",DK$17="",DK$14="",DK$15="",DK$16="",DK$18="",DK$19="",DK$20="",DK$21=""),"",SUM($CO18:DK18))</f>
        <v>54.09</v>
      </c>
      <c r="DL71" s="114">
        <f>IF(OR(DL$13="",DL$17="",DL$14="",DL$15="",DL$16="",DL$18="",DL$19="",DL$20="",DL$21=""),"",SUM($CO18:DL18))</f>
        <v>54.09</v>
      </c>
      <c r="DM71" s="114">
        <f>IF(OR(DM$13="",DM$17="",DM$14="",DM$15="",DM$16="",DM$18="",DM$19="",DM$20="",DM$21=""),"",SUM($CO18:DM18))</f>
        <v>54.09</v>
      </c>
      <c r="DN71" s="114">
        <f>IF(OR(DN$13="",DN$17="",DN$14="",DN$15="",DN$16="",DN$18="",DN$19="",DN$20="",DN$21=""),"",SUM($CO18:DN18))</f>
        <v>54.09</v>
      </c>
      <c r="DO71" s="114">
        <f>IF(OR(DO$13="",DO$17="",DO$14="",DO$15="",DO$16="",DO$18="",DO$19="",DO$20="",DO$21=""),"",SUM($CO18:DO18))</f>
        <v>54.09</v>
      </c>
      <c r="DP71" s="114">
        <f>IF(OR(DP$13="",DP$17="",DP$14="",DP$15="",DP$16="",DP$18="",DP$19="",DP$20="",DP$21=""),"",SUM($CO18:DP18))</f>
        <v>55.120000000000005</v>
      </c>
      <c r="DQ71" s="114">
        <f>IF(OR(DQ$13="",DQ$17="",DQ$14="",DQ$15="",DQ$16="",DQ$18="",DQ$19="",DQ$20="",DQ$21=""),"",SUM($CO18:DQ18))</f>
        <v>56.24</v>
      </c>
      <c r="DR71" s="114">
        <f>IF(OR(DR$13="",DR$17="",DR$14="",DR$15="",DR$16="",DR$18="",DR$19="",DR$20="",DR$21=""),"",SUM($CO18:DR18))</f>
        <v>56.24</v>
      </c>
      <c r="DS71" s="114">
        <f>IF(OR(DS$13="",DS$17="",DS$14="",DS$15="",DS$16="",DS$18="",DS$19="",DS$20="",DS$21=""),"",SUM($DS18:DS18))</f>
        <v>0.95</v>
      </c>
      <c r="DT71" s="114">
        <f>IF(OR(DT$13="",DT$17="",DT$14="",DT$15="",DT$16="",DT$18="",DT$19="",DT$20="",DT$21=""),"",SUM($DS18:DT18))</f>
        <v>8.6999999999999993</v>
      </c>
      <c r="DU71" s="114">
        <f>IF(OR(DU$13="",DU$17="",DU$14="",DU$15="",DU$16="",DU$18="",DU$19="",DU$20="",DU$21=""),"",SUM($DS18:DU18))</f>
        <v>8.6999999999999993</v>
      </c>
      <c r="DV71" s="114">
        <f>IF(OR(DV$13="",DV$17="",DV$14="",DV$15="",DV$16="",DV$18="",DV$19="",DV$20="",DV$21=""),"",SUM($DS18:DV18))</f>
        <v>8.6999999999999993</v>
      </c>
      <c r="DW71" s="114">
        <f>IF(OR(DW$13="",DW$17="",DW$14="",DW$15="",DW$16="",DW$18="",DW$19="",DW$20="",DW$21=""),"",SUM($DS18:DW18))</f>
        <v>8.6999999999999993</v>
      </c>
      <c r="DX71" s="114">
        <f>IF(OR(DX$13="",DX$17="",DX$14="",DX$15="",DX$16="",DX$18="",DX$19="",DX$20="",DX$21=""),"",SUM($DS18:DX18))</f>
        <v>8.6999999999999993</v>
      </c>
      <c r="DY71" s="114">
        <f>IF(OR(DY$13="",DY$17="",DY$14="",DY$15="",DY$16="",DY$18="",DY$19="",DY$20="",DY$21=""),"",SUM($DS18:DY18))</f>
        <v>8.6999999999999993</v>
      </c>
      <c r="DZ71" s="114">
        <f>IF(OR(DZ$13="",DZ$17="",DZ$14="",DZ$15="",DZ$16="",DZ$18="",DZ$19="",DZ$20="",DZ$21=""),"",SUM($DS18:DZ18))</f>
        <v>8.6999999999999993</v>
      </c>
      <c r="EA71" s="114">
        <f>IF(OR(EA$13="",EA$17="",EA$14="",EA$15="",EA$16="",EA$18="",EA$19="",EA$20="",EA$21=""),"",SUM($DS18:EA18))</f>
        <v>8.6999999999999993</v>
      </c>
      <c r="EB71" s="114">
        <f>IF(OR(EB$13="",EB$17="",EB$14="",EB$15="",EB$16="",EB$18="",EB$19="",EB$20="",EB$21=""),"",SUM($DS18:EB18))</f>
        <v>11</v>
      </c>
      <c r="EC71" s="114">
        <f>IF(OR(EC$13="",EC$17="",EC$14="",EC$15="",EC$16="",EC$18="",EC$19="",EC$20="",EC$21=""),"",SUM($DS18:EC18))</f>
        <v>11</v>
      </c>
      <c r="ED71" s="114">
        <f>IF(OR(ED$13="",ED$17="",ED$14="",ED$15="",ED$16="",ED$18="",ED$19="",ED$20="",ED$21=""),"",SUM($DS18:ED18))</f>
        <v>11</v>
      </c>
      <c r="EE71" s="114">
        <f>IF(OR(EE$13="",EE$17="",EE$14="",EE$15="",EE$16="",EE$18="",EE$19="",EE$20="",EE$21=""),"",SUM($DS18:EE18))</f>
        <v>23.3</v>
      </c>
      <c r="EF71" s="114">
        <f>IF(OR(EF$13="",EF$17="",EF$14="",EF$15="",EF$16="",EF$18="",EF$19="",EF$20="",EF$21=""),"",SUM($DS18:EF18))</f>
        <v>23.3</v>
      </c>
      <c r="EG71" s="114">
        <f>IF(OR(EG$13="",EG$17="",EG$14="",EG$15="",EG$16="",EG$18="",EG$19="",EG$20="",EG$21=""),"",SUM($DS18:EG18))</f>
        <v>36.1</v>
      </c>
      <c r="EH71" s="114">
        <f>IF(OR(EH$13="",EH$17="",EH$14="",EH$15="",EH$16="",EH$18="",EH$19="",EH$20="",EH$21=""),"",SUM($DS18:EH18))</f>
        <v>36.1</v>
      </c>
      <c r="EI71" s="114">
        <f>IF(OR(EI$13="",EI$17="",EI$14="",EI$15="",EI$16="",EI$18="",EI$19="",EI$20="",EI$21=""),"",SUM($DS18:EI18))</f>
        <v>36.1</v>
      </c>
      <c r="EJ71" s="114">
        <f>IF(OR(EJ$13="",EJ$17="",EJ$14="",EJ$15="",EJ$16="",EJ$18="",EJ$19="",EJ$20="",EJ$21=""),"",SUM($DS18:EJ18))</f>
        <v>36.1</v>
      </c>
      <c r="EK71" s="114">
        <f>IF(OR(EK$13="",EK$17="",EK$14="",EK$15="",EK$16="",EK$18="",EK$19="",EK$20="",EK$21=""),"",SUM($DS18:EK18))</f>
        <v>36.1</v>
      </c>
      <c r="EL71" s="114">
        <f>IF(OR(EL$13="",EL$17="",EL$14="",EL$15="",EL$16="",EL$18="",EL$19="",EL$20="",EL$21=""),"",SUM($DS18:EL18))</f>
        <v>36.1</v>
      </c>
      <c r="EM71" s="114">
        <f>IF(OR(EM$13="",EM$17="",EM$14="",EM$15="",EM$16="",EM$18="",EM$19="",EM$20="",EM$21=""),"",SUM($DS18:EM18))</f>
        <v>39.03</v>
      </c>
      <c r="EN71" s="114">
        <f>IF(OR(EN$13="",EN$17="",EN$14="",EN$15="",EN$16="",EN$18="",EN$19="",EN$20="",EN$21=""),"",SUM($DS18:EN18))</f>
        <v>39.03</v>
      </c>
      <c r="EO71" s="114">
        <f>IF(OR(EO$13="",EO$17="",EO$14="",EO$15="",EO$16="",EO$18="",EO$19="",EO$20="",EO$21=""),"",SUM($DS18:EO18))</f>
        <v>39.03</v>
      </c>
      <c r="EP71" s="114">
        <f>IF(OR(EP$13="",EP$17="",EP$14="",EP$15="",EP$16="",EP$18="",EP$19="",EP$20="",EP$21=""),"",SUM($DS18:EP18))</f>
        <v>46.06</v>
      </c>
      <c r="EQ71" s="114">
        <f>IF(OR(EQ$13="",EQ$17="",EQ$14="",EQ$15="",EQ$16="",EQ$18="",EQ$19="",EQ$20="",EQ$21=""),"",SUM($DS18:EQ18))</f>
        <v>46.06</v>
      </c>
      <c r="ER71" s="114">
        <f>IF(OR(ER$13="",ER$17="",ER$14="",ER$15="",ER$16="",ER$18="",ER$19="",ER$20="",ER$21=""),"",SUM($DS18:ER18))</f>
        <v>46.06</v>
      </c>
      <c r="ES71" s="114">
        <f>IF(OR(ES$13="",ES$17="",ES$14="",ES$15="",ES$16="",ES$18="",ES$19="",ES$20="",ES$21=""),"",SUM($DS18:ES18))</f>
        <v>46.06</v>
      </c>
      <c r="ET71" s="114">
        <f>IF(OR(ET$13="",ET$17="",ET$14="",ET$15="",ET$16="",ET$18="",ET$19="",ET$20="",ET$21=""),"",SUM($DS18:ET18))</f>
        <v>46.06</v>
      </c>
      <c r="EU71" s="114">
        <f>IF(OR(EU$13="",EU$17="",EU$14="",EU$15="",EU$16="",EU$18="",EU$19="",EU$20="",EU$21=""),"",SUM($DS18:EU18))</f>
        <v>46.06</v>
      </c>
      <c r="EV71" s="114">
        <f>IF(OR(EV$13="",EV$17="",EV$14="",EV$15="",EV$16="",EV$18="",EV$19="",EV$20="",EV$21=""),"",SUM($DS18:EV18))</f>
        <v>46.06</v>
      </c>
      <c r="EW71" s="114">
        <f>IF(OR(EW$13="",EW$17="",EW$14="",EW$15="",EW$16="",EW$18="",EW$19="",EW$20="",EW$21=""),"",SUM($DS18:EW18))</f>
        <v>46.06</v>
      </c>
      <c r="EX71" s="114">
        <f>IF(OR(EX$13="",EX$17="",EX$14="",EX$15="",EX$16="",EX$18="",EX$19="",EX$20="",EX$21=""),"",SUM($EX18:EX18))</f>
        <v>0</v>
      </c>
      <c r="EY71" s="114">
        <f>IF(OR(EY$13="",EY$17="",EY$14="",EY$15="",EY$16="",EY$18="",EY$19="",EY$20="",EY$21=""),"",SUM($EX18:EY18))</f>
        <v>0</v>
      </c>
      <c r="EZ71" s="114">
        <f>IF(OR(EZ$13="",EZ$17="",EZ$14="",EZ$15="",EZ$16="",EZ$18="",EZ$19="",EZ$20="",EZ$21=""),"",SUM($EX18:EZ18))</f>
        <v>0</v>
      </c>
      <c r="FA71" s="114">
        <f>IF(OR(FA$13="",FA$17="",FA$14="",FA$15="",FA$16="",FA$18="",FA$19="",FA$20="",FA$21=""),"",SUM($EX18:FA18))</f>
        <v>0</v>
      </c>
      <c r="FB71" s="114">
        <f>IF(OR(FB$13="",FB$17="",FB$14="",FB$15="",FB$16="",FB$18="",FB$19="",FB$20="",FB$21=""),"",SUM($EX18:FB18))</f>
        <v>0</v>
      </c>
      <c r="FC71" s="114">
        <f>IF(OR(FC$13="",FC$17="",FC$14="",FC$15="",FC$16="",FC$18="",FC$19="",FC$20="",FC$21=""),"",SUM($EX18:FC18))</f>
        <v>0</v>
      </c>
      <c r="FD71" s="114">
        <f>IF(OR(FD$13="",FD$17="",FD$14="",FD$15="",FD$16="",FD$18="",FD$19="",FD$20="",FD$21=""),"",SUM($EX18:FD18))</f>
        <v>4.12</v>
      </c>
      <c r="FE71" s="114">
        <f>IF(OR(FE$13="",FE$17="",FE$14="",FE$15="",FE$16="",FE$18="",FE$19="",FE$20="",FE$21=""),"",SUM($EX18:FE18))</f>
        <v>4.12</v>
      </c>
      <c r="FF71" s="114">
        <f>IF(OR(FF$13="",FF$17="",FF$14="",FF$15="",FF$16="",FF$18="",FF$19="",FF$20="",FF$21=""),"",SUM($EX18:FF18))</f>
        <v>4.62</v>
      </c>
      <c r="FG71" s="114">
        <f>IF(OR(FG$13="",FG$17="",FG$14="",FG$15="",FG$16="",FG$18="",FG$19="",FG$20="",FG$21=""),"",SUM($EX18:FG18))</f>
        <v>4.62</v>
      </c>
      <c r="FH71" s="114">
        <f>IF(OR(FH$13="",FH$17="",FH$14="",FH$15="",FH$16="",FH$18="",FH$19="",FH$20="",FH$21=""),"",SUM($EX18:FH18))</f>
        <v>4.62</v>
      </c>
      <c r="FI71" s="114">
        <f>IF(OR(FI$13="",FI$17="",FI$14="",FI$15="",FI$16="",FI$18="",FI$19="",FI$20="",FI$21=""),"",SUM($EX18:FI18))</f>
        <v>4.62</v>
      </c>
      <c r="FJ71" s="114">
        <f>IF(OR(FJ$13="",FJ$17="",FJ$14="",FJ$15="",FJ$16="",FJ$18="",FJ$19="",FJ$20="",FJ$21=""),"",SUM($EX18:FJ18))</f>
        <v>4.62</v>
      </c>
      <c r="FK71" s="114">
        <f>IF(OR(FK$13="",FK$17="",FK$14="",FK$15="",FK$16="",FK$18="",FK$19="",FK$20="",FK$21=""),"",SUM($EX18:FK18))</f>
        <v>4.62</v>
      </c>
      <c r="FL71" s="114">
        <f>IF(OR(FL$13="",FL$17="",FL$14="",FL$15="",FL$16="",FL$18="",FL$19="",FL$20="",FL$21=""),"",SUM($EX18:FL18))</f>
        <v>9.1900000000000013</v>
      </c>
      <c r="FM71" s="114">
        <f>IF(OR(FM$13="",FM$17="",FM$14="",FM$15="",FM$16="",FM$18="",FM$19="",FM$20="",FM$21=""),"",SUM($EX18:FM18))</f>
        <v>9.1900000000000013</v>
      </c>
      <c r="FN71" s="114">
        <f>IF(OR(FN$13="",FN$17="",FN$14="",FN$15="",FN$16="",FN$18="",FN$19="",FN$20="",FN$21=""),"",SUM($EX18:FN18))</f>
        <v>9.1900000000000013</v>
      </c>
      <c r="FO71" s="114">
        <f>IF(OR(FO$13="",FO$17="",FO$14="",FO$15="",FO$16="",FO$18="",FO$19="",FO$20="",FO$21=""),"",SUM($EX18:FO18))</f>
        <v>10.740000000000002</v>
      </c>
      <c r="FP71" s="114">
        <f>IF(OR(FP$13="",FP$17="",FP$14="",FP$15="",FP$16="",FP$18="",FP$19="",FP$20="",FP$21=""),"",SUM($EX18:FP18))</f>
        <v>10.740000000000002</v>
      </c>
      <c r="FQ71" s="114">
        <f>IF(OR(FQ$13="",FQ$17="",FQ$14="",FQ$15="",FQ$16="",FQ$18="",FQ$19="",FQ$20="",FQ$21=""),"",SUM($EX18:FQ18))</f>
        <v>10.760000000000002</v>
      </c>
      <c r="FR71" s="114">
        <f>IF(OR(FR$13="",FR$17="",FR$14="",FR$15="",FR$16="",FR$18="",FR$19="",FR$20="",FR$21=""),"",SUM($EX18:FR18))</f>
        <v>10.760000000000002</v>
      </c>
      <c r="FS71" s="114">
        <f>IF(OR(FS$13="",FS$17="",FS$14="",FS$15="",FS$16="",FS$18="",FS$19="",FS$20="",FS$21=""),"",SUM($EX18:FS18))</f>
        <v>10.760000000000002</v>
      </c>
      <c r="FT71" s="114">
        <f>IF(OR(FT$13="",FT$17="",FT$14="",FT$15="",FT$16="",FT$18="",FT$19="",FT$20="",FT$21=""),"",SUM($EX18:FT18))</f>
        <v>33.960000000000008</v>
      </c>
      <c r="FU71" s="114">
        <f>IF(OR(FU$13="",FU$17="",FU$14="",FU$15="",FU$16="",FU$18="",FU$19="",FU$20="",FU$21=""),"",SUM($EX18:FU18))</f>
        <v>33.960000000000008</v>
      </c>
      <c r="FV71" s="114">
        <f>IF(OR(FV$13="",FV$17="",FV$14="",FV$15="",FV$16="",FV$18="",FV$19="",FV$20="",FV$21=""),"",SUM($EX18:FV18))</f>
        <v>33.960000000000008</v>
      </c>
      <c r="FW71" s="114">
        <f>IF(OR(FW$13="",FW$17="",FW$14="",FW$15="",FW$16="",FW$18="",FW$19="",FW$20="",FW$21=""),"",SUM($EX18:FW18))</f>
        <v>33.960000000000008</v>
      </c>
      <c r="FX71" s="114">
        <f>IF(OR(FX$13="",FX$17="",FX$14="",FX$15="",FX$16="",FX$18="",FX$19="",FX$20="",FX$21=""),"",SUM($EX18:FX18))</f>
        <v>36.870000000000005</v>
      </c>
      <c r="FY71" s="114">
        <f>IF(OR(FY$13="",FY$17="",FY$14="",FY$15="",FY$16="",FY$18="",FY$19="",FY$20="",FY$21=""),"",SUM($EX18:FY18))</f>
        <v>36.870000000000005</v>
      </c>
      <c r="FZ71" s="114">
        <f>IF(OR(FZ$13="",FZ$17="",FZ$14="",FZ$15="",FZ$16="",FZ$18="",FZ$19="",FZ$20="",FZ$21=""),"",SUM($EX18:FZ18))</f>
        <v>36.870000000000005</v>
      </c>
      <c r="GA71" s="114">
        <f>IF(OR(GA$13="",GA$17="",GA$14="",GA$15="",GA$16="",GA$18="",GA$19="",GA$20="",GA$21=""),"",SUM($EX18:GA18))</f>
        <v>36.870000000000005</v>
      </c>
      <c r="GB71" s="114">
        <f>IF(OR(GB$13="",GB$17="",GB$14="",GB$15="",GB$16="",GB$18="",GB$19="",GB$20="",GB$21=""),"",SUM($GB18:GB18))</f>
        <v>4.0299999999999994</v>
      </c>
      <c r="GC71" s="114">
        <f>IF(OR(GC$13="",GC$17="",GC$14="",GC$15="",GC$16="",GC$18="",GC$19="",GC$20="",GC$21=""),"",SUM($GB18:GC18))</f>
        <v>4.0299999999999994</v>
      </c>
      <c r="GD71" s="114">
        <f>IF(OR(GD$13="",GD$17="",GD$14="",GD$15="",GD$16="",GD$18="",GD$19="",GD$20="",GD$21=""),"",SUM($GB18:GD18))</f>
        <v>4.0299999999999994</v>
      </c>
      <c r="GE71" s="114">
        <f>IF(OR(GE$13="",GE$17="",GE$14="",GE$15="",GE$16="",GE$18="",GE$19="",GE$20="",GE$21=""),"",SUM($GB18:GE18))</f>
        <v>4.0299999999999994</v>
      </c>
      <c r="GF71" s="114">
        <f>IF(OR(GF$13="",GF$17="",GF$14="",GF$15="",GF$16="",GF$18="",GF$19="",GF$20="",GF$21=""),"",SUM($GB18:GF18))</f>
        <v>16.059999999999999</v>
      </c>
      <c r="GG71" s="114">
        <f>IF(OR(GG$13="",GG$17="",GG$14="",GG$15="",GG$16="",GG$18="",GG$19="",GG$20="",GG$21=""),"",SUM($GB18:GG18))</f>
        <v>17.72</v>
      </c>
      <c r="GH71" s="114">
        <f>IF(OR(GH$13="",GH$17="",GH$14="",GH$15="",GH$16="",GH$18="",GH$19="",GH$20="",GH$21=""),"",SUM($GB18:GH18))</f>
        <v>17.72</v>
      </c>
      <c r="GI71" s="114">
        <f>IF(OR(GI$13="",GI$17="",GI$14="",GI$15="",GI$16="",GI$18="",GI$19="",GI$20="",GI$21=""),"",SUM($GB18:GI18))</f>
        <v>17.72</v>
      </c>
      <c r="GJ71" s="114">
        <f>IF(OR(GJ$13="",GJ$17="",GJ$14="",GJ$15="",GJ$16="",GJ$18="",GJ$19="",GJ$20="",GJ$21=""),"",SUM($GB18:GJ18))</f>
        <v>22.099999999999998</v>
      </c>
      <c r="GK71" s="114">
        <f>IF(OR(GK$13="",GK$17="",GK$14="",GK$15="",GK$16="",GK$18="",GK$19="",GK$20="",GK$21=""),"",SUM($GB18:GK18))</f>
        <v>22.099999999999998</v>
      </c>
      <c r="GL71" s="114">
        <f>IF(OR(GL$13="",GL$17="",GL$14="",GL$15="",GL$16="",GL$18="",GL$19="",GL$20="",GL$21=""),"",SUM($GB18:GL18))</f>
        <v>22.099999999999998</v>
      </c>
      <c r="GM71" s="114">
        <f>IF(OR(GM$13="",GM$17="",GM$14="",GM$15="",GM$16="",GM$18="",GM$19="",GM$20="",GM$21=""),"",SUM($GB18:GM18))</f>
        <v>22.099999999999998</v>
      </c>
      <c r="GN71" s="114">
        <f>IF(OR(GN$13="",GN$17="",GN$14="",GN$15="",GN$16="",GN$18="",GN$19="",GN$20="",GN$21=""),"",SUM($GB18:GN18))</f>
        <v>22.099999999999998</v>
      </c>
      <c r="GO71" s="114">
        <f>IF(OR(GO$13="",GO$17="",GO$14="",GO$15="",GO$16="",GO$18="",GO$19="",GO$20="",GO$21=""),"",SUM($GB18:GO18))</f>
        <v>22.099999999999998</v>
      </c>
      <c r="GP71" s="114">
        <f>IF(OR(GP$13="",GP$17="",GP$14="",GP$15="",GP$16="",GP$18="",GP$19="",GP$20="",GP$21=""),"",SUM($GB18:GP18))</f>
        <v>22.099999999999998</v>
      </c>
      <c r="GQ71" s="114">
        <f>IF(OR(GQ$13="",GQ$17="",GQ$14="",GQ$15="",GQ$16="",GQ$18="",GQ$19="",GQ$20="",GQ$21=""),"",SUM($GB18:GQ18))</f>
        <v>22.099999999999998</v>
      </c>
      <c r="GR71" s="114">
        <f>IF(OR(GR$13="",GR$17="",GR$14="",GR$15="",GR$16="",GR$18="",GR$19="",GR$20="",GR$21=""),"",SUM($GB18:GR18))</f>
        <v>24.229999999999997</v>
      </c>
      <c r="GS71" s="114">
        <f>IF(OR(GS$13="",GS$17="",GS$14="",GS$15="",GS$16="",GS$18="",GS$19="",GS$20="",GS$21=""),"",SUM($GB18:GS18))</f>
        <v>24.229999999999997</v>
      </c>
      <c r="GT71" s="114">
        <f>IF(OR(GT$13="",GT$17="",GT$14="",GT$15="",GT$16="",GT$18="",GT$19="",GT$20="",GT$21=""),"",SUM($GB18:GT18))</f>
        <v>24.229999999999997</v>
      </c>
      <c r="GU71" s="114">
        <f>IF(OR(GU$13="",GU$17="",GU$14="",GU$15="",GU$16="",GU$18="",GU$19="",GU$20="",GU$21=""),"",SUM($GB18:GU18))</f>
        <v>24.229999999999997</v>
      </c>
      <c r="GV71" s="114">
        <f>IF(OR(GV$13="",GV$17="",GV$14="",GV$15="",GV$16="",GV$18="",GV$19="",GV$20="",GV$21=""),"",SUM($GB18:GV18))</f>
        <v>24.229999999999997</v>
      </c>
      <c r="GW71" s="114">
        <f>IF(OR(GW$13="",GW$17="",GW$14="",GW$15="",GW$16="",GW$18="",GW$19="",GW$20="",GW$21=""),"",SUM($GB18:GW18))</f>
        <v>31.849999999999998</v>
      </c>
      <c r="GX71" s="114">
        <f>IF(OR(GX$13="",GX$17="",GX$14="",GX$15="",GX$16="",GX$18="",GX$19="",GX$20="",GX$21=""),"",SUM($GB18:GX18))</f>
        <v>31.849999999999998</v>
      </c>
      <c r="GY71" s="114">
        <f>IF(OR(GY$13="",GY$17="",GY$14="",GY$15="",GY$16="",GY$18="",GY$19="",GY$20="",GY$21=""),"",SUM($GB18:GY18))</f>
        <v>31.849999999999998</v>
      </c>
      <c r="GZ71" s="114">
        <f>IF(OR(GZ$13="",GZ$17="",GZ$14="",GZ$15="",GZ$16="",GZ$18="",GZ$19="",GZ$20="",GZ$21=""),"",SUM($GB18:GZ18))</f>
        <v>31.849999999999998</v>
      </c>
      <c r="HA71" s="114">
        <f>IF(OR(HA$13="",HA$17="",HA$14="",HA$15="",HA$16="",HA$18="",HA$19="",HA$20="",HA$21=""),"",SUM($GB18:HA18))</f>
        <v>31.849999999999998</v>
      </c>
      <c r="HB71" s="114">
        <f>IF(OR(HB$13="",HB$17="",HB$14="",HB$15="",HB$16="",HB$18="",HB$19="",HB$20="",HB$21=""),"",SUM($GB18:HB18))</f>
        <v>31.849999999999998</v>
      </c>
      <c r="HC71" s="114">
        <f>IF(OR(HC$13="",HC$17="",HC$14="",HC$15="",HC$16="",HC$18="",HC$19="",HC$20="",HC$21=""),"",SUM($GB18:HC18))</f>
        <v>31.849999999999998</v>
      </c>
      <c r="HD71" s="114">
        <f>IF(OR(HD$13="",HD$17="",HD$14="",HD$15="",HD$16="",HD$18="",HD$19="",HD$20="",HD$21=""),"",SUM($GB18:HD18))</f>
        <v>31.849999999999998</v>
      </c>
      <c r="HE71" s="114">
        <f>IF(OR(HE$13="",HE$17="",HE$14="",HE$15="",HE$16="",HE$18="",HE$19="",HE$20="",HE$21=""),"",SUM($GB18:HE18))</f>
        <v>31.849999999999998</v>
      </c>
      <c r="HF71" s="114">
        <f>IF(OR(HF$13="",HF$17="",HF$14="",HF$15="",HF$16="",HF$18="",HF$19="",HF$20="",HF$21=""),"",SUM($GB18:HF18))</f>
        <v>31.849999999999998</v>
      </c>
      <c r="HG71" s="114">
        <f>IF(OR(HG$13="",HG$17="",HG$14="",HG$15="",HG$16="",HG$18="",HG$19="",HG$20="",HG$21=""),"",SUM($HG18:HG18))</f>
        <v>0</v>
      </c>
      <c r="HH71" s="114">
        <f>IF(OR(HH$13="",HH$17="",HH$14="",HH$15="",HH$16="",HH$18="",HH$19="",HH$20="",HH$21=""),"",SUM($HG18:HH18))</f>
        <v>0</v>
      </c>
      <c r="HI71" s="114">
        <f>IF(OR(HI$13="",HI$17="",HI$14="",HI$15="",HI$16="",HI$18="",HI$19="",HI$20="",HI$21=""),"",SUM($HG18:HI18))</f>
        <v>0</v>
      </c>
      <c r="HJ71" s="114">
        <f>IF(OR(HJ$13="",HJ$17="",HJ$14="",HJ$15="",HJ$16="",HJ$18="",HJ$19="",HJ$20="",HJ$21=""),"",SUM($HG18:HJ18))</f>
        <v>0</v>
      </c>
      <c r="HK71" s="114">
        <f>IF(OR(HK$13="",HK$17="",HK$14="",HK$15="",HK$16="",HK$18="",HK$19="",HK$20="",HK$21=""),"",SUM($HG18:HK18))</f>
        <v>20.345555555555556</v>
      </c>
      <c r="HL71" s="114">
        <f>IF(OR(HL$13="",HL$17="",HL$14="",HL$15="",HL$16="",HL$18="",HL$19="",HL$20="",HL$21=""),"",SUM($HG18:HL18))</f>
        <v>44.345555555555556</v>
      </c>
      <c r="HM71" s="114">
        <f>IF(OR(HM$13="",HM$17="",HM$14="",HM$15="",HM$16="",HM$18="",HM$19="",HM$20="",HM$21=""),"",SUM($HG18:HM18))</f>
        <v>65.023611111111109</v>
      </c>
      <c r="HN71" s="114">
        <f>IF(OR(HN$13="",HN$17="",HN$14="",HN$15="",HN$16="",HN$18="",HN$19="",HN$20="",HN$21=""),"",SUM($HG18:HN18))</f>
        <v>65.54527777777777</v>
      </c>
      <c r="HO71" s="114">
        <f>IF(OR(HO$13="",HO$17="",HO$14="",HO$15="",HO$16="",HO$18="",HO$19="",HO$20="",HO$21=""),"",SUM($HG18:HO18))</f>
        <v>65.54527777777777</v>
      </c>
      <c r="HP71" s="114">
        <f>IF(OR(HP$13="",HP$17="",HP$14="",HP$15="",HP$16="",HP$18="",HP$19="",HP$20="",HP$21=""),"",SUM($HG18:HP18))</f>
        <v>65.54527777777777</v>
      </c>
      <c r="HQ71" s="114">
        <f>IF(OR(HQ$13="",HQ$17="",HQ$14="",HQ$15="",HQ$16="",HQ$18="",HQ$19="",HQ$20="",HQ$21=""),"",SUM($HG18:HQ18))</f>
        <v>65.54527777777777</v>
      </c>
      <c r="HR71" s="114">
        <f>IF(OR(HR$13="",HR$17="",HR$14="",HR$15="",HR$16="",HR$18="",HR$19="",HR$20="",HR$21=""),"",SUM($HG18:HR18))</f>
        <v>65.54527777777777</v>
      </c>
      <c r="HS71" s="114">
        <f>IF(OR(HS$13="",HS$17="",HS$14="",HS$15="",HS$16="",HS$18="",HS$19="",HS$20="",HS$21=""),"",SUM($HG18:HS18))</f>
        <v>74.895555555555546</v>
      </c>
      <c r="HT71" s="114">
        <f>IF(OR(HT$13="",HT$17="",HT$14="",HT$15="",HT$16="",HT$18="",HT$19="",HT$20="",HT$21=""),"",SUM($HG18:HT18))</f>
        <v>74.895555555555546</v>
      </c>
      <c r="HU71" s="114">
        <f>IF(OR(HU$13="",HU$17="",HU$14="",HU$15="",HU$16="",HU$18="",HU$19="",HU$20="",HU$21=""),"",SUM($HG18:HU18))</f>
        <v>74.895555555555546</v>
      </c>
      <c r="HV71" s="114">
        <f>IF(OR(HV$13="",HV$17="",HV$14="",HV$15="",HV$16="",HV$18="",HV$19="",HV$20="",HV$21=""),"",SUM($HG18:HV18))</f>
        <v>74.895555555555546</v>
      </c>
      <c r="HW71" s="114">
        <f>IF(OR(HW$13="",HW$17="",HW$14="",HW$15="",HW$16="",HW$18="",HW$19="",HW$20="",HW$21=""),"",SUM($HG18:HW18))</f>
        <v>77.657777777777767</v>
      </c>
      <c r="HX71" s="114">
        <f>IF(OR(HX$13="",HX$17="",HX$14="",HX$15="",HX$16="",HX$18="",HX$19="",HX$20="",HX$21=""),"",SUM($HG18:HX18))</f>
        <v>77.657777777777767</v>
      </c>
      <c r="HY71" s="114">
        <f>IF(OR(HY$13="",HY$17="",HY$14="",HY$15="",HY$16="",HY$18="",HY$19="",HY$20="",HY$21=""),"",SUM($HG18:HY18))</f>
        <v>77.657777777777767</v>
      </c>
      <c r="HZ71" s="114">
        <f>IF(OR(HZ$13="",HZ$17="",HZ$14="",HZ$15="",HZ$16="",HZ$18="",HZ$19="",HZ$20="",HZ$21=""),"",SUM($HG18:HZ18))</f>
        <v>85.712499999999991</v>
      </c>
      <c r="IA71" s="114">
        <f>IF(OR(IA$13="",IA$17="",IA$14="",IA$15="",IA$16="",IA$18="",IA$19="",IA$20="",IA$21=""),"",SUM($HG18:IA18))</f>
        <v>85.712499999999991</v>
      </c>
      <c r="IB71" s="114">
        <f>IF(OR(IB$13="",IB$17="",IB$14="",IB$15="",IB$16="",IB$18="",IB$19="",IB$20="",IB$21=""),"",SUM($HG18:IB18))</f>
        <v>85.712499999999991</v>
      </c>
      <c r="IC71" s="114">
        <f>IF(OR(IC$13="",IC$17="",IC$14="",IC$15="",IC$16="",IC$18="",IC$19="",IC$20="",IC$21=""),"",SUM($HG18:IC18))</f>
        <v>85.712499999999991</v>
      </c>
      <c r="ID71" s="114">
        <f>IF(OR(ID$13="",ID$17="",ID$14="",ID$15="",ID$16="",ID$18="",ID$19="",ID$20="",ID$21=""),"",SUM($HG18:ID18))</f>
        <v>87.912499999999994</v>
      </c>
      <c r="IE71" s="114">
        <f>IF(OR(IE$13="",IE$17="",IE$14="",IE$15="",IE$16="",IE$18="",IE$19="",IE$20="",IE$21=""),"",SUM($HG18:IE18))</f>
        <v>87.912499999999994</v>
      </c>
      <c r="IF71" s="114">
        <f>IF(OR(IF$13="",IF$17="",IF$14="",IF$15="",IF$16="",IF$18="",IF$19="",IF$20="",IF$21=""),"",SUM($HG18:IF18))</f>
        <v>92.942499999999995</v>
      </c>
      <c r="IG71" s="114">
        <f>IF(OR(IG$13="",IG$17="",IG$14="",IG$15="",IG$16="",IG$18="",IG$19="",IG$20="",IG$21=""),"",SUM($HG18:IG18))</f>
        <v>92.942499999999995</v>
      </c>
      <c r="IH71" s="114">
        <f>IF(OR(IH$13="",IH$17="",IH$14="",IH$15="",IH$16="",IH$18="",IH$19="",IH$20="",IH$21=""),"",SUM($HG18:IH18))</f>
        <v>92.942499999999995</v>
      </c>
      <c r="II71" s="114">
        <f>IF(OR(II$13="",II$17="",II$14="",II$15="",II$16="",II$18="",II$19="",II$20="",II$21=""),"",SUM($HG18:II18))</f>
        <v>92.942499999999995</v>
      </c>
      <c r="IJ71" s="114">
        <f>IF(OR(IJ$13="",IJ$17="",IJ$14="",IJ$15="",IJ$16="",IJ$18="",IJ$19="",IJ$20="",IJ$21=""),"",SUM($HG18:IJ18))</f>
        <v>92.942499999999995</v>
      </c>
      <c r="IK71" s="114">
        <f>IF(OR(IK$13="",IK$17="",IK$14="",IK$15="",IK$16="",IK$18="",IK$19="",IK$20="",IK$21=""),"",SUM($HG18:IK18))</f>
        <v>96.884166666666658</v>
      </c>
      <c r="IL71" s="114">
        <f>IF(OR(IL$13="",IL$17="",IL$14="",IL$15="",IL$16="",IL$18="",IL$19="",IL$20="",IL$21=""),"",SUM($IL18:IL18))</f>
        <v>0</v>
      </c>
      <c r="IM71" s="114">
        <f>IF(OR(IM$13="",IM$17="",IM$14="",IM$15="",IM$16="",IM$18="",IM$19="",IM$20="",IM$21=""),"",SUM($IL18:IM18))</f>
        <v>0</v>
      </c>
      <c r="IN71" s="114">
        <f>IF(OR(IN$13="",IN$17="",IN$14="",IN$15="",IN$16="",IN$18="",IN$19="",IN$20="",IN$21=""),"",SUM($IL18:IN18))</f>
        <v>3.9074999999999993</v>
      </c>
      <c r="IO71" s="114">
        <f>IF(OR(IO$13="",IO$17="",IO$14="",IO$15="",IO$16="",IO$18="",IO$19="",IO$20="",IO$21=""),"",SUM($IL18:IO18))</f>
        <v>3.9074999999999993</v>
      </c>
      <c r="IP71" s="114">
        <f>IF(OR(IP$13="",IP$17="",IP$14="",IP$15="",IP$16="",IP$18="",IP$19="",IP$20="",IP$21=""),"",SUM($IL18:IP18))</f>
        <v>3.9074999999999993</v>
      </c>
      <c r="IQ71" s="114">
        <f>IF(OR(IQ$13="",IQ$17="",IQ$14="",IQ$15="",IQ$16="",IQ$18="",IQ$19="",IQ$20="",IQ$21=""),"",SUM($IL18:IQ18))</f>
        <v>5.4319444444444436</v>
      </c>
      <c r="IR71" s="114">
        <f>IF(OR(IR$13="",IR$17="",IR$14="",IR$15="",IR$16="",IR$18="",IR$19="",IR$20="",IR$21=""),"",SUM($IL18:IR18))</f>
        <v>5.4319444444444436</v>
      </c>
      <c r="IS71" s="114">
        <f>IF(OR(IS$13="",IS$17="",IS$14="",IS$15="",IS$16="",IS$18="",IS$19="",IS$20="",IS$21=""),"",SUM($IL18:IS18))</f>
        <v>5.4974999999999987</v>
      </c>
      <c r="IT71" s="114">
        <f>IF(OR(IT$13="",IT$17="",IT$14="",IT$15="",IT$16="",IT$18="",IT$19="",IT$20="",IT$21=""),"",SUM($IL18:IT18))</f>
        <v>5.4974999999999987</v>
      </c>
      <c r="IU71" s="114">
        <f>IF(OR(IU$13="",IU$17="",IU$14="",IU$15="",IU$16="",IU$18="",IU$19="",IU$20="",IU$21=""),"",SUM($IL18:IU18))</f>
        <v>5.4974999999999987</v>
      </c>
      <c r="IV71" s="114">
        <f>IF(OR(IV$13="",IV$17="",IV$14="",IV$15="",IV$16="",IV$18="",IV$19="",IV$20="",IV$21=""),"",SUM($IL18:IV18))</f>
        <v>5.6016666666666657</v>
      </c>
      <c r="IW71" s="114">
        <f>IF(OR(IW$13="",IW$17="",IW$14="",IW$15="",IW$16="",IW$18="",IW$19="",IW$20="",IW$21=""),"",SUM($IL18:IW18))</f>
        <v>5.6961111111111098</v>
      </c>
      <c r="IX71" s="114">
        <f>IF(OR(IX$13="",IX$17="",IX$14="",IX$15="",IX$16="",IX$18="",IX$19="",IX$20="",IX$21=""),"",SUM($IL18:IX18))</f>
        <v>5.6961111111111098</v>
      </c>
      <c r="IY71" s="114">
        <f>IF(OR(IY$13="",IY$17="",IY$14="",IY$15="",IY$16="",IY$18="",IY$19="",IY$20="",IY$21=""),"",SUM($IL18:IY18))</f>
        <v>5.7722222222222213</v>
      </c>
      <c r="IZ71" s="114">
        <f>IF(OR(IZ$13="",IZ$17="",IZ$14="",IZ$15="",IZ$16="",IZ$18="",IZ$19="",IZ$20="",IZ$21=""),"",SUM($IL18:IZ18))</f>
        <v>5.8247222222222215</v>
      </c>
      <c r="JA71" s="114">
        <f>IF(OR(JA$13="",JA$17="",JA$14="",JA$15="",JA$16="",JA$18="",JA$19="",JA$20="",JA$21=""),"",SUM($IL18:JA18))</f>
        <v>7.5988888888888884</v>
      </c>
      <c r="JB71" s="114">
        <f>IF(OR(JB$13="",JB$17="",JB$14="",JB$15="",JB$16="",JB$18="",JB$19="",JB$20="",JB$21=""),"",SUM($IL18:JB18))</f>
        <v>13.515833333333333</v>
      </c>
      <c r="JC71" s="114">
        <f>IF(OR(JC$13="",JC$17="",JC$14="",JC$15="",JC$16="",JC$18="",JC$19="",JC$20="",JC$21=""),"",SUM($IL18:JC18))</f>
        <v>13.515833333333333</v>
      </c>
      <c r="JD71" s="114">
        <f>IF(OR(JD$13="",JD$17="",JD$14="",JD$15="",JD$16="",JD$18="",JD$19="",JD$20="",JD$21=""),"",SUM($IL18:JD18))</f>
        <v>13.515833333333333</v>
      </c>
      <c r="JE71" s="114">
        <f>IF(OR(JE$13="",JE$17="",JE$14="",JE$15="",JE$16="",JE$18="",JE$19="",JE$20="",JE$21=""),"",SUM($IL18:JE18))</f>
        <v>13.515833333333333</v>
      </c>
      <c r="JF71" s="114">
        <f>IF(OR(JF$13="",JF$17="",JF$14="",JF$15="",JF$16="",JF$18="",JF$19="",JF$20="",JF$21=""),"",SUM($IL18:JF18))</f>
        <v>13.515833333333333</v>
      </c>
      <c r="JG71" s="114">
        <f>IF(OR(JG$13="",JG$17="",JG$14="",JG$15="",JG$16="",JG$18="",JG$19="",JG$20="",JG$21=""),"",SUM($IL18:JG18))</f>
        <v>13.515833333333333</v>
      </c>
      <c r="JH71" s="114">
        <f>IF(OR(JH$13="",JH$17="",JH$14="",JH$15="",JH$16="",JH$18="",JH$19="",JH$20="",JH$21=""),"",SUM($IL18:JH18))</f>
        <v>18.368333333333332</v>
      </c>
      <c r="JI71" s="114">
        <f>IF(OR(JI$13="",JI$17="",JI$14="",JI$15="",JI$16="",JI$18="",JI$19="",JI$20="",JI$21=""),"",SUM($IL18:JI18))</f>
        <v>21.772500000000001</v>
      </c>
      <c r="JJ71" s="114">
        <f>IF(OR(JJ$13="",JJ$17="",JJ$14="",JJ$15="",JJ$16="",JJ$18="",JJ$19="",JJ$20="",JJ$21=""),"",SUM($IL18:JJ18))</f>
        <v>24.982222222222223</v>
      </c>
      <c r="JK71" s="114">
        <f>IF(OR(JK$13="",JK$17="",JK$14="",JK$15="",JK$16="",JK$18="",JK$19="",JK$20="",JK$21=""),"",SUM($IL18:JK18))</f>
        <v>32.853611111111114</v>
      </c>
      <c r="JL71" s="114">
        <f>IF(OR(JL$13="",JL$17="",JL$14="",JL$15="",JL$16="",JL$18="",JL$19="",JL$20="",JL$21=""),"",SUM($IL18:JL18))</f>
        <v>41.99388888888889</v>
      </c>
      <c r="JM71" s="114">
        <f>IF(OR(JM$13="",JM$17="",JM$14="",JM$15="",JM$16="",JM$18="",JM$19="",JM$20="",JM$21=""),"",SUM($IL18:JM18))</f>
        <v>47.688333333333333</v>
      </c>
      <c r="JN71" s="114">
        <f>IF(OR(JN$13="",JN$17="",JN$14="",JN$15="",JN$16="",JN$18="",JN$19="",JN$20="",JN$21=""),"",SUM($IL18:JN18))</f>
        <v>48.688333333333333</v>
      </c>
      <c r="JO71" s="114">
        <f>IF(OR(JO$13="",JO$17="",JO$14="",JO$15="",JO$16="",JO$18="",JO$19="",JO$20="",JO$21=""),"",SUM($IL18:JO18))</f>
        <v>49.688333333333333</v>
      </c>
      <c r="JP71" s="114">
        <f>IF(OR(JP$13="",JP$17="",JP$14="",JP$15="",JP$16="",JP$18="",JP$19="",JP$20="",JP$21=""),"",SUM($JP18:JP18))</f>
        <v>1</v>
      </c>
      <c r="JQ71" s="114">
        <f>IF(OR(JQ$13="",JQ$17="",JQ$14="",JQ$15="",JQ$16="",JQ$18="",JQ$19="",JQ$20="",JQ$21=""),"",SUM($JP18:JQ18))</f>
        <v>2</v>
      </c>
      <c r="JR71" s="114">
        <f>IF(OR(JR$13="",JR$17="",JR$14="",JR$15="",JR$16="",JR$18="",JR$19="",JR$20="",JR$21=""),"",SUM($JP18:JR18))</f>
        <v>3</v>
      </c>
      <c r="JS71" s="114">
        <f>IF(OR(JS$13="",JS$17="",JS$14="",JS$15="",JS$16="",JS$18="",JS$19="",JS$20="",JS$21=""),"",SUM($JP18:JS18))</f>
        <v>12.7</v>
      </c>
      <c r="JT71" s="114">
        <f>IF(OR(JT$13="",JT$17="",JT$14="",JT$15="",JT$16="",JT$18="",JT$19="",JT$20="",JT$21=""),"",SUM($JP18:JT18))</f>
        <v>16.7</v>
      </c>
      <c r="JU71" s="114">
        <f>IF(OR(JU$13="",JU$17="",JU$14="",JU$15="",JU$16="",JU$18="",JU$19="",JU$20="",JU$21=""),"",SUM($JP18:JU18))</f>
        <v>17.029999999999998</v>
      </c>
      <c r="JV71" s="114">
        <f>IF(OR(JV$13="",JV$17="",JV$14="",JV$15="",JV$16="",JV$18="",JV$19="",JV$20="",JV$21=""),"",SUM($JP18:JV18))</f>
        <v>18.029999999999998</v>
      </c>
      <c r="JW71" s="114">
        <f>IF(OR(JW$13="",JW$17="",JW$14="",JW$15="",JW$16="",JW$18="",JW$19="",JW$20="",JW$21=""),"",SUM($JP18:JW18))</f>
        <v>18.029999999999998</v>
      </c>
      <c r="JX71" s="114">
        <f>IF(OR(JX$13="",JX$17="",JX$14="",JX$15="",JX$16="",JX$18="",JX$19="",JX$20="",JX$21=""),"",SUM($JP18:JX18))</f>
        <v>18.029999999999998</v>
      </c>
      <c r="JY71" s="114">
        <f>IF(OR(JY$13="",JY$17="",JY$14="",JY$15="",JY$16="",JY$18="",JY$19="",JY$20="",JY$21=""),"",SUM($JP18:JY18))</f>
        <v>18.029999999999998</v>
      </c>
      <c r="JZ71" s="114">
        <f>IF(OR(JZ$13="",JZ$17="",JZ$14="",JZ$15="",JZ$16="",JZ$18="",JZ$19="",JZ$20="",JZ$21=""),"",SUM($JP18:JZ18))</f>
        <v>18.029999999999998</v>
      </c>
      <c r="KA71" s="114">
        <f>IF(OR(KA$13="",KA$17="",KA$14="",KA$15="",KA$16="",KA$18="",KA$19="",KA$20="",KA$21=""),"",SUM($JP18:KA18))</f>
        <v>18.029999999999998</v>
      </c>
      <c r="KB71" s="114">
        <f>IF(OR(KB$13="",KB$17="",KB$14="",KB$15="",KB$16="",KB$18="",KB$19="",KB$20="",KB$21=""),"",SUM($JP18:KB18))</f>
        <v>18.029999999999998</v>
      </c>
      <c r="KC71" s="114">
        <f>IF(OR(KC$13="",KC$17="",KC$14="",KC$15="",KC$16="",KC$18="",KC$19="",KC$20="",KC$21=""),"",SUM($JP18:KC18))</f>
        <v>18.029999999999998</v>
      </c>
      <c r="KD71" s="114">
        <f>IF(OR(KD$13="",KD$17="",KD$14="",KD$15="",KD$16="",KD$18="",KD$19="",KD$20="",KD$21=""),"",SUM($JP18:KD18))</f>
        <v>18.029999999999998</v>
      </c>
      <c r="KE71" s="114">
        <f>IF(OR(KE$13="",KE$17="",KE$14="",KE$15="",KE$16="",KE$18="",KE$19="",KE$20="",KE$21=""),"",SUM($JP18:KE18))</f>
        <v>18.029999999999998</v>
      </c>
      <c r="KF71" s="114">
        <f>IF(OR(KF$13="",KF$17="",KF$14="",KF$15="",KF$16="",KF$18="",KF$19="",KF$20="",KF$21=""),"",SUM($JP18:KF18))</f>
        <v>18.029999999999998</v>
      </c>
      <c r="KG71" s="114">
        <f>IF(OR(KG$13="",KG$17="",KG$14="",KG$15="",KG$16="",KG$18="",KG$19="",KG$20="",KG$21=""),"",SUM($JP18:KG18))</f>
        <v>18.029999999999998</v>
      </c>
      <c r="KH71" s="114">
        <f>IF(OR(KH$13="",KH$17="",KH$14="",KH$15="",KH$16="",KH$18="",KH$19="",KH$20="",KH$21=""),"",SUM($JP18:KH18))</f>
        <v>18.029999999999998</v>
      </c>
      <c r="KI71" s="114">
        <f>IF(OR(KI$13="",KI$17="",KI$14="",KI$15="",KI$16="",KI$18="",KI$19="",KI$20="",KI$21=""),"",SUM($JP18:KI18))</f>
        <v>18.029999999999998</v>
      </c>
      <c r="KJ71" s="114">
        <f>IF(OR(KJ$13="",KJ$17="",KJ$14="",KJ$15="",KJ$16="",KJ$18="",KJ$19="",KJ$20="",KJ$21=""),"",SUM($JP18:KJ18))</f>
        <v>18.029999999999998</v>
      </c>
      <c r="KK71" s="114">
        <f>IF(OR(KK$13="",KK$17="",KK$14="",KK$15="",KK$16="",KK$18="",KK$19="",KK$20="",KK$21=""),"",SUM($JP18:KK18))</f>
        <v>18.029999999999998</v>
      </c>
      <c r="KL71" s="114">
        <f>IF(OR(KL$13="",KL$17="",KL$14="",KL$15="",KL$16="",KL$18="",KL$19="",KL$20="",KL$21=""),"",SUM($JP18:KL18))</f>
        <v>18.029999999999998</v>
      </c>
      <c r="KM71" s="114">
        <f>IF(OR(KM$13="",KM$17="",KM$14="",KM$15="",KM$16="",KM$18="",KM$19="",KM$20="",KM$21=""),"",SUM($JP18:KM18))</f>
        <v>18.029999999999998</v>
      </c>
      <c r="KN71" s="114">
        <f>IF(OR(KN$13="",KN$17="",KN$14="",KN$15="",KN$16="",KN$18="",KN$19="",KN$20="",KN$21=""),"",SUM($JP18:KN18))</f>
        <v>18.029999999999998</v>
      </c>
      <c r="KO71" s="114">
        <f>IF(OR(KO$13="",KO$17="",KO$14="",KO$15="",KO$16="",KO$18="",KO$19="",KO$20="",KO$21=""),"",SUM($JP18:KO18))</f>
        <v>18.029999999999998</v>
      </c>
      <c r="KP71" s="114">
        <f>IF(OR(KP$13="",KP$17="",KP$14="",KP$15="",KP$16="",KP$18="",KP$19="",KP$20="",KP$21=""),"",SUM($JP18:KP18))</f>
        <v>18.029999999999998</v>
      </c>
      <c r="KQ71" s="114">
        <f>IF(OR(KQ$13="",KQ$17="",KQ$14="",KQ$15="",KQ$16="",KQ$18="",KQ$19="",KQ$20="",KQ$21=""),"",SUM($JP18:KQ18))</f>
        <v>18.029999999999998</v>
      </c>
      <c r="KR71" s="114">
        <f>IF(OR(KR$13="",KR$17="",KR$14="",KR$15="",KR$16="",KR$18="",KR$19="",KR$20="",KR$21=""),"",SUM($JP18:KR18))</f>
        <v>18.029999999999998</v>
      </c>
      <c r="KS71" s="114">
        <f>IF(OR(KS$13="",KS$17="",KS$14="",KS$15="",KS$16="",KS$18="",KS$19="",KS$20="",KS$21=""),"",SUM($JP18:KS18))</f>
        <v>18.029999999999998</v>
      </c>
      <c r="KT71" s="114">
        <f>IF(OR(KT$13="",KT$17="",KT$14="",KT$15="",KT$16="",KT$18="",KT$19="",KT$20="",KT$21=""),"",SUM($JP18:KT18))</f>
        <v>18.029999999999998</v>
      </c>
      <c r="KU71" s="114" t="str">
        <f>IF(OR(KU$13="",KU$17="",KU$14="",KU$15="",KU$16="",KU$18="",KU$19="",KU$20="",KU$21=""),"",SUM($KU18:KU18))</f>
        <v/>
      </c>
      <c r="KV71" s="114" t="str">
        <f>IF(OR(KV$13="",KV$17="",KV$14="",KV$15="",KV$16="",KV$18="",KV$19="",KV$20="",KV$21=""),"",SUM($KU18:KV18))</f>
        <v/>
      </c>
      <c r="KW71" s="114" t="str">
        <f>IF(OR(KW$13="",KW$17="",KW$14="",KW$15="",KW$16="",KW$18="",KW$19="",KW$20="",KW$21=""),"",SUM($KU18:KW18))</f>
        <v/>
      </c>
      <c r="KX71" s="114" t="str">
        <f>IF(OR(KX$13="",KX$17="",KX$14="",KX$15="",KX$16="",KX$18="",KX$19="",KX$20="",KX$21=""),"",SUM($KU18:KX18))</f>
        <v/>
      </c>
      <c r="KY71" s="114" t="str">
        <f>IF(OR(KY$13="",KY$17="",KY$14="",KY$15="",KY$16="",KY$18="",KY$19="",KY$20="",KY$21=""),"",SUM($KU18:KY18))</f>
        <v/>
      </c>
      <c r="KZ71" s="114" t="str">
        <f>IF(OR(KZ$13="",KZ$17="",KZ$14="",KZ$15="",KZ$16="",KZ$18="",KZ$19="",KZ$20="",KZ$21=""),"",SUM($KU18:KZ18))</f>
        <v/>
      </c>
      <c r="LA71" s="114" t="str">
        <f>IF(OR(LA$13="",LA$17="",LA$14="",LA$15="",LA$16="",LA$18="",LA$19="",LA$20="",LA$21=""),"",SUM($KU18:LA18))</f>
        <v/>
      </c>
      <c r="LB71" s="114" t="str">
        <f>IF(OR(LB$13="",LB$17="",LB$14="",LB$15="",LB$16="",LB$18="",LB$19="",LB$20="",LB$21=""),"",SUM($KU18:LB18))</f>
        <v/>
      </c>
      <c r="LC71" s="114" t="str">
        <f>IF(OR(LC$13="",LC$17="",LC$14="",LC$15="",LC$16="",LC$18="",LC$19="",LC$20="",LC$21=""),"",SUM($KU18:LC18))</f>
        <v/>
      </c>
      <c r="LD71" s="114" t="str">
        <f>IF(OR(LD$13="",LD$17="",LD$14="",LD$15="",LD$16="",LD$18="",LD$19="",LD$20="",LD$21=""),"",SUM($KU18:LD18))</f>
        <v/>
      </c>
      <c r="LE71" s="114" t="str">
        <f>IF(OR(LE$13="",LE$17="",LE$14="",LE$15="",LE$16="",LE$18="",LE$19="",LE$20="",LE$21=""),"",SUM($KU18:LE18))</f>
        <v/>
      </c>
      <c r="LF71" s="114" t="str">
        <f>IF(OR(LF$13="",LF$17="",LF$14="",LF$15="",LF$16="",LF$18="",LF$19="",LF$20="",LF$21=""),"",SUM($KU18:LF18))</f>
        <v/>
      </c>
      <c r="LG71" s="114" t="str">
        <f>IF(OR(LG$13="",LG$17="",LG$14="",LG$15="",LG$16="",LG$18="",LG$19="",LG$20="",LG$21=""),"",SUM($KU18:LG18))</f>
        <v/>
      </c>
      <c r="LH71" s="114" t="str">
        <f>IF(OR(LH$13="",LH$17="",LH$14="",LH$15="",LH$16="",LH$18="",LH$19="",LH$20="",LH$21=""),"",SUM($KU18:LH18))</f>
        <v/>
      </c>
      <c r="LI71" s="114" t="str">
        <f>IF(OR(LI$13="",LI$17="",LI$14="",LI$15="",LI$16="",LI$18="",LI$19="",LI$20="",LI$21=""),"",SUM($KU18:LI18))</f>
        <v/>
      </c>
      <c r="LJ71" s="114" t="str">
        <f>IF(OR(LJ$13="",LJ$17="",LJ$14="",LJ$15="",LJ$16="",LJ$18="",LJ$19="",LJ$20="",LJ$21=""),"",SUM($KU18:LJ18))</f>
        <v/>
      </c>
      <c r="LK71" s="114" t="str">
        <f>IF(OR(LK$13="",LK$17="",LK$14="",LK$15="",LK$16="",LK$18="",LK$19="",LK$20="",LK$21=""),"",SUM($KU18:LK18))</f>
        <v/>
      </c>
      <c r="LL71" s="114" t="str">
        <f>IF(OR(LL$13="",LL$17="",LL$14="",LL$15="",LL$16="",LL$18="",LL$19="",LL$20="",LL$21=""),"",SUM($KU18:LL18))</f>
        <v/>
      </c>
      <c r="LM71" s="114" t="str">
        <f>IF(OR(LM$13="",LM$17="",LM$14="",LM$15="",LM$16="",LM$18="",LM$19="",LM$20="",LM$21=""),"",SUM($KU18:LM18))</f>
        <v/>
      </c>
      <c r="LN71" s="114" t="str">
        <f>IF(OR(LN$13="",LN$17="",LN$14="",LN$15="",LN$16="",LN$18="",LN$19="",LN$20="",LN$21=""),"",SUM($KU18:LN18))</f>
        <v/>
      </c>
      <c r="LO71" s="114" t="str">
        <f>IF(OR(LO$13="",LO$17="",LO$14="",LO$15="",LO$16="",LO$18="",LO$19="",LO$20="",LO$21=""),"",SUM($KU18:LO18))</f>
        <v/>
      </c>
      <c r="LP71" s="114" t="str">
        <f>IF(OR(LP$13="",LP$17="",LP$14="",LP$15="",LP$16="",LP$18="",LP$19="",LP$20="",LP$21=""),"",SUM($KU18:LP18))</f>
        <v/>
      </c>
      <c r="LQ71" s="114" t="str">
        <f>IF(OR(LQ$13="",LQ$17="",LQ$14="",LQ$15="",LQ$16="",LQ$18="",LQ$19="",LQ$20="",LQ$21=""),"",SUM($KU18:LQ18))</f>
        <v/>
      </c>
      <c r="LR71" s="114" t="str">
        <f>IF(OR(LR$13="",LR$17="",LR$14="",LR$15="",LR$16="",LR$18="",LR$19="",LR$20="",LR$21=""),"",SUM($KU18:LR18))</f>
        <v/>
      </c>
      <c r="LS71" s="114" t="str">
        <f>IF(OR(LS$13="",LS$17="",LS$14="",LS$15="",LS$16="",LS$18="",LS$19="",LS$20="",LS$21=""),"",SUM($KU18:LS18))</f>
        <v/>
      </c>
      <c r="LT71" s="114" t="str">
        <f>IF(OR(LT$13="",LT$17="",LT$14="",LT$15="",LT$16="",LT$18="",LT$19="",LT$20="",LT$21=""),"",SUM($KU18:LT18))</f>
        <v/>
      </c>
      <c r="LU71" s="114" t="str">
        <f>IF(OR(LU$13="",LU$17="",LU$14="",LU$15="",LU$16="",LU$18="",LU$19="",LU$20="",LU$21=""),"",SUM($KU18:LU18))</f>
        <v/>
      </c>
      <c r="LV71" s="114" t="str">
        <f>IF(OR(LV$13="",LV$17="",LV$14="",LV$15="",LV$16="",LV$18="",LV$19="",LV$20="",LV$21=""),"",SUM($KU18:LV18))</f>
        <v/>
      </c>
      <c r="LW71" s="114" t="str">
        <f>IF(OR(LW$13="",LW$17="",LW$14="",LW$15="",LW$16="",LW$18="",LW$19="",LW$20="",LW$21=""),"",SUM($KU18:LW18))</f>
        <v/>
      </c>
      <c r="LX71" s="114" t="str">
        <f>IF(OR(LX$13="",LX$17="",LX$14="",LX$15="",LX$16="",LX$18="",LX$19="",LX$20="",LX$21=""),"",SUM($KU18:LX18))</f>
        <v/>
      </c>
      <c r="LY71" s="114" t="str">
        <f>IF(OR(LY$13="",LY$17="",LY$14="",LY$15="",LY$16="",LY$18="",LY$19="",LY$20="",LY$21=""),"",SUM($LY18:LY18))</f>
        <v/>
      </c>
      <c r="LZ71" s="114" t="str">
        <f>IF(OR(LZ$13="",LZ$17="",LZ$14="",LZ$15="",LZ$16="",LZ$18="",LZ$19="",LZ$20="",LZ$21=""),"",SUM($LY18:LZ18))</f>
        <v/>
      </c>
      <c r="MA71" s="114" t="str">
        <f>IF(OR(MA$13="",MA$17="",MA$14="",MA$15="",MA$16="",MA$18="",MA$19="",MA$20="",MA$21=""),"",SUM($LY18:MA18))</f>
        <v/>
      </c>
      <c r="MB71" s="114" t="str">
        <f>IF(OR(MB$13="",MB$17="",MB$14="",MB$15="",MB$16="",MB$18="",MB$19="",MB$20="",MB$21=""),"",SUM($LY18:MB18))</f>
        <v/>
      </c>
      <c r="MC71" s="114" t="str">
        <f>IF(OR(MC$13="",MC$17="",MC$14="",MC$15="",MC$16="",MC$18="",MC$19="",MC$20="",MC$21=""),"",SUM($LY18:MC18))</f>
        <v/>
      </c>
      <c r="MD71" s="114" t="str">
        <f>IF(OR(MD$13="",MD$17="",MD$14="",MD$15="",MD$16="",MD$18="",MD$19="",MD$20="",MD$21=""),"",SUM($LY18:MD18))</f>
        <v/>
      </c>
      <c r="ME71" s="114" t="str">
        <f>IF(OR(ME$13="",ME$17="",ME$14="",ME$15="",ME$16="",ME$18="",ME$19="",ME$20="",ME$21=""),"",SUM($LY18:ME18))</f>
        <v/>
      </c>
      <c r="MF71" s="114" t="str">
        <f>IF(OR(MF$13="",MF$17="",MF$14="",MF$15="",MF$16="",MF$18="",MF$19="",MF$20="",MF$21=""),"",SUM($LY18:MF18))</f>
        <v/>
      </c>
      <c r="MG71" s="114" t="str">
        <f>IF(OR(MG$13="",MG$17="",MG$14="",MG$15="",MG$16="",MG$18="",MG$19="",MG$20="",MG$21=""),"",SUM($LY18:MG18))</f>
        <v/>
      </c>
      <c r="MH71" s="114" t="str">
        <f>IF(OR(MH$13="",MH$17="",MH$14="",MH$15="",MH$16="",MH$18="",MH$19="",MH$20="",MH$21=""),"",SUM($LY18:MH18))</f>
        <v/>
      </c>
      <c r="MI71" s="114" t="str">
        <f>IF(OR(MI$13="",MI$17="",MI$14="",MI$15="",MI$16="",MI$18="",MI$19="",MI$20="",MI$21=""),"",SUM($LY18:MI18))</f>
        <v/>
      </c>
      <c r="MJ71" s="114" t="str">
        <f>IF(OR(MJ$13="",MJ$17="",MJ$14="",MJ$15="",MJ$16="",MJ$18="",MJ$19="",MJ$20="",MJ$21=""),"",SUM($LY18:MJ18))</f>
        <v/>
      </c>
      <c r="MK71" s="114" t="str">
        <f>IF(OR(MK$13="",MK$17="",MK$14="",MK$15="",MK$16="",MK$18="",MK$19="",MK$20="",MK$21=""),"",SUM($LY18:MK18))</f>
        <v/>
      </c>
      <c r="ML71" s="114" t="str">
        <f>IF(OR(ML$13="",ML$17="",ML$14="",ML$15="",ML$16="",ML$18="",ML$19="",ML$20="",ML$21=""),"",SUM($LY18:ML18))</f>
        <v/>
      </c>
      <c r="MM71" s="114" t="str">
        <f>IF(OR(MM$13="",MM$17="",MM$14="",MM$15="",MM$16="",MM$18="",MM$19="",MM$20="",MM$21=""),"",SUM($LY18:MM18))</f>
        <v/>
      </c>
      <c r="MN71" s="114" t="str">
        <f>IF(OR(MN$13="",MN$17="",MN$14="",MN$15="",MN$16="",MN$18="",MN$19="",MN$20="",MN$21=""),"",SUM($LY18:MN18))</f>
        <v/>
      </c>
      <c r="MO71" s="114" t="str">
        <f>IF(OR(MO$13="",MO$17="",MO$14="",MO$15="",MO$16="",MO$18="",MO$19="",MO$20="",MO$21=""),"",SUM($LY18:MO18))</f>
        <v/>
      </c>
      <c r="MP71" s="114" t="str">
        <f>IF(OR(MP$13="",MP$17="",MP$14="",MP$15="",MP$16="",MP$18="",MP$19="",MP$20="",MP$21=""),"",SUM($LY18:MP18))</f>
        <v/>
      </c>
      <c r="MQ71" s="114" t="str">
        <f>IF(OR(MQ$13="",MQ$17="",MQ$14="",MQ$15="",MQ$16="",MQ$18="",MQ$19="",MQ$20="",MQ$21=""),"",SUM($LY18:MQ18))</f>
        <v/>
      </c>
      <c r="MR71" s="114" t="str">
        <f>IF(OR(MR$13="",MR$17="",MR$14="",MR$15="",MR$16="",MR$18="",MR$19="",MR$20="",MR$21=""),"",SUM($LY18:MR18))</f>
        <v/>
      </c>
      <c r="MS71" s="114" t="str">
        <f>IF(OR(MS$13="",MS$17="",MS$14="",MS$15="",MS$16="",MS$18="",MS$19="",MS$20="",MS$21=""),"",SUM($LY18:MS18))</f>
        <v/>
      </c>
      <c r="MT71" s="114" t="str">
        <f>IF(OR(MT$13="",MT$17="",MT$14="",MT$15="",MT$16="",MT$18="",MT$19="",MT$20="",MT$21=""),"",SUM($LY18:MT18))</f>
        <v/>
      </c>
      <c r="MU71" s="114" t="str">
        <f>IF(OR(MU$13="",MU$17="",MU$14="",MU$15="",MU$16="",MU$18="",MU$19="",MU$20="",MU$21=""),"",SUM($LY18:MU18))</f>
        <v/>
      </c>
      <c r="MV71" s="114" t="str">
        <f>IF(OR(MV$13="",MV$17="",MV$14="",MV$15="",MV$16="",MV$18="",MV$19="",MV$20="",MV$21=""),"",SUM($LY18:MV18))</f>
        <v/>
      </c>
      <c r="MW71" s="114" t="str">
        <f>IF(OR(MW$13="",MW$17="",MW$14="",MW$15="",MW$16="",MW$18="",MW$19="",MW$20="",MW$21=""),"",SUM($LY18:MW18))</f>
        <v/>
      </c>
      <c r="MX71" s="114" t="str">
        <f>IF(OR(MX$13="",MX$17="",MX$14="",MX$15="",MX$16="",MX$18="",MX$19="",MX$20="",MX$21=""),"",SUM($LY18:MX18))</f>
        <v/>
      </c>
      <c r="MY71" s="114" t="str">
        <f>IF(OR(MY$13="",MY$17="",MY$14="",MY$15="",MY$16="",MY$18="",MY$19="",MY$20="",MY$21=""),"",SUM($LY18:MY18))</f>
        <v/>
      </c>
      <c r="MZ71" s="114" t="str">
        <f>IF(OR(MZ$13="",MZ$17="",MZ$14="",MZ$15="",MZ$16="",MZ$18="",MZ$19="",MZ$20="",MZ$21=""),"",SUM($LY18:MZ18))</f>
        <v/>
      </c>
      <c r="NA71" s="114" t="str">
        <f>IF(OR(NA$13="",NA$17="",NA$14="",NA$15="",NA$16="",NA$18="",NA$19="",NA$20="",NA$21=""),"",SUM($LY18:NA18))</f>
        <v/>
      </c>
      <c r="NB71" s="114" t="str">
        <f>IF(OR(NB$13="",NB$17="",NB$14="",NB$15="",NB$16="",NB$18="",NB$19="",NB$20="",NB$21=""),"",SUM($LY18:NB18))</f>
        <v/>
      </c>
      <c r="NC71" s="114" t="str">
        <f>IF(OR(NC$13="",NC$17="",NC$14="",NC$15="",NC$16="",NC$18="",NC$19="",NC$20="",NC$21=""),"",SUM($LY18:NC18))</f>
        <v/>
      </c>
      <c r="ND71" s="114" t="str">
        <f>IF(OR(ND$13="",ND$17="",ND$14="",ND$15="",ND$16="",ND$18="",ND$19="",ND$20="",ND$21=""),"",SUM($ND18:ND18))</f>
        <v/>
      </c>
      <c r="NE71" s="114" t="str">
        <f>IF(OR(NE$13="",NE$17="",NE$14="",NE$15="",NE$16="",NE$18="",NE$19="",NE$20="",NE$21=""),"",SUM($ND18:NE18))</f>
        <v/>
      </c>
      <c r="NF71" s="114" t="str">
        <f>IF(OR(NF$13="",NF$17="",NF$14="",NF$15="",NF$16="",NF$18="",NF$19="",NF$20="",NF$21=""),"",SUM($ND18:NF18))</f>
        <v/>
      </c>
      <c r="NG71" s="114" t="str">
        <f>IF(OR(NG$13="",NG$17="",NG$14="",NG$15="",NG$16="",NG$18="",NG$19="",NG$20="",NG$21=""),"",SUM($ND18:NG18))</f>
        <v/>
      </c>
      <c r="NH71" s="114" t="str">
        <f>IF(OR(NH$13="",NH$17="",NH$14="",NH$15="",NH$16="",NH$18="",NH$19="",NH$20="",NH$21=""),"",SUM($ND18:NH18))</f>
        <v/>
      </c>
      <c r="NI71" s="114" t="str">
        <f>IF(OR(NI$13="",NI$17="",NI$14="",NI$15="",NI$16="",NI$18="",NI$19="",NI$20="",NI$21=""),"",SUM($ND18:NI18))</f>
        <v/>
      </c>
      <c r="NJ71" s="114" t="str">
        <f>IF(OR(NJ$13="",NJ$17="",NJ$14="",NJ$15="",NJ$16="",NJ$18="",NJ$19="",NJ$20="",NJ$21=""),"",SUM($ND18:NJ18))</f>
        <v/>
      </c>
      <c r="NK71" s="114" t="str">
        <f>IF(OR(NK$13="",NK$17="",NK$14="",NK$15="",NK$16="",NK$18="",NK$19="",NK$20="",NK$21=""),"",SUM($ND18:NK18))</f>
        <v/>
      </c>
      <c r="NL71" s="114" t="str">
        <f>IF(OR(NL$13="",NL$17="",NL$14="",NL$15="",NL$16="",NL$18="",NL$19="",NL$20="",NL$21=""),"",SUM($ND18:NL18))</f>
        <v/>
      </c>
      <c r="NM71" s="114" t="str">
        <f>IF(OR(NM$13="",NM$17="",NM$14="",NM$15="",NM$16="",NM$18="",NM$19="",NM$20="",NM$21=""),"",SUM($ND18:NM18))</f>
        <v/>
      </c>
      <c r="NN71" s="114" t="str">
        <f>IF(OR(NN$13="",NN$17="",NN$14="",NN$15="",NN$16="",NN$18="",NN$19="",NN$20="",NN$21=""),"",SUM($ND18:NN18))</f>
        <v/>
      </c>
      <c r="NO71" s="114" t="str">
        <f>IF(OR(NO$13="",NO$17="",NO$14="",NO$15="",NO$16="",NO$18="",NO$19="",NO$20="",NO$21=""),"",SUM($ND18:NO18))</f>
        <v/>
      </c>
      <c r="NP71" s="114" t="str">
        <f>IF(OR(NP$13="",NP$17="",NP$14="",NP$15="",NP$16="",NP$18="",NP$19="",NP$20="",NP$21=""),"",SUM($ND18:NP18))</f>
        <v/>
      </c>
      <c r="NQ71" s="114" t="str">
        <f>IF(OR(NQ$13="",NQ$17="",NQ$14="",NQ$15="",NQ$16="",NQ$18="",NQ$19="",NQ$20="",NQ$21=""),"",SUM($ND18:NQ18))</f>
        <v/>
      </c>
      <c r="NR71" s="114" t="str">
        <f>IF(OR(NR$13="",NR$17="",NR$14="",NR$15="",NR$16="",NR$18="",NR$19="",NR$20="",NR$21=""),"",SUM($ND18:NR18))</f>
        <v/>
      </c>
      <c r="NS71" s="114" t="str">
        <f>IF(OR(NS$13="",NS$17="",NS$14="",NS$15="",NS$16="",NS$18="",NS$19="",NS$20="",NS$21=""),"",SUM($ND18:NS18))</f>
        <v/>
      </c>
      <c r="NT71" s="114" t="str">
        <f>IF(OR(NT$13="",NT$17="",NT$14="",NT$15="",NT$16="",NT$18="",NT$19="",NT$20="",NT$21=""),"",SUM($ND18:NT18))</f>
        <v/>
      </c>
      <c r="NU71" s="114" t="str">
        <f>IF(OR(NU$13="",NU$17="",NU$14="",NU$15="",NU$16="",NU$18="",NU$19="",NU$20="",NU$21=""),"",SUM($ND18:NU18))</f>
        <v/>
      </c>
      <c r="NV71" s="114" t="str">
        <f>IF(OR(NV$13="",NV$17="",NV$14="",NV$15="",NV$16="",NV$18="",NV$19="",NV$20="",NV$21=""),"",SUM($ND18:NV18))</f>
        <v/>
      </c>
      <c r="NW71" s="114" t="str">
        <f>IF(OR(NW$13="",NW$17="",NW$14="",NW$15="",NW$16="",NW$18="",NW$19="",NW$20="",NW$21=""),"",SUM($ND18:NW18))</f>
        <v/>
      </c>
      <c r="NX71" s="114" t="str">
        <f>IF(OR(NX$13="",NX$17="",NX$14="",NX$15="",NX$16="",NX$18="",NX$19="",NX$20="",NX$21=""),"",SUM($ND18:NX18))</f>
        <v/>
      </c>
      <c r="NY71" s="114" t="str">
        <f>IF(OR(NY$13="",NY$17="",NY$14="",NY$15="",NY$16="",NY$18="",NY$19="",NY$20="",NY$21=""),"",SUM($ND18:NY18))</f>
        <v/>
      </c>
      <c r="NZ71" s="114" t="str">
        <f>IF(OR(NZ$13="",NZ$17="",NZ$14="",NZ$15="",NZ$16="",NZ$18="",NZ$19="",NZ$20="",NZ$21=""),"",SUM($ND18:NZ18))</f>
        <v/>
      </c>
      <c r="OA71" s="114" t="str">
        <f>IF(OR(OA$13="",OA$17="",OA$14="",OA$15="",OA$16="",OA$18="",OA$19="",OA$20="",OA$21=""),"",SUM($ND18:OA18))</f>
        <v/>
      </c>
      <c r="OB71" s="114" t="str">
        <f>IF(OR(OB$13="",OB$17="",OB$14="",OB$15="",OB$16="",OB$18="",OB$19="",OB$20="",OB$21=""),"",SUM($ND18:OB18))</f>
        <v/>
      </c>
      <c r="OC71" s="114" t="str">
        <f>IF(OR(OC$13="",OC$17="",OC$14="",OC$15="",OC$16="",OC$18="",OC$19="",OC$20="",OC$21=""),"",SUM($ND18:OC18))</f>
        <v/>
      </c>
      <c r="OD71" s="114" t="str">
        <f>IF(OR(OD$13="",OD$17="",OD$14="",OD$15="",OD$16="",OD$18="",OD$19="",OD$20="",OD$21=""),"",SUM($ND18:OD18))</f>
        <v/>
      </c>
      <c r="OE71" s="114" t="str">
        <f>IF(OR(OE$13="",OE$17="",OE$14="",OE$15="",OE$16="",OE$18="",OE$19="",OE$20="",OE$21=""),"",SUM($ND18:OE18))</f>
        <v/>
      </c>
      <c r="OF71" s="114" t="str">
        <f>IF(OR(OF$13="",OF$17="",OF$14="",OF$15="",OF$16="",OF$18="",OF$19="",OF$20="",OF$21=""),"",SUM($ND18:OF18))</f>
        <v/>
      </c>
      <c r="OG71" s="114" t="str">
        <f>IF(OR(OG$13="",OG$17="",OG$14="",OG$15="",OG$16="",OG$18="",OG$19="",OG$20="",OG$21=""),"",SUM($ND18:OG18))</f>
        <v/>
      </c>
      <c r="OH71" s="114" t="str">
        <f>IF(OR(OH$13="",OH$17="",OH$14="",OH$15="",OH$16="",OH$18="",OH$19="",OH$20="",OH$21=""),"",SUM($ND18:OH18))</f>
        <v/>
      </c>
      <c r="OI71" s="114" t="str">
        <f>IF(OR(OI$13="",OI$17="",OI$14="",OI$15="",OI$16="",OI$18="",OI$19="",OI$20="",OI$21=""),"",SUM($OI18:OI18))</f>
        <v/>
      </c>
      <c r="OJ71" s="114" t="str">
        <f>IF(OR(OJ$13="",OJ$17="",OJ$14="",OJ$15="",OJ$16="",OJ$18="",OJ$19="",OJ$20="",OJ$21=""),"",SUM($OI18:OJ18))</f>
        <v/>
      </c>
      <c r="OK71" s="114" t="str">
        <f>IF(OR(OK$13="",OK$17="",OK$14="",OK$15="",OK$16="",OK$18="",OK$19="",OK$20="",OK$21=""),"",SUM($OI18:OK18))</f>
        <v/>
      </c>
      <c r="OL71" s="114" t="str">
        <f>IF(OR(OL$13="",OL$17="",OL$14="",OL$15="",OL$16="",OL$18="",OL$19="",OL$20="",OL$21=""),"",SUM($OI18:OL18))</f>
        <v/>
      </c>
      <c r="OM71" s="114" t="str">
        <f>IF(OR(OM$13="",OM$17="",OM$14="",OM$15="",OM$16="",OM$18="",OM$19="",OM$20="",OM$21=""),"",SUM($OI18:OM18))</f>
        <v/>
      </c>
      <c r="ON71" s="114" t="str">
        <f>IF(OR(ON$13="",ON$17="",ON$14="",ON$15="",ON$16="",ON$18="",ON$19="",ON$20="",ON$21=""),"",SUM($OI18:ON18))</f>
        <v/>
      </c>
      <c r="OO71" s="114" t="str">
        <f>IF(OR(OO$13="",OO$17="",OO$14="",OO$15="",OO$16="",OO$18="",OO$19="",OO$20="",OO$21=""),"",SUM($OI18:OO18))</f>
        <v/>
      </c>
      <c r="OP71" s="114" t="str">
        <f>IF(OR(OP$13="",OP$17="",OP$14="",OP$15="",OP$16="",OP$18="",OP$19="",OP$20="",OP$21=""),"",SUM($OI18:OP18))</f>
        <v/>
      </c>
      <c r="OQ71" s="114" t="str">
        <f>IF(OR(OQ$13="",OQ$17="",OQ$14="",OQ$15="",OQ$16="",OQ$18="",OQ$19="",OQ$20="",OQ$21=""),"",SUM($OI18:OQ18))</f>
        <v/>
      </c>
      <c r="OR71" s="114" t="str">
        <f>IF(OR(OR$13="",OR$17="",OR$14="",OR$15="",OR$16="",OR$18="",OR$19="",OR$20="",OR$21=""),"",SUM($OI18:OR18))</f>
        <v/>
      </c>
      <c r="OS71" s="114" t="str">
        <f>IF(OR(OS$13="",OS$17="",OS$14="",OS$15="",OS$16="",OS$18="",OS$19="",OS$20="",OS$21=""),"",SUM($OI18:OS18))</f>
        <v/>
      </c>
      <c r="OT71" s="114" t="str">
        <f>IF(OR(OT$13="",OT$17="",OT$14="",OT$15="",OT$16="",OT$18="",OT$19="",OT$20="",OT$21=""),"",SUM($OI18:OT18))</f>
        <v/>
      </c>
      <c r="OU71" s="114" t="str">
        <f>IF(OR(OU$13="",OU$17="",OU$14="",OU$15="",OU$16="",OU$18="",OU$19="",OU$20="",OU$21=""),"",SUM($OI18:OU18))</f>
        <v/>
      </c>
      <c r="OV71" s="114" t="str">
        <f>IF(OR(OV$13="",OV$17="",OV$14="",OV$15="",OV$16="",OV$18="",OV$19="",OV$20="",OV$21=""),"",SUM($OI18:OV18))</f>
        <v/>
      </c>
      <c r="OW71" s="114" t="str">
        <f>IF(OR(OW$13="",OW$17="",OW$14="",OW$15="",OW$16="",OW$18="",OW$19="",OW$20="",OW$21=""),"",SUM($OI18:OW18))</f>
        <v/>
      </c>
      <c r="OX71" s="114" t="str">
        <f>IF(OR(OX$13="",OX$17="",OX$14="",OX$15="",OX$16="",OX$18="",OX$19="",OX$20="",OX$21=""),"",SUM($OI18:OX18))</f>
        <v/>
      </c>
      <c r="OY71" s="114" t="str">
        <f>IF(OR(OY$13="",OY$17="",OY$14="",OY$15="",OY$16="",OY$18="",OY$19="",OY$20="",OY$21=""),"",SUM($OI18:OY18))</f>
        <v/>
      </c>
      <c r="OZ71" s="114" t="str">
        <f>IF(OR(OZ$13="",OZ$17="",OZ$14="",OZ$15="",OZ$16="",OZ$18="",OZ$19="",OZ$20="",OZ$21=""),"",SUM($OI18:OZ18))</f>
        <v/>
      </c>
      <c r="PA71" s="114" t="str">
        <f>IF(OR(PA$13="",PA$17="",PA$14="",PA$15="",PA$16="",PA$18="",PA$19="",PA$20="",PA$21=""),"",SUM($OI18:PA18))</f>
        <v/>
      </c>
      <c r="PB71" s="114" t="str">
        <f>IF(OR(PB$13="",PB$17="",PB$14="",PB$15="",PB$16="",PB$18="",PB$19="",PB$20="",PB$21=""),"",SUM($OI18:PB18))</f>
        <v/>
      </c>
      <c r="PC71" s="114" t="str">
        <f>IF(OR(PC$13="",PC$17="",PC$14="",PC$15="",PC$16="",PC$18="",PC$19="",PC$20="",PC$21=""),"",SUM($OI18:PC18))</f>
        <v/>
      </c>
      <c r="PD71" s="114" t="str">
        <f>IF(OR(PD$13="",PD$17="",PD$14="",PD$15="",PD$16="",PD$18="",PD$19="",PD$20="",PD$21=""),"",SUM($OI18:PD18))</f>
        <v/>
      </c>
      <c r="PE71" s="114" t="str">
        <f>IF(OR(PE$13="",PE$17="",PE$14="",PE$15="",PE$16="",PE$18="",PE$19="",PE$20="",PE$21=""),"",SUM($OI18:PE18))</f>
        <v/>
      </c>
      <c r="PF71" s="114" t="str">
        <f>IF(OR(PF$13="",PF$17="",PF$14="",PF$15="",PF$16="",PF$18="",PF$19="",PF$20="",PF$21=""),"",SUM($OI18:PF18))</f>
        <v/>
      </c>
      <c r="PG71" s="114" t="str">
        <f>IF(OR(PG$13="",PG$17="",PG$14="",PG$15="",PG$16="",PG$18="",PG$19="",PG$20="",PG$21=""),"",SUM($OI18:PG18))</f>
        <v/>
      </c>
      <c r="PH71" s="114" t="str">
        <f>IF(OR(PH$13="",PH$17="",PH$14="",PH$15="",PH$16="",PH$18="",PH$19="",PH$20="",PH$21=""),"",SUM($OI18:PH18))</f>
        <v/>
      </c>
      <c r="PI71" s="114" t="str">
        <f>IF(OR(PI$13="",PI$17="",PI$14="",PI$15="",PI$16="",PI$18="",PI$19="",PI$20="",PI$21=""),"",SUM($OI18:PI18))</f>
        <v/>
      </c>
      <c r="PJ71" s="114" t="str">
        <f>IF(OR(PJ$13="",PJ$17="",PJ$14="",PJ$15="",PJ$16="",PJ$18="",PJ$19="",PJ$20="",PJ$21=""),"",SUM($OI18:PJ18))</f>
        <v/>
      </c>
      <c r="PK71" s="114" t="str">
        <f>IF(OR(PK$13="",PK$17="",PK$14="",PK$15="",PK$16="",PK$18="",PK$19="",PK$20="",PK$21=""),"",SUM($PK18:PK18))</f>
        <v/>
      </c>
      <c r="PL71" s="114" t="str">
        <f>IF(OR(PL$13="",PL$17="",PL$14="",PL$15="",PL$16="",PL$18="",PL$19="",PL$20="",PL$21=""),"",SUM($PK18:PL18))</f>
        <v/>
      </c>
      <c r="PM71" s="114" t="str">
        <f>IF(OR(PM$13="",PM$17="",PM$14="",PM$15="",PM$16="",PM$18="",PM$19="",PM$20="",PM$21=""),"",SUM($PK18:PM18))</f>
        <v/>
      </c>
      <c r="PN71" s="114" t="str">
        <f>IF(OR(PN$13="",PN$17="",PN$14="",PN$15="",PN$16="",PN$18="",PN$19="",PN$20="",PN$21=""),"",SUM($PK18:PN18))</f>
        <v/>
      </c>
      <c r="PO71" s="114" t="str">
        <f>IF(OR(PO$13="",PO$17="",PO$14="",PO$15="",PO$16="",PO$18="",PO$19="",PO$20="",PO$21=""),"",SUM($PK18:PO18))</f>
        <v/>
      </c>
      <c r="PP71" s="114" t="str">
        <f>IF(OR(PP$13="",PP$17="",PP$14="",PP$15="",PP$16="",PP$18="",PP$19="",PP$20="",PP$21=""),"",SUM($PK18:PP18))</f>
        <v/>
      </c>
      <c r="PQ71" s="114" t="str">
        <f>IF(OR(PQ$13="",PQ$17="",PQ$14="",PQ$15="",PQ$16="",PQ$18="",PQ$19="",PQ$20="",PQ$21=""),"",SUM($PK18:PQ18))</f>
        <v/>
      </c>
      <c r="PR71" s="114" t="str">
        <f>IF(OR(PR$13="",PR$17="",PR$14="",PR$15="",PR$16="",PR$18="",PR$19="",PR$20="",PR$21=""),"",SUM($PK18:PR18))</f>
        <v/>
      </c>
      <c r="PS71" s="114" t="str">
        <f>IF(OR(PS$13="",PS$17="",PS$14="",PS$15="",PS$16="",PS$18="",PS$19="",PS$20="",PS$21=""),"",SUM($PK18:PS18))</f>
        <v/>
      </c>
      <c r="PT71" s="114" t="str">
        <f>IF(OR(PT$13="",PT$17="",PT$14="",PT$15="",PT$16="",PT$18="",PT$19="",PT$20="",PT$21=""),"",SUM($PK18:PT18))</f>
        <v/>
      </c>
      <c r="PU71" s="114" t="str">
        <f>IF(OR(PU$13="",PU$17="",PU$14="",PU$15="",PU$16="",PU$18="",PU$19="",PU$20="",PU$21=""),"",SUM($PK18:PU18))</f>
        <v/>
      </c>
      <c r="PV71" s="114" t="str">
        <f>IF(OR(PV$13="",PV$17="",PV$14="",PV$15="",PV$16="",PV$18="",PV$19="",PV$20="",PV$21=""),"",SUM($PK18:PV18))</f>
        <v/>
      </c>
      <c r="PW71" s="114" t="str">
        <f>IF(OR(PW$13="",PW$17="",PW$14="",PW$15="",PW$16="",PW$18="",PW$19="",PW$20="",PW$21=""),"",SUM($PK18:PW18))</f>
        <v/>
      </c>
      <c r="PX71" s="114" t="str">
        <f>IF(OR(PX$13="",PX$17="",PX$14="",PX$15="",PX$16="",PX$18="",PX$19="",PX$20="",PX$21=""),"",SUM($PK18:PX18))</f>
        <v/>
      </c>
      <c r="PY71" s="114" t="str">
        <f>IF(OR(PY$13="",PY$17="",PY$14="",PY$15="",PY$16="",PY$18="",PY$19="",PY$20="",PY$21=""),"",SUM($PK18:PY18))</f>
        <v/>
      </c>
      <c r="PZ71" s="114" t="str">
        <f>IF(OR(PZ$13="",PZ$17="",PZ$14="",PZ$15="",PZ$16="",PZ$18="",PZ$19="",PZ$20="",PZ$21=""),"",SUM($PK18:PZ18))</f>
        <v/>
      </c>
      <c r="QA71" s="114" t="str">
        <f>IF(OR(QA$13="",QA$17="",QA$14="",QA$15="",QA$16="",QA$18="",QA$19="",QA$20="",QA$21=""),"",SUM($PK18:QA18))</f>
        <v/>
      </c>
      <c r="QB71" s="114" t="str">
        <f>IF(OR(QB$13="",QB$17="",QB$14="",QB$15="",QB$16="",QB$18="",QB$19="",QB$20="",QB$21=""),"",SUM($PK18:QB18))</f>
        <v/>
      </c>
      <c r="QC71" s="114" t="str">
        <f>IF(OR(QC$13="",QC$17="",QC$14="",QC$15="",QC$16="",QC$18="",QC$19="",QC$20="",QC$21=""),"",SUM($PK18:QC18))</f>
        <v/>
      </c>
      <c r="QD71" s="114" t="str">
        <f>IF(OR(QD$13="",QD$17="",QD$14="",QD$15="",QD$16="",QD$18="",QD$19="",QD$20="",QD$21=""),"",SUM($PK18:QD18))</f>
        <v/>
      </c>
      <c r="QE71" s="114" t="str">
        <f>IF(OR(QE$13="",QE$17="",QE$14="",QE$15="",QE$16="",QE$18="",QE$19="",QE$20="",QE$21=""),"",SUM($PK18:QE18))</f>
        <v/>
      </c>
      <c r="QF71" s="114" t="str">
        <f>IF(OR(QF$13="",QF$17="",QF$14="",QF$15="",QF$16="",QF$18="",QF$19="",QF$20="",QF$21=""),"",SUM($PK18:QF18))</f>
        <v/>
      </c>
      <c r="QG71" s="114" t="str">
        <f>IF(OR(QG$13="",QG$17="",QG$14="",QG$15="",QG$16="",QG$18="",QG$19="",QG$20="",QG$21=""),"",SUM($PK18:QG18))</f>
        <v/>
      </c>
      <c r="QH71" s="114" t="str">
        <f>IF(OR(QH$13="",QH$17="",QH$14="",QH$15="",QH$16="",QH$18="",QH$19="",QH$20="",QH$21=""),"",SUM($PK18:QH18))</f>
        <v/>
      </c>
      <c r="QI71" s="114" t="str">
        <f>IF(OR(QI$13="",QI$17="",QI$14="",QI$15="",QI$16="",QI$18="",QI$19="",QI$20="",QI$21=""),"",SUM($PK18:QI18))</f>
        <v/>
      </c>
      <c r="QJ71" s="114" t="str">
        <f>IF(OR(QJ$13="",QJ$17="",QJ$14="",QJ$15="",QJ$16="",QJ$18="",QJ$19="",QJ$20="",QJ$21=""),"",SUM($PK18:QJ18))</f>
        <v/>
      </c>
      <c r="QK71" s="114" t="str">
        <f>IF(OR(QK$13="",QK$17="",QK$14="",QK$15="",QK$16="",QK$18="",QK$19="",QK$20="",QK$21=""),"",SUM($PK18:QK18))</f>
        <v/>
      </c>
      <c r="QL71" s="114" t="str">
        <f>IF(OR(QL$13="",QL$17="",QL$14="",QL$15="",QL$16="",QL$18="",QL$19="",QL$20="",QL$21=""),"",SUM($PK18:QL18))</f>
        <v/>
      </c>
      <c r="QM71" s="114" t="str">
        <f>IF(OR(QM$13="",QM$17="",QM$14="",QM$15="",QM$16="",QM$18="",QM$19="",QM$20="",QM$21=""),"",SUM($PK18:QM18))</f>
        <v/>
      </c>
      <c r="QN71" s="114" t="str">
        <f>IF(OR(QN$13="",QN$17="",QN$14="",QN$15="",QN$16="",QN$18="",QN$19="",QN$20="",QN$21=""),"",SUM($PK18:QN18))</f>
        <v/>
      </c>
      <c r="QO71" s="114" t="str">
        <f>IF(OR(QO$13="",QO$17="",QO$14="",QO$15="",QO$16="",QO$18="",QO$19="",QO$20="",QO$21=""),"",SUM($PK18:QO18))</f>
        <v/>
      </c>
      <c r="QP71" s="114" t="str">
        <f>IF(OR(QP$13="",QP$17="",QP$14="",QP$15="",QP$16="",QP$18="",QP$19="",QP$20="",QP$21=""),"",SUM($QP18:QP18))</f>
        <v/>
      </c>
      <c r="QQ71" s="114" t="str">
        <f>IF(OR(QQ$13="",QQ$17="",QQ$14="",QQ$15="",QQ$16="",QQ$18="",QQ$19="",QQ$20="",QQ$21=""),"",SUM($QP18:QQ18))</f>
        <v/>
      </c>
      <c r="QR71" s="114" t="str">
        <f>IF(OR(QR$13="",QR$17="",QR$14="",QR$15="",QR$16="",QR$18="",QR$19="",QR$20="",QR$21=""),"",SUM($QP18:QR18))</f>
        <v/>
      </c>
      <c r="QS71" s="114" t="str">
        <f>IF(OR(QS$13="",QS$17="",QS$14="",QS$15="",QS$16="",QS$18="",QS$19="",QS$20="",QS$21=""),"",SUM($QP18:QS18))</f>
        <v/>
      </c>
      <c r="QT71" s="114" t="str">
        <f>IF(OR(QT$13="",QT$17="",QT$14="",QT$15="",QT$16="",QT$18="",QT$19="",QT$20="",QT$21=""),"",SUM($QP18:QT18))</f>
        <v/>
      </c>
      <c r="QU71" s="114" t="str">
        <f>IF(OR(QU$13="",QU$17="",QU$14="",QU$15="",QU$16="",QU$18="",QU$19="",QU$20="",QU$21=""),"",SUM($QP18:QU18))</f>
        <v/>
      </c>
      <c r="QV71" s="114" t="str">
        <f>IF(OR(QV$13="",QV$17="",QV$14="",QV$15="",QV$16="",QV$18="",QV$19="",QV$20="",QV$21=""),"",SUM($QP18:QV18))</f>
        <v/>
      </c>
      <c r="QW71" s="114" t="str">
        <f>IF(OR(QW$13="",QW$17="",QW$14="",QW$15="",QW$16="",QW$18="",QW$19="",QW$20="",QW$21=""),"",SUM($QP18:QW18))</f>
        <v/>
      </c>
      <c r="QX71" s="114" t="str">
        <f>IF(OR(QX$13="",QX$17="",QX$14="",QX$15="",QX$16="",QX$18="",QX$19="",QX$20="",QX$21=""),"",SUM($QP18:QX18))</f>
        <v/>
      </c>
      <c r="QY71" s="114" t="str">
        <f>IF(OR(QY$13="",QY$17="",QY$14="",QY$15="",QY$16="",QY$18="",QY$19="",QY$20="",QY$21=""),"",SUM($QP18:QY18))</f>
        <v/>
      </c>
      <c r="QZ71" s="114" t="str">
        <f>IF(OR(QZ$13="",QZ$17="",QZ$14="",QZ$15="",QZ$16="",QZ$18="",QZ$19="",QZ$20="",QZ$21=""),"",SUM($QP18:QZ18))</f>
        <v/>
      </c>
      <c r="RA71" s="114" t="str">
        <f>IF(OR(RA$13="",RA$17="",RA$14="",RA$15="",RA$16="",RA$18="",RA$19="",RA$20="",RA$21=""),"",SUM($QP18:RA18))</f>
        <v/>
      </c>
      <c r="RB71" s="114" t="str">
        <f>IF(OR(RB$13="",RB$17="",RB$14="",RB$15="",RB$16="",RB$18="",RB$19="",RB$20="",RB$21=""),"",SUM($QP18:RB18))</f>
        <v/>
      </c>
      <c r="RC71" s="114" t="str">
        <f>IF(OR(RC$13="",RC$17="",RC$14="",RC$15="",RC$16="",RC$18="",RC$19="",RC$20="",RC$21=""),"",SUM($QP18:RC18))</f>
        <v/>
      </c>
      <c r="RD71" s="114" t="str">
        <f>IF(OR(RD$13="",RD$17="",RD$14="",RD$15="",RD$16="",RD$18="",RD$19="",RD$20="",RD$21=""),"",SUM($QP18:RD18))</f>
        <v/>
      </c>
      <c r="RE71" s="114" t="str">
        <f>IF(OR(RE$13="",RE$17="",RE$14="",RE$15="",RE$16="",RE$18="",RE$19="",RE$20="",RE$21=""),"",SUM($QP18:RE18))</f>
        <v/>
      </c>
      <c r="RF71" s="114" t="str">
        <f>IF(OR(RF$13="",RF$17="",RF$14="",RF$15="",RF$16="",RF$18="",RF$19="",RF$20="",RF$21=""),"",SUM($QP18:RF18))</f>
        <v/>
      </c>
      <c r="RG71" s="114" t="str">
        <f>IF(OR(RG$13="",RG$17="",RG$14="",RG$15="",RG$16="",RG$18="",RG$19="",RG$20="",RG$21=""),"",SUM($QP18:RG18))</f>
        <v/>
      </c>
      <c r="RH71" s="114" t="str">
        <f>IF(OR(RH$13="",RH$17="",RH$14="",RH$15="",RH$16="",RH$18="",RH$19="",RH$20="",RH$21=""),"",SUM($QP18:RH18))</f>
        <v/>
      </c>
      <c r="RI71" s="114" t="str">
        <f>IF(OR(RI$13="",RI$17="",RI$14="",RI$15="",RI$16="",RI$18="",RI$19="",RI$20="",RI$21=""),"",SUM($QP18:RI18))</f>
        <v/>
      </c>
      <c r="RJ71" s="114" t="str">
        <f>IF(OR(RJ$13="",RJ$17="",RJ$14="",RJ$15="",RJ$16="",RJ$18="",RJ$19="",RJ$20="",RJ$21=""),"",SUM($QP18:RJ18))</f>
        <v/>
      </c>
      <c r="RK71" s="114" t="str">
        <f>IF(OR(RK$13="",RK$17="",RK$14="",RK$15="",RK$16="",RK$18="",RK$19="",RK$20="",RK$21=""),"",SUM($QP18:RK18))</f>
        <v/>
      </c>
      <c r="RL71" s="114" t="str">
        <f>IF(OR(RL$13="",RL$17="",RL$14="",RL$15="",RL$16="",RL$18="",RL$19="",RL$20="",RL$21=""),"",SUM($QP18:RL18))</f>
        <v/>
      </c>
      <c r="RM71" s="114" t="str">
        <f>IF(OR(RM$13="",RM$17="",RM$14="",RM$15="",RM$16="",RM$18="",RM$19="",RM$20="",RM$21=""),"",SUM($QP18:RM18))</f>
        <v/>
      </c>
      <c r="RN71" s="114" t="str">
        <f>IF(OR(RN$13="",RN$17="",RN$14="",RN$15="",RN$16="",RN$18="",RN$19="",RN$20="",RN$21=""),"",SUM($QP18:RN18))</f>
        <v/>
      </c>
      <c r="RO71" s="114" t="str">
        <f>IF(OR(RO$13="",RO$17="",RO$14="",RO$15="",RO$16="",RO$18="",RO$19="",RO$20="",RO$21=""),"",SUM($QP18:RO18))</f>
        <v/>
      </c>
      <c r="RP71" s="114" t="str">
        <f>IF(OR(RP$13="",RP$17="",RP$14="",RP$15="",RP$16="",RP$18="",RP$19="",RP$20="",RP$21=""),"",SUM($QP18:RP18))</f>
        <v/>
      </c>
      <c r="RQ71" s="114" t="str">
        <f>IF(OR(RQ$13="",RQ$17="",RQ$14="",RQ$15="",RQ$16="",RQ$18="",RQ$19="",RQ$20="",RQ$21=""),"",SUM($QP18:RQ18))</f>
        <v/>
      </c>
      <c r="RR71" s="114" t="str">
        <f>IF(OR(RR$13="",RR$17="",RR$14="",RR$15="",RR$16="",RR$18="",RR$19="",RR$20="",RR$21=""),"",SUM($QP18:RR18))</f>
        <v/>
      </c>
      <c r="RS71" s="114" t="str">
        <f>IF(OR(RS$13="",RS$17="",RS$14="",RS$15="",RS$16="",RS$18="",RS$19="",RS$20="",RS$21=""),"",SUM($QP18:RS18))</f>
        <v/>
      </c>
      <c r="RT71" s="114" t="str">
        <f>IF(OR(RT$13="",RT$17="",RT$14="",RT$15="",RT$16="",RT$18="",RT$19="",RT$20="",RT$21=""),"",SUM($RT18:RT18))</f>
        <v/>
      </c>
      <c r="RU71" s="114" t="str">
        <f>IF(OR(RU$13="",RU$17="",RU$14="",RU$15="",RU$16="",RU$18="",RU$19="",RU$20="",RU$21=""),"",SUM($RT18:RU18))</f>
        <v/>
      </c>
      <c r="RV71" s="114" t="str">
        <f>IF(OR(RV$13="",RV$17="",RV$14="",RV$15="",RV$16="",RV$18="",RV$19="",RV$20="",RV$21=""),"",SUM($RT18:RV18))</f>
        <v/>
      </c>
      <c r="RW71" s="114" t="str">
        <f>IF(OR(RW$13="",RW$17="",RW$14="",RW$15="",RW$16="",RW$18="",RW$19="",RW$20="",RW$21=""),"",SUM($RT18:RW18))</f>
        <v/>
      </c>
      <c r="RX71" s="114" t="str">
        <f>IF(OR(RX$13="",RX$17="",RX$14="",RX$15="",RX$16="",RX$18="",RX$19="",RX$20="",RX$21=""),"",SUM($RT18:RX18))</f>
        <v/>
      </c>
      <c r="RY71" s="114" t="str">
        <f>IF(OR(RY$13="",RY$17="",RY$14="",RY$15="",RY$16="",RY$18="",RY$19="",RY$20="",RY$21=""),"",SUM($RT18:RY18))</f>
        <v/>
      </c>
      <c r="RZ71" s="114" t="str">
        <f>IF(OR(RZ$13="",RZ$17="",RZ$14="",RZ$15="",RZ$16="",RZ$18="",RZ$19="",RZ$20="",RZ$21=""),"",SUM($RT18:RZ18))</f>
        <v/>
      </c>
      <c r="SA71" s="114" t="str">
        <f>IF(OR(SA$13="",SA$17="",SA$14="",SA$15="",SA$16="",SA$18="",SA$19="",SA$20="",SA$21=""),"",SUM($RT18:SA18))</f>
        <v/>
      </c>
      <c r="SB71" s="114" t="str">
        <f>IF(OR(SB$13="",SB$17="",SB$14="",SB$15="",SB$16="",SB$18="",SB$19="",SB$20="",SB$21=""),"",SUM($RT18:SB18))</f>
        <v/>
      </c>
      <c r="SC71" s="114" t="str">
        <f>IF(OR(SC$13="",SC$17="",SC$14="",SC$15="",SC$16="",SC$18="",SC$19="",SC$20="",SC$21=""),"",SUM($RT18:SC18))</f>
        <v/>
      </c>
      <c r="SD71" s="114" t="str">
        <f>IF(OR(SD$13="",SD$17="",SD$14="",SD$15="",SD$16="",SD$18="",SD$19="",SD$20="",SD$21=""),"",SUM($RT18:SD18))</f>
        <v/>
      </c>
      <c r="SE71" s="114" t="str">
        <f>IF(OR(SE$13="",SE$17="",SE$14="",SE$15="",SE$16="",SE$18="",SE$19="",SE$20="",SE$21=""),"",SUM($RT18:SE18))</f>
        <v/>
      </c>
      <c r="SF71" s="114" t="str">
        <f>IF(OR(SF$13="",SF$17="",SF$14="",SF$15="",SF$16="",SF$18="",SF$19="",SF$20="",SF$21=""),"",SUM($RT18:SF18))</f>
        <v/>
      </c>
      <c r="SG71" s="114" t="str">
        <f>IF(OR(SG$13="",SG$17="",SG$14="",SG$15="",SG$16="",SG$18="",SG$19="",SG$20="",SG$21=""),"",SUM($RT18:SG18))</f>
        <v/>
      </c>
      <c r="SH71" s="114" t="str">
        <f>IF(OR(SH$13="",SH$17="",SH$14="",SH$15="",SH$16="",SH$18="",SH$19="",SH$20="",SH$21=""),"",SUM($RT18:SH18))</f>
        <v/>
      </c>
      <c r="SI71" s="114" t="str">
        <f>IF(OR(SI$13="",SI$17="",SI$14="",SI$15="",SI$16="",SI$18="",SI$19="",SI$20="",SI$21=""),"",SUM($RT18:SI18))</f>
        <v/>
      </c>
      <c r="SJ71" s="114" t="str">
        <f>IF(OR(SJ$13="",SJ$17="",SJ$14="",SJ$15="",SJ$16="",SJ$18="",SJ$19="",SJ$20="",SJ$21=""),"",SUM($RT18:SJ18))</f>
        <v/>
      </c>
      <c r="SK71" s="114" t="str">
        <f>IF(OR(SK$13="",SK$17="",SK$14="",SK$15="",SK$16="",SK$18="",SK$19="",SK$20="",SK$21=""),"",SUM($RT18:SK18))</f>
        <v/>
      </c>
      <c r="SL71" s="114" t="str">
        <f>IF(OR(SL$13="",SL$17="",SL$14="",SL$15="",SL$16="",SL$18="",SL$19="",SL$20="",SL$21=""),"",SUM($RT18:SL18))</f>
        <v/>
      </c>
      <c r="SM71" s="114" t="str">
        <f>IF(OR(SM$13="",SM$17="",SM$14="",SM$15="",SM$16="",SM$18="",SM$19="",SM$20="",SM$21=""),"",SUM($RT18:SM18))</f>
        <v/>
      </c>
      <c r="SN71" s="114" t="str">
        <f>IF(OR(SN$13="",SN$17="",SN$14="",SN$15="",SN$16="",SN$18="",SN$19="",SN$20="",SN$21=""),"",SUM($RT18:SN18))</f>
        <v/>
      </c>
      <c r="SO71" s="114" t="str">
        <f>IF(OR(SO$13="",SO$17="",SO$14="",SO$15="",SO$16="",SO$18="",SO$19="",SO$20="",SO$21=""),"",SUM($RT18:SO18))</f>
        <v/>
      </c>
      <c r="SP71" s="114" t="str">
        <f>IF(OR(SP$13="",SP$17="",SP$14="",SP$15="",SP$16="",SP$18="",SP$19="",SP$20="",SP$21=""),"",SUM($RT18:SP18))</f>
        <v/>
      </c>
      <c r="SQ71" s="114" t="str">
        <f>IF(OR(SQ$13="",SQ$17="",SQ$14="",SQ$15="",SQ$16="",SQ$18="",SQ$19="",SQ$20="",SQ$21=""),"",SUM($RT18:SQ18))</f>
        <v/>
      </c>
      <c r="SR71" s="114" t="str">
        <f>IF(OR(SR$13="",SR$17="",SR$14="",SR$15="",SR$16="",SR$18="",SR$19="",SR$20="",SR$21=""),"",SUM($RT18:SR18))</f>
        <v/>
      </c>
      <c r="SS71" s="114" t="str">
        <f>IF(OR(SS$13="",SS$17="",SS$14="",SS$15="",SS$16="",SS$18="",SS$19="",SS$20="",SS$21=""),"",SUM($RT18:SS18))</f>
        <v/>
      </c>
      <c r="ST71" s="114" t="str">
        <f>IF(OR(ST$13="",ST$17="",ST$14="",ST$15="",ST$16="",ST$18="",ST$19="",ST$20="",ST$21=""),"",SUM($RT18:ST18))</f>
        <v/>
      </c>
      <c r="SU71" s="114" t="str">
        <f>IF(OR(SU$13="",SU$17="",SU$14="",SU$15="",SU$16="",SU$18="",SU$19="",SU$20="",SU$21=""),"",SUM($RT18:SU18))</f>
        <v/>
      </c>
      <c r="SV71" s="114" t="str">
        <f>IF(OR(SV$13="",SV$17="",SV$14="",SV$15="",SV$16="",SV$18="",SV$19="",SV$20="",SV$21=""),"",SUM($RT18:SV18))</f>
        <v/>
      </c>
      <c r="SW71" s="114" t="str">
        <f>IF(OR(SW$13="",SW$17="",SW$14="",SW$15="",SW$16="",SW$18="",SW$19="",SW$20="",SW$21=""),"",SUM($RT18:SW18))</f>
        <v/>
      </c>
    </row>
    <row r="72" spans="1:517" ht="24.6" customHeight="1" x14ac:dyDescent="0.2">
      <c r="A72" s="94">
        <v>777</v>
      </c>
      <c r="B72" s="119" t="s">
        <v>83</v>
      </c>
      <c r="C72" s="114">
        <f>IF(OR(C$13="",C$17="",C$14="",C$15="",C$16="",C$18="",C$19="",C$20="",C$21=""),"",SUM($C19:C19))</f>
        <v>0</v>
      </c>
      <c r="D72" s="114">
        <f>IF(OR(D$13="",D$17="",D$14="",D$15="",D$16="",D$18="",D$19="",D$20="",D$21=""),"",SUM($C19:D19))</f>
        <v>0</v>
      </c>
      <c r="E72" s="114">
        <f>IF(OR(E$13="",E$17="",E$14="",E$15="",E$16="",E$18="",E$19="",E$20="",E$21=""),"",SUM($C19:E19))</f>
        <v>0</v>
      </c>
      <c r="F72" s="114">
        <f>IF(OR(F$13="",F$17="",F$14="",F$15="",F$16="",F$18="",F$19="",F$20="",F$21=""),"",SUM($C19:F19))</f>
        <v>0</v>
      </c>
      <c r="G72" s="114">
        <f>IF(OR(G$13="",G$17="",G$14="",G$15="",G$16="",G$18="",G$19="",G$20="",G$21=""),"",SUM($C19:G19))</f>
        <v>0</v>
      </c>
      <c r="H72" s="114">
        <f>IF(OR(H$13="",H$17="",H$14="",H$15="",H$16="",H$18="",H$19="",H$20="",H$21=""),"",SUM($C19:H19))</f>
        <v>0</v>
      </c>
      <c r="I72" s="114">
        <f>IF(OR(I$13="",I$17="",I$14="",I$15="",I$16="",I$18="",I$19="",I$20="",I$21=""),"",SUM($C19:I19))</f>
        <v>0</v>
      </c>
      <c r="J72" s="114">
        <f>IF(OR(J$13="",J$17="",J$14="",J$15="",J$16="",J$18="",J$19="",J$20="",J$21=""),"",SUM($C19:J19))</f>
        <v>0</v>
      </c>
      <c r="K72" s="114">
        <f>IF(OR(K$13="",K$17="",K$14="",K$15="",K$16="",K$18="",K$19="",K$20="",K$21=""),"",SUM($C19:K19))</f>
        <v>3.55</v>
      </c>
      <c r="L72" s="114">
        <f>IF(OR(L$13="",L$17="",L$14="",L$15="",L$16="",L$18="",L$19="",L$20="",L$21=""),"",SUM($C19:L19))</f>
        <v>14.43</v>
      </c>
      <c r="M72" s="114">
        <f>IF(OR(M$13="",M$17="",M$14="",M$15="",M$16="",M$18="",M$19="",M$20="",M$21=""),"",SUM($C19:M19))</f>
        <v>14.43</v>
      </c>
      <c r="N72" s="114">
        <f>IF(OR(N$13="",N$17="",N$14="",N$15="",N$16="",N$18="",N$19="",N$20="",N$21=""),"",SUM($C19:N19))</f>
        <v>14.43</v>
      </c>
      <c r="O72" s="114">
        <f>IF(OR(O$13="",O$17="",O$14="",O$15="",O$16="",O$18="",O$19="",O$20="",O$21=""),"",SUM($C19:O19))</f>
        <v>14.43</v>
      </c>
      <c r="P72" s="114">
        <f>IF(OR(P$13="",P$17="",P$14="",P$15="",P$16="",P$18="",P$19="",P$20="",P$21=""),"",SUM($C19:P19))</f>
        <v>14.43</v>
      </c>
      <c r="Q72" s="114">
        <f>IF(OR(Q$13="",Q$17="",Q$14="",Q$15="",Q$16="",Q$18="",Q$19="",Q$20="",Q$21=""),"",SUM($C19:Q19))</f>
        <v>14.43</v>
      </c>
      <c r="R72" s="114">
        <f>IF(OR(R$13="",R$17="",R$14="",R$15="",R$16="",R$18="",R$19="",R$20="",R$21=""),"",SUM($C19:R19))</f>
        <v>16.98</v>
      </c>
      <c r="S72" s="114">
        <f>IF(OR(S$13="",S$17="",S$14="",S$15="",S$16="",S$18="",S$19="",S$20="",S$21=""),"",SUM($C19:S19))</f>
        <v>16.98</v>
      </c>
      <c r="T72" s="114">
        <f>IF(OR(T$13="",T$17="",T$14="",T$15="",T$16="",T$18="",T$19="",T$20="",T$21=""),"",SUM($C19:T19))</f>
        <v>16.98</v>
      </c>
      <c r="U72" s="114">
        <f>IF(OR(U$13="",U$17="",U$14="",U$15="",U$16="",U$18="",U$19="",U$20="",U$21=""),"",SUM($C19:U19))</f>
        <v>25.48</v>
      </c>
      <c r="V72" s="114">
        <f>IF(OR(V$13="",V$17="",V$14="",V$15="",V$16="",V$18="",V$19="",V$20="",V$21=""),"",SUM($C19:V19))</f>
        <v>34.130000000000003</v>
      </c>
      <c r="W72" s="114">
        <f>IF(OR(W$13="",W$17="",W$14="",W$15="",W$16="",W$18="",W$19="",W$20="",W$21=""),"",SUM($C19:W19))</f>
        <v>34.130000000000003</v>
      </c>
      <c r="X72" s="114">
        <f>IF(OR(X$13="",X$17="",X$14="",X$15="",X$16="",X$18="",X$19="",X$20="",X$21=""),"",SUM($C19:X19))</f>
        <v>34.130000000000003</v>
      </c>
      <c r="Y72" s="114">
        <f>IF(OR(Y$13="",Y$17="",Y$14="",Y$15="",Y$16="",Y$18="",Y$19="",Y$20="",Y$21=""),"",SUM($C19:Y19))</f>
        <v>34.130000000000003</v>
      </c>
      <c r="Z72" s="114">
        <f>IF(OR(Z$13="",Z$17="",Z$14="",Z$15="",Z$16="",Z$18="",Z$19="",Z$20="",Z$21=""),"",SUM($C19:Z19))</f>
        <v>34.130000000000003</v>
      </c>
      <c r="AA72" s="114">
        <f>IF(OR(AA$13="",AA$17="",AA$14="",AA$15="",AA$16="",AA$18="",AA$19="",AA$20="",AA$21=""),"",SUM($C19:AA19))</f>
        <v>34.130000000000003</v>
      </c>
      <c r="AB72" s="114">
        <f>IF(OR(AB$13="",AB$17="",AB$14="",AB$15="",AB$16="",AB$18="",AB$19="",AB$20="",AB$21=""),"",SUM($C19:AB19))</f>
        <v>34.130000000000003</v>
      </c>
      <c r="AC72" s="114">
        <f>IF(OR(AC$13="",AC$17="",AC$14="",AC$15="",AC$16="",AC$18="",AC$19="",AC$20="",AC$21=""),"",SUM($C19:AC19))</f>
        <v>34.71</v>
      </c>
      <c r="AD72" s="114">
        <f>IF(OR(AD$13="",AD$17="",AD$14="",AD$15="",AD$16="",AD$18="",AD$19="",AD$20="",AD$21=""),"",SUM($C19:AD19))</f>
        <v>34.71</v>
      </c>
      <c r="AE72" s="114">
        <f>IF(OR(AE$13="",AE$17="",AE$14="",AE$15="",AE$16="",AE$18="",AE$19="",AE$20="",AE$21=""),"",SUM($C19:AE19))</f>
        <v>34.71</v>
      </c>
      <c r="AF72" s="114">
        <f>IF(OR(AF$13="",AF$17="",AF$14="",AF$15="",AF$16="",AF$18="",AF$19="",AF$20="",AF$21=""),"",SUM($C19:AF19))</f>
        <v>34.71</v>
      </c>
      <c r="AG72" s="114">
        <f>IF(OR(AG$13="",AG$17="",AG$14="",AG$15="",AG$16="",AG$18="",AG$19="",AG$20="",AG$21=""),"",SUM($C19:AG19))</f>
        <v>34.71</v>
      </c>
      <c r="AH72" s="114">
        <f>IF(OR(AH$13="",AH$17="",AH$14="",AH$15="",AH$16="",AH$18="",AH$19="",AH$20="",AH$21=""),"",SUM($AH19:AH19))</f>
        <v>0</v>
      </c>
      <c r="AI72" s="114">
        <f>IF(OR(AI$13="",AI$17="",AI$14="",AI$15="",AI$16="",AI$18="",AI$19="",AI$20="",AI$21=""),"",SUM($AH19:AI19))</f>
        <v>0</v>
      </c>
      <c r="AJ72" s="114">
        <f>IF(OR(AJ$13="",AJ$17="",AJ$14="",AJ$15="",AJ$16="",AJ$18="",AJ$19="",AJ$20="",AJ$21=""),"",SUM($AH19:AJ19))</f>
        <v>0</v>
      </c>
      <c r="AK72" s="114">
        <f>IF(OR(AK$13="",AK$17="",AK$14="",AK$15="",AK$16="",AK$18="",AK$19="",AK$20="",AK$21=""),"",SUM($AH19:AK19))</f>
        <v>0</v>
      </c>
      <c r="AL72" s="114">
        <f>IF(OR(AL$13="",AL$17="",AL$14="",AL$15="",AL$16="",AL$18="",AL$19="",AL$20="",AL$21=""),"",SUM($AH19:AL19))</f>
        <v>3.78</v>
      </c>
      <c r="AM72" s="114">
        <f>IF(OR(AM$13="",AM$17="",AM$14="",AM$15="",AM$16="",AM$18="",AM$19="",AM$20="",AM$21=""),"",SUM($AH19:AM19))</f>
        <v>4.2799999999999994</v>
      </c>
      <c r="AN72" s="114">
        <f>IF(OR(AN$13="",AN$17="",AN$14="",AN$15="",AN$16="",AN$18="",AN$19="",AN$20="",AN$21=""),"",SUM($AH19:AN19))</f>
        <v>4.2799999999999994</v>
      </c>
      <c r="AO72" s="114">
        <f>IF(OR(AO$13="",AO$17="",AO$14="",AO$15="",AO$16="",AO$18="",AO$19="",AO$20="",AO$21=""),"",SUM($AH19:AO19))</f>
        <v>4.2799999999999994</v>
      </c>
      <c r="AP72" s="114">
        <f>IF(OR(AP$13="",AP$17="",AP$14="",AP$15="",AP$16="",AP$18="",AP$19="",AP$20="",AP$21=""),"",SUM($AH19:AP19))</f>
        <v>4.2799999999999994</v>
      </c>
      <c r="AQ72" s="114">
        <f>IF(OR(AQ$13="",AQ$17="",AQ$14="",AQ$15="",AQ$16="",AQ$18="",AQ$19="",AQ$20="",AQ$21=""),"",SUM($AH19:AQ19))</f>
        <v>5.56</v>
      </c>
      <c r="AR72" s="114">
        <f>IF(OR(AR$13="",AR$17="",AR$14="",AR$15="",AR$16="",AR$18="",AR$19="",AR$20="",AR$21=""),"",SUM($AH19:AR19))</f>
        <v>7.8599999999999994</v>
      </c>
      <c r="AS72" s="114">
        <f>IF(OR(AS$13="",AS$17="",AS$14="",AS$15="",AS$16="",AS$18="",AS$19="",AS$20="",AS$21=""),"",SUM($AH19:AS19))</f>
        <v>19.14</v>
      </c>
      <c r="AT72" s="114">
        <f>IF(OR(AT$13="",AT$17="",AT$14="",AT$15="",AT$16="",AT$18="",AT$19="",AT$20="",AT$21=""),"",SUM($AH19:AT19))</f>
        <v>37.32</v>
      </c>
      <c r="AU72" s="114">
        <f>IF(OR(AU$13="",AU$17="",AU$14="",AU$15="",AU$16="",AU$18="",AU$19="",AU$20="",AU$21=""),"",SUM($AH19:AU19))</f>
        <v>37.32</v>
      </c>
      <c r="AV72" s="114">
        <f>IF(OR(AV$13="",AV$17="",AV$14="",AV$15="",AV$16="",AV$18="",AV$19="",AV$20="",AV$21=""),"",SUM($AH19:AV19))</f>
        <v>37.32</v>
      </c>
      <c r="AW72" s="114">
        <f>IF(OR(AW$13="",AW$17="",AW$14="",AW$15="",AW$16="",AW$18="",AW$19="",AW$20="",AW$21=""),"",SUM($AH19:AW19))</f>
        <v>37.32</v>
      </c>
      <c r="AX72" s="114">
        <f>IF(OR(AX$13="",AX$17="",AX$14="",AX$15="",AX$16="",AX$18="",AX$19="",AX$20="",AX$21=""),"",SUM($AH19:AX19))</f>
        <v>43.4</v>
      </c>
      <c r="AY72" s="114">
        <f>IF(OR(AY$13="",AY$17="",AY$14="",AY$15="",AY$16="",AY$18="",AY$19="",AY$20="",AY$21=""),"",SUM($AH19:AY19))</f>
        <v>43.4</v>
      </c>
      <c r="AZ72" s="114">
        <f>IF(OR(AZ$13="",AZ$17="",AZ$14="",AZ$15="",AZ$16="",AZ$18="",AZ$19="",AZ$20="",AZ$21=""),"",SUM($AH19:AZ19))</f>
        <v>43.4</v>
      </c>
      <c r="BA72" s="114">
        <f>IF(OR(BA$13="",BA$17="",BA$14="",BA$15="",BA$16="",BA$18="",BA$19="",BA$20="",BA$21=""),"",SUM($AH19:BA19))</f>
        <v>43.4</v>
      </c>
      <c r="BB72" s="114">
        <f>IF(OR(BB$13="",BB$17="",BB$14="",BB$15="",BB$16="",BB$18="",BB$19="",BB$20="",BB$21=""),"",SUM($AH19:BB19))</f>
        <v>48.82</v>
      </c>
      <c r="BC72" s="114">
        <f>IF(OR(BC$13="",BC$17="",BC$14="",BC$15="",BC$16="",BC$18="",BC$19="",BC$20="",BC$21=""),"",SUM($AH19:BC19))</f>
        <v>93.289999999999992</v>
      </c>
      <c r="BD72" s="114">
        <f>IF(OR(BD$13="",BD$17="",BD$14="",BD$15="",BD$16="",BD$18="",BD$19="",BD$20="",BD$21=""),"",SUM($AH19:BD19))</f>
        <v>93.289999999999992</v>
      </c>
      <c r="BE72" s="114">
        <f>IF(OR(BE$13="",BE$17="",BE$14="",BE$15="",BE$16="",BE$18="",BE$19="",BE$20="",BE$21=""),"",SUM($AH19:BE19))</f>
        <v>94.419999999999987</v>
      </c>
      <c r="BF72" s="114">
        <f>IF(OR(BF$13="",BF$17="",BF$14="",BF$15="",BF$16="",BF$18="",BF$19="",BF$20="",BF$21=""),"",SUM($AH19:BF19))</f>
        <v>100.23999999999998</v>
      </c>
      <c r="BG72" s="114">
        <f>IF(OR(BG$13="",BG$17="",BG$14="",BG$15="",BG$16="",BG$18="",BG$19="",BG$20="",BG$21=""),"",SUM($AH19:BG19))</f>
        <v>100.23999999999998</v>
      </c>
      <c r="BH72" s="114">
        <f>IF(OR(BH$13="",BH$17="",BH$14="",BH$15="",BH$16="",BH$18="",BH$19="",BH$20="",BH$21=""),"",SUM($AH19:BH19))</f>
        <v>100.23999999999998</v>
      </c>
      <c r="BI72" s="114">
        <f>IF(OR(BI$13="",BI$17="",BI$14="",BI$15="",BI$16="",BI$18="",BI$19="",BI$20="",BI$21=""),"",SUM($AH19:BI19))</f>
        <v>100.23999999999998</v>
      </c>
      <c r="BJ72" s="114">
        <f>IF(OR(BJ$13="",BJ$17="",BJ$14="",BJ$15="",BJ$16="",BJ$18="",BJ$19="",BJ$20="",BJ$21=""),"",SUM($BJ19:BJ19))</f>
        <v>0</v>
      </c>
      <c r="BK72" s="114">
        <f>IF(OR(BK$13="",BK$17="",BK$14="",BK$15="",BK$16="",BK$18="",BK$19="",BK$20="",BK$21=""),"",SUM($BJ19:BK19))</f>
        <v>0</v>
      </c>
      <c r="BL72" s="114">
        <f>IF(OR(BL$13="",BL$17="",BL$14="",BL$15="",BL$16="",BL$18="",BL$19="",BL$20="",BL$21=""),"",SUM($BJ19:BL19))</f>
        <v>2.37</v>
      </c>
      <c r="BM72" s="114">
        <f>IF(OR(BM$13="",BM$17="",BM$14="",BM$15="",BM$16="",BM$18="",BM$19="",BM$20="",BM$21=""),"",SUM($BJ19:BM19))</f>
        <v>2.37</v>
      </c>
      <c r="BN72" s="114">
        <f>IF(OR(BN$13="",BN$17="",BN$14="",BN$15="",BN$16="",BN$18="",BN$19="",BN$20="",BN$21=""),"",SUM($BJ19:BN19))</f>
        <v>2.37</v>
      </c>
      <c r="BO72" s="114">
        <f>IF(OR(BO$13="",BO$17="",BO$14="",BO$15="",BO$16="",BO$18="",BO$19="",BO$20="",BO$21=""),"",SUM($BJ19:BO19))</f>
        <v>2.37</v>
      </c>
      <c r="BP72" s="114">
        <f>IF(OR(BP$13="",BP$17="",BP$14="",BP$15="",BP$16="",BP$18="",BP$19="",BP$20="",BP$21=""),"",SUM($BJ19:BP19))</f>
        <v>2.37</v>
      </c>
      <c r="BQ72" s="114">
        <f>IF(OR(BQ$13="",BQ$17="",BQ$14="",BQ$15="",BQ$16="",BQ$18="",BQ$19="",BQ$20="",BQ$21=""),"",SUM($BJ19:BQ19))</f>
        <v>2.37</v>
      </c>
      <c r="BR72" s="114">
        <f>IF(OR(BR$13="",BR$17="",BR$14="",BR$15="",BR$16="",BR$18="",BR$19="",BR$20="",BR$21=""),"",SUM($BJ19:BR19))</f>
        <v>12.850000000000001</v>
      </c>
      <c r="BS72" s="114">
        <f>IF(OR(BS$13="",BS$17="",BS$14="",BS$15="",BS$16="",BS$18="",BS$19="",BS$20="",BS$21=""),"",SUM($BJ19:BS19))</f>
        <v>12.850000000000001</v>
      </c>
      <c r="BT72" s="114">
        <f>IF(OR(BT$13="",BT$17="",BT$14="",BT$15="",BT$16="",BT$18="",BT$19="",BT$20="",BT$21=""),"",SUM($BJ19:BT19))</f>
        <v>12.850000000000001</v>
      </c>
      <c r="BU72" s="114">
        <f>IF(OR(BU$13="",BU$17="",BU$14="",BU$15="",BU$16="",BU$18="",BU$19="",BU$20="",BU$21=""),"",SUM($BJ19:BU19))</f>
        <v>12.850000000000001</v>
      </c>
      <c r="BV72" s="114">
        <f>IF(OR(BV$13="",BV$17="",BV$14="",BV$15="",BV$16="",BV$18="",BV$19="",BV$20="",BV$21=""),"",SUM($BJ19:BV19))</f>
        <v>12.850000000000001</v>
      </c>
      <c r="BW72" s="114">
        <f>IF(OR(BW$13="",BW$17="",BW$14="",BW$15="",BW$16="",BW$18="",BW$19="",BW$20="",BW$21=""),"",SUM($BJ19:BW19))</f>
        <v>12.850000000000001</v>
      </c>
      <c r="BX72" s="114">
        <f>IF(OR(BX$13="",BX$17="",BX$14="",BX$15="",BX$16="",BX$18="",BX$19="",BX$20="",BX$21=""),"",SUM($BJ19:BX19))</f>
        <v>12.850000000000001</v>
      </c>
      <c r="BY72" s="114">
        <f>IF(OR(BY$13="",BY$17="",BY$14="",BY$15="",BY$16="",BY$18="",BY$19="",BY$20="",BY$21=""),"",SUM($BJ19:BY19))</f>
        <v>12.850000000000001</v>
      </c>
      <c r="BZ72" s="114">
        <f>IF(OR(BZ$13="",BZ$17="",BZ$14="",BZ$15="",BZ$16="",BZ$18="",BZ$19="",BZ$20="",BZ$21=""),"",SUM($BJ19:BZ19))</f>
        <v>12.850000000000001</v>
      </c>
      <c r="CA72" s="114">
        <f>IF(OR(CA$13="",CA$17="",CA$14="",CA$15="",CA$16="",CA$18="",CA$19="",CA$20="",CA$21=""),"",SUM($BJ19:CA19))</f>
        <v>12.850000000000001</v>
      </c>
      <c r="CB72" s="114">
        <f>IF(OR(CB$13="",CB$17="",CB$14="",CB$15="",CB$16="",CB$18="",CB$19="",CB$20="",CB$21=""),"",SUM($BJ19:CB19))</f>
        <v>12.850000000000001</v>
      </c>
      <c r="CC72" s="114">
        <f>IF(OR(CC$13="",CC$17="",CC$14="",CC$15="",CC$16="",CC$18="",CC$19="",CC$20="",CC$21=""),"",SUM($BJ19:CC19))</f>
        <v>12.850000000000001</v>
      </c>
      <c r="CD72" s="114">
        <f>IF(OR(CD$13="",CD$17="",CD$14="",CD$15="",CD$16="",CD$18="",CD$19="",CD$20="",CD$21=""),"",SUM($BJ19:CD19))</f>
        <v>12.850000000000001</v>
      </c>
      <c r="CE72" s="114">
        <f>IF(OR(CE$13="",CE$17="",CE$14="",CE$15="",CE$16="",CE$18="",CE$19="",CE$20="",CE$21=""),"",SUM($BJ19:CE19))</f>
        <v>12.850000000000001</v>
      </c>
      <c r="CF72" s="114">
        <f>IF(OR(CF$13="",CF$17="",CF$14="",CF$15="",CF$16="",CF$18="",CF$19="",CF$20="",CF$21=""),"",SUM($BJ19:CF19))</f>
        <v>25.25</v>
      </c>
      <c r="CG72" s="114">
        <f>IF(OR(CG$13="",CG$17="",CG$14="",CG$15="",CG$16="",CG$18="",CG$19="",CG$20="",CG$21=""),"",SUM($BJ19:CG19))</f>
        <v>25.25</v>
      </c>
      <c r="CH72" s="114">
        <f>IF(OR(CH$13="",CH$17="",CH$14="",CH$15="",CH$16="",CH$18="",CH$19="",CH$20="",CH$21=""),"",SUM($BJ19:CH19))</f>
        <v>25.25</v>
      </c>
      <c r="CI72" s="114">
        <f>IF(OR(CI$13="",CI$17="",CI$14="",CI$15="",CI$16="",CI$18="",CI$19="",CI$20="",CI$21=""),"",SUM($BJ19:CI19))</f>
        <v>35.22</v>
      </c>
      <c r="CJ72" s="114">
        <f>IF(OR(CJ$13="",CJ$17="",CJ$14="",CJ$15="",CJ$16="",CJ$18="",CJ$19="",CJ$20="",CJ$21=""),"",SUM($BJ19:CJ19))</f>
        <v>35.22</v>
      </c>
      <c r="CK72" s="114">
        <f>IF(OR(CK$13="",CK$17="",CK$14="",CK$15="",CK$16="",CK$18="",CK$19="",CK$20="",CK$21=""),"",SUM($BJ19:CK19))</f>
        <v>35.22</v>
      </c>
      <c r="CL72" s="114">
        <f>IF(OR(CL$13="",CL$17="",CL$14="",CL$15="",CL$16="",CL$18="",CL$19="",CL$20="",CL$21=""),"",SUM($BJ19:CL19))</f>
        <v>35.22</v>
      </c>
      <c r="CM72" s="114">
        <f>IF(OR(CM$13="",CM$17="",CM$14="",CM$15="",CM$16="",CM$18="",CM$19="",CM$20="",CM$21=""),"",SUM($BJ19:CM19))</f>
        <v>40.450000000000003</v>
      </c>
      <c r="CN72" s="114">
        <f>IF(OR(CN$13="",CN$17="",CN$14="",CN$15="",CN$16="",CN$18="",CN$19="",CN$20="",CN$21=""),"",SUM($BJ19:CN19))</f>
        <v>40.450000000000003</v>
      </c>
      <c r="CO72" s="114">
        <f>IF(OR(CO$13="",CO$17="",CO$14="",CO$15="",CO$16="",CO$18="",CO$19="",CO$20="",CO$21=""),"",SUM($CO19:CO19))</f>
        <v>15.52</v>
      </c>
      <c r="CP72" s="114">
        <f>IF(OR(CP$13="",CP$17="",CP$14="",CP$15="",CP$16="",CP$18="",CP$19="",CP$20="",CP$21=""),"",SUM($CO19:CP19))</f>
        <v>15.9</v>
      </c>
      <c r="CQ72" s="114">
        <f>IF(OR(CQ$13="",CQ$17="",CQ$14="",CQ$15="",CQ$16="",CQ$18="",CQ$19="",CQ$20="",CQ$21=""),"",SUM($CO19:CQ19))</f>
        <v>15.9</v>
      </c>
      <c r="CR72" s="114">
        <f>IF(OR(CR$13="",CR$17="",CR$14="",CR$15="",CR$16="",CR$18="",CR$19="",CR$20="",CR$21=""),"",SUM($CO19:CR19))</f>
        <v>15.9</v>
      </c>
      <c r="CS72" s="114">
        <f>IF(OR(CS$13="",CS$17="",CS$14="",CS$15="",CS$16="",CS$18="",CS$19="",CS$20="",CS$21=""),"",SUM($CO19:CS19))</f>
        <v>26.6</v>
      </c>
      <c r="CT72" s="114">
        <f>IF(OR(CT$13="",CT$17="",CT$14="",CT$15="",CT$16="",CT$18="",CT$19="",CT$20="",CT$21=""),"",SUM($CO19:CT19))</f>
        <v>26.6</v>
      </c>
      <c r="CU72" s="114">
        <f>IF(OR(CU$13="",CU$17="",CU$14="",CU$15="",CU$16="",CU$18="",CU$19="",CU$20="",CU$21=""),"",SUM($CO19:CU19))</f>
        <v>26.6</v>
      </c>
      <c r="CV72" s="114">
        <f>IF(OR(CV$13="",CV$17="",CV$14="",CV$15="",CV$16="",CV$18="",CV$19="",CV$20="",CV$21=""),"",SUM($CO19:CV19))</f>
        <v>26.6</v>
      </c>
      <c r="CW72" s="114">
        <f>IF(OR(CW$13="",CW$17="",CW$14="",CW$15="",CW$16="",CW$18="",CW$19="",CW$20="",CW$21=""),"",SUM($CO19:CW19))</f>
        <v>30.020000000000003</v>
      </c>
      <c r="CX72" s="114">
        <f>IF(OR(CX$13="",CX$17="",CX$14="",CX$15="",CX$16="",CX$18="",CX$19="",CX$20="",CX$21=""),"",SUM($CO19:CX19))</f>
        <v>30.020000000000003</v>
      </c>
      <c r="CY72" s="114">
        <f>IF(OR(CY$13="",CY$17="",CY$14="",CY$15="",CY$16="",CY$18="",CY$19="",CY$20="",CY$21=""),"",SUM($CO19:CY19))</f>
        <v>30.020000000000003</v>
      </c>
      <c r="CZ72" s="114">
        <f>IF(OR(CZ$13="",CZ$17="",CZ$14="",CZ$15="",CZ$16="",CZ$18="",CZ$19="",CZ$20="",CZ$21=""),"",SUM($CO19:CZ19))</f>
        <v>30.020000000000003</v>
      </c>
      <c r="DA72" s="114">
        <f>IF(OR(DA$13="",DA$17="",DA$14="",DA$15="",DA$16="",DA$18="",DA$19="",DA$20="",DA$21=""),"",SUM($CO19:DA19))</f>
        <v>31.020000000000003</v>
      </c>
      <c r="DB72" s="114">
        <f>IF(OR(DB$13="",DB$17="",DB$14="",DB$15="",DB$16="",DB$18="",DB$19="",DB$20="",DB$21=""),"",SUM($CO19:DB19))</f>
        <v>31.020000000000003</v>
      </c>
      <c r="DC72" s="114">
        <f>IF(OR(DC$13="",DC$17="",DC$14="",DC$15="",DC$16="",DC$18="",DC$19="",DC$20="",DC$21=""),"",SUM($CO19:DC19))</f>
        <v>31.020000000000003</v>
      </c>
      <c r="DD72" s="114">
        <f>IF(OR(DD$13="",DD$17="",DD$14="",DD$15="",DD$16="",DD$18="",DD$19="",DD$20="",DD$21=""),"",SUM($CO19:DD19))</f>
        <v>31.150000000000002</v>
      </c>
      <c r="DE72" s="114">
        <f>IF(OR(DE$13="",DE$17="",DE$14="",DE$15="",DE$16="",DE$18="",DE$19="",DE$20="",DE$21=""),"",SUM($CO19:DE19))</f>
        <v>31.150000000000002</v>
      </c>
      <c r="DF72" s="114">
        <f>IF(OR(DF$13="",DF$17="",DF$14="",DF$15="",DF$16="",DF$18="",DF$19="",DF$20="",DF$21=""),"",SUM($CO19:DF19))</f>
        <v>35.32</v>
      </c>
      <c r="DG72" s="114">
        <f>IF(OR(DG$13="",DG$17="",DG$14="",DG$15="",DG$16="",DG$18="",DG$19="",DG$20="",DG$21=""),"",SUM($CO19:DG19))</f>
        <v>35.32</v>
      </c>
      <c r="DH72" s="114">
        <f>IF(OR(DH$13="",DH$17="",DH$14="",DH$15="",DH$16="",DH$18="",DH$19="",DH$20="",DH$21=""),"",SUM($CO19:DH19))</f>
        <v>37.67</v>
      </c>
      <c r="DI72" s="114">
        <f>IF(OR(DI$13="",DI$17="",DI$14="",DI$15="",DI$16="",DI$18="",DI$19="",DI$20="",DI$21=""),"",SUM($CO19:DI19))</f>
        <v>41.25</v>
      </c>
      <c r="DJ72" s="114">
        <f>IF(OR(DJ$13="",DJ$17="",DJ$14="",DJ$15="",DJ$16="",DJ$18="",DJ$19="",DJ$20="",DJ$21=""),"",SUM($CO19:DJ19))</f>
        <v>211.52</v>
      </c>
      <c r="DK72" s="114">
        <f>IF(OR(DK$13="",DK$17="",DK$14="",DK$15="",DK$16="",DK$18="",DK$19="",DK$20="",DK$21=""),"",SUM($CO19:DK19))</f>
        <v>211.52</v>
      </c>
      <c r="DL72" s="114">
        <f>IF(OR(DL$13="",DL$17="",DL$14="",DL$15="",DL$16="",DL$18="",DL$19="",DL$20="",DL$21=""),"",SUM($CO19:DL19))</f>
        <v>211.52</v>
      </c>
      <c r="DM72" s="114">
        <f>IF(OR(DM$13="",DM$17="",DM$14="",DM$15="",DM$16="",DM$18="",DM$19="",DM$20="",DM$21=""),"",SUM($CO19:DM19))</f>
        <v>211.52</v>
      </c>
      <c r="DN72" s="114">
        <f>IF(OR(DN$13="",DN$17="",DN$14="",DN$15="",DN$16="",DN$18="",DN$19="",DN$20="",DN$21=""),"",SUM($CO19:DN19))</f>
        <v>211.52</v>
      </c>
      <c r="DO72" s="114">
        <f>IF(OR(DO$13="",DO$17="",DO$14="",DO$15="",DO$16="",DO$18="",DO$19="",DO$20="",DO$21=""),"",SUM($CO19:DO19))</f>
        <v>211.52</v>
      </c>
      <c r="DP72" s="114">
        <f>IF(OR(DP$13="",DP$17="",DP$14="",DP$15="",DP$16="",DP$18="",DP$19="",DP$20="",DP$21=""),"",SUM($CO19:DP19))</f>
        <v>211.52</v>
      </c>
      <c r="DQ72" s="114">
        <f>IF(OR(DQ$13="",DQ$17="",DQ$14="",DQ$15="",DQ$16="",DQ$18="",DQ$19="",DQ$20="",DQ$21=""),"",SUM($CO19:DQ19))</f>
        <v>211.52</v>
      </c>
      <c r="DR72" s="114">
        <f>IF(OR(DR$13="",DR$17="",DR$14="",DR$15="",DR$16="",DR$18="",DR$19="",DR$20="",DR$21=""),"",SUM($CO19:DR19))</f>
        <v>211.52</v>
      </c>
      <c r="DS72" s="114">
        <f>IF(OR(DS$13="",DS$17="",DS$14="",DS$15="",DS$16="",DS$18="",DS$19="",DS$20="",DS$21=""),"",SUM($DS19:DS19))</f>
        <v>0</v>
      </c>
      <c r="DT72" s="114">
        <f>IF(OR(DT$13="",DT$17="",DT$14="",DT$15="",DT$16="",DT$18="",DT$19="",DT$20="",DT$21=""),"",SUM($DS19:DT19))</f>
        <v>0.83</v>
      </c>
      <c r="DU72" s="114">
        <f>IF(OR(DU$13="",DU$17="",DU$14="",DU$15="",DU$16="",DU$18="",DU$19="",DU$20="",DU$21=""),"",SUM($DS19:DU19))</f>
        <v>9.1</v>
      </c>
      <c r="DV72" s="114">
        <f>IF(OR(DV$13="",DV$17="",DV$14="",DV$15="",DV$16="",DV$18="",DV$19="",DV$20="",DV$21=""),"",SUM($DS19:DV19))</f>
        <v>11.8</v>
      </c>
      <c r="DW72" s="114">
        <f>IF(OR(DW$13="",DW$17="",DW$14="",DW$15="",DW$16="",DW$18="",DW$19="",DW$20="",DW$21=""),"",SUM($DS19:DW19))</f>
        <v>52.019999999999996</v>
      </c>
      <c r="DX72" s="114">
        <f>IF(OR(DX$13="",DX$17="",DX$14="",DX$15="",DX$16="",DX$18="",DX$19="",DX$20="",DX$21=""),"",SUM($DS19:DX19))</f>
        <v>52.019999999999996</v>
      </c>
      <c r="DY72" s="114">
        <f>IF(OR(DY$13="",DY$17="",DY$14="",DY$15="",DY$16="",DY$18="",DY$19="",DY$20="",DY$21=""),"",SUM($DS19:DY19))</f>
        <v>52.019999999999996</v>
      </c>
      <c r="DZ72" s="114">
        <f>IF(OR(DZ$13="",DZ$17="",DZ$14="",DZ$15="",DZ$16="",DZ$18="",DZ$19="",DZ$20="",DZ$21=""),"",SUM($DS19:DZ19))</f>
        <v>52.019999999999996</v>
      </c>
      <c r="EA72" s="114">
        <f>IF(OR(EA$13="",EA$17="",EA$14="",EA$15="",EA$16="",EA$18="",EA$19="",EA$20="",EA$21=""),"",SUM($DS19:EA19))</f>
        <v>53.169999999999995</v>
      </c>
      <c r="EB72" s="114">
        <f>IF(OR(EB$13="",EB$17="",EB$14="",EB$15="",EB$16="",EB$18="",EB$19="",EB$20="",EB$21=""),"",SUM($DS19:EB19))</f>
        <v>53.169999999999995</v>
      </c>
      <c r="EC72" s="114">
        <f>IF(OR(EC$13="",EC$17="",EC$14="",EC$15="",EC$16="",EC$18="",EC$19="",EC$20="",EC$21=""),"",SUM($DS19:EC19))</f>
        <v>53.169999999999995</v>
      </c>
      <c r="ED72" s="114">
        <f>IF(OR(ED$13="",ED$17="",ED$14="",ED$15="",ED$16="",ED$18="",ED$19="",ED$20="",ED$21=""),"",SUM($DS19:ED19))</f>
        <v>53.169999999999995</v>
      </c>
      <c r="EE72" s="114">
        <f>IF(OR(EE$13="",EE$17="",EE$14="",EE$15="",EE$16="",EE$18="",EE$19="",EE$20="",EE$21=""),"",SUM($DS19:EE19))</f>
        <v>53.169999999999995</v>
      </c>
      <c r="EF72" s="114">
        <f>IF(OR(EF$13="",EF$17="",EF$14="",EF$15="",EF$16="",EF$18="",EF$19="",EF$20="",EF$21=""),"",SUM($DS19:EF19))</f>
        <v>54.019999999999996</v>
      </c>
      <c r="EG72" s="114">
        <f>IF(OR(EG$13="",EG$17="",EG$14="",EG$15="",EG$16="",EG$18="",EG$19="",EG$20="",EG$21=""),"",SUM($DS19:EG19))</f>
        <v>63.72</v>
      </c>
      <c r="EH72" s="114">
        <f>IF(OR(EH$13="",EH$17="",EH$14="",EH$15="",EH$16="",EH$18="",EH$19="",EH$20="",EH$21=""),"",SUM($DS19:EH19))</f>
        <v>63.72</v>
      </c>
      <c r="EI72" s="114">
        <f>IF(OR(EI$13="",EI$17="",EI$14="",EI$15="",EI$16="",EI$18="",EI$19="",EI$20="",EI$21=""),"",SUM($DS19:EI19))</f>
        <v>64.17</v>
      </c>
      <c r="EJ72" s="114">
        <f>IF(OR(EJ$13="",EJ$17="",EJ$14="",EJ$15="",EJ$16="",EJ$18="",EJ$19="",EJ$20="",EJ$21=""),"",SUM($DS19:EJ19))</f>
        <v>64.17</v>
      </c>
      <c r="EK72" s="114">
        <f>IF(OR(EK$13="",EK$17="",EK$14="",EK$15="",EK$16="",EK$18="",EK$19="",EK$20="",EK$21=""),"",SUM($DS19:EK19))</f>
        <v>64.17</v>
      </c>
      <c r="EL72" s="114">
        <f>IF(OR(EL$13="",EL$17="",EL$14="",EL$15="",EL$16="",EL$18="",EL$19="",EL$20="",EL$21=""),"",SUM($DS19:EL19))</f>
        <v>64.17</v>
      </c>
      <c r="EM72" s="114">
        <f>IF(OR(EM$13="",EM$17="",EM$14="",EM$15="",EM$16="",EM$18="",EM$19="",EM$20="",EM$21=""),"",SUM($DS19:EM19))</f>
        <v>64.290000000000006</v>
      </c>
      <c r="EN72" s="114">
        <f>IF(OR(EN$13="",EN$17="",EN$14="",EN$15="",EN$16="",EN$18="",EN$19="",EN$20="",EN$21=""),"",SUM($DS19:EN19))</f>
        <v>64.290000000000006</v>
      </c>
      <c r="EO72" s="114">
        <f>IF(OR(EO$13="",EO$17="",EO$14="",EO$15="",EO$16="",EO$18="",EO$19="",EO$20="",EO$21=""),"",SUM($DS19:EO19))</f>
        <v>64.290000000000006</v>
      </c>
      <c r="EP72" s="114">
        <f>IF(OR(EP$13="",EP$17="",EP$14="",EP$15="",EP$16="",EP$18="",EP$19="",EP$20="",EP$21=""),"",SUM($DS19:EP19))</f>
        <v>64.290000000000006</v>
      </c>
      <c r="EQ72" s="114">
        <f>IF(OR(EQ$13="",EQ$17="",EQ$14="",EQ$15="",EQ$16="",EQ$18="",EQ$19="",EQ$20="",EQ$21=""),"",SUM($DS19:EQ19))</f>
        <v>65.190000000000012</v>
      </c>
      <c r="ER72" s="114">
        <f>IF(OR(ER$13="",ER$17="",ER$14="",ER$15="",ER$16="",ER$18="",ER$19="",ER$20="",ER$21=""),"",SUM($DS19:ER19))</f>
        <v>65.190000000000012</v>
      </c>
      <c r="ES72" s="114">
        <f>IF(OR(ES$13="",ES$17="",ES$14="",ES$15="",ES$16="",ES$18="",ES$19="",ES$20="",ES$21=""),"",SUM($DS19:ES19))</f>
        <v>65.190000000000012</v>
      </c>
      <c r="ET72" s="114">
        <f>IF(OR(ET$13="",ET$17="",ET$14="",ET$15="",ET$16="",ET$18="",ET$19="",ET$20="",ET$21=""),"",SUM($DS19:ET19))</f>
        <v>65.190000000000012</v>
      </c>
      <c r="EU72" s="114">
        <f>IF(OR(EU$13="",EU$17="",EU$14="",EU$15="",EU$16="",EU$18="",EU$19="",EU$20="",EU$21=""),"",SUM($DS19:EU19))</f>
        <v>68.190000000000012</v>
      </c>
      <c r="EV72" s="114">
        <f>IF(OR(EV$13="",EV$17="",EV$14="",EV$15="",EV$16="",EV$18="",EV$19="",EV$20="",EV$21=""),"",SUM($DS19:EV19))</f>
        <v>68.190000000000012</v>
      </c>
      <c r="EW72" s="114">
        <f>IF(OR(EW$13="",EW$17="",EW$14="",EW$15="",EW$16="",EW$18="",EW$19="",EW$20="",EW$21=""),"",SUM($DS19:EW19))</f>
        <v>68.190000000000012</v>
      </c>
      <c r="EX72" s="114">
        <f>IF(OR(EX$13="",EX$17="",EX$14="",EX$15="",EX$16="",EX$18="",EX$19="",EX$20="",EX$21=""),"",SUM($EX19:EX19))</f>
        <v>0</v>
      </c>
      <c r="EY72" s="114">
        <f>IF(OR(EY$13="",EY$17="",EY$14="",EY$15="",EY$16="",EY$18="",EY$19="",EY$20="",EY$21=""),"",SUM($EX19:EY19))</f>
        <v>0</v>
      </c>
      <c r="EZ72" s="114">
        <f>IF(OR(EZ$13="",EZ$17="",EZ$14="",EZ$15="",EZ$16="",EZ$18="",EZ$19="",EZ$20="",EZ$21=""),"",SUM($EX19:EZ19))</f>
        <v>0</v>
      </c>
      <c r="FA72" s="114">
        <f>IF(OR(FA$13="",FA$17="",FA$14="",FA$15="",FA$16="",FA$18="",FA$19="",FA$20="",FA$21=""),"",SUM($EX19:FA19))</f>
        <v>0</v>
      </c>
      <c r="FB72" s="114">
        <f>IF(OR(FB$13="",FB$17="",FB$14="",FB$15="",FB$16="",FB$18="",FB$19="",FB$20="",FB$21=""),"",SUM($EX19:FB19))</f>
        <v>0</v>
      </c>
      <c r="FC72" s="114">
        <f>IF(OR(FC$13="",FC$17="",FC$14="",FC$15="",FC$16="",FC$18="",FC$19="",FC$20="",FC$21=""),"",SUM($EX19:FC19))</f>
        <v>0</v>
      </c>
      <c r="FD72" s="114">
        <f>IF(OR(FD$13="",FD$17="",FD$14="",FD$15="",FD$16="",FD$18="",FD$19="",FD$20="",FD$21=""),"",SUM($EX19:FD19))</f>
        <v>7.22</v>
      </c>
      <c r="FE72" s="114">
        <f>IF(OR(FE$13="",FE$17="",FE$14="",FE$15="",FE$16="",FE$18="",FE$19="",FE$20="",FE$21=""),"",SUM($EX19:FE19))</f>
        <v>19.02</v>
      </c>
      <c r="FF72" s="114">
        <f>IF(OR(FF$13="",FF$17="",FF$14="",FF$15="",FF$16="",FF$18="",FF$19="",FF$20="",FF$21=""),"",SUM($EX19:FF19))</f>
        <v>19.02</v>
      </c>
      <c r="FG72" s="114">
        <f>IF(OR(FG$13="",FG$17="",FG$14="",FG$15="",FG$16="",FG$18="",FG$19="",FG$20="",FG$21=""),"",SUM($EX19:FG19))</f>
        <v>28.58</v>
      </c>
      <c r="FH72" s="114">
        <f>IF(OR(FH$13="",FH$17="",FH$14="",FH$15="",FH$16="",FH$18="",FH$19="",FH$20="",FH$21=""),"",SUM($EX19:FH19))</f>
        <v>35.65</v>
      </c>
      <c r="FI72" s="114">
        <f>IF(OR(FI$13="",FI$17="",FI$14="",FI$15="",FI$16="",FI$18="",FI$19="",FI$20="",FI$21=""),"",SUM($EX19:FI19))</f>
        <v>37.03</v>
      </c>
      <c r="FJ72" s="114">
        <f>IF(OR(FJ$13="",FJ$17="",FJ$14="",FJ$15="",FJ$16="",FJ$18="",FJ$19="",FJ$20="",FJ$21=""),"",SUM($EX19:FJ19))</f>
        <v>37.03</v>
      </c>
      <c r="FK72" s="114">
        <f>IF(OR(FK$13="",FK$17="",FK$14="",FK$15="",FK$16="",FK$18="",FK$19="",FK$20="",FK$21=""),"",SUM($EX19:FK19))</f>
        <v>37.03</v>
      </c>
      <c r="FL72" s="114">
        <f>IF(OR(FL$13="",FL$17="",FL$14="",FL$15="",FL$16="",FL$18="",FL$19="",FL$20="",FL$21=""),"",SUM($EX19:FL19))</f>
        <v>37.03</v>
      </c>
      <c r="FM72" s="114">
        <f>IF(OR(FM$13="",FM$17="",FM$14="",FM$15="",FM$16="",FM$18="",FM$19="",FM$20="",FM$21=""),"",SUM($EX19:FM19))</f>
        <v>37.03</v>
      </c>
      <c r="FN72" s="114">
        <f>IF(OR(FN$13="",FN$17="",FN$14="",FN$15="",FN$16="",FN$18="",FN$19="",FN$20="",FN$21=""),"",SUM($EX19:FN19))</f>
        <v>37.03</v>
      </c>
      <c r="FO72" s="114">
        <f>IF(OR(FO$13="",FO$17="",FO$14="",FO$15="",FO$16="",FO$18="",FO$19="",FO$20="",FO$21=""),"",SUM($EX19:FO19))</f>
        <v>37.03</v>
      </c>
      <c r="FP72" s="114">
        <f>IF(OR(FP$13="",FP$17="",FP$14="",FP$15="",FP$16="",FP$18="",FP$19="",FP$20="",FP$21=""),"",SUM($EX19:FP19))</f>
        <v>37.03</v>
      </c>
      <c r="FQ72" s="114">
        <f>IF(OR(FQ$13="",FQ$17="",FQ$14="",FQ$15="",FQ$16="",FQ$18="",FQ$19="",FQ$20="",FQ$21=""),"",SUM($EX19:FQ19))</f>
        <v>37.03</v>
      </c>
      <c r="FR72" s="114">
        <f>IF(OR(FR$13="",FR$17="",FR$14="",FR$15="",FR$16="",FR$18="",FR$19="",FR$20="",FR$21=""),"",SUM($EX19:FR19))</f>
        <v>37.03</v>
      </c>
      <c r="FS72" s="114">
        <f>IF(OR(FS$13="",FS$17="",FS$14="",FS$15="",FS$16="",FS$18="",FS$19="",FS$20="",FS$21=""),"",SUM($EX19:FS19))</f>
        <v>37.03</v>
      </c>
      <c r="FT72" s="114">
        <f>IF(OR(FT$13="",FT$17="",FT$14="",FT$15="",FT$16="",FT$18="",FT$19="",FT$20="",FT$21=""),"",SUM($EX19:FT19))</f>
        <v>37.03</v>
      </c>
      <c r="FU72" s="114">
        <f>IF(OR(FU$13="",FU$17="",FU$14="",FU$15="",FU$16="",FU$18="",FU$19="",FU$20="",FU$21=""),"",SUM($EX19:FU19))</f>
        <v>37.03</v>
      </c>
      <c r="FV72" s="114">
        <f>IF(OR(FV$13="",FV$17="",FV$14="",FV$15="",FV$16="",FV$18="",FV$19="",FV$20="",FV$21=""),"",SUM($EX19:FV19))</f>
        <v>37.03</v>
      </c>
      <c r="FW72" s="114">
        <f>IF(OR(FW$13="",FW$17="",FW$14="",FW$15="",FW$16="",FW$18="",FW$19="",FW$20="",FW$21=""),"",SUM($EX19:FW19))</f>
        <v>42.88</v>
      </c>
      <c r="FX72" s="114">
        <f>IF(OR(FX$13="",FX$17="",FX$14="",FX$15="",FX$16="",FX$18="",FX$19="",FX$20="",FX$21=""),"",SUM($EX19:FX19))</f>
        <v>42.88</v>
      </c>
      <c r="FY72" s="114">
        <f>IF(OR(FY$13="",FY$17="",FY$14="",FY$15="",FY$16="",FY$18="",FY$19="",FY$20="",FY$21=""),"",SUM($EX19:FY19))</f>
        <v>42.88</v>
      </c>
      <c r="FZ72" s="114">
        <f>IF(OR(FZ$13="",FZ$17="",FZ$14="",FZ$15="",FZ$16="",FZ$18="",FZ$19="",FZ$20="",FZ$21=""),"",SUM($EX19:FZ19))</f>
        <v>43.06</v>
      </c>
      <c r="GA72" s="114">
        <f>IF(OR(GA$13="",GA$17="",GA$14="",GA$15="",GA$16="",GA$18="",GA$19="",GA$20="",GA$21=""),"",SUM($EX19:GA19))</f>
        <v>43.06</v>
      </c>
      <c r="GB72" s="114">
        <f>IF(OR(GB$13="",GB$17="",GB$14="",GB$15="",GB$16="",GB$18="",GB$19="",GB$20="",GB$21=""),"",SUM($GB19:GB19))</f>
        <v>0</v>
      </c>
      <c r="GC72" s="114">
        <f>IF(OR(GC$13="",GC$17="",GC$14="",GC$15="",GC$16="",GC$18="",GC$19="",GC$20="",GC$21=""),"",SUM($GB19:GC19))</f>
        <v>0</v>
      </c>
      <c r="GD72" s="114">
        <f>IF(OR(GD$13="",GD$17="",GD$14="",GD$15="",GD$16="",GD$18="",GD$19="",GD$20="",GD$21=""),"",SUM($GB19:GD19))</f>
        <v>0</v>
      </c>
      <c r="GE72" s="114">
        <f>IF(OR(GE$13="",GE$17="",GE$14="",GE$15="",GE$16="",GE$18="",GE$19="",GE$20="",GE$21=""),"",SUM($GB19:GE19))</f>
        <v>1.87</v>
      </c>
      <c r="GF72" s="114">
        <f>IF(OR(GF$13="",GF$17="",GF$14="",GF$15="",GF$16="",GF$18="",GF$19="",GF$20="",GF$21=""),"",SUM($GB19:GF19))</f>
        <v>1.87</v>
      </c>
      <c r="GG72" s="114">
        <f>IF(OR(GG$13="",GG$17="",GG$14="",GG$15="",GG$16="",GG$18="",GG$19="",GG$20="",GG$21=""),"",SUM($GB19:GG19))</f>
        <v>1.87</v>
      </c>
      <c r="GH72" s="114">
        <f>IF(OR(GH$13="",GH$17="",GH$14="",GH$15="",GH$16="",GH$18="",GH$19="",GH$20="",GH$21=""),"",SUM($GB19:GH19))</f>
        <v>1.87</v>
      </c>
      <c r="GI72" s="114">
        <f>IF(OR(GI$13="",GI$17="",GI$14="",GI$15="",GI$16="",GI$18="",GI$19="",GI$20="",GI$21=""),"",SUM($GB19:GI19))</f>
        <v>1.87</v>
      </c>
      <c r="GJ72" s="114">
        <f>IF(OR(GJ$13="",GJ$17="",GJ$14="",GJ$15="",GJ$16="",GJ$18="",GJ$19="",GJ$20="",GJ$21=""),"",SUM($GB19:GJ19))</f>
        <v>1.87</v>
      </c>
      <c r="GK72" s="114">
        <f>IF(OR(GK$13="",GK$17="",GK$14="",GK$15="",GK$16="",GK$18="",GK$19="",GK$20="",GK$21=""),"",SUM($GB19:GK19))</f>
        <v>1.87</v>
      </c>
      <c r="GL72" s="114">
        <f>IF(OR(GL$13="",GL$17="",GL$14="",GL$15="",GL$16="",GL$18="",GL$19="",GL$20="",GL$21=""),"",SUM($GB19:GL19))</f>
        <v>1.87</v>
      </c>
      <c r="GM72" s="114">
        <f>IF(OR(GM$13="",GM$17="",GM$14="",GM$15="",GM$16="",GM$18="",GM$19="",GM$20="",GM$21=""),"",SUM($GB19:GM19))</f>
        <v>1.87</v>
      </c>
      <c r="GN72" s="114">
        <f>IF(OR(GN$13="",GN$17="",GN$14="",GN$15="",GN$16="",GN$18="",GN$19="",GN$20="",GN$21=""),"",SUM($GB19:GN19))</f>
        <v>1.87</v>
      </c>
      <c r="GO72" s="114">
        <f>IF(OR(GO$13="",GO$17="",GO$14="",GO$15="",GO$16="",GO$18="",GO$19="",GO$20="",GO$21=""),"",SUM($GB19:GO19))</f>
        <v>1.87</v>
      </c>
      <c r="GP72" s="114">
        <f>IF(OR(GP$13="",GP$17="",GP$14="",GP$15="",GP$16="",GP$18="",GP$19="",GP$20="",GP$21=""),"",SUM($GB19:GP19))</f>
        <v>1.87</v>
      </c>
      <c r="GQ72" s="114">
        <f>IF(OR(GQ$13="",GQ$17="",GQ$14="",GQ$15="",GQ$16="",GQ$18="",GQ$19="",GQ$20="",GQ$21=""),"",SUM($GB19:GQ19))</f>
        <v>4.24</v>
      </c>
      <c r="GR72" s="114">
        <f>IF(OR(GR$13="",GR$17="",GR$14="",GR$15="",GR$16="",GR$18="",GR$19="",GR$20="",GR$21=""),"",SUM($GB19:GR19))</f>
        <v>10.24</v>
      </c>
      <c r="GS72" s="114">
        <f>IF(OR(GS$13="",GS$17="",GS$14="",GS$15="",GS$16="",GS$18="",GS$19="",GS$20="",GS$21=""),"",SUM($GB19:GS19))</f>
        <v>10.24</v>
      </c>
      <c r="GT72" s="114">
        <f>IF(OR(GT$13="",GT$17="",GT$14="",GT$15="",GT$16="",GT$18="",GT$19="",GT$20="",GT$21=""),"",SUM($GB19:GT19))</f>
        <v>17.690000000000001</v>
      </c>
      <c r="GU72" s="114">
        <f>IF(OR(GU$13="",GU$17="",GU$14="",GU$15="",GU$16="",GU$18="",GU$19="",GU$20="",GU$21=""),"",SUM($GB19:GU19))</f>
        <v>17.690000000000001</v>
      </c>
      <c r="GV72" s="114">
        <f>IF(OR(GV$13="",GV$17="",GV$14="",GV$15="",GV$16="",GV$18="",GV$19="",GV$20="",GV$21=""),"",SUM($GB19:GV19))</f>
        <v>171.04</v>
      </c>
      <c r="GW72" s="114">
        <f>IF(OR(GW$13="",GW$17="",GW$14="",GW$15="",GW$16="",GW$18="",GW$19="",GW$20="",GW$21=""),"",SUM($GB19:GW19))</f>
        <v>171.04</v>
      </c>
      <c r="GX72" s="114">
        <f>IF(OR(GX$13="",GX$17="",GX$14="",GX$15="",GX$16="",GX$18="",GX$19="",GX$20="",GX$21=""),"",SUM($GB19:GX19))</f>
        <v>171.04</v>
      </c>
      <c r="GY72" s="114">
        <f>IF(OR(GY$13="",GY$17="",GY$14="",GY$15="",GY$16="",GY$18="",GY$19="",GY$20="",GY$21=""),"",SUM($GB19:GY19))</f>
        <v>171.04</v>
      </c>
      <c r="GZ72" s="114">
        <f>IF(OR(GZ$13="",GZ$17="",GZ$14="",GZ$15="",GZ$16="",GZ$18="",GZ$19="",GZ$20="",GZ$21=""),"",SUM($GB19:GZ19))</f>
        <v>171.04</v>
      </c>
      <c r="HA72" s="114">
        <f>IF(OR(HA$13="",HA$17="",HA$14="",HA$15="",HA$16="",HA$18="",HA$19="",HA$20="",HA$21=""),"",SUM($GB19:HA19))</f>
        <v>171.04</v>
      </c>
      <c r="HB72" s="114">
        <f>IF(OR(HB$13="",HB$17="",HB$14="",HB$15="",HB$16="",HB$18="",HB$19="",HB$20="",HB$21=""),"",SUM($GB19:HB19))</f>
        <v>316.14</v>
      </c>
      <c r="HC72" s="114">
        <f>IF(OR(HC$13="",HC$17="",HC$14="",HC$15="",HC$16="",HC$18="",HC$19="",HC$20="",HC$21=""),"",SUM($GB19:HC19))</f>
        <v>316.14</v>
      </c>
      <c r="HD72" s="114">
        <f>IF(OR(HD$13="",HD$17="",HD$14="",HD$15="",HD$16="",HD$18="",HD$19="",HD$20="",HD$21=""),"",SUM($GB19:HD19))</f>
        <v>316.14</v>
      </c>
      <c r="HE72" s="114">
        <f>IF(OR(HE$13="",HE$17="",HE$14="",HE$15="",HE$16="",HE$18="",HE$19="",HE$20="",HE$21=""),"",SUM($GB19:HE19))</f>
        <v>316.14</v>
      </c>
      <c r="HF72" s="114">
        <f>IF(OR(HF$13="",HF$17="",HF$14="",HF$15="",HF$16="",HF$18="",HF$19="",HF$20="",HF$21=""),"",SUM($GB19:HF19))</f>
        <v>316.14</v>
      </c>
      <c r="HG72" s="114">
        <f>IF(OR(HG$13="",HG$17="",HG$14="",HG$15="",HG$16="",HG$18="",HG$19="",HG$20="",HG$21=""),"",SUM($HG19:HG19))</f>
        <v>0</v>
      </c>
      <c r="HH72" s="114">
        <f>IF(OR(HH$13="",HH$17="",HH$14="",HH$15="",HH$16="",HH$18="",HH$19="",HH$20="",HH$21=""),"",SUM($HG19:HH19))</f>
        <v>0</v>
      </c>
      <c r="HI72" s="114">
        <f>IF(OR(HI$13="",HI$17="",HI$14="",HI$15="",HI$16="",HI$18="",HI$19="",HI$20="",HI$21=""),"",SUM($HG19:HI19))</f>
        <v>0</v>
      </c>
      <c r="HJ72" s="114">
        <f>IF(OR(HJ$13="",HJ$17="",HJ$14="",HJ$15="",HJ$16="",HJ$18="",HJ$19="",HJ$20="",HJ$21=""),"",SUM($HG19:HJ19))</f>
        <v>0</v>
      </c>
      <c r="HK72" s="114">
        <f>IF(OR(HK$13="",HK$17="",HK$14="",HK$15="",HK$16="",HK$18="",HK$19="",HK$20="",HK$21=""),"",SUM($HG19:HK19))</f>
        <v>1.0241666666666667</v>
      </c>
      <c r="HL72" s="114">
        <f>IF(OR(HL$13="",HL$17="",HL$14="",HL$15="",HL$16="",HL$18="",HL$19="",HL$20="",HL$21=""),"",SUM($HG19:HL19))</f>
        <v>1.0241666666666667</v>
      </c>
      <c r="HM72" s="114">
        <f>IF(OR(HM$13="",HM$17="",HM$14="",HM$15="",HM$16="",HM$18="",HM$19="",HM$20="",HM$21=""),"",SUM($HG19:HM19))</f>
        <v>4.5394444444444444</v>
      </c>
      <c r="HN72" s="114">
        <f>IF(OR(HN$13="",HN$17="",HN$14="",HN$15="",HN$16="",HN$18="",HN$19="",HN$20="",HN$21=""),"",SUM($HG19:HN19))</f>
        <v>5.5997222222222227</v>
      </c>
      <c r="HO72" s="114">
        <f>IF(OR(HO$13="",HO$17="",HO$14="",HO$15="",HO$16="",HO$18="",HO$19="",HO$20="",HO$21=""),"",SUM($HG19:HO19))</f>
        <v>5.5997222222222227</v>
      </c>
      <c r="HP72" s="114">
        <f>IF(OR(HP$13="",HP$17="",HP$14="",HP$15="",HP$16="",HP$18="",HP$19="",HP$20="",HP$21=""),"",SUM($HG19:HP19))</f>
        <v>5.5997222222222227</v>
      </c>
      <c r="HQ72" s="114">
        <f>IF(OR(HQ$13="",HQ$17="",HQ$14="",HQ$15="",HQ$16="",HQ$18="",HQ$19="",HQ$20="",HQ$21=""),"",SUM($HG19:HQ19))</f>
        <v>5.5997222222222227</v>
      </c>
      <c r="HR72" s="114">
        <f>IF(OR(HR$13="",HR$17="",HR$14="",HR$15="",HR$16="",HR$18="",HR$19="",HR$20="",HR$21=""),"",SUM($HG19:HR19))</f>
        <v>5.5997222222222227</v>
      </c>
      <c r="HS72" s="114">
        <f>IF(OR(HS$13="",HS$17="",HS$14="",HS$15="",HS$16="",HS$18="",HS$19="",HS$20="",HS$21=""),"",SUM($HG19:HS19))</f>
        <v>31.03638888888889</v>
      </c>
      <c r="HT72" s="114">
        <f>IF(OR(HT$13="",HT$17="",HT$14="",HT$15="",HT$16="",HT$18="",HT$19="",HT$20="",HT$21=""),"",SUM($HG19:HT19))</f>
        <v>55.036388888888894</v>
      </c>
      <c r="HU72" s="114">
        <f>IF(OR(HU$13="",HU$17="",HU$14="",HU$15="",HU$16="",HU$18="",HU$19="",HU$20="",HU$21=""),"",SUM($HG19:HU19))</f>
        <v>79.036388888888894</v>
      </c>
      <c r="HV72" s="114">
        <f>IF(OR(HV$13="",HV$17="",HV$14="",HV$15="",HV$16="",HV$18="",HV$19="",HV$20="",HV$21=""),"",SUM($HG19:HV19))</f>
        <v>99.303333333333342</v>
      </c>
      <c r="HW72" s="114">
        <f>IF(OR(HW$13="",HW$17="",HW$14="",HW$15="",HW$16="",HW$18="",HW$19="",HW$20="",HW$21=""),"",SUM($HG19:HW19))</f>
        <v>99.825833333333335</v>
      </c>
      <c r="HX72" s="114">
        <f>IF(OR(HX$13="",HX$17="",HX$14="",HX$15="",HX$16="",HX$18="",HX$19="",HX$20="",HX$21=""),"",SUM($HG19:HX19))</f>
        <v>99.825833333333335</v>
      </c>
      <c r="HY72" s="114">
        <f>IF(OR(HY$13="",HY$17="",HY$14="",HY$15="",HY$16="",HY$18="",HY$19="",HY$20="",HY$21=""),"",SUM($HG19:HY19))</f>
        <v>103.41416666666667</v>
      </c>
      <c r="HZ72" s="114">
        <f>IF(OR(HZ$13="",HZ$17="",HZ$14="",HZ$15="",HZ$16="",HZ$18="",HZ$19="",HZ$20="",HZ$21=""),"",SUM($HG19:HZ19))</f>
        <v>103.41416666666667</v>
      </c>
      <c r="IA72" s="114">
        <f>IF(OR(IA$13="",IA$17="",IA$14="",IA$15="",IA$16="",IA$18="",IA$19="",IA$20="",IA$21=""),"",SUM($HG19:IA19))</f>
        <v>103.41416666666667</v>
      </c>
      <c r="IB72" s="114">
        <f>IF(OR(IB$13="",IB$17="",IB$14="",IB$15="",IB$16="",IB$18="",IB$19="",IB$20="",IB$21=""),"",SUM($HG19:IB19))</f>
        <v>106.41138888888889</v>
      </c>
      <c r="IC72" s="114">
        <f>IF(OR(IC$13="",IC$17="",IC$14="",IC$15="",IC$16="",IC$18="",IC$19="",IC$20="",IC$21=""),"",SUM($HG19:IC19))</f>
        <v>106.41138888888889</v>
      </c>
      <c r="ID72" s="114">
        <f>IF(OR(ID$13="",ID$17="",ID$14="",ID$15="",ID$16="",ID$18="",ID$19="",ID$20="",ID$21=""),"",SUM($HG19:ID19))</f>
        <v>191.04138888888889</v>
      </c>
      <c r="IE72" s="114">
        <f>IF(OR(IE$13="",IE$17="",IE$14="",IE$15="",IE$16="",IE$18="",IE$19="",IE$20="",IE$21=""),"",SUM($HG19:IE19))</f>
        <v>191.04138888888889</v>
      </c>
      <c r="IF72" s="114">
        <f>IF(OR(IF$13="",IF$17="",IF$14="",IF$15="",IF$16="",IF$18="",IF$19="",IF$20="",IF$21=""),"",SUM($HG19:IF19))</f>
        <v>191.04138888888889</v>
      </c>
      <c r="IG72" s="114">
        <f>IF(OR(IG$13="",IG$17="",IG$14="",IG$15="",IG$16="",IG$18="",IG$19="",IG$20="",IG$21=""),"",SUM($HG19:IG19))</f>
        <v>191.04138888888889</v>
      </c>
      <c r="IH72" s="114">
        <f>IF(OR(IH$13="",IH$17="",IH$14="",IH$15="",IH$16="",IH$18="",IH$19="",IH$20="",IH$21=""),"",SUM($HG19:IH19))</f>
        <v>193.5613888888889</v>
      </c>
      <c r="II72" s="114">
        <f>IF(OR(II$13="",II$17="",II$14="",II$15="",II$16="",II$18="",II$19="",II$20="",II$21=""),"",SUM($HG19:II19))</f>
        <v>193.5613888888889</v>
      </c>
      <c r="IJ72" s="114">
        <f>IF(OR(IJ$13="",IJ$17="",IJ$14="",IJ$15="",IJ$16="",IJ$18="",IJ$19="",IJ$20="",IJ$21=""),"",SUM($HG19:IJ19))</f>
        <v>193.5613888888889</v>
      </c>
      <c r="IK72" s="114">
        <f>IF(OR(IK$13="",IK$17="",IK$14="",IK$15="",IK$16="",IK$18="",IK$19="",IK$20="",IK$21=""),"",SUM($HG19:IK19))</f>
        <v>193.5613888888889</v>
      </c>
      <c r="IL72" s="114">
        <f>IF(OR(IL$13="",IL$17="",IL$14="",IL$15="",IL$16="",IL$18="",IL$19="",IL$20="",IL$21=""),"",SUM($IL19:IL19))</f>
        <v>0</v>
      </c>
      <c r="IM72" s="114">
        <f>IF(OR(IM$13="",IM$17="",IM$14="",IM$15="",IM$16="",IM$18="",IM$19="",IM$20="",IM$21=""),"",SUM($IL19:IM19))</f>
        <v>0</v>
      </c>
      <c r="IN72" s="114">
        <f>IF(OR(IN$13="",IN$17="",IN$14="",IN$15="",IN$16="",IN$18="",IN$19="",IN$20="",IN$21=""),"",SUM($IL19:IN19))</f>
        <v>0</v>
      </c>
      <c r="IO72" s="114">
        <f>IF(OR(IO$13="",IO$17="",IO$14="",IO$15="",IO$16="",IO$18="",IO$19="",IO$20="",IO$21=""),"",SUM($IL19:IO19))</f>
        <v>2.6233333333333331</v>
      </c>
      <c r="IP72" s="114">
        <f>IF(OR(IP$13="",IP$17="",IP$14="",IP$15="",IP$16="",IP$18="",IP$19="",IP$20="",IP$21=""),"",SUM($IL19:IP19))</f>
        <v>2.6233333333333331</v>
      </c>
      <c r="IQ72" s="114">
        <f>IF(OR(IQ$13="",IQ$17="",IQ$14="",IQ$15="",IQ$16="",IQ$18="",IQ$19="",IQ$20="",IQ$21=""),"",SUM($IL19:IQ19))</f>
        <v>2.6233333333333331</v>
      </c>
      <c r="IR72" s="114">
        <f>IF(OR(IR$13="",IR$17="",IR$14="",IR$15="",IR$16="",IR$18="",IR$19="",IR$20="",IR$21=""),"",SUM($IL19:IR19))</f>
        <v>26.623333333333335</v>
      </c>
      <c r="IS72" s="114">
        <f>IF(OR(IS$13="",IS$17="",IS$14="",IS$15="",IS$16="",IS$18="",IS$19="",IS$20="",IS$21=""),"",SUM($IL19:IS19))</f>
        <v>50.623333333333335</v>
      </c>
      <c r="IT72" s="114">
        <f>IF(OR(IT$13="",IT$17="",IT$14="",IT$15="",IT$16="",IT$18="",IT$19="",IT$20="",IT$21=""),"",SUM($IL19:IT19))</f>
        <v>74.623333333333335</v>
      </c>
      <c r="IU72" s="114">
        <f>IF(OR(IU$13="",IU$17="",IU$14="",IU$15="",IU$16="",IU$18="",IU$19="",IU$20="",IU$21=""),"",SUM($IL19:IU19))</f>
        <v>81.57138888888889</v>
      </c>
      <c r="IV72" s="114">
        <f>IF(OR(IV$13="",IV$17="",IV$14="",IV$15="",IV$16="",IV$18="",IV$19="",IV$20="",IV$21=""),"",SUM($IL19:IV19))</f>
        <v>81.57138888888889</v>
      </c>
      <c r="IW72" s="114">
        <f>IF(OR(IW$13="",IW$17="",IW$14="",IW$15="",IW$16="",IW$18="",IW$19="",IW$20="",IW$21=""),"",SUM($IL19:IW19))</f>
        <v>81.57138888888889</v>
      </c>
      <c r="IX72" s="114">
        <f>IF(OR(IX$13="",IX$17="",IX$14="",IX$15="",IX$16="",IX$18="",IX$19="",IX$20="",IX$21=""),"",SUM($IL19:IX19))</f>
        <v>81.57138888888889</v>
      </c>
      <c r="IY72" s="114">
        <f>IF(OR(IY$13="",IY$17="",IY$14="",IY$15="",IY$16="",IY$18="",IY$19="",IY$20="",IY$21=""),"",SUM($IL19:IY19))</f>
        <v>85.207499999999996</v>
      </c>
      <c r="IZ72" s="114">
        <f>IF(OR(IZ$13="",IZ$17="",IZ$14="",IZ$15="",IZ$16="",IZ$18="",IZ$19="",IZ$20="",IZ$21=""),"",SUM($IL19:IZ19))</f>
        <v>85.207499999999996</v>
      </c>
      <c r="JA72" s="114">
        <f>IF(OR(JA$13="",JA$17="",JA$14="",JA$15="",JA$16="",JA$18="",JA$19="",JA$20="",JA$21=""),"",SUM($IL19:JA19))</f>
        <v>85.266666666666666</v>
      </c>
      <c r="JB72" s="114">
        <f>IF(OR(JB$13="",JB$17="",JB$14="",JB$15="",JB$16="",JB$18="",JB$19="",JB$20="",JB$21=""),"",SUM($IL19:JB19))</f>
        <v>85.266666666666666</v>
      </c>
      <c r="JC72" s="114">
        <f>IF(OR(JC$13="",JC$17="",JC$14="",JC$15="",JC$16="",JC$18="",JC$19="",JC$20="",JC$21=""),"",SUM($IL19:JC19))</f>
        <v>85.338055555555556</v>
      </c>
      <c r="JD72" s="114">
        <f>IF(OR(JD$13="",JD$17="",JD$14="",JD$15="",JD$16="",JD$18="",JD$19="",JD$20="",JD$21=""),"",SUM($IL19:JD19))</f>
        <v>85.338055555555556</v>
      </c>
      <c r="JE72" s="114">
        <f>IF(OR(JE$13="",JE$17="",JE$14="",JE$15="",JE$16="",JE$18="",JE$19="",JE$20="",JE$21=""),"",SUM($IL19:JE19))</f>
        <v>85.338055555555556</v>
      </c>
      <c r="JF72" s="114">
        <f>IF(OR(JF$13="",JF$17="",JF$14="",JF$15="",JF$16="",JF$18="",JF$19="",JF$20="",JF$21=""),"",SUM($IL19:JF19))</f>
        <v>85.338055555555556</v>
      </c>
      <c r="JG72" s="114">
        <f>IF(OR(JG$13="",JG$17="",JG$14="",JG$15="",JG$16="",JG$18="",JG$19="",JG$20="",JG$21=""),"",SUM($IL19:JG19))</f>
        <v>85.338055555555556</v>
      </c>
      <c r="JH72" s="114">
        <f>IF(OR(JH$13="",JH$17="",JH$14="",JH$15="",JH$16="",JH$18="",JH$19="",JH$20="",JH$21=""),"",SUM($IL19:JH19))</f>
        <v>89.601111111111109</v>
      </c>
      <c r="JI72" s="114">
        <f>IF(OR(JI$13="",JI$17="",JI$14="",JI$15="",JI$16="",JI$18="",JI$19="",JI$20="",JI$21=""),"",SUM($IL19:JI19))</f>
        <v>89.61</v>
      </c>
      <c r="JJ72" s="114">
        <f>IF(OR(JJ$13="",JJ$17="",JJ$14="",JJ$15="",JJ$16="",JJ$18="",JJ$19="",JJ$20="",JJ$21=""),"",SUM($IL19:JJ19))</f>
        <v>89.61</v>
      </c>
      <c r="JK72" s="114">
        <f>IF(OR(JK$13="",JK$17="",JK$14="",JK$15="",JK$16="",JK$18="",JK$19="",JK$20="",JK$21=""),"",SUM($IL19:JK19))</f>
        <v>93.041388888888889</v>
      </c>
      <c r="JL72" s="114">
        <f>IF(OR(JL$13="",JL$17="",JL$14="",JL$15="",JL$16="",JL$18="",JL$19="",JL$20="",JL$21=""),"",SUM($IL19:JL19))</f>
        <v>97.843888888888884</v>
      </c>
      <c r="JM72" s="114">
        <f>IF(OR(JM$13="",JM$17="",JM$14="",JM$15="",JM$16="",JM$18="",JM$19="",JM$20="",JM$21=""),"",SUM($IL19:JM19))</f>
        <v>101.29388888888889</v>
      </c>
      <c r="JN72" s="114">
        <f>IF(OR(JN$13="",JN$17="",JN$14="",JN$15="",JN$16="",JN$18="",JN$19="",JN$20="",JN$21=""),"",SUM($IL19:JN19))</f>
        <v>101.71388888888889</v>
      </c>
      <c r="JO72" s="114">
        <f>IF(OR(JO$13="",JO$17="",JO$14="",JO$15="",JO$16="",JO$18="",JO$19="",JO$20="",JO$21=""),"",SUM($IL19:JO19))</f>
        <v>102.71388888888889</v>
      </c>
      <c r="JP72" s="114">
        <f>IF(OR(JP$13="",JP$17="",JP$14="",JP$15="",JP$16="",JP$18="",JP$19="",JP$20="",JP$21=""),"",SUM($JP19:JP19))</f>
        <v>1</v>
      </c>
      <c r="JQ72" s="114">
        <f>IF(OR(JQ$13="",JQ$17="",JQ$14="",JQ$15="",JQ$16="",JQ$18="",JQ$19="",JQ$20="",JQ$21=""),"",SUM($JP19:JQ19))</f>
        <v>2.19</v>
      </c>
      <c r="JR72" s="114">
        <f>IF(OR(JR$13="",JR$17="",JR$14="",JR$15="",JR$16="",JR$18="",JR$19="",JR$20="",JR$21=""),"",SUM($JP19:JR19))</f>
        <v>3.19</v>
      </c>
      <c r="JS72" s="114">
        <f>IF(OR(JS$13="",JS$17="",JS$14="",JS$15="",JS$16="",JS$18="",JS$19="",JS$20="",JS$21=""),"",SUM($JP19:JS19))</f>
        <v>11.889999999999999</v>
      </c>
      <c r="JT72" s="114">
        <f>IF(OR(JT$13="",JT$17="",JT$14="",JT$15="",JT$16="",JT$18="",JT$19="",JT$20="",JT$21=""),"",SUM($JP19:JT19))</f>
        <v>14.939999999999998</v>
      </c>
      <c r="JU72" s="114">
        <f>IF(OR(JU$13="",JU$17="",JU$14="",JU$15="",JU$16="",JU$18="",JU$19="",JU$20="",JU$21=""),"",SUM($JP19:JU19))</f>
        <v>14.939999999999998</v>
      </c>
      <c r="JV72" s="114">
        <f>IF(OR(JV$13="",JV$17="",JV$14="",JV$15="",JV$16="",JV$18="",JV$19="",JV$20="",JV$21=""),"",SUM($JP19:JV19))</f>
        <v>15.939999999999998</v>
      </c>
      <c r="JW72" s="114">
        <f>IF(OR(JW$13="",JW$17="",JW$14="",JW$15="",JW$16="",JW$18="",JW$19="",JW$20="",JW$21=""),"",SUM($JP19:JW19))</f>
        <v>15.939999999999998</v>
      </c>
      <c r="JX72" s="114">
        <f>IF(OR(JX$13="",JX$17="",JX$14="",JX$15="",JX$16="",JX$18="",JX$19="",JX$20="",JX$21=""),"",SUM($JP19:JX19))</f>
        <v>15.939999999999998</v>
      </c>
      <c r="JY72" s="114">
        <f>IF(OR(JY$13="",JY$17="",JY$14="",JY$15="",JY$16="",JY$18="",JY$19="",JY$20="",JY$21=""),"",SUM($JP19:JY19))</f>
        <v>15.939999999999998</v>
      </c>
      <c r="JZ72" s="114">
        <f>IF(OR(JZ$13="",JZ$17="",JZ$14="",JZ$15="",JZ$16="",JZ$18="",JZ$19="",JZ$20="",JZ$21=""),"",SUM($JP19:JZ19))</f>
        <v>15.939999999999998</v>
      </c>
      <c r="KA72" s="114">
        <f>IF(OR(KA$13="",KA$17="",KA$14="",KA$15="",KA$16="",KA$18="",KA$19="",KA$20="",KA$21=""),"",SUM($JP19:KA19))</f>
        <v>15.939999999999998</v>
      </c>
      <c r="KB72" s="114">
        <f>IF(OR(KB$13="",KB$17="",KB$14="",KB$15="",KB$16="",KB$18="",KB$19="",KB$20="",KB$21=""),"",SUM($JP19:KB19))</f>
        <v>15.939999999999998</v>
      </c>
      <c r="KC72" s="114">
        <f>IF(OR(KC$13="",KC$17="",KC$14="",KC$15="",KC$16="",KC$18="",KC$19="",KC$20="",KC$21=""),"",SUM($JP19:KC19))</f>
        <v>15.939999999999998</v>
      </c>
      <c r="KD72" s="114">
        <f>IF(OR(KD$13="",KD$17="",KD$14="",KD$15="",KD$16="",KD$18="",KD$19="",KD$20="",KD$21=""),"",SUM($JP19:KD19))</f>
        <v>15.939999999999998</v>
      </c>
      <c r="KE72" s="114">
        <f>IF(OR(KE$13="",KE$17="",KE$14="",KE$15="",KE$16="",KE$18="",KE$19="",KE$20="",KE$21=""),"",SUM($JP19:KE19))</f>
        <v>15.939999999999998</v>
      </c>
      <c r="KF72" s="114">
        <f>IF(OR(KF$13="",KF$17="",KF$14="",KF$15="",KF$16="",KF$18="",KF$19="",KF$20="",KF$21=""),"",SUM($JP19:KF19))</f>
        <v>15.939999999999998</v>
      </c>
      <c r="KG72" s="114">
        <f>IF(OR(KG$13="",KG$17="",KG$14="",KG$15="",KG$16="",KG$18="",KG$19="",KG$20="",KG$21=""),"",SUM($JP19:KG19))</f>
        <v>15.939999999999998</v>
      </c>
      <c r="KH72" s="114">
        <f>IF(OR(KH$13="",KH$17="",KH$14="",KH$15="",KH$16="",KH$18="",KH$19="",KH$20="",KH$21=""),"",SUM($JP19:KH19))</f>
        <v>15.939999999999998</v>
      </c>
      <c r="KI72" s="114">
        <f>IF(OR(KI$13="",KI$17="",KI$14="",KI$15="",KI$16="",KI$18="",KI$19="",KI$20="",KI$21=""),"",SUM($JP19:KI19))</f>
        <v>15.939999999999998</v>
      </c>
      <c r="KJ72" s="114">
        <f>IF(OR(KJ$13="",KJ$17="",KJ$14="",KJ$15="",KJ$16="",KJ$18="",KJ$19="",KJ$20="",KJ$21=""),"",SUM($JP19:KJ19))</f>
        <v>15.939999999999998</v>
      </c>
      <c r="KK72" s="114">
        <f>IF(OR(KK$13="",KK$17="",KK$14="",KK$15="",KK$16="",KK$18="",KK$19="",KK$20="",KK$21=""),"",SUM($JP19:KK19))</f>
        <v>15.939999999999998</v>
      </c>
      <c r="KL72" s="114">
        <f>IF(OR(KL$13="",KL$17="",KL$14="",KL$15="",KL$16="",KL$18="",KL$19="",KL$20="",KL$21=""),"",SUM($JP19:KL19))</f>
        <v>15.939999999999998</v>
      </c>
      <c r="KM72" s="114">
        <f>IF(OR(KM$13="",KM$17="",KM$14="",KM$15="",KM$16="",KM$18="",KM$19="",KM$20="",KM$21=""),"",SUM($JP19:KM19))</f>
        <v>15.939999999999998</v>
      </c>
      <c r="KN72" s="114">
        <f>IF(OR(KN$13="",KN$17="",KN$14="",KN$15="",KN$16="",KN$18="",KN$19="",KN$20="",KN$21=""),"",SUM($JP19:KN19))</f>
        <v>15.939999999999998</v>
      </c>
      <c r="KO72" s="114">
        <f>IF(OR(KO$13="",KO$17="",KO$14="",KO$15="",KO$16="",KO$18="",KO$19="",KO$20="",KO$21=""),"",SUM($JP19:KO19))</f>
        <v>15.939999999999998</v>
      </c>
      <c r="KP72" s="114">
        <f>IF(OR(KP$13="",KP$17="",KP$14="",KP$15="",KP$16="",KP$18="",KP$19="",KP$20="",KP$21=""),"",SUM($JP19:KP19))</f>
        <v>15.939999999999998</v>
      </c>
      <c r="KQ72" s="114">
        <f>IF(OR(KQ$13="",KQ$17="",KQ$14="",KQ$15="",KQ$16="",KQ$18="",KQ$19="",KQ$20="",KQ$21=""),"",SUM($JP19:KQ19))</f>
        <v>15.939999999999998</v>
      </c>
      <c r="KR72" s="114">
        <f>IF(OR(KR$13="",KR$17="",KR$14="",KR$15="",KR$16="",KR$18="",KR$19="",KR$20="",KR$21=""),"",SUM($JP19:KR19))</f>
        <v>15.939999999999998</v>
      </c>
      <c r="KS72" s="114">
        <f>IF(OR(KS$13="",KS$17="",KS$14="",KS$15="",KS$16="",KS$18="",KS$19="",KS$20="",KS$21=""),"",SUM($JP19:KS19))</f>
        <v>15.939999999999998</v>
      </c>
      <c r="KT72" s="114">
        <f>IF(OR(KT$13="",KT$17="",KT$14="",KT$15="",KT$16="",KT$18="",KT$19="",KT$20="",KT$21=""),"",SUM($JP19:KT19))</f>
        <v>15.939999999999998</v>
      </c>
      <c r="KU72" s="114" t="str">
        <f>IF(OR(KU$13="",KU$17="",KU$14="",KU$15="",KU$16="",KU$18="",KU$19="",KU$20="",KU$21=""),"",SUM($KU19:KU19))</f>
        <v/>
      </c>
      <c r="KV72" s="114" t="str">
        <f>IF(OR(KV$13="",KV$17="",KV$14="",KV$15="",KV$16="",KV$18="",KV$19="",KV$20="",KV$21=""),"",SUM($KU19:KV19))</f>
        <v/>
      </c>
      <c r="KW72" s="114" t="str">
        <f>IF(OR(KW$13="",KW$17="",KW$14="",KW$15="",KW$16="",KW$18="",KW$19="",KW$20="",KW$21=""),"",SUM($KU19:KW19))</f>
        <v/>
      </c>
      <c r="KX72" s="114" t="str">
        <f>IF(OR(KX$13="",KX$17="",KX$14="",KX$15="",KX$16="",KX$18="",KX$19="",KX$20="",KX$21=""),"",SUM($KU19:KX19))</f>
        <v/>
      </c>
      <c r="KY72" s="114" t="str">
        <f>IF(OR(KY$13="",KY$17="",KY$14="",KY$15="",KY$16="",KY$18="",KY$19="",KY$20="",KY$21=""),"",SUM($KU19:KY19))</f>
        <v/>
      </c>
      <c r="KZ72" s="114" t="str">
        <f>IF(OR(KZ$13="",KZ$17="",KZ$14="",KZ$15="",KZ$16="",KZ$18="",KZ$19="",KZ$20="",KZ$21=""),"",SUM($KU19:KZ19))</f>
        <v/>
      </c>
      <c r="LA72" s="114" t="str">
        <f>IF(OR(LA$13="",LA$17="",LA$14="",LA$15="",LA$16="",LA$18="",LA$19="",LA$20="",LA$21=""),"",SUM($KU19:LA19))</f>
        <v/>
      </c>
      <c r="LB72" s="114" t="str">
        <f>IF(OR(LB$13="",LB$17="",LB$14="",LB$15="",LB$16="",LB$18="",LB$19="",LB$20="",LB$21=""),"",SUM($KU19:LB19))</f>
        <v/>
      </c>
      <c r="LC72" s="114" t="str">
        <f>IF(OR(LC$13="",LC$17="",LC$14="",LC$15="",LC$16="",LC$18="",LC$19="",LC$20="",LC$21=""),"",SUM($KU19:LC19))</f>
        <v/>
      </c>
      <c r="LD72" s="114" t="str">
        <f>IF(OR(LD$13="",LD$17="",LD$14="",LD$15="",LD$16="",LD$18="",LD$19="",LD$20="",LD$21=""),"",SUM($KU19:LD19))</f>
        <v/>
      </c>
      <c r="LE72" s="114" t="str">
        <f>IF(OR(LE$13="",LE$17="",LE$14="",LE$15="",LE$16="",LE$18="",LE$19="",LE$20="",LE$21=""),"",SUM($KU19:LE19))</f>
        <v/>
      </c>
      <c r="LF72" s="114" t="str">
        <f>IF(OR(LF$13="",LF$17="",LF$14="",LF$15="",LF$16="",LF$18="",LF$19="",LF$20="",LF$21=""),"",SUM($KU19:LF19))</f>
        <v/>
      </c>
      <c r="LG72" s="114" t="str">
        <f>IF(OR(LG$13="",LG$17="",LG$14="",LG$15="",LG$16="",LG$18="",LG$19="",LG$20="",LG$21=""),"",SUM($KU19:LG19))</f>
        <v/>
      </c>
      <c r="LH72" s="114" t="str">
        <f>IF(OR(LH$13="",LH$17="",LH$14="",LH$15="",LH$16="",LH$18="",LH$19="",LH$20="",LH$21=""),"",SUM($KU19:LH19))</f>
        <v/>
      </c>
      <c r="LI72" s="114" t="str">
        <f>IF(OR(LI$13="",LI$17="",LI$14="",LI$15="",LI$16="",LI$18="",LI$19="",LI$20="",LI$21=""),"",SUM($KU19:LI19))</f>
        <v/>
      </c>
      <c r="LJ72" s="114" t="str">
        <f>IF(OR(LJ$13="",LJ$17="",LJ$14="",LJ$15="",LJ$16="",LJ$18="",LJ$19="",LJ$20="",LJ$21=""),"",SUM($KU19:LJ19))</f>
        <v/>
      </c>
      <c r="LK72" s="114" t="str">
        <f>IF(OR(LK$13="",LK$17="",LK$14="",LK$15="",LK$16="",LK$18="",LK$19="",LK$20="",LK$21=""),"",SUM($KU19:LK19))</f>
        <v/>
      </c>
      <c r="LL72" s="114" t="str">
        <f>IF(OR(LL$13="",LL$17="",LL$14="",LL$15="",LL$16="",LL$18="",LL$19="",LL$20="",LL$21=""),"",SUM($KU19:LL19))</f>
        <v/>
      </c>
      <c r="LM72" s="114" t="str">
        <f>IF(OR(LM$13="",LM$17="",LM$14="",LM$15="",LM$16="",LM$18="",LM$19="",LM$20="",LM$21=""),"",SUM($KU19:LM19))</f>
        <v/>
      </c>
      <c r="LN72" s="114" t="str">
        <f>IF(OR(LN$13="",LN$17="",LN$14="",LN$15="",LN$16="",LN$18="",LN$19="",LN$20="",LN$21=""),"",SUM($KU19:LN19))</f>
        <v/>
      </c>
      <c r="LO72" s="114" t="str">
        <f>IF(OR(LO$13="",LO$17="",LO$14="",LO$15="",LO$16="",LO$18="",LO$19="",LO$20="",LO$21=""),"",SUM($KU19:LO19))</f>
        <v/>
      </c>
      <c r="LP72" s="114" t="str">
        <f>IF(OR(LP$13="",LP$17="",LP$14="",LP$15="",LP$16="",LP$18="",LP$19="",LP$20="",LP$21=""),"",SUM($KU19:LP19))</f>
        <v/>
      </c>
      <c r="LQ72" s="114" t="str">
        <f>IF(OR(LQ$13="",LQ$17="",LQ$14="",LQ$15="",LQ$16="",LQ$18="",LQ$19="",LQ$20="",LQ$21=""),"",SUM($KU19:LQ19))</f>
        <v/>
      </c>
      <c r="LR72" s="114" t="str">
        <f>IF(OR(LR$13="",LR$17="",LR$14="",LR$15="",LR$16="",LR$18="",LR$19="",LR$20="",LR$21=""),"",SUM($KU19:LR19))</f>
        <v/>
      </c>
      <c r="LS72" s="114" t="str">
        <f>IF(OR(LS$13="",LS$17="",LS$14="",LS$15="",LS$16="",LS$18="",LS$19="",LS$20="",LS$21=""),"",SUM($KU19:LS19))</f>
        <v/>
      </c>
      <c r="LT72" s="114" t="str">
        <f>IF(OR(LT$13="",LT$17="",LT$14="",LT$15="",LT$16="",LT$18="",LT$19="",LT$20="",LT$21=""),"",SUM($KU19:LT19))</f>
        <v/>
      </c>
      <c r="LU72" s="114" t="str">
        <f>IF(OR(LU$13="",LU$17="",LU$14="",LU$15="",LU$16="",LU$18="",LU$19="",LU$20="",LU$21=""),"",SUM($KU19:LU19))</f>
        <v/>
      </c>
      <c r="LV72" s="114" t="str">
        <f>IF(OR(LV$13="",LV$17="",LV$14="",LV$15="",LV$16="",LV$18="",LV$19="",LV$20="",LV$21=""),"",SUM($KU19:LV19))</f>
        <v/>
      </c>
      <c r="LW72" s="114" t="str">
        <f>IF(OR(LW$13="",LW$17="",LW$14="",LW$15="",LW$16="",LW$18="",LW$19="",LW$20="",LW$21=""),"",SUM($KU19:LW19))</f>
        <v/>
      </c>
      <c r="LX72" s="114" t="str">
        <f>IF(OR(LX$13="",LX$17="",LX$14="",LX$15="",LX$16="",LX$18="",LX$19="",LX$20="",LX$21=""),"",SUM($KU19:LX19))</f>
        <v/>
      </c>
      <c r="LY72" s="114" t="str">
        <f>IF(OR(LY$13="",LY$17="",LY$14="",LY$15="",LY$16="",LY$18="",LY$19="",LY$20="",LY$21=""),"",SUM($LY19:LY19))</f>
        <v/>
      </c>
      <c r="LZ72" s="114" t="str">
        <f>IF(OR(LZ$13="",LZ$17="",LZ$14="",LZ$15="",LZ$16="",LZ$18="",LZ$19="",LZ$20="",LZ$21=""),"",SUM($LY19:LZ19))</f>
        <v/>
      </c>
      <c r="MA72" s="114" t="str">
        <f>IF(OR(MA$13="",MA$17="",MA$14="",MA$15="",MA$16="",MA$18="",MA$19="",MA$20="",MA$21=""),"",SUM($LY19:MA19))</f>
        <v/>
      </c>
      <c r="MB72" s="114" t="str">
        <f>IF(OR(MB$13="",MB$17="",MB$14="",MB$15="",MB$16="",MB$18="",MB$19="",MB$20="",MB$21=""),"",SUM($LY19:MB19))</f>
        <v/>
      </c>
      <c r="MC72" s="114" t="str">
        <f>IF(OR(MC$13="",MC$17="",MC$14="",MC$15="",MC$16="",MC$18="",MC$19="",MC$20="",MC$21=""),"",SUM($LY19:MC19))</f>
        <v/>
      </c>
      <c r="MD72" s="114" t="str">
        <f>IF(OR(MD$13="",MD$17="",MD$14="",MD$15="",MD$16="",MD$18="",MD$19="",MD$20="",MD$21=""),"",SUM($LY19:MD19))</f>
        <v/>
      </c>
      <c r="ME72" s="114" t="str">
        <f>IF(OR(ME$13="",ME$17="",ME$14="",ME$15="",ME$16="",ME$18="",ME$19="",ME$20="",ME$21=""),"",SUM($LY19:ME19))</f>
        <v/>
      </c>
      <c r="MF72" s="114" t="str">
        <f>IF(OR(MF$13="",MF$17="",MF$14="",MF$15="",MF$16="",MF$18="",MF$19="",MF$20="",MF$21=""),"",SUM($LY19:MF19))</f>
        <v/>
      </c>
      <c r="MG72" s="114" t="str">
        <f>IF(OR(MG$13="",MG$17="",MG$14="",MG$15="",MG$16="",MG$18="",MG$19="",MG$20="",MG$21=""),"",SUM($LY19:MG19))</f>
        <v/>
      </c>
      <c r="MH72" s="114" t="str">
        <f>IF(OR(MH$13="",MH$17="",MH$14="",MH$15="",MH$16="",MH$18="",MH$19="",MH$20="",MH$21=""),"",SUM($LY19:MH19))</f>
        <v/>
      </c>
      <c r="MI72" s="114" t="str">
        <f>IF(OR(MI$13="",MI$17="",MI$14="",MI$15="",MI$16="",MI$18="",MI$19="",MI$20="",MI$21=""),"",SUM($LY19:MI19))</f>
        <v/>
      </c>
      <c r="MJ72" s="114" t="str">
        <f>IF(OR(MJ$13="",MJ$17="",MJ$14="",MJ$15="",MJ$16="",MJ$18="",MJ$19="",MJ$20="",MJ$21=""),"",SUM($LY19:MJ19))</f>
        <v/>
      </c>
      <c r="MK72" s="114" t="str">
        <f>IF(OR(MK$13="",MK$17="",MK$14="",MK$15="",MK$16="",MK$18="",MK$19="",MK$20="",MK$21=""),"",SUM($LY19:MK19))</f>
        <v/>
      </c>
      <c r="ML72" s="114" t="str">
        <f>IF(OR(ML$13="",ML$17="",ML$14="",ML$15="",ML$16="",ML$18="",ML$19="",ML$20="",ML$21=""),"",SUM($LY19:ML19))</f>
        <v/>
      </c>
      <c r="MM72" s="114" t="str">
        <f>IF(OR(MM$13="",MM$17="",MM$14="",MM$15="",MM$16="",MM$18="",MM$19="",MM$20="",MM$21=""),"",SUM($LY19:MM19))</f>
        <v/>
      </c>
      <c r="MN72" s="114" t="str">
        <f>IF(OR(MN$13="",MN$17="",MN$14="",MN$15="",MN$16="",MN$18="",MN$19="",MN$20="",MN$21=""),"",SUM($LY19:MN19))</f>
        <v/>
      </c>
      <c r="MO72" s="114" t="str">
        <f>IF(OR(MO$13="",MO$17="",MO$14="",MO$15="",MO$16="",MO$18="",MO$19="",MO$20="",MO$21=""),"",SUM($LY19:MO19))</f>
        <v/>
      </c>
      <c r="MP72" s="114" t="str">
        <f>IF(OR(MP$13="",MP$17="",MP$14="",MP$15="",MP$16="",MP$18="",MP$19="",MP$20="",MP$21=""),"",SUM($LY19:MP19))</f>
        <v/>
      </c>
      <c r="MQ72" s="114" t="str">
        <f>IF(OR(MQ$13="",MQ$17="",MQ$14="",MQ$15="",MQ$16="",MQ$18="",MQ$19="",MQ$20="",MQ$21=""),"",SUM($LY19:MQ19))</f>
        <v/>
      </c>
      <c r="MR72" s="114" t="str">
        <f>IF(OR(MR$13="",MR$17="",MR$14="",MR$15="",MR$16="",MR$18="",MR$19="",MR$20="",MR$21=""),"",SUM($LY19:MR19))</f>
        <v/>
      </c>
      <c r="MS72" s="114" t="str">
        <f>IF(OR(MS$13="",MS$17="",MS$14="",MS$15="",MS$16="",MS$18="",MS$19="",MS$20="",MS$21=""),"",SUM($LY19:MS19))</f>
        <v/>
      </c>
      <c r="MT72" s="114" t="str">
        <f>IF(OR(MT$13="",MT$17="",MT$14="",MT$15="",MT$16="",MT$18="",MT$19="",MT$20="",MT$21=""),"",SUM($LY19:MT19))</f>
        <v/>
      </c>
      <c r="MU72" s="114" t="str">
        <f>IF(OR(MU$13="",MU$17="",MU$14="",MU$15="",MU$16="",MU$18="",MU$19="",MU$20="",MU$21=""),"",SUM($LY19:MU19))</f>
        <v/>
      </c>
      <c r="MV72" s="114" t="str">
        <f>IF(OR(MV$13="",MV$17="",MV$14="",MV$15="",MV$16="",MV$18="",MV$19="",MV$20="",MV$21=""),"",SUM($LY19:MV19))</f>
        <v/>
      </c>
      <c r="MW72" s="114" t="str">
        <f>IF(OR(MW$13="",MW$17="",MW$14="",MW$15="",MW$16="",MW$18="",MW$19="",MW$20="",MW$21=""),"",SUM($LY19:MW19))</f>
        <v/>
      </c>
      <c r="MX72" s="114" t="str">
        <f>IF(OR(MX$13="",MX$17="",MX$14="",MX$15="",MX$16="",MX$18="",MX$19="",MX$20="",MX$21=""),"",SUM($LY19:MX19))</f>
        <v/>
      </c>
      <c r="MY72" s="114" t="str">
        <f>IF(OR(MY$13="",MY$17="",MY$14="",MY$15="",MY$16="",MY$18="",MY$19="",MY$20="",MY$21=""),"",SUM($LY19:MY19))</f>
        <v/>
      </c>
      <c r="MZ72" s="114" t="str">
        <f>IF(OR(MZ$13="",MZ$17="",MZ$14="",MZ$15="",MZ$16="",MZ$18="",MZ$19="",MZ$20="",MZ$21=""),"",SUM($LY19:MZ19))</f>
        <v/>
      </c>
      <c r="NA72" s="114" t="str">
        <f>IF(OR(NA$13="",NA$17="",NA$14="",NA$15="",NA$16="",NA$18="",NA$19="",NA$20="",NA$21=""),"",SUM($LY19:NA19))</f>
        <v/>
      </c>
      <c r="NB72" s="114" t="str">
        <f>IF(OR(NB$13="",NB$17="",NB$14="",NB$15="",NB$16="",NB$18="",NB$19="",NB$20="",NB$21=""),"",SUM($LY19:NB19))</f>
        <v/>
      </c>
      <c r="NC72" s="114" t="str">
        <f>IF(OR(NC$13="",NC$17="",NC$14="",NC$15="",NC$16="",NC$18="",NC$19="",NC$20="",NC$21=""),"",SUM($LY19:NC19))</f>
        <v/>
      </c>
      <c r="ND72" s="114" t="str">
        <f>IF(OR(ND$13="",ND$17="",ND$14="",ND$15="",ND$16="",ND$18="",ND$19="",ND$20="",ND$21=""),"",SUM($ND19:ND19))</f>
        <v/>
      </c>
      <c r="NE72" s="114" t="str">
        <f>IF(OR(NE$13="",NE$17="",NE$14="",NE$15="",NE$16="",NE$18="",NE$19="",NE$20="",NE$21=""),"",SUM($ND19:NE19))</f>
        <v/>
      </c>
      <c r="NF72" s="114" t="str">
        <f>IF(OR(NF$13="",NF$17="",NF$14="",NF$15="",NF$16="",NF$18="",NF$19="",NF$20="",NF$21=""),"",SUM($ND19:NF19))</f>
        <v/>
      </c>
      <c r="NG72" s="114" t="str">
        <f>IF(OR(NG$13="",NG$17="",NG$14="",NG$15="",NG$16="",NG$18="",NG$19="",NG$20="",NG$21=""),"",SUM($ND19:NG19))</f>
        <v/>
      </c>
      <c r="NH72" s="114" t="str">
        <f>IF(OR(NH$13="",NH$17="",NH$14="",NH$15="",NH$16="",NH$18="",NH$19="",NH$20="",NH$21=""),"",SUM($ND19:NH19))</f>
        <v/>
      </c>
      <c r="NI72" s="114" t="str">
        <f>IF(OR(NI$13="",NI$17="",NI$14="",NI$15="",NI$16="",NI$18="",NI$19="",NI$20="",NI$21=""),"",SUM($ND19:NI19))</f>
        <v/>
      </c>
      <c r="NJ72" s="114" t="str">
        <f>IF(OR(NJ$13="",NJ$17="",NJ$14="",NJ$15="",NJ$16="",NJ$18="",NJ$19="",NJ$20="",NJ$21=""),"",SUM($ND19:NJ19))</f>
        <v/>
      </c>
      <c r="NK72" s="114" t="str">
        <f>IF(OR(NK$13="",NK$17="",NK$14="",NK$15="",NK$16="",NK$18="",NK$19="",NK$20="",NK$21=""),"",SUM($ND19:NK19))</f>
        <v/>
      </c>
      <c r="NL72" s="114" t="str">
        <f>IF(OR(NL$13="",NL$17="",NL$14="",NL$15="",NL$16="",NL$18="",NL$19="",NL$20="",NL$21=""),"",SUM($ND19:NL19))</f>
        <v/>
      </c>
      <c r="NM72" s="114" t="str">
        <f>IF(OR(NM$13="",NM$17="",NM$14="",NM$15="",NM$16="",NM$18="",NM$19="",NM$20="",NM$21=""),"",SUM($ND19:NM19))</f>
        <v/>
      </c>
      <c r="NN72" s="114" t="str">
        <f>IF(OR(NN$13="",NN$17="",NN$14="",NN$15="",NN$16="",NN$18="",NN$19="",NN$20="",NN$21=""),"",SUM($ND19:NN19))</f>
        <v/>
      </c>
      <c r="NO72" s="114" t="str">
        <f>IF(OR(NO$13="",NO$17="",NO$14="",NO$15="",NO$16="",NO$18="",NO$19="",NO$20="",NO$21=""),"",SUM($ND19:NO19))</f>
        <v/>
      </c>
      <c r="NP72" s="114" t="str">
        <f>IF(OR(NP$13="",NP$17="",NP$14="",NP$15="",NP$16="",NP$18="",NP$19="",NP$20="",NP$21=""),"",SUM($ND19:NP19))</f>
        <v/>
      </c>
      <c r="NQ72" s="114" t="str">
        <f>IF(OR(NQ$13="",NQ$17="",NQ$14="",NQ$15="",NQ$16="",NQ$18="",NQ$19="",NQ$20="",NQ$21=""),"",SUM($ND19:NQ19))</f>
        <v/>
      </c>
      <c r="NR72" s="114" t="str">
        <f>IF(OR(NR$13="",NR$17="",NR$14="",NR$15="",NR$16="",NR$18="",NR$19="",NR$20="",NR$21=""),"",SUM($ND19:NR19))</f>
        <v/>
      </c>
      <c r="NS72" s="114" t="str">
        <f>IF(OR(NS$13="",NS$17="",NS$14="",NS$15="",NS$16="",NS$18="",NS$19="",NS$20="",NS$21=""),"",SUM($ND19:NS19))</f>
        <v/>
      </c>
      <c r="NT72" s="114" t="str">
        <f>IF(OR(NT$13="",NT$17="",NT$14="",NT$15="",NT$16="",NT$18="",NT$19="",NT$20="",NT$21=""),"",SUM($ND19:NT19))</f>
        <v/>
      </c>
      <c r="NU72" s="114" t="str">
        <f>IF(OR(NU$13="",NU$17="",NU$14="",NU$15="",NU$16="",NU$18="",NU$19="",NU$20="",NU$21=""),"",SUM($ND19:NU19))</f>
        <v/>
      </c>
      <c r="NV72" s="114" t="str">
        <f>IF(OR(NV$13="",NV$17="",NV$14="",NV$15="",NV$16="",NV$18="",NV$19="",NV$20="",NV$21=""),"",SUM($ND19:NV19))</f>
        <v/>
      </c>
      <c r="NW72" s="114" t="str">
        <f>IF(OR(NW$13="",NW$17="",NW$14="",NW$15="",NW$16="",NW$18="",NW$19="",NW$20="",NW$21=""),"",SUM($ND19:NW19))</f>
        <v/>
      </c>
      <c r="NX72" s="114" t="str">
        <f>IF(OR(NX$13="",NX$17="",NX$14="",NX$15="",NX$16="",NX$18="",NX$19="",NX$20="",NX$21=""),"",SUM($ND19:NX19))</f>
        <v/>
      </c>
      <c r="NY72" s="114" t="str">
        <f>IF(OR(NY$13="",NY$17="",NY$14="",NY$15="",NY$16="",NY$18="",NY$19="",NY$20="",NY$21=""),"",SUM($ND19:NY19))</f>
        <v/>
      </c>
      <c r="NZ72" s="114" t="str">
        <f>IF(OR(NZ$13="",NZ$17="",NZ$14="",NZ$15="",NZ$16="",NZ$18="",NZ$19="",NZ$20="",NZ$21=""),"",SUM($ND19:NZ19))</f>
        <v/>
      </c>
      <c r="OA72" s="114" t="str">
        <f>IF(OR(OA$13="",OA$17="",OA$14="",OA$15="",OA$16="",OA$18="",OA$19="",OA$20="",OA$21=""),"",SUM($ND19:OA19))</f>
        <v/>
      </c>
      <c r="OB72" s="114" t="str">
        <f>IF(OR(OB$13="",OB$17="",OB$14="",OB$15="",OB$16="",OB$18="",OB$19="",OB$20="",OB$21=""),"",SUM($ND19:OB19))</f>
        <v/>
      </c>
      <c r="OC72" s="114" t="str">
        <f>IF(OR(OC$13="",OC$17="",OC$14="",OC$15="",OC$16="",OC$18="",OC$19="",OC$20="",OC$21=""),"",SUM($ND19:OC19))</f>
        <v/>
      </c>
      <c r="OD72" s="114" t="str">
        <f>IF(OR(OD$13="",OD$17="",OD$14="",OD$15="",OD$16="",OD$18="",OD$19="",OD$20="",OD$21=""),"",SUM($ND19:OD19))</f>
        <v/>
      </c>
      <c r="OE72" s="114" t="str">
        <f>IF(OR(OE$13="",OE$17="",OE$14="",OE$15="",OE$16="",OE$18="",OE$19="",OE$20="",OE$21=""),"",SUM($ND19:OE19))</f>
        <v/>
      </c>
      <c r="OF72" s="114" t="str">
        <f>IF(OR(OF$13="",OF$17="",OF$14="",OF$15="",OF$16="",OF$18="",OF$19="",OF$20="",OF$21=""),"",SUM($ND19:OF19))</f>
        <v/>
      </c>
      <c r="OG72" s="114" t="str">
        <f>IF(OR(OG$13="",OG$17="",OG$14="",OG$15="",OG$16="",OG$18="",OG$19="",OG$20="",OG$21=""),"",SUM($ND19:OG19))</f>
        <v/>
      </c>
      <c r="OH72" s="114" t="str">
        <f>IF(OR(OH$13="",OH$17="",OH$14="",OH$15="",OH$16="",OH$18="",OH$19="",OH$20="",OH$21=""),"",SUM($ND19:OH19))</f>
        <v/>
      </c>
      <c r="OI72" s="114" t="str">
        <f>IF(OR(OI$13="",OI$17="",OI$14="",OI$15="",OI$16="",OI$18="",OI$19="",OI$20="",OI$21=""),"",SUM($OI19:OI19))</f>
        <v/>
      </c>
      <c r="OJ72" s="114" t="str">
        <f>IF(OR(OJ$13="",OJ$17="",OJ$14="",OJ$15="",OJ$16="",OJ$18="",OJ$19="",OJ$20="",OJ$21=""),"",SUM($OI19:OJ19))</f>
        <v/>
      </c>
      <c r="OK72" s="114" t="str">
        <f>IF(OR(OK$13="",OK$17="",OK$14="",OK$15="",OK$16="",OK$18="",OK$19="",OK$20="",OK$21=""),"",SUM($OI19:OK19))</f>
        <v/>
      </c>
      <c r="OL72" s="114" t="str">
        <f>IF(OR(OL$13="",OL$17="",OL$14="",OL$15="",OL$16="",OL$18="",OL$19="",OL$20="",OL$21=""),"",SUM($OI19:OL19))</f>
        <v/>
      </c>
      <c r="OM72" s="114" t="str">
        <f>IF(OR(OM$13="",OM$17="",OM$14="",OM$15="",OM$16="",OM$18="",OM$19="",OM$20="",OM$21=""),"",SUM($OI19:OM19))</f>
        <v/>
      </c>
      <c r="ON72" s="114" t="str">
        <f>IF(OR(ON$13="",ON$17="",ON$14="",ON$15="",ON$16="",ON$18="",ON$19="",ON$20="",ON$21=""),"",SUM($OI19:ON19))</f>
        <v/>
      </c>
      <c r="OO72" s="114" t="str">
        <f>IF(OR(OO$13="",OO$17="",OO$14="",OO$15="",OO$16="",OO$18="",OO$19="",OO$20="",OO$21=""),"",SUM($OI19:OO19))</f>
        <v/>
      </c>
      <c r="OP72" s="114" t="str">
        <f>IF(OR(OP$13="",OP$17="",OP$14="",OP$15="",OP$16="",OP$18="",OP$19="",OP$20="",OP$21=""),"",SUM($OI19:OP19))</f>
        <v/>
      </c>
      <c r="OQ72" s="114" t="str">
        <f>IF(OR(OQ$13="",OQ$17="",OQ$14="",OQ$15="",OQ$16="",OQ$18="",OQ$19="",OQ$20="",OQ$21=""),"",SUM($OI19:OQ19))</f>
        <v/>
      </c>
      <c r="OR72" s="114" t="str">
        <f>IF(OR(OR$13="",OR$17="",OR$14="",OR$15="",OR$16="",OR$18="",OR$19="",OR$20="",OR$21=""),"",SUM($OI19:OR19))</f>
        <v/>
      </c>
      <c r="OS72" s="114" t="str">
        <f>IF(OR(OS$13="",OS$17="",OS$14="",OS$15="",OS$16="",OS$18="",OS$19="",OS$20="",OS$21=""),"",SUM($OI19:OS19))</f>
        <v/>
      </c>
      <c r="OT72" s="114" t="str">
        <f>IF(OR(OT$13="",OT$17="",OT$14="",OT$15="",OT$16="",OT$18="",OT$19="",OT$20="",OT$21=""),"",SUM($OI19:OT19))</f>
        <v/>
      </c>
      <c r="OU72" s="114" t="str">
        <f>IF(OR(OU$13="",OU$17="",OU$14="",OU$15="",OU$16="",OU$18="",OU$19="",OU$20="",OU$21=""),"",SUM($OI19:OU19))</f>
        <v/>
      </c>
      <c r="OV72" s="114" t="str">
        <f>IF(OR(OV$13="",OV$17="",OV$14="",OV$15="",OV$16="",OV$18="",OV$19="",OV$20="",OV$21=""),"",SUM($OI19:OV19))</f>
        <v/>
      </c>
      <c r="OW72" s="114" t="str">
        <f>IF(OR(OW$13="",OW$17="",OW$14="",OW$15="",OW$16="",OW$18="",OW$19="",OW$20="",OW$21=""),"",SUM($OI19:OW19))</f>
        <v/>
      </c>
      <c r="OX72" s="114" t="str">
        <f>IF(OR(OX$13="",OX$17="",OX$14="",OX$15="",OX$16="",OX$18="",OX$19="",OX$20="",OX$21=""),"",SUM($OI19:OX19))</f>
        <v/>
      </c>
      <c r="OY72" s="114" t="str">
        <f>IF(OR(OY$13="",OY$17="",OY$14="",OY$15="",OY$16="",OY$18="",OY$19="",OY$20="",OY$21=""),"",SUM($OI19:OY19))</f>
        <v/>
      </c>
      <c r="OZ72" s="114" t="str">
        <f>IF(OR(OZ$13="",OZ$17="",OZ$14="",OZ$15="",OZ$16="",OZ$18="",OZ$19="",OZ$20="",OZ$21=""),"",SUM($OI19:OZ19))</f>
        <v/>
      </c>
      <c r="PA72" s="114" t="str">
        <f>IF(OR(PA$13="",PA$17="",PA$14="",PA$15="",PA$16="",PA$18="",PA$19="",PA$20="",PA$21=""),"",SUM($OI19:PA19))</f>
        <v/>
      </c>
      <c r="PB72" s="114" t="str">
        <f>IF(OR(PB$13="",PB$17="",PB$14="",PB$15="",PB$16="",PB$18="",PB$19="",PB$20="",PB$21=""),"",SUM($OI19:PB19))</f>
        <v/>
      </c>
      <c r="PC72" s="114" t="str">
        <f>IF(OR(PC$13="",PC$17="",PC$14="",PC$15="",PC$16="",PC$18="",PC$19="",PC$20="",PC$21=""),"",SUM($OI19:PC19))</f>
        <v/>
      </c>
      <c r="PD72" s="114" t="str">
        <f>IF(OR(PD$13="",PD$17="",PD$14="",PD$15="",PD$16="",PD$18="",PD$19="",PD$20="",PD$21=""),"",SUM($OI19:PD19))</f>
        <v/>
      </c>
      <c r="PE72" s="114" t="str">
        <f>IF(OR(PE$13="",PE$17="",PE$14="",PE$15="",PE$16="",PE$18="",PE$19="",PE$20="",PE$21=""),"",SUM($OI19:PE19))</f>
        <v/>
      </c>
      <c r="PF72" s="114" t="str">
        <f>IF(OR(PF$13="",PF$17="",PF$14="",PF$15="",PF$16="",PF$18="",PF$19="",PF$20="",PF$21=""),"",SUM($OI19:PF19))</f>
        <v/>
      </c>
      <c r="PG72" s="114" t="str">
        <f>IF(OR(PG$13="",PG$17="",PG$14="",PG$15="",PG$16="",PG$18="",PG$19="",PG$20="",PG$21=""),"",SUM($OI19:PG19))</f>
        <v/>
      </c>
      <c r="PH72" s="114" t="str">
        <f>IF(OR(PH$13="",PH$17="",PH$14="",PH$15="",PH$16="",PH$18="",PH$19="",PH$20="",PH$21=""),"",SUM($OI19:PH19))</f>
        <v/>
      </c>
      <c r="PI72" s="114" t="str">
        <f>IF(OR(PI$13="",PI$17="",PI$14="",PI$15="",PI$16="",PI$18="",PI$19="",PI$20="",PI$21=""),"",SUM($OI19:PI19))</f>
        <v/>
      </c>
      <c r="PJ72" s="114" t="str">
        <f>IF(OR(PJ$13="",PJ$17="",PJ$14="",PJ$15="",PJ$16="",PJ$18="",PJ$19="",PJ$20="",PJ$21=""),"",SUM($OI19:PJ19))</f>
        <v/>
      </c>
      <c r="PK72" s="114" t="str">
        <f>IF(OR(PK$13="",PK$17="",PK$14="",PK$15="",PK$16="",PK$18="",PK$19="",PK$20="",PK$21=""),"",SUM($PK19:PK19))</f>
        <v/>
      </c>
      <c r="PL72" s="114" t="str">
        <f>IF(OR(PL$13="",PL$17="",PL$14="",PL$15="",PL$16="",PL$18="",PL$19="",PL$20="",PL$21=""),"",SUM($PK19:PL19))</f>
        <v/>
      </c>
      <c r="PM72" s="114" t="str">
        <f>IF(OR(PM$13="",PM$17="",PM$14="",PM$15="",PM$16="",PM$18="",PM$19="",PM$20="",PM$21=""),"",SUM($PK19:PM19))</f>
        <v/>
      </c>
      <c r="PN72" s="114" t="str">
        <f>IF(OR(PN$13="",PN$17="",PN$14="",PN$15="",PN$16="",PN$18="",PN$19="",PN$20="",PN$21=""),"",SUM($PK19:PN19))</f>
        <v/>
      </c>
      <c r="PO72" s="114" t="str">
        <f>IF(OR(PO$13="",PO$17="",PO$14="",PO$15="",PO$16="",PO$18="",PO$19="",PO$20="",PO$21=""),"",SUM($PK19:PO19))</f>
        <v/>
      </c>
      <c r="PP72" s="114" t="str">
        <f>IF(OR(PP$13="",PP$17="",PP$14="",PP$15="",PP$16="",PP$18="",PP$19="",PP$20="",PP$21=""),"",SUM($PK19:PP19))</f>
        <v/>
      </c>
      <c r="PQ72" s="114" t="str">
        <f>IF(OR(PQ$13="",PQ$17="",PQ$14="",PQ$15="",PQ$16="",PQ$18="",PQ$19="",PQ$20="",PQ$21=""),"",SUM($PK19:PQ19))</f>
        <v/>
      </c>
      <c r="PR72" s="114" t="str">
        <f>IF(OR(PR$13="",PR$17="",PR$14="",PR$15="",PR$16="",PR$18="",PR$19="",PR$20="",PR$21=""),"",SUM($PK19:PR19))</f>
        <v/>
      </c>
      <c r="PS72" s="114" t="str">
        <f>IF(OR(PS$13="",PS$17="",PS$14="",PS$15="",PS$16="",PS$18="",PS$19="",PS$20="",PS$21=""),"",SUM($PK19:PS19))</f>
        <v/>
      </c>
      <c r="PT72" s="114" t="str">
        <f>IF(OR(PT$13="",PT$17="",PT$14="",PT$15="",PT$16="",PT$18="",PT$19="",PT$20="",PT$21=""),"",SUM($PK19:PT19))</f>
        <v/>
      </c>
      <c r="PU72" s="114" t="str">
        <f>IF(OR(PU$13="",PU$17="",PU$14="",PU$15="",PU$16="",PU$18="",PU$19="",PU$20="",PU$21=""),"",SUM($PK19:PU19))</f>
        <v/>
      </c>
      <c r="PV72" s="114" t="str">
        <f>IF(OR(PV$13="",PV$17="",PV$14="",PV$15="",PV$16="",PV$18="",PV$19="",PV$20="",PV$21=""),"",SUM($PK19:PV19))</f>
        <v/>
      </c>
      <c r="PW72" s="114" t="str">
        <f>IF(OR(PW$13="",PW$17="",PW$14="",PW$15="",PW$16="",PW$18="",PW$19="",PW$20="",PW$21=""),"",SUM($PK19:PW19))</f>
        <v/>
      </c>
      <c r="PX72" s="114" t="str">
        <f>IF(OR(PX$13="",PX$17="",PX$14="",PX$15="",PX$16="",PX$18="",PX$19="",PX$20="",PX$21=""),"",SUM($PK19:PX19))</f>
        <v/>
      </c>
      <c r="PY72" s="114" t="str">
        <f>IF(OR(PY$13="",PY$17="",PY$14="",PY$15="",PY$16="",PY$18="",PY$19="",PY$20="",PY$21=""),"",SUM($PK19:PY19))</f>
        <v/>
      </c>
      <c r="PZ72" s="114" t="str">
        <f>IF(OR(PZ$13="",PZ$17="",PZ$14="",PZ$15="",PZ$16="",PZ$18="",PZ$19="",PZ$20="",PZ$21=""),"",SUM($PK19:PZ19))</f>
        <v/>
      </c>
      <c r="QA72" s="114" t="str">
        <f>IF(OR(QA$13="",QA$17="",QA$14="",QA$15="",QA$16="",QA$18="",QA$19="",QA$20="",QA$21=""),"",SUM($PK19:QA19))</f>
        <v/>
      </c>
      <c r="QB72" s="114" t="str">
        <f>IF(OR(QB$13="",QB$17="",QB$14="",QB$15="",QB$16="",QB$18="",QB$19="",QB$20="",QB$21=""),"",SUM($PK19:QB19))</f>
        <v/>
      </c>
      <c r="QC72" s="114" t="str">
        <f>IF(OR(QC$13="",QC$17="",QC$14="",QC$15="",QC$16="",QC$18="",QC$19="",QC$20="",QC$21=""),"",SUM($PK19:QC19))</f>
        <v/>
      </c>
      <c r="QD72" s="114" t="str">
        <f>IF(OR(QD$13="",QD$17="",QD$14="",QD$15="",QD$16="",QD$18="",QD$19="",QD$20="",QD$21=""),"",SUM($PK19:QD19))</f>
        <v/>
      </c>
      <c r="QE72" s="114" t="str">
        <f>IF(OR(QE$13="",QE$17="",QE$14="",QE$15="",QE$16="",QE$18="",QE$19="",QE$20="",QE$21=""),"",SUM($PK19:QE19))</f>
        <v/>
      </c>
      <c r="QF72" s="114" t="str">
        <f>IF(OR(QF$13="",QF$17="",QF$14="",QF$15="",QF$16="",QF$18="",QF$19="",QF$20="",QF$21=""),"",SUM($PK19:QF19))</f>
        <v/>
      </c>
      <c r="QG72" s="114" t="str">
        <f>IF(OR(QG$13="",QG$17="",QG$14="",QG$15="",QG$16="",QG$18="",QG$19="",QG$20="",QG$21=""),"",SUM($PK19:QG19))</f>
        <v/>
      </c>
      <c r="QH72" s="114" t="str">
        <f>IF(OR(QH$13="",QH$17="",QH$14="",QH$15="",QH$16="",QH$18="",QH$19="",QH$20="",QH$21=""),"",SUM($PK19:QH19))</f>
        <v/>
      </c>
      <c r="QI72" s="114" t="str">
        <f>IF(OR(QI$13="",QI$17="",QI$14="",QI$15="",QI$16="",QI$18="",QI$19="",QI$20="",QI$21=""),"",SUM($PK19:QI19))</f>
        <v/>
      </c>
      <c r="QJ72" s="114" t="str">
        <f>IF(OR(QJ$13="",QJ$17="",QJ$14="",QJ$15="",QJ$16="",QJ$18="",QJ$19="",QJ$20="",QJ$21=""),"",SUM($PK19:QJ19))</f>
        <v/>
      </c>
      <c r="QK72" s="114" t="str">
        <f>IF(OR(QK$13="",QK$17="",QK$14="",QK$15="",QK$16="",QK$18="",QK$19="",QK$20="",QK$21=""),"",SUM($PK19:QK19))</f>
        <v/>
      </c>
      <c r="QL72" s="114" t="str">
        <f>IF(OR(QL$13="",QL$17="",QL$14="",QL$15="",QL$16="",QL$18="",QL$19="",QL$20="",QL$21=""),"",SUM($PK19:QL19))</f>
        <v/>
      </c>
      <c r="QM72" s="114" t="str">
        <f>IF(OR(QM$13="",QM$17="",QM$14="",QM$15="",QM$16="",QM$18="",QM$19="",QM$20="",QM$21=""),"",SUM($PK19:QM19))</f>
        <v/>
      </c>
      <c r="QN72" s="114" t="str">
        <f>IF(OR(QN$13="",QN$17="",QN$14="",QN$15="",QN$16="",QN$18="",QN$19="",QN$20="",QN$21=""),"",SUM($PK19:QN19))</f>
        <v/>
      </c>
      <c r="QO72" s="114" t="str">
        <f>IF(OR(QO$13="",QO$17="",QO$14="",QO$15="",QO$16="",QO$18="",QO$19="",QO$20="",QO$21=""),"",SUM($PK19:QO19))</f>
        <v/>
      </c>
      <c r="QP72" s="114" t="str">
        <f>IF(OR(QP$13="",QP$17="",QP$14="",QP$15="",QP$16="",QP$18="",QP$19="",QP$20="",QP$21=""),"",SUM($QP19:QP19))</f>
        <v/>
      </c>
      <c r="QQ72" s="114" t="str">
        <f>IF(OR(QQ$13="",QQ$17="",QQ$14="",QQ$15="",QQ$16="",QQ$18="",QQ$19="",QQ$20="",QQ$21=""),"",SUM($QP19:QQ19))</f>
        <v/>
      </c>
      <c r="QR72" s="114" t="str">
        <f>IF(OR(QR$13="",QR$17="",QR$14="",QR$15="",QR$16="",QR$18="",QR$19="",QR$20="",QR$21=""),"",SUM($QP19:QR19))</f>
        <v/>
      </c>
      <c r="QS72" s="114" t="str">
        <f>IF(OR(QS$13="",QS$17="",QS$14="",QS$15="",QS$16="",QS$18="",QS$19="",QS$20="",QS$21=""),"",SUM($QP19:QS19))</f>
        <v/>
      </c>
      <c r="QT72" s="114" t="str">
        <f>IF(OR(QT$13="",QT$17="",QT$14="",QT$15="",QT$16="",QT$18="",QT$19="",QT$20="",QT$21=""),"",SUM($QP19:QT19))</f>
        <v/>
      </c>
      <c r="QU72" s="114" t="str">
        <f>IF(OR(QU$13="",QU$17="",QU$14="",QU$15="",QU$16="",QU$18="",QU$19="",QU$20="",QU$21=""),"",SUM($QP19:QU19))</f>
        <v/>
      </c>
      <c r="QV72" s="114" t="str">
        <f>IF(OR(QV$13="",QV$17="",QV$14="",QV$15="",QV$16="",QV$18="",QV$19="",QV$20="",QV$21=""),"",SUM($QP19:QV19))</f>
        <v/>
      </c>
      <c r="QW72" s="114" t="str">
        <f>IF(OR(QW$13="",QW$17="",QW$14="",QW$15="",QW$16="",QW$18="",QW$19="",QW$20="",QW$21=""),"",SUM($QP19:QW19))</f>
        <v/>
      </c>
      <c r="QX72" s="114" t="str">
        <f>IF(OR(QX$13="",QX$17="",QX$14="",QX$15="",QX$16="",QX$18="",QX$19="",QX$20="",QX$21=""),"",SUM($QP19:QX19))</f>
        <v/>
      </c>
      <c r="QY72" s="114" t="str">
        <f>IF(OR(QY$13="",QY$17="",QY$14="",QY$15="",QY$16="",QY$18="",QY$19="",QY$20="",QY$21=""),"",SUM($QP19:QY19))</f>
        <v/>
      </c>
      <c r="QZ72" s="114" t="str">
        <f>IF(OR(QZ$13="",QZ$17="",QZ$14="",QZ$15="",QZ$16="",QZ$18="",QZ$19="",QZ$20="",QZ$21=""),"",SUM($QP19:QZ19))</f>
        <v/>
      </c>
      <c r="RA72" s="114" t="str">
        <f>IF(OR(RA$13="",RA$17="",RA$14="",RA$15="",RA$16="",RA$18="",RA$19="",RA$20="",RA$21=""),"",SUM($QP19:RA19))</f>
        <v/>
      </c>
      <c r="RB72" s="114" t="str">
        <f>IF(OR(RB$13="",RB$17="",RB$14="",RB$15="",RB$16="",RB$18="",RB$19="",RB$20="",RB$21=""),"",SUM($QP19:RB19))</f>
        <v/>
      </c>
      <c r="RC72" s="114" t="str">
        <f>IF(OR(RC$13="",RC$17="",RC$14="",RC$15="",RC$16="",RC$18="",RC$19="",RC$20="",RC$21=""),"",SUM($QP19:RC19))</f>
        <v/>
      </c>
      <c r="RD72" s="114" t="str">
        <f>IF(OR(RD$13="",RD$17="",RD$14="",RD$15="",RD$16="",RD$18="",RD$19="",RD$20="",RD$21=""),"",SUM($QP19:RD19))</f>
        <v/>
      </c>
      <c r="RE72" s="114" t="str">
        <f>IF(OR(RE$13="",RE$17="",RE$14="",RE$15="",RE$16="",RE$18="",RE$19="",RE$20="",RE$21=""),"",SUM($QP19:RE19))</f>
        <v/>
      </c>
      <c r="RF72" s="114" t="str">
        <f>IF(OR(RF$13="",RF$17="",RF$14="",RF$15="",RF$16="",RF$18="",RF$19="",RF$20="",RF$21=""),"",SUM($QP19:RF19))</f>
        <v/>
      </c>
      <c r="RG72" s="114" t="str">
        <f>IF(OR(RG$13="",RG$17="",RG$14="",RG$15="",RG$16="",RG$18="",RG$19="",RG$20="",RG$21=""),"",SUM($QP19:RG19))</f>
        <v/>
      </c>
      <c r="RH72" s="114" t="str">
        <f>IF(OR(RH$13="",RH$17="",RH$14="",RH$15="",RH$16="",RH$18="",RH$19="",RH$20="",RH$21=""),"",SUM($QP19:RH19))</f>
        <v/>
      </c>
      <c r="RI72" s="114" t="str">
        <f>IF(OR(RI$13="",RI$17="",RI$14="",RI$15="",RI$16="",RI$18="",RI$19="",RI$20="",RI$21=""),"",SUM($QP19:RI19))</f>
        <v/>
      </c>
      <c r="RJ72" s="114" t="str">
        <f>IF(OR(RJ$13="",RJ$17="",RJ$14="",RJ$15="",RJ$16="",RJ$18="",RJ$19="",RJ$20="",RJ$21=""),"",SUM($QP19:RJ19))</f>
        <v/>
      </c>
      <c r="RK72" s="114" t="str">
        <f>IF(OR(RK$13="",RK$17="",RK$14="",RK$15="",RK$16="",RK$18="",RK$19="",RK$20="",RK$21=""),"",SUM($QP19:RK19))</f>
        <v/>
      </c>
      <c r="RL72" s="114" t="str">
        <f>IF(OR(RL$13="",RL$17="",RL$14="",RL$15="",RL$16="",RL$18="",RL$19="",RL$20="",RL$21=""),"",SUM($QP19:RL19))</f>
        <v/>
      </c>
      <c r="RM72" s="114" t="str">
        <f>IF(OR(RM$13="",RM$17="",RM$14="",RM$15="",RM$16="",RM$18="",RM$19="",RM$20="",RM$21=""),"",SUM($QP19:RM19))</f>
        <v/>
      </c>
      <c r="RN72" s="114" t="str">
        <f>IF(OR(RN$13="",RN$17="",RN$14="",RN$15="",RN$16="",RN$18="",RN$19="",RN$20="",RN$21=""),"",SUM($QP19:RN19))</f>
        <v/>
      </c>
      <c r="RO72" s="114" t="str">
        <f>IF(OR(RO$13="",RO$17="",RO$14="",RO$15="",RO$16="",RO$18="",RO$19="",RO$20="",RO$21=""),"",SUM($QP19:RO19))</f>
        <v/>
      </c>
      <c r="RP72" s="114" t="str">
        <f>IF(OR(RP$13="",RP$17="",RP$14="",RP$15="",RP$16="",RP$18="",RP$19="",RP$20="",RP$21=""),"",SUM($QP19:RP19))</f>
        <v/>
      </c>
      <c r="RQ72" s="114" t="str">
        <f>IF(OR(RQ$13="",RQ$17="",RQ$14="",RQ$15="",RQ$16="",RQ$18="",RQ$19="",RQ$20="",RQ$21=""),"",SUM($QP19:RQ19))</f>
        <v/>
      </c>
      <c r="RR72" s="114" t="str">
        <f>IF(OR(RR$13="",RR$17="",RR$14="",RR$15="",RR$16="",RR$18="",RR$19="",RR$20="",RR$21=""),"",SUM($QP19:RR19))</f>
        <v/>
      </c>
      <c r="RS72" s="114" t="str">
        <f>IF(OR(RS$13="",RS$17="",RS$14="",RS$15="",RS$16="",RS$18="",RS$19="",RS$20="",RS$21=""),"",SUM($QP19:RS19))</f>
        <v/>
      </c>
      <c r="RT72" s="114" t="str">
        <f>IF(OR(RT$13="",RT$17="",RT$14="",RT$15="",RT$16="",RT$18="",RT$19="",RT$20="",RT$21=""),"",SUM($RT19:RT19))</f>
        <v/>
      </c>
      <c r="RU72" s="114" t="str">
        <f>IF(OR(RU$13="",RU$17="",RU$14="",RU$15="",RU$16="",RU$18="",RU$19="",RU$20="",RU$21=""),"",SUM($RT19:RU19))</f>
        <v/>
      </c>
      <c r="RV72" s="114" t="str">
        <f>IF(OR(RV$13="",RV$17="",RV$14="",RV$15="",RV$16="",RV$18="",RV$19="",RV$20="",RV$21=""),"",SUM($RT19:RV19))</f>
        <v/>
      </c>
      <c r="RW72" s="114" t="str">
        <f>IF(OR(RW$13="",RW$17="",RW$14="",RW$15="",RW$16="",RW$18="",RW$19="",RW$20="",RW$21=""),"",SUM($RT19:RW19))</f>
        <v/>
      </c>
      <c r="RX72" s="114" t="str">
        <f>IF(OR(RX$13="",RX$17="",RX$14="",RX$15="",RX$16="",RX$18="",RX$19="",RX$20="",RX$21=""),"",SUM($RT19:RX19))</f>
        <v/>
      </c>
      <c r="RY72" s="114" t="str">
        <f>IF(OR(RY$13="",RY$17="",RY$14="",RY$15="",RY$16="",RY$18="",RY$19="",RY$20="",RY$21=""),"",SUM($RT19:RY19))</f>
        <v/>
      </c>
      <c r="RZ72" s="114" t="str">
        <f>IF(OR(RZ$13="",RZ$17="",RZ$14="",RZ$15="",RZ$16="",RZ$18="",RZ$19="",RZ$20="",RZ$21=""),"",SUM($RT19:RZ19))</f>
        <v/>
      </c>
      <c r="SA72" s="114" t="str">
        <f>IF(OR(SA$13="",SA$17="",SA$14="",SA$15="",SA$16="",SA$18="",SA$19="",SA$20="",SA$21=""),"",SUM($RT19:SA19))</f>
        <v/>
      </c>
      <c r="SB72" s="114" t="str">
        <f>IF(OR(SB$13="",SB$17="",SB$14="",SB$15="",SB$16="",SB$18="",SB$19="",SB$20="",SB$21=""),"",SUM($RT19:SB19))</f>
        <v/>
      </c>
      <c r="SC72" s="114" t="str">
        <f>IF(OR(SC$13="",SC$17="",SC$14="",SC$15="",SC$16="",SC$18="",SC$19="",SC$20="",SC$21=""),"",SUM($RT19:SC19))</f>
        <v/>
      </c>
      <c r="SD72" s="114" t="str">
        <f>IF(OR(SD$13="",SD$17="",SD$14="",SD$15="",SD$16="",SD$18="",SD$19="",SD$20="",SD$21=""),"",SUM($RT19:SD19))</f>
        <v/>
      </c>
      <c r="SE72" s="114" t="str">
        <f>IF(OR(SE$13="",SE$17="",SE$14="",SE$15="",SE$16="",SE$18="",SE$19="",SE$20="",SE$21=""),"",SUM($RT19:SE19))</f>
        <v/>
      </c>
      <c r="SF72" s="114" t="str">
        <f>IF(OR(SF$13="",SF$17="",SF$14="",SF$15="",SF$16="",SF$18="",SF$19="",SF$20="",SF$21=""),"",SUM($RT19:SF19))</f>
        <v/>
      </c>
      <c r="SG72" s="114" t="str">
        <f>IF(OR(SG$13="",SG$17="",SG$14="",SG$15="",SG$16="",SG$18="",SG$19="",SG$20="",SG$21=""),"",SUM($RT19:SG19))</f>
        <v/>
      </c>
      <c r="SH72" s="114" t="str">
        <f>IF(OR(SH$13="",SH$17="",SH$14="",SH$15="",SH$16="",SH$18="",SH$19="",SH$20="",SH$21=""),"",SUM($RT19:SH19))</f>
        <v/>
      </c>
      <c r="SI72" s="114" t="str">
        <f>IF(OR(SI$13="",SI$17="",SI$14="",SI$15="",SI$16="",SI$18="",SI$19="",SI$20="",SI$21=""),"",SUM($RT19:SI19))</f>
        <v/>
      </c>
      <c r="SJ72" s="114" t="str">
        <f>IF(OR(SJ$13="",SJ$17="",SJ$14="",SJ$15="",SJ$16="",SJ$18="",SJ$19="",SJ$20="",SJ$21=""),"",SUM($RT19:SJ19))</f>
        <v/>
      </c>
      <c r="SK72" s="114" t="str">
        <f>IF(OR(SK$13="",SK$17="",SK$14="",SK$15="",SK$16="",SK$18="",SK$19="",SK$20="",SK$21=""),"",SUM($RT19:SK19))</f>
        <v/>
      </c>
      <c r="SL72" s="114" t="str">
        <f>IF(OR(SL$13="",SL$17="",SL$14="",SL$15="",SL$16="",SL$18="",SL$19="",SL$20="",SL$21=""),"",SUM($RT19:SL19))</f>
        <v/>
      </c>
      <c r="SM72" s="114" t="str">
        <f>IF(OR(SM$13="",SM$17="",SM$14="",SM$15="",SM$16="",SM$18="",SM$19="",SM$20="",SM$21=""),"",SUM($RT19:SM19))</f>
        <v/>
      </c>
      <c r="SN72" s="114" t="str">
        <f>IF(OR(SN$13="",SN$17="",SN$14="",SN$15="",SN$16="",SN$18="",SN$19="",SN$20="",SN$21=""),"",SUM($RT19:SN19))</f>
        <v/>
      </c>
      <c r="SO72" s="114" t="str">
        <f>IF(OR(SO$13="",SO$17="",SO$14="",SO$15="",SO$16="",SO$18="",SO$19="",SO$20="",SO$21=""),"",SUM($RT19:SO19))</f>
        <v/>
      </c>
      <c r="SP72" s="114" t="str">
        <f>IF(OR(SP$13="",SP$17="",SP$14="",SP$15="",SP$16="",SP$18="",SP$19="",SP$20="",SP$21=""),"",SUM($RT19:SP19))</f>
        <v/>
      </c>
      <c r="SQ72" s="114" t="str">
        <f>IF(OR(SQ$13="",SQ$17="",SQ$14="",SQ$15="",SQ$16="",SQ$18="",SQ$19="",SQ$20="",SQ$21=""),"",SUM($RT19:SQ19))</f>
        <v/>
      </c>
      <c r="SR72" s="114" t="str">
        <f>IF(OR(SR$13="",SR$17="",SR$14="",SR$15="",SR$16="",SR$18="",SR$19="",SR$20="",SR$21=""),"",SUM($RT19:SR19))</f>
        <v/>
      </c>
      <c r="SS72" s="114" t="str">
        <f>IF(OR(SS$13="",SS$17="",SS$14="",SS$15="",SS$16="",SS$18="",SS$19="",SS$20="",SS$21=""),"",SUM($RT19:SS19))</f>
        <v/>
      </c>
      <c r="ST72" s="114" t="str">
        <f>IF(OR(ST$13="",ST$17="",ST$14="",ST$15="",ST$16="",ST$18="",ST$19="",ST$20="",ST$21=""),"",SUM($RT19:ST19))</f>
        <v/>
      </c>
      <c r="SU72" s="114" t="str">
        <f>IF(OR(SU$13="",SU$17="",SU$14="",SU$15="",SU$16="",SU$18="",SU$19="",SU$20="",SU$21=""),"",SUM($RT19:SU19))</f>
        <v/>
      </c>
      <c r="SV72" s="114" t="str">
        <f>IF(OR(SV$13="",SV$17="",SV$14="",SV$15="",SV$16="",SV$18="",SV$19="",SV$20="",SV$21=""),"",SUM($RT19:SV19))</f>
        <v/>
      </c>
      <c r="SW72" s="114" t="str">
        <f>IF(OR(SW$13="",SW$17="",SW$14="",SW$15="",SW$16="",SW$18="",SW$19="",SW$20="",SW$21=""),"",SUM($RT19:SW19))</f>
        <v/>
      </c>
    </row>
    <row r="73" spans="1:517" ht="24.6" customHeight="1" x14ac:dyDescent="0.2">
      <c r="A73" s="94">
        <v>777</v>
      </c>
      <c r="B73" s="119" t="s">
        <v>84</v>
      </c>
      <c r="C73" s="114">
        <f>IF(OR(C$13="",C$17="",C$14="",C$15="",C$16="",C$18="",C$19="",C$20="",C$21=""),"",SUM($C20:C20))</f>
        <v>0</v>
      </c>
      <c r="D73" s="114">
        <f>IF(OR(D$13="",D$17="",D$14="",D$15="",D$16="",D$18="",D$19="",D$20="",D$21=""),"",SUM($C20:D20))</f>
        <v>0</v>
      </c>
      <c r="E73" s="114">
        <f>IF(OR(E$13="",E$17="",E$14="",E$15="",E$16="",E$18="",E$19="",E$20="",E$21=""),"",SUM($C20:E20))</f>
        <v>4.0500000000000007</v>
      </c>
      <c r="F73" s="114">
        <f>IF(OR(F$13="",F$17="",F$14="",F$15="",F$16="",F$18="",F$19="",F$20="",F$21=""),"",SUM($C20:F20))</f>
        <v>4.0500000000000007</v>
      </c>
      <c r="G73" s="114">
        <f>IF(OR(G$13="",G$17="",G$14="",G$15="",G$16="",G$18="",G$19="",G$20="",G$21=""),"",SUM($C20:G20))</f>
        <v>4.0500000000000007</v>
      </c>
      <c r="H73" s="114">
        <f>IF(OR(H$13="",H$17="",H$14="",H$15="",H$16="",H$18="",H$19="",H$20="",H$21=""),"",SUM($C20:H20))</f>
        <v>8.2700000000000014</v>
      </c>
      <c r="I73" s="114">
        <f>IF(OR(I$13="",I$17="",I$14="",I$15="",I$16="",I$18="",I$19="",I$20="",I$21=""),"",SUM($C20:I20))</f>
        <v>18.090000000000003</v>
      </c>
      <c r="J73" s="114">
        <f>IF(OR(J$13="",J$17="",J$14="",J$15="",J$16="",J$18="",J$19="",J$20="",J$21=""),"",SUM($C20:J20))</f>
        <v>36.24</v>
      </c>
      <c r="K73" s="114">
        <f>IF(OR(K$13="",K$17="",K$14="",K$15="",K$16="",K$18="",K$19="",K$20="",K$21=""),"",SUM($C20:K20))</f>
        <v>36.24</v>
      </c>
      <c r="L73" s="114">
        <f>IF(OR(L$13="",L$17="",L$14="",L$15="",L$16="",L$18="",L$19="",L$20="",L$21=""),"",SUM($C20:L20))</f>
        <v>36.24</v>
      </c>
      <c r="M73" s="114">
        <f>IF(OR(M$13="",M$17="",M$14="",M$15="",M$16="",M$18="",M$19="",M$20="",M$21=""),"",SUM($C20:M20))</f>
        <v>94.17</v>
      </c>
      <c r="N73" s="114">
        <f>IF(OR(N$13="",N$17="",N$14="",N$15="",N$16="",N$18="",N$19="",N$20="",N$21=""),"",SUM($C20:N20))</f>
        <v>94.17</v>
      </c>
      <c r="O73" s="114">
        <f>IF(OR(O$13="",O$17="",O$14="",O$15="",O$16="",O$18="",O$19="",O$20="",O$21=""),"",SUM($C20:O20))</f>
        <v>94.17</v>
      </c>
      <c r="P73" s="114">
        <f>IF(OR(P$13="",P$17="",P$14="",P$15="",P$16="",P$18="",P$19="",P$20="",P$21=""),"",SUM($C20:P20))</f>
        <v>105.45</v>
      </c>
      <c r="Q73" s="114">
        <f>IF(OR(Q$13="",Q$17="",Q$14="",Q$15="",Q$16="",Q$18="",Q$19="",Q$20="",Q$21=""),"",SUM($C20:Q20))</f>
        <v>120.77000000000001</v>
      </c>
      <c r="R73" s="114">
        <f>IF(OR(R$13="",R$17="",R$14="",R$15="",R$16="",R$18="",R$19="",R$20="",R$21=""),"",SUM($C20:R20))</f>
        <v>120.77000000000001</v>
      </c>
      <c r="S73" s="114">
        <f>IF(OR(S$13="",S$17="",S$14="",S$15="",S$16="",S$18="",S$19="",S$20="",S$21=""),"",SUM($C20:S20))</f>
        <v>120.77000000000001</v>
      </c>
      <c r="T73" s="114">
        <f>IF(OR(T$13="",T$17="",T$14="",T$15="",T$16="",T$18="",T$19="",T$20="",T$21=""),"",SUM($C20:T20))</f>
        <v>128.80000000000001</v>
      </c>
      <c r="U73" s="114">
        <f>IF(OR(U$13="",U$17="",U$14="",U$15="",U$16="",U$18="",U$19="",U$20="",U$21=""),"",SUM($C20:U20))</f>
        <v>136.60000000000002</v>
      </c>
      <c r="V73" s="114">
        <f>IF(OR(V$13="",V$17="",V$14="",V$15="",V$16="",V$18="",V$19="",V$20="",V$21=""),"",SUM($C20:V20))</f>
        <v>139.50000000000003</v>
      </c>
      <c r="W73" s="114">
        <f>IF(OR(W$13="",W$17="",W$14="",W$15="",W$16="",W$18="",W$19="",W$20="",W$21=""),"",SUM($C20:W20))</f>
        <v>141.70000000000002</v>
      </c>
      <c r="X73" s="114">
        <f>IF(OR(X$13="",X$17="",X$14="",X$15="",X$16="",X$18="",X$19="",X$20="",X$21=""),"",SUM($C20:X20))</f>
        <v>142.72000000000003</v>
      </c>
      <c r="Y73" s="114">
        <f>IF(OR(Y$13="",Y$17="",Y$14="",Y$15="",Y$16="",Y$18="",Y$19="",Y$20="",Y$21=""),"",SUM($C20:Y20))</f>
        <v>144.47000000000003</v>
      </c>
      <c r="Z73" s="114">
        <f>IF(OR(Z$13="",Z$17="",Z$14="",Z$15="",Z$16="",Z$18="",Z$19="",Z$20="",Z$21=""),"",SUM($C20:Z20))</f>
        <v>144.47000000000003</v>
      </c>
      <c r="AA73" s="114">
        <f>IF(OR(AA$13="",AA$17="",AA$14="",AA$15="",AA$16="",AA$18="",AA$19="",AA$20="",AA$21=""),"",SUM($C20:AA20))</f>
        <v>144.47000000000003</v>
      </c>
      <c r="AB73" s="114">
        <f>IF(OR(AB$13="",AB$17="",AB$14="",AB$15="",AB$16="",AB$18="",AB$19="",AB$20="",AB$21=""),"",SUM($C20:AB20))</f>
        <v>144.47000000000003</v>
      </c>
      <c r="AC73" s="114">
        <f>IF(OR(AC$13="",AC$17="",AC$14="",AC$15="",AC$16="",AC$18="",AC$19="",AC$20="",AC$21=""),"",SUM($C20:AC20))</f>
        <v>144.47000000000003</v>
      </c>
      <c r="AD73" s="114">
        <f>IF(OR(AD$13="",AD$17="",AD$14="",AD$15="",AD$16="",AD$18="",AD$19="",AD$20="",AD$21=""),"",SUM($C20:AD20))</f>
        <v>144.47000000000003</v>
      </c>
      <c r="AE73" s="114">
        <f>IF(OR(AE$13="",AE$17="",AE$14="",AE$15="",AE$16="",AE$18="",AE$19="",AE$20="",AE$21=""),"",SUM($C20:AE20))</f>
        <v>144.47000000000003</v>
      </c>
      <c r="AF73" s="114">
        <f>IF(OR(AF$13="",AF$17="",AF$14="",AF$15="",AF$16="",AF$18="",AF$19="",AF$20="",AF$21=""),"",SUM($C20:AF20))</f>
        <v>144.47000000000003</v>
      </c>
      <c r="AG73" s="114">
        <f>IF(OR(AG$13="",AG$17="",AG$14="",AG$15="",AG$16="",AG$18="",AG$19="",AG$20="",AG$21=""),"",SUM($C20:AG20))</f>
        <v>145.76000000000002</v>
      </c>
      <c r="AH73" s="114">
        <f>IF(OR(AH$13="",AH$17="",AH$14="",AH$15="",AH$16="",AH$18="",AH$19="",AH$20="",AH$21=""),"",SUM($AH20:AH20))</f>
        <v>6.38</v>
      </c>
      <c r="AI73" s="114">
        <f>IF(OR(AI$13="",AI$17="",AI$14="",AI$15="",AI$16="",AI$18="",AI$19="",AI$20="",AI$21=""),"",SUM($AH20:AI20))</f>
        <v>6.38</v>
      </c>
      <c r="AJ73" s="114">
        <f>IF(OR(AJ$13="",AJ$17="",AJ$14="",AJ$15="",AJ$16="",AJ$18="",AJ$19="",AJ$20="",AJ$21=""),"",SUM($AH20:AJ20))</f>
        <v>6.38</v>
      </c>
      <c r="AK73" s="114">
        <f>IF(OR(AK$13="",AK$17="",AK$14="",AK$15="",AK$16="",AK$18="",AK$19="",AK$20="",AK$21=""),"",SUM($AH20:AK20))</f>
        <v>6.38</v>
      </c>
      <c r="AL73" s="114">
        <f>IF(OR(AL$13="",AL$17="",AL$14="",AL$15="",AL$16="",AL$18="",AL$19="",AL$20="",AL$21=""),"",SUM($AH20:AL20))</f>
        <v>6.38</v>
      </c>
      <c r="AM73" s="114">
        <f>IF(OR(AM$13="",AM$17="",AM$14="",AM$15="",AM$16="",AM$18="",AM$19="",AM$20="",AM$21=""),"",SUM($AH20:AM20))</f>
        <v>6.38</v>
      </c>
      <c r="AN73" s="114">
        <f>IF(OR(AN$13="",AN$17="",AN$14="",AN$15="",AN$16="",AN$18="",AN$19="",AN$20="",AN$21=""),"",SUM($AH20:AN20))</f>
        <v>8.2199999999999989</v>
      </c>
      <c r="AO73" s="114">
        <f>IF(OR(AO$13="",AO$17="",AO$14="",AO$15="",AO$16="",AO$18="",AO$19="",AO$20="",AO$21=""),"",SUM($AH20:AO20))</f>
        <v>8.2199999999999989</v>
      </c>
      <c r="AP73" s="114">
        <f>IF(OR(AP$13="",AP$17="",AP$14="",AP$15="",AP$16="",AP$18="",AP$19="",AP$20="",AP$21=""),"",SUM($AH20:AP20))</f>
        <v>8.2199999999999989</v>
      </c>
      <c r="AQ73" s="114">
        <f>IF(OR(AQ$13="",AQ$17="",AQ$14="",AQ$15="",AQ$16="",AQ$18="",AQ$19="",AQ$20="",AQ$21=""),"",SUM($AH20:AQ20))</f>
        <v>9.94</v>
      </c>
      <c r="AR73" s="114">
        <f>IF(OR(AR$13="",AR$17="",AR$14="",AR$15="",AR$16="",AR$18="",AR$19="",AR$20="",AR$21=""),"",SUM($AH20:AR20))</f>
        <v>9.94</v>
      </c>
      <c r="AS73" s="114">
        <f>IF(OR(AS$13="",AS$17="",AS$14="",AS$15="",AS$16="",AS$18="",AS$19="",AS$20="",AS$21=""),"",SUM($AH20:AS20))</f>
        <v>9.94</v>
      </c>
      <c r="AT73" s="114">
        <f>IF(OR(AT$13="",AT$17="",AT$14="",AT$15="",AT$16="",AT$18="",AT$19="",AT$20="",AT$21=""),"",SUM($AH20:AT20))</f>
        <v>9.94</v>
      </c>
      <c r="AU73" s="114">
        <f>IF(OR(AU$13="",AU$17="",AU$14="",AU$15="",AU$16="",AU$18="",AU$19="",AU$20="",AU$21=""),"",SUM($AH20:AU20))</f>
        <v>9.94</v>
      </c>
      <c r="AV73" s="114">
        <f>IF(OR(AV$13="",AV$17="",AV$14="",AV$15="",AV$16="",AV$18="",AV$19="",AV$20="",AV$21=""),"",SUM($AH20:AV20))</f>
        <v>9.94</v>
      </c>
      <c r="AW73" s="114">
        <f>IF(OR(AW$13="",AW$17="",AW$14="",AW$15="",AW$16="",AW$18="",AW$19="",AW$20="",AW$21=""),"",SUM($AH20:AW20))</f>
        <v>9.94</v>
      </c>
      <c r="AX73" s="114">
        <f>IF(OR(AX$13="",AX$17="",AX$14="",AX$15="",AX$16="",AX$18="",AX$19="",AX$20="",AX$21=""),"",SUM($AH20:AX20))</f>
        <v>9.94</v>
      </c>
      <c r="AY73" s="114">
        <f>IF(OR(AY$13="",AY$17="",AY$14="",AY$15="",AY$16="",AY$18="",AY$19="",AY$20="",AY$21=""),"",SUM($AH20:AY20))</f>
        <v>9.94</v>
      </c>
      <c r="AZ73" s="114">
        <f>IF(OR(AZ$13="",AZ$17="",AZ$14="",AZ$15="",AZ$16="",AZ$18="",AZ$19="",AZ$20="",AZ$21=""),"",SUM($AH20:AZ20))</f>
        <v>9.94</v>
      </c>
      <c r="BA73" s="114">
        <f>IF(OR(BA$13="",BA$17="",BA$14="",BA$15="",BA$16="",BA$18="",BA$19="",BA$20="",BA$21=""),"",SUM($AH20:BA20))</f>
        <v>20.84</v>
      </c>
      <c r="BB73" s="114">
        <f>IF(OR(BB$13="",BB$17="",BB$14="",BB$15="",BB$16="",BB$18="",BB$19="",BB$20="",BB$21=""),"",SUM($AH20:BB20))</f>
        <v>20.84</v>
      </c>
      <c r="BC73" s="114">
        <f>IF(OR(BC$13="",BC$17="",BC$14="",BC$15="",BC$16="",BC$18="",BC$19="",BC$20="",BC$21=""),"",SUM($AH20:BC20))</f>
        <v>20.84</v>
      </c>
      <c r="BD73" s="114">
        <f>IF(OR(BD$13="",BD$17="",BD$14="",BD$15="",BD$16="",BD$18="",BD$19="",BD$20="",BD$21=""),"",SUM($AH20:BD20))</f>
        <v>25.11</v>
      </c>
      <c r="BE73" s="114">
        <f>IF(OR(BE$13="",BE$17="",BE$14="",BE$15="",BE$16="",BE$18="",BE$19="",BE$20="",BE$21=""),"",SUM($AH20:BE20))</f>
        <v>25.11</v>
      </c>
      <c r="BF73" s="114">
        <f>IF(OR(BF$13="",BF$17="",BF$14="",BF$15="",BF$16="",BF$18="",BF$19="",BF$20="",BF$21=""),"",SUM($AH20:BF20))</f>
        <v>25.11</v>
      </c>
      <c r="BG73" s="114">
        <f>IF(OR(BG$13="",BG$17="",BG$14="",BG$15="",BG$16="",BG$18="",BG$19="",BG$20="",BG$21=""),"",SUM($AH20:BG20))</f>
        <v>25.11</v>
      </c>
      <c r="BH73" s="114">
        <f>IF(OR(BH$13="",BH$17="",BH$14="",BH$15="",BH$16="",BH$18="",BH$19="",BH$20="",BH$21=""),"",SUM($AH20:BH20))</f>
        <v>25.11</v>
      </c>
      <c r="BI73" s="114">
        <f>IF(OR(BI$13="",BI$17="",BI$14="",BI$15="",BI$16="",BI$18="",BI$19="",BI$20="",BI$21=""),"",SUM($AH20:BI20))</f>
        <v>25.11</v>
      </c>
      <c r="BJ73" s="114">
        <f>IF(OR(BJ$13="",BJ$17="",BJ$14="",BJ$15="",BJ$16="",BJ$18="",BJ$19="",BJ$20="",BJ$21=""),"",SUM($BJ20:BJ20))</f>
        <v>6.6000000000000005</v>
      </c>
      <c r="BK73" s="114">
        <f>IF(OR(BK$13="",BK$17="",BK$14="",BK$15="",BK$16="",BK$18="",BK$19="",BK$20="",BK$21=""),"",SUM($BJ20:BK20))</f>
        <v>6.6000000000000005</v>
      </c>
      <c r="BL73" s="114">
        <f>IF(OR(BL$13="",BL$17="",BL$14="",BL$15="",BL$16="",BL$18="",BL$19="",BL$20="",BL$21=""),"",SUM($BJ20:BL20))</f>
        <v>7.6800000000000006</v>
      </c>
      <c r="BM73" s="114">
        <f>IF(OR(BM$13="",BM$17="",BM$14="",BM$15="",BM$16="",BM$18="",BM$19="",BM$20="",BM$21=""),"",SUM($BJ20:BM20))</f>
        <v>12.55</v>
      </c>
      <c r="BN73" s="114">
        <f>IF(OR(BN$13="",BN$17="",BN$14="",BN$15="",BN$16="",BN$18="",BN$19="",BN$20="",BN$21=""),"",SUM($BJ20:BN20))</f>
        <v>12.55</v>
      </c>
      <c r="BO73" s="114">
        <f>IF(OR(BO$13="",BO$17="",BO$14="",BO$15="",BO$16="",BO$18="",BO$19="",BO$20="",BO$21=""),"",SUM($BJ20:BO20))</f>
        <v>17.420000000000002</v>
      </c>
      <c r="BP73" s="114">
        <f>IF(OR(BP$13="",BP$17="",BP$14="",BP$15="",BP$16="",BP$18="",BP$19="",BP$20="",BP$21=""),"",SUM($BJ20:BP20))</f>
        <v>23.29</v>
      </c>
      <c r="BQ73" s="114">
        <f>IF(OR(BQ$13="",BQ$17="",BQ$14="",BQ$15="",BQ$16="",BQ$18="",BQ$19="",BQ$20="",BQ$21=""),"",SUM($BJ20:BQ20))</f>
        <v>23.29</v>
      </c>
      <c r="BR73" s="114">
        <f>IF(OR(BR$13="",BR$17="",BR$14="",BR$15="",BR$16="",BR$18="",BR$19="",BR$20="",BR$21=""),"",SUM($BJ20:BR20))</f>
        <v>23.29</v>
      </c>
      <c r="BS73" s="114">
        <f>IF(OR(BS$13="",BS$17="",BS$14="",BS$15="",BS$16="",BS$18="",BS$19="",BS$20="",BS$21=""),"",SUM($BJ20:BS20))</f>
        <v>24.84</v>
      </c>
      <c r="BT73" s="114">
        <f>IF(OR(BT$13="",BT$17="",BT$14="",BT$15="",BT$16="",BT$18="",BT$19="",BT$20="",BT$21=""),"",SUM($BJ20:BT20))</f>
        <v>44.47</v>
      </c>
      <c r="BU73" s="114">
        <f>IF(OR(BU$13="",BU$17="",BU$14="",BU$15="",BU$16="",BU$18="",BU$19="",BU$20="",BU$21=""),"",SUM($BJ20:BU20))</f>
        <v>44.47</v>
      </c>
      <c r="BV73" s="114">
        <f>IF(OR(BV$13="",BV$17="",BV$14="",BV$15="",BV$16="",BV$18="",BV$19="",BV$20="",BV$21=""),"",SUM($BJ20:BV20))</f>
        <v>44.47</v>
      </c>
      <c r="BW73" s="114">
        <f>IF(OR(BW$13="",BW$17="",BW$14="",BW$15="",BW$16="",BW$18="",BW$19="",BW$20="",BW$21=""),"",SUM($BJ20:BW20))</f>
        <v>44.47</v>
      </c>
      <c r="BX73" s="114">
        <f>IF(OR(BX$13="",BX$17="",BX$14="",BX$15="",BX$16="",BX$18="",BX$19="",BX$20="",BX$21=""),"",SUM($BJ20:BX20))</f>
        <v>44.47</v>
      </c>
      <c r="BY73" s="114">
        <f>IF(OR(BY$13="",BY$17="",BY$14="",BY$15="",BY$16="",BY$18="",BY$19="",BY$20="",BY$21=""),"",SUM($BJ20:BY20))</f>
        <v>44.47</v>
      </c>
      <c r="BZ73" s="114">
        <f>IF(OR(BZ$13="",BZ$17="",BZ$14="",BZ$15="",BZ$16="",BZ$18="",BZ$19="",BZ$20="",BZ$21=""),"",SUM($BJ20:BZ20))</f>
        <v>44.47</v>
      </c>
      <c r="CA73" s="114">
        <f>IF(OR(CA$13="",CA$17="",CA$14="",CA$15="",CA$16="",CA$18="",CA$19="",CA$20="",CA$21=""),"",SUM($BJ20:CA20))</f>
        <v>44.47</v>
      </c>
      <c r="CB73" s="114">
        <f>IF(OR(CB$13="",CB$17="",CB$14="",CB$15="",CB$16="",CB$18="",CB$19="",CB$20="",CB$21=""),"",SUM($BJ20:CB20))</f>
        <v>44.47</v>
      </c>
      <c r="CC73" s="114">
        <f>IF(OR(CC$13="",CC$17="",CC$14="",CC$15="",CC$16="",CC$18="",CC$19="",CC$20="",CC$21=""),"",SUM($BJ20:CC20))</f>
        <v>44.47</v>
      </c>
      <c r="CD73" s="114">
        <f>IF(OR(CD$13="",CD$17="",CD$14="",CD$15="",CD$16="",CD$18="",CD$19="",CD$20="",CD$21=""),"",SUM($BJ20:CD20))</f>
        <v>44.47</v>
      </c>
      <c r="CE73" s="114">
        <f>IF(OR(CE$13="",CE$17="",CE$14="",CE$15="",CE$16="",CE$18="",CE$19="",CE$20="",CE$21=""),"",SUM($BJ20:CE20))</f>
        <v>44.47</v>
      </c>
      <c r="CF73" s="114">
        <f>IF(OR(CF$13="",CF$17="",CF$14="",CF$15="",CF$16="",CF$18="",CF$19="",CF$20="",CF$21=""),"",SUM($BJ20:CF20))</f>
        <v>48.67</v>
      </c>
      <c r="CG73" s="114">
        <f>IF(OR(CG$13="",CG$17="",CG$14="",CG$15="",CG$16="",CG$18="",CG$19="",CG$20="",CG$21=""),"",SUM($BJ20:CG20))</f>
        <v>48.67</v>
      </c>
      <c r="CH73" s="114">
        <f>IF(OR(CH$13="",CH$17="",CH$14="",CH$15="",CH$16="",CH$18="",CH$19="",CH$20="",CH$21=""),"",SUM($BJ20:CH20))</f>
        <v>48.67</v>
      </c>
      <c r="CI73" s="114">
        <f>IF(OR(CI$13="",CI$17="",CI$14="",CI$15="",CI$16="",CI$18="",CI$19="",CI$20="",CI$21=""),"",SUM($BJ20:CI20))</f>
        <v>48.67</v>
      </c>
      <c r="CJ73" s="114">
        <f>IF(OR(CJ$13="",CJ$17="",CJ$14="",CJ$15="",CJ$16="",CJ$18="",CJ$19="",CJ$20="",CJ$21=""),"",SUM($BJ20:CJ20))</f>
        <v>48.67</v>
      </c>
      <c r="CK73" s="114">
        <f>IF(OR(CK$13="",CK$17="",CK$14="",CK$15="",CK$16="",CK$18="",CK$19="",CK$20="",CK$21=""),"",SUM($BJ20:CK20))</f>
        <v>49.67</v>
      </c>
      <c r="CL73" s="114">
        <f>IF(OR(CL$13="",CL$17="",CL$14="",CL$15="",CL$16="",CL$18="",CL$19="",CL$20="",CL$21=""),"",SUM($BJ20:CL20))</f>
        <v>49.67</v>
      </c>
      <c r="CM73" s="114">
        <f>IF(OR(CM$13="",CM$17="",CM$14="",CM$15="",CM$16="",CM$18="",CM$19="",CM$20="",CM$21=""),"",SUM($BJ20:CM20))</f>
        <v>49.67</v>
      </c>
      <c r="CN73" s="114">
        <f>IF(OR(CN$13="",CN$17="",CN$14="",CN$15="",CN$16="",CN$18="",CN$19="",CN$20="",CN$21=""),"",SUM($BJ20:CN20))</f>
        <v>49.67</v>
      </c>
      <c r="CO73" s="114">
        <f>IF(OR(CO$13="",CO$17="",CO$14="",CO$15="",CO$16="",CO$18="",CO$19="",CO$20="",CO$21=""),"",SUM($CO20:CO20))</f>
        <v>0</v>
      </c>
      <c r="CP73" s="114">
        <f>IF(OR(CP$13="",CP$17="",CP$14="",CP$15="",CP$16="",CP$18="",CP$19="",CP$20="",CP$21=""),"",SUM($CO20:CP20))</f>
        <v>0.8</v>
      </c>
      <c r="CQ73" s="114">
        <f>IF(OR(CQ$13="",CQ$17="",CQ$14="",CQ$15="",CQ$16="",CQ$18="",CQ$19="",CQ$20="",CQ$21=""),"",SUM($CO20:CQ20))</f>
        <v>2.7</v>
      </c>
      <c r="CR73" s="114">
        <f>IF(OR(CR$13="",CR$17="",CR$14="",CR$15="",CR$16="",CR$18="",CR$19="",CR$20="",CR$21=""),"",SUM($CO20:CR20))</f>
        <v>2.7</v>
      </c>
      <c r="CS73" s="114">
        <f>IF(OR(CS$13="",CS$17="",CS$14="",CS$15="",CS$16="",CS$18="",CS$19="",CS$20="",CS$21=""),"",SUM($CO20:CS20))</f>
        <v>2.7</v>
      </c>
      <c r="CT73" s="114">
        <f>IF(OR(CT$13="",CT$17="",CT$14="",CT$15="",CT$16="",CT$18="",CT$19="",CT$20="",CT$21=""),"",SUM($CO20:CT20))</f>
        <v>6.5200000000000005</v>
      </c>
      <c r="CU73" s="114">
        <f>IF(OR(CU$13="",CU$17="",CU$14="",CU$15="",CU$16="",CU$18="",CU$19="",CU$20="",CU$21=""),"",SUM($CO20:CU20))</f>
        <v>6.5200000000000005</v>
      </c>
      <c r="CV73" s="114">
        <f>IF(OR(CV$13="",CV$17="",CV$14="",CV$15="",CV$16="",CV$18="",CV$19="",CV$20="",CV$21=""),"",SUM($CO20:CV20))</f>
        <v>10.77</v>
      </c>
      <c r="CW73" s="114">
        <f>IF(OR(CW$13="",CW$17="",CW$14="",CW$15="",CW$16="",CW$18="",CW$19="",CW$20="",CW$21=""),"",SUM($CO20:CW20))</f>
        <v>12.27</v>
      </c>
      <c r="CX73" s="114">
        <f>IF(OR(CX$13="",CX$17="",CX$14="",CX$15="",CX$16="",CX$18="",CX$19="",CX$20="",CX$21=""),"",SUM($CO20:CX20))</f>
        <v>12.27</v>
      </c>
      <c r="CY73" s="114">
        <f>IF(OR(CY$13="",CY$17="",CY$14="",CY$15="",CY$16="",CY$18="",CY$19="",CY$20="",CY$21=""),"",SUM($CO20:CY20))</f>
        <v>12.27</v>
      </c>
      <c r="CZ73" s="114">
        <f>IF(OR(CZ$13="",CZ$17="",CZ$14="",CZ$15="",CZ$16="",CZ$18="",CZ$19="",CZ$20="",CZ$21=""),"",SUM($CO20:CZ20))</f>
        <v>12.27</v>
      </c>
      <c r="DA73" s="114">
        <f>IF(OR(DA$13="",DA$17="",DA$14="",DA$15="",DA$16="",DA$18="",DA$19="",DA$20="",DA$21=""),"",SUM($CO20:DA20))</f>
        <v>12.27</v>
      </c>
      <c r="DB73" s="114">
        <f>IF(OR(DB$13="",DB$17="",DB$14="",DB$15="",DB$16="",DB$18="",DB$19="",DB$20="",DB$21=""),"",SUM($CO20:DB20))</f>
        <v>12.27</v>
      </c>
      <c r="DC73" s="114">
        <f>IF(OR(DC$13="",DC$17="",DC$14="",DC$15="",DC$16="",DC$18="",DC$19="",DC$20="",DC$21=""),"",SUM($CO20:DC20))</f>
        <v>12.27</v>
      </c>
      <c r="DD73" s="114">
        <f>IF(OR(DD$13="",DD$17="",DD$14="",DD$15="",DD$16="",DD$18="",DD$19="",DD$20="",DD$21=""),"",SUM($CO20:DD20))</f>
        <v>15.149999999999999</v>
      </c>
      <c r="DE73" s="114">
        <f>IF(OR(DE$13="",DE$17="",DE$14="",DE$15="",DE$16="",DE$18="",DE$19="",DE$20="",DE$21=""),"",SUM($CO20:DE20))</f>
        <v>36.369999999999997</v>
      </c>
      <c r="DF73" s="114">
        <f>IF(OR(DF$13="",DF$17="",DF$14="",DF$15="",DF$16="",DF$18="",DF$19="",DF$20="",DF$21=""),"",SUM($CO20:DF20))</f>
        <v>66.02</v>
      </c>
      <c r="DG73" s="114">
        <f>IF(OR(DG$13="",DG$17="",DG$14="",DG$15="",DG$16="",DG$18="",DG$19="",DG$20="",DG$21=""),"",SUM($CO20:DG20))</f>
        <v>66.02</v>
      </c>
      <c r="DH73" s="114">
        <f>IF(OR(DH$13="",DH$17="",DH$14="",DH$15="",DH$16="",DH$18="",DH$19="",DH$20="",DH$21=""),"",SUM($CO20:DH20))</f>
        <v>66.02</v>
      </c>
      <c r="DI73" s="114">
        <f>IF(OR(DI$13="",DI$17="",DI$14="",DI$15="",DI$16="",DI$18="",DI$19="",DI$20="",DI$21=""),"",SUM($CO20:DI20))</f>
        <v>66.42</v>
      </c>
      <c r="DJ73" s="114">
        <f>IF(OR(DJ$13="",DJ$17="",DJ$14="",DJ$15="",DJ$16="",DJ$18="",DJ$19="",DJ$20="",DJ$21=""),"",SUM($CO20:DJ20))</f>
        <v>75.72</v>
      </c>
      <c r="DK73" s="114">
        <f>IF(OR(DK$13="",DK$17="",DK$14="",DK$15="",DK$16="",DK$18="",DK$19="",DK$20="",DK$21=""),"",SUM($CO20:DK20))</f>
        <v>75.72</v>
      </c>
      <c r="DL73" s="114">
        <f>IF(OR(DL$13="",DL$17="",DL$14="",DL$15="",DL$16="",DL$18="",DL$19="",DL$20="",DL$21=""),"",SUM($CO20:DL20))</f>
        <v>75.72</v>
      </c>
      <c r="DM73" s="114">
        <f>IF(OR(DM$13="",DM$17="",DM$14="",DM$15="",DM$16="",DM$18="",DM$19="",DM$20="",DM$21=""),"",SUM($CO20:DM20))</f>
        <v>75.72</v>
      </c>
      <c r="DN73" s="114">
        <f>IF(OR(DN$13="",DN$17="",DN$14="",DN$15="",DN$16="",DN$18="",DN$19="",DN$20="",DN$21=""),"",SUM($CO20:DN20))</f>
        <v>80</v>
      </c>
      <c r="DO73" s="114">
        <f>IF(OR(DO$13="",DO$17="",DO$14="",DO$15="",DO$16="",DO$18="",DO$19="",DO$20="",DO$21=""),"",SUM($CO20:DO20))</f>
        <v>80</v>
      </c>
      <c r="DP73" s="114">
        <f>IF(OR(DP$13="",DP$17="",DP$14="",DP$15="",DP$16="",DP$18="",DP$19="",DP$20="",DP$21=""),"",SUM($CO20:DP20))</f>
        <v>81.08</v>
      </c>
      <c r="DQ73" s="114">
        <f>IF(OR(DQ$13="",DQ$17="",DQ$14="",DQ$15="",DQ$16="",DQ$18="",DQ$19="",DQ$20="",DQ$21=""),"",SUM($CO20:DQ20))</f>
        <v>83.31</v>
      </c>
      <c r="DR73" s="114">
        <f>IF(OR(DR$13="",DR$17="",DR$14="",DR$15="",DR$16="",DR$18="",DR$19="",DR$20="",DR$21=""),"",SUM($CO20:DR20))</f>
        <v>83.68</v>
      </c>
      <c r="DS73" s="114">
        <f>IF(OR(DS$13="",DS$17="",DS$14="",DS$15="",DS$16="",DS$18="",DS$19="",DS$20="",DS$21=""),"",SUM($DS20:DS20))</f>
        <v>1.27</v>
      </c>
      <c r="DT73" s="114">
        <f>IF(OR(DT$13="",DT$17="",DT$14="",DT$15="",DT$16="",DT$18="",DT$19="",DT$20="",DT$21=""),"",SUM($DS20:DT20))</f>
        <v>1.27</v>
      </c>
      <c r="DU73" s="114">
        <f>IF(OR(DU$13="",DU$17="",DU$14="",DU$15="",DU$16="",DU$18="",DU$19="",DU$20="",DU$21=""),"",SUM($DS20:DU20))</f>
        <v>7.17</v>
      </c>
      <c r="DV73" s="114">
        <f>IF(OR(DV$13="",DV$17="",DV$14="",DV$15="",DV$16="",DV$18="",DV$19="",DV$20="",DV$21=""),"",SUM($DS20:DV20))</f>
        <v>8.4600000000000009</v>
      </c>
      <c r="DW73" s="114">
        <f>IF(OR(DW$13="",DW$17="",DW$14="",DW$15="",DW$16="",DW$18="",DW$19="",DW$20="",DW$21=""),"",SUM($DS20:DW20))</f>
        <v>8.4600000000000009</v>
      </c>
      <c r="DX73" s="114">
        <f>IF(OR(DX$13="",DX$17="",DX$14="",DX$15="",DX$16="",DX$18="",DX$19="",DX$20="",DX$21=""),"",SUM($DS20:DX20))</f>
        <v>8.4600000000000009</v>
      </c>
      <c r="DY73" s="114">
        <f>IF(OR(DY$13="",DY$17="",DY$14="",DY$15="",DY$16="",DY$18="",DY$19="",DY$20="",DY$21=""),"",SUM($DS20:DY20))</f>
        <v>8.4600000000000009</v>
      </c>
      <c r="DZ73" s="114">
        <f>IF(OR(DZ$13="",DZ$17="",DZ$14="",DZ$15="",DZ$16="",DZ$18="",DZ$19="",DZ$20="",DZ$21=""),"",SUM($DS20:DZ20))</f>
        <v>8.4600000000000009</v>
      </c>
      <c r="EA73" s="114">
        <f>IF(OR(EA$13="",EA$17="",EA$14="",EA$15="",EA$16="",EA$18="",EA$19="",EA$20="",EA$21=""),"",SUM($DS20:EA20))</f>
        <v>8.4600000000000009</v>
      </c>
      <c r="EB73" s="114">
        <f>IF(OR(EB$13="",EB$17="",EB$14="",EB$15="",EB$16="",EB$18="",EB$19="",EB$20="",EB$21=""),"",SUM($DS20:EB20))</f>
        <v>14.080000000000002</v>
      </c>
      <c r="EC73" s="114">
        <f>IF(OR(EC$13="",EC$17="",EC$14="",EC$15="",EC$16="",EC$18="",EC$19="",EC$20="",EC$21=""),"",SUM($DS20:EC20))</f>
        <v>14.080000000000002</v>
      </c>
      <c r="ED73" s="114">
        <f>IF(OR(ED$13="",ED$17="",ED$14="",ED$15="",ED$16="",ED$18="",ED$19="",ED$20="",ED$21=""),"",SUM($DS20:ED20))</f>
        <v>14.080000000000002</v>
      </c>
      <c r="EE73" s="114">
        <f>IF(OR(EE$13="",EE$17="",EE$14="",EE$15="",EE$16="",EE$18="",EE$19="",EE$20="",EE$21=""),"",SUM($DS20:EE20))</f>
        <v>14.080000000000002</v>
      </c>
      <c r="EF73" s="114">
        <f>IF(OR(EF$13="",EF$17="",EF$14="",EF$15="",EF$16="",EF$18="",EF$19="",EF$20="",EF$21=""),"",SUM($DS20:EF20))</f>
        <v>21.080000000000002</v>
      </c>
      <c r="EG73" s="114">
        <f>IF(OR(EG$13="",EG$17="",EG$14="",EG$15="",EG$16="",EG$18="",EG$19="",EG$20="",EG$21=""),"",SUM($DS20:EG20))</f>
        <v>43.42</v>
      </c>
      <c r="EH73" s="114">
        <f>IF(OR(EH$13="",EH$17="",EH$14="",EH$15="",EH$16="",EH$18="",EH$19="",EH$20="",EH$21=""),"",SUM($DS20:EH20))</f>
        <v>53.58</v>
      </c>
      <c r="EI73" s="114">
        <f>IF(OR(EI$13="",EI$17="",EI$14="",EI$15="",EI$16="",EI$18="",EI$19="",EI$20="",EI$21=""),"",SUM($DS20:EI20))</f>
        <v>71.650000000000006</v>
      </c>
      <c r="EJ73" s="114">
        <f>IF(OR(EJ$13="",EJ$17="",EJ$14="",EJ$15="",EJ$16="",EJ$18="",EJ$19="",EJ$20="",EJ$21=""),"",SUM($DS20:EJ20))</f>
        <v>71.650000000000006</v>
      </c>
      <c r="EK73" s="114">
        <f>IF(OR(EK$13="",EK$17="",EK$14="",EK$15="",EK$16="",EK$18="",EK$19="",EK$20="",EK$21=""),"",SUM($DS20:EK20))</f>
        <v>71.650000000000006</v>
      </c>
      <c r="EL73" s="114">
        <f>IF(OR(EL$13="",EL$17="",EL$14="",EL$15="",EL$16="",EL$18="",EL$19="",EL$20="",EL$21=""),"",SUM($DS20:EL20))</f>
        <v>95.65</v>
      </c>
      <c r="EM73" s="114">
        <f>IF(OR(EM$13="",EM$17="",EM$14="",EM$15="",EM$16="",EM$18="",EM$19="",EM$20="",EM$21=""),"",SUM($DS20:EM20))</f>
        <v>119.65</v>
      </c>
      <c r="EN73" s="114">
        <f>IF(OR(EN$13="",EN$17="",EN$14="",EN$15="",EN$16="",EN$18="",EN$19="",EN$20="",EN$21=""),"",SUM($DS20:EN20))</f>
        <v>143.65</v>
      </c>
      <c r="EO73" s="114">
        <f>IF(OR(EO$13="",EO$17="",EO$14="",EO$15="",EO$16="",EO$18="",EO$19="",EO$20="",EO$21=""),"",SUM($DS20:EO20))</f>
        <v>155.65</v>
      </c>
      <c r="EP73" s="114">
        <f>IF(OR(EP$13="",EP$17="",EP$14="",EP$15="",EP$16="",EP$18="",EP$19="",EP$20="",EP$21=""),"",SUM($DS20:EP20))</f>
        <v>155.65</v>
      </c>
      <c r="EQ73" s="114">
        <f>IF(OR(EQ$13="",EQ$17="",EQ$14="",EQ$15="",EQ$16="",EQ$18="",EQ$19="",EQ$20="",EQ$21=""),"",SUM($DS20:EQ20))</f>
        <v>155.65</v>
      </c>
      <c r="ER73" s="114">
        <f>IF(OR(ER$13="",ER$17="",ER$14="",ER$15="",ER$16="",ER$18="",ER$19="",ER$20="",ER$21=""),"",SUM($DS20:ER20))</f>
        <v>155.65</v>
      </c>
      <c r="ES73" s="114">
        <f>IF(OR(ES$13="",ES$17="",ES$14="",ES$15="",ES$16="",ES$18="",ES$19="",ES$20="",ES$21=""),"",SUM($DS20:ES20))</f>
        <v>161.43</v>
      </c>
      <c r="ET73" s="114">
        <f>IF(OR(ET$13="",ET$17="",ET$14="",ET$15="",ET$16="",ET$18="",ET$19="",ET$20="",ET$21=""),"",SUM($DS20:ET20))</f>
        <v>170.13</v>
      </c>
      <c r="EU73" s="114">
        <f>IF(OR(EU$13="",EU$17="",EU$14="",EU$15="",EU$16="",EU$18="",EU$19="",EU$20="",EU$21=""),"",SUM($DS20:EU20))</f>
        <v>170.13</v>
      </c>
      <c r="EV73" s="114">
        <f>IF(OR(EV$13="",EV$17="",EV$14="",EV$15="",EV$16="",EV$18="",EV$19="",EV$20="",EV$21=""),"",SUM($DS20:EV20))</f>
        <v>170.13</v>
      </c>
      <c r="EW73" s="114">
        <f>IF(OR(EW$13="",EW$17="",EW$14="",EW$15="",EW$16="",EW$18="",EW$19="",EW$20="",EW$21=""),"",SUM($DS20:EW20))</f>
        <v>170.13</v>
      </c>
      <c r="EX73" s="114">
        <f>IF(OR(EX$13="",EX$17="",EX$14="",EX$15="",EX$16="",EX$18="",EX$19="",EX$20="",EX$21=""),"",SUM($EX20:EX20))</f>
        <v>0</v>
      </c>
      <c r="EY73" s="114">
        <f>IF(OR(EY$13="",EY$17="",EY$14="",EY$15="",EY$16="",EY$18="",EY$19="",EY$20="",EY$21=""),"",SUM($EX20:EY20))</f>
        <v>0</v>
      </c>
      <c r="EZ73" s="114">
        <f>IF(OR(EZ$13="",EZ$17="",EZ$14="",EZ$15="",EZ$16="",EZ$18="",EZ$19="",EZ$20="",EZ$21=""),"",SUM($EX20:EZ20))</f>
        <v>0</v>
      </c>
      <c r="FA73" s="114">
        <f>IF(OR(FA$13="",FA$17="",FA$14="",FA$15="",FA$16="",FA$18="",FA$19="",FA$20="",FA$21=""),"",SUM($EX20:FA20))</f>
        <v>0</v>
      </c>
      <c r="FB73" s="114">
        <f>IF(OR(FB$13="",FB$17="",FB$14="",FB$15="",FB$16="",FB$18="",FB$19="",FB$20="",FB$21=""),"",SUM($EX20:FB20))</f>
        <v>0</v>
      </c>
      <c r="FC73" s="114">
        <f>IF(OR(FC$13="",FC$17="",FC$14="",FC$15="",FC$16="",FC$18="",FC$19="",FC$20="",FC$21=""),"",SUM($EX20:FC20))</f>
        <v>0</v>
      </c>
      <c r="FD73" s="114">
        <f>IF(OR(FD$13="",FD$17="",FD$14="",FD$15="",FD$16="",FD$18="",FD$19="",FD$20="",FD$21=""),"",SUM($EX20:FD20))</f>
        <v>9.0800000000000018</v>
      </c>
      <c r="FE73" s="114">
        <f>IF(OR(FE$13="",FE$17="",FE$14="",FE$15="",FE$16="",FE$18="",FE$19="",FE$20="",FE$21=""),"",SUM($EX20:FE20))</f>
        <v>23.73</v>
      </c>
      <c r="FF73" s="114">
        <f>IF(OR(FF$13="",FF$17="",FF$14="",FF$15="",FF$16="",FF$18="",FF$19="",FF$20="",FF$21=""),"",SUM($EX20:FF20))</f>
        <v>23.73</v>
      </c>
      <c r="FG73" s="114">
        <f>IF(OR(FG$13="",FG$17="",FG$14="",FG$15="",FG$16="",FG$18="",FG$19="",FG$20="",FG$21=""),"",SUM($EX20:FG20))</f>
        <v>23.73</v>
      </c>
      <c r="FH73" s="114">
        <f>IF(OR(FH$13="",FH$17="",FH$14="",FH$15="",FH$16="",FH$18="",FH$19="",FH$20="",FH$21=""),"",SUM($EX20:FH20))</f>
        <v>23.73</v>
      </c>
      <c r="FI73" s="114">
        <f>IF(OR(FI$13="",FI$17="",FI$14="",FI$15="",FI$16="",FI$18="",FI$19="",FI$20="",FI$21=""),"",SUM($EX20:FI20))</f>
        <v>23.73</v>
      </c>
      <c r="FJ73" s="114">
        <f>IF(OR(FJ$13="",FJ$17="",FJ$14="",FJ$15="",FJ$16="",FJ$18="",FJ$19="",FJ$20="",FJ$21=""),"",SUM($EX20:FJ20))</f>
        <v>26.38</v>
      </c>
      <c r="FK73" s="114">
        <f>IF(OR(FK$13="",FK$17="",FK$14="",FK$15="",FK$16="",FK$18="",FK$19="",FK$20="",FK$21=""),"",SUM($EX20:FK20))</f>
        <v>26.38</v>
      </c>
      <c r="FL73" s="114">
        <f>IF(OR(FL$13="",FL$17="",FL$14="",FL$15="",FL$16="",FL$18="",FL$19="",FL$20="",FL$21=""),"",SUM($EX20:FL20))</f>
        <v>26.38</v>
      </c>
      <c r="FM73" s="114">
        <f>IF(OR(FM$13="",FM$17="",FM$14="",FM$15="",FM$16="",FM$18="",FM$19="",FM$20="",FM$21=""),"",SUM($EX20:FM20))</f>
        <v>26.38</v>
      </c>
      <c r="FN73" s="114">
        <f>IF(OR(FN$13="",FN$17="",FN$14="",FN$15="",FN$16="",FN$18="",FN$19="",FN$20="",FN$21=""),"",SUM($EX20:FN20))</f>
        <v>26.38</v>
      </c>
      <c r="FO73" s="114">
        <f>IF(OR(FO$13="",FO$17="",FO$14="",FO$15="",FO$16="",FO$18="",FO$19="",FO$20="",FO$21=""),"",SUM($EX20:FO20))</f>
        <v>30.4</v>
      </c>
      <c r="FP73" s="114">
        <f>IF(OR(FP$13="",FP$17="",FP$14="",FP$15="",FP$16="",FP$18="",FP$19="",FP$20="",FP$21=""),"",SUM($EX20:FP20))</f>
        <v>30.4</v>
      </c>
      <c r="FQ73" s="114">
        <f>IF(OR(FQ$13="",FQ$17="",FQ$14="",FQ$15="",FQ$16="",FQ$18="",FQ$19="",FQ$20="",FQ$21=""),"",SUM($EX20:FQ20))</f>
        <v>30.4</v>
      </c>
      <c r="FR73" s="114">
        <f>IF(OR(FR$13="",FR$17="",FR$14="",FR$15="",FR$16="",FR$18="",FR$19="",FR$20="",FR$21=""),"",SUM($EX20:FR20))</f>
        <v>30.4</v>
      </c>
      <c r="FS73" s="114">
        <f>IF(OR(FS$13="",FS$17="",FS$14="",FS$15="",FS$16="",FS$18="",FS$19="",FS$20="",FS$21=""),"",SUM($EX20:FS20))</f>
        <v>48.5</v>
      </c>
      <c r="FT73" s="114">
        <f>IF(OR(FT$13="",FT$17="",FT$14="",FT$15="",FT$16="",FT$18="",FT$19="",FT$20="",FT$21=""),"",SUM($EX20:FT20))</f>
        <v>60.68</v>
      </c>
      <c r="FU73" s="114">
        <f>IF(OR(FU$13="",FU$17="",FU$14="",FU$15="",FU$16="",FU$18="",FU$19="",FU$20="",FU$21=""),"",SUM($EX20:FU20))</f>
        <v>60.68</v>
      </c>
      <c r="FV73" s="114">
        <f>IF(OR(FV$13="",FV$17="",FV$14="",FV$15="",FV$16="",FV$18="",FV$19="",FV$20="",FV$21=""),"",SUM($EX20:FV20))</f>
        <v>65.81</v>
      </c>
      <c r="FW73" s="114">
        <f>IF(OR(FW$13="",FW$17="",FW$14="",FW$15="",FW$16="",FW$18="",FW$19="",FW$20="",FW$21=""),"",SUM($EX20:FW20))</f>
        <v>73.180000000000007</v>
      </c>
      <c r="FX73" s="114">
        <f>IF(OR(FX$13="",FX$17="",FX$14="",FX$15="",FX$16="",FX$18="",FX$19="",FX$20="",FX$21=""),"",SUM($EX20:FX20))</f>
        <v>73.180000000000007</v>
      </c>
      <c r="FY73" s="114">
        <f>IF(OR(FY$13="",FY$17="",FY$14="",FY$15="",FY$16="",FY$18="",FY$19="",FY$20="",FY$21=""),"",SUM($EX20:FY20))</f>
        <v>73.180000000000007</v>
      </c>
      <c r="FZ73" s="114">
        <f>IF(OR(FZ$13="",FZ$17="",FZ$14="",FZ$15="",FZ$16="",FZ$18="",FZ$19="",FZ$20="",FZ$21=""),"",SUM($EX20:FZ20))</f>
        <v>73.180000000000007</v>
      </c>
      <c r="GA73" s="114">
        <f>IF(OR(GA$13="",GA$17="",GA$14="",GA$15="",GA$16="",GA$18="",GA$19="",GA$20="",GA$21=""),"",SUM($EX20:GA20))</f>
        <v>73.180000000000007</v>
      </c>
      <c r="GB73" s="114">
        <f>IF(OR(GB$13="",GB$17="",GB$14="",GB$15="",GB$16="",GB$18="",GB$19="",GB$20="",GB$21=""),"",SUM($GB20:GB20))</f>
        <v>0</v>
      </c>
      <c r="GC73" s="114">
        <f>IF(OR(GC$13="",GC$17="",GC$14="",GC$15="",GC$16="",GC$18="",GC$19="",GC$20="",GC$21=""),"",SUM($GB20:GC20))</f>
        <v>0</v>
      </c>
      <c r="GD73" s="114">
        <f>IF(OR(GD$13="",GD$17="",GD$14="",GD$15="",GD$16="",GD$18="",GD$19="",GD$20="",GD$21=""),"",SUM($GB20:GD20))</f>
        <v>0</v>
      </c>
      <c r="GE73" s="114">
        <f>IF(OR(GE$13="",GE$17="",GE$14="",GE$15="",GE$16="",GE$18="",GE$19="",GE$20="",GE$21=""),"",SUM($GB20:GE20))</f>
        <v>0</v>
      </c>
      <c r="GF73" s="114">
        <f>IF(OR(GF$13="",GF$17="",GF$14="",GF$15="",GF$16="",GF$18="",GF$19="",GF$20="",GF$21=""),"",SUM($GB20:GF20))</f>
        <v>0</v>
      </c>
      <c r="GG73" s="114">
        <f>IF(OR(GG$13="",GG$17="",GG$14="",GG$15="",GG$16="",GG$18="",GG$19="",GG$20="",GG$21=""),"",SUM($GB20:GG20))</f>
        <v>0</v>
      </c>
      <c r="GH73" s="114">
        <f>IF(OR(GH$13="",GH$17="",GH$14="",GH$15="",GH$16="",GH$18="",GH$19="",GH$20="",GH$21=""),"",SUM($GB20:GH20))</f>
        <v>0</v>
      </c>
      <c r="GI73" s="114">
        <f>IF(OR(GI$13="",GI$17="",GI$14="",GI$15="",GI$16="",GI$18="",GI$19="",GI$20="",GI$21=""),"",SUM($GB20:GI20))</f>
        <v>0</v>
      </c>
      <c r="GJ73" s="114">
        <f>IF(OR(GJ$13="",GJ$17="",GJ$14="",GJ$15="",GJ$16="",GJ$18="",GJ$19="",GJ$20="",GJ$21=""),"",SUM($GB20:GJ20))</f>
        <v>0</v>
      </c>
      <c r="GK73" s="114">
        <f>IF(OR(GK$13="",GK$17="",GK$14="",GK$15="",GK$16="",GK$18="",GK$19="",GK$20="",GK$21=""),"",SUM($GB20:GK20))</f>
        <v>6.32</v>
      </c>
      <c r="GL73" s="114">
        <f>IF(OR(GL$13="",GL$17="",GL$14="",GL$15="",GL$16="",GL$18="",GL$19="",GL$20="",GL$21=""),"",SUM($GB20:GL20))</f>
        <v>6.32</v>
      </c>
      <c r="GM73" s="114">
        <f>IF(OR(GM$13="",GM$17="",GM$14="",GM$15="",GM$16="",GM$18="",GM$19="",GM$20="",GM$21=""),"",SUM($GB20:GM20))</f>
        <v>6.32</v>
      </c>
      <c r="GN73" s="114">
        <f>IF(OR(GN$13="",GN$17="",GN$14="",GN$15="",GN$16="",GN$18="",GN$19="",GN$20="",GN$21=""),"",SUM($GB20:GN20))</f>
        <v>6.32</v>
      </c>
      <c r="GO73" s="114">
        <f>IF(OR(GO$13="",GO$17="",GO$14="",GO$15="",GO$16="",GO$18="",GO$19="",GO$20="",GO$21=""),"",SUM($GB20:GO20))</f>
        <v>6.32</v>
      </c>
      <c r="GP73" s="114">
        <f>IF(OR(GP$13="",GP$17="",GP$14="",GP$15="",GP$16="",GP$18="",GP$19="",GP$20="",GP$21=""),"",SUM($GB20:GP20))</f>
        <v>6.32</v>
      </c>
      <c r="GQ73" s="114">
        <f>IF(OR(GQ$13="",GQ$17="",GQ$14="",GQ$15="",GQ$16="",GQ$18="",GQ$19="",GQ$20="",GQ$21=""),"",SUM($GB20:GQ20))</f>
        <v>6.32</v>
      </c>
      <c r="GR73" s="114">
        <f>IF(OR(GR$13="",GR$17="",GR$14="",GR$15="",GR$16="",GR$18="",GR$19="",GR$20="",GR$21=""),"",SUM($GB20:GR20))</f>
        <v>6.32</v>
      </c>
      <c r="GS73" s="114">
        <f>IF(OR(GS$13="",GS$17="",GS$14="",GS$15="",GS$16="",GS$18="",GS$19="",GS$20="",GS$21=""),"",SUM($GB20:GS20))</f>
        <v>6.32</v>
      </c>
      <c r="GT73" s="114">
        <f>IF(OR(GT$13="",GT$17="",GT$14="",GT$15="",GT$16="",GT$18="",GT$19="",GT$20="",GT$21=""),"",SUM($GB20:GT20))</f>
        <v>6.32</v>
      </c>
      <c r="GU73" s="114">
        <f>IF(OR(GU$13="",GU$17="",GU$14="",GU$15="",GU$16="",GU$18="",GU$19="",GU$20="",GU$21=""),"",SUM($GB20:GU20))</f>
        <v>6.32</v>
      </c>
      <c r="GV73" s="114">
        <f>IF(OR(GV$13="",GV$17="",GV$14="",GV$15="",GV$16="",GV$18="",GV$19="",GV$20="",GV$21=""),"",SUM($GB20:GV20))</f>
        <v>6.32</v>
      </c>
      <c r="GW73" s="114">
        <f>IF(OR(GW$13="",GW$17="",GW$14="",GW$15="",GW$16="",GW$18="",GW$19="",GW$20="",GW$21=""),"",SUM($GB20:GW20))</f>
        <v>6.32</v>
      </c>
      <c r="GX73" s="114">
        <f>IF(OR(GX$13="",GX$17="",GX$14="",GX$15="",GX$16="",GX$18="",GX$19="",GX$20="",GX$21=""),"",SUM($GB20:GX20))</f>
        <v>6.32</v>
      </c>
      <c r="GY73" s="114">
        <f>IF(OR(GY$13="",GY$17="",GY$14="",GY$15="",GY$16="",GY$18="",GY$19="",GY$20="",GY$21=""),"",SUM($GB20:GY20))</f>
        <v>6.32</v>
      </c>
      <c r="GZ73" s="114">
        <f>IF(OR(GZ$13="",GZ$17="",GZ$14="",GZ$15="",GZ$16="",GZ$18="",GZ$19="",GZ$20="",GZ$21=""),"",SUM($GB20:GZ20))</f>
        <v>6.32</v>
      </c>
      <c r="HA73" s="114">
        <f>IF(OR(HA$13="",HA$17="",HA$14="",HA$15="",HA$16="",HA$18="",HA$19="",HA$20="",HA$21=""),"",SUM($GB20:HA20))</f>
        <v>6.32</v>
      </c>
      <c r="HB73" s="114">
        <f>IF(OR(HB$13="",HB$17="",HB$14="",HB$15="",HB$16="",HB$18="",HB$19="",HB$20="",HB$21=""),"",SUM($GB20:HB20))</f>
        <v>6.32</v>
      </c>
      <c r="HC73" s="114">
        <f>IF(OR(HC$13="",HC$17="",HC$14="",HC$15="",HC$16="",HC$18="",HC$19="",HC$20="",HC$21=""),"",SUM($GB20:HC20))</f>
        <v>6.32</v>
      </c>
      <c r="HD73" s="114">
        <f>IF(OR(HD$13="",HD$17="",HD$14="",HD$15="",HD$16="",HD$18="",HD$19="",HD$20="",HD$21=""),"",SUM($GB20:HD20))</f>
        <v>6.32</v>
      </c>
      <c r="HE73" s="114">
        <f>IF(OR(HE$13="",HE$17="",HE$14="",HE$15="",HE$16="",HE$18="",HE$19="",HE$20="",HE$21=""),"",SUM($GB20:HE20))</f>
        <v>6.32</v>
      </c>
      <c r="HF73" s="114">
        <f>IF(OR(HF$13="",HF$17="",HF$14="",HF$15="",HF$16="",HF$18="",HF$19="",HF$20="",HF$21=""),"",SUM($GB20:HF20))</f>
        <v>6.32</v>
      </c>
      <c r="HG73" s="114">
        <f>IF(OR(HG$13="",HG$17="",HG$14="",HG$15="",HG$16="",HG$18="",HG$19="",HG$20="",HG$21=""),"",SUM($HG20:HG20))</f>
        <v>0</v>
      </c>
      <c r="HH73" s="114">
        <f>IF(OR(HH$13="",HH$17="",HH$14="",HH$15="",HH$16="",HH$18="",HH$19="",HH$20="",HH$21=""),"",SUM($HG20:HH20))</f>
        <v>0</v>
      </c>
      <c r="HI73" s="114">
        <f>IF(OR(HI$13="",HI$17="",HI$14="",HI$15="",HI$16="",HI$18="",HI$19="",HI$20="",HI$21=""),"",SUM($HG20:HI20))</f>
        <v>0</v>
      </c>
      <c r="HJ73" s="114">
        <f>IF(OR(HJ$13="",HJ$17="",HJ$14="",HJ$15="",HJ$16="",HJ$18="",HJ$19="",HJ$20="",HJ$21=""),"",SUM($HG20:HJ20))</f>
        <v>0</v>
      </c>
      <c r="HK73" s="114">
        <f>IF(OR(HK$13="",HK$17="",HK$14="",HK$15="",HK$16="",HK$18="",HK$19="",HK$20="",HK$21=""),"",SUM($HG20:HK20))</f>
        <v>0</v>
      </c>
      <c r="HL73" s="114">
        <f>IF(OR(HL$13="",HL$17="",HL$14="",HL$15="",HL$16="",HL$18="",HL$19="",HL$20="",HL$21=""),"",SUM($HG20:HL20))</f>
        <v>0</v>
      </c>
      <c r="HM73" s="114">
        <f>IF(OR(HM$13="",HM$17="",HM$14="",HM$15="",HM$16="",HM$18="",HM$19="",HM$20="",HM$21=""),"",SUM($HG20:HM20))</f>
        <v>4.2547222222222221</v>
      </c>
      <c r="HN73" s="114">
        <f>IF(OR(HN$13="",HN$17="",HN$14="",HN$15="",HN$16="",HN$18="",HN$19="",HN$20="",HN$21=""),"",SUM($HG20:HN20))</f>
        <v>4.2547222222222221</v>
      </c>
      <c r="HO73" s="114">
        <f>IF(OR(HO$13="",HO$17="",HO$14="",HO$15="",HO$16="",HO$18="",HO$19="",HO$20="",HO$21=""),"",SUM($HG20:HO20))</f>
        <v>4.2547222222222221</v>
      </c>
      <c r="HP73" s="114">
        <f>IF(OR(HP$13="",HP$17="",HP$14="",HP$15="",HP$16="",HP$18="",HP$19="",HP$20="",HP$21=""),"",SUM($HG20:HP20))</f>
        <v>4.2547222222222221</v>
      </c>
      <c r="HQ73" s="114">
        <f>IF(OR(HQ$13="",HQ$17="",HQ$14="",HQ$15="",HQ$16="",HQ$18="",HQ$19="",HQ$20="",HQ$21=""),"",SUM($HG20:HQ20))</f>
        <v>4.2547222222222221</v>
      </c>
      <c r="HR73" s="114">
        <f>IF(OR(HR$13="",HR$17="",HR$14="",HR$15="",HR$16="",HR$18="",HR$19="",HR$20="",HR$21=""),"",SUM($HG20:HR20))</f>
        <v>4.2547222222222221</v>
      </c>
      <c r="HS73" s="114">
        <f>IF(OR(HS$13="",HS$17="",HS$14="",HS$15="",HS$16="",HS$18="",HS$19="",HS$20="",HS$21=""),"",SUM($HG20:HS20))</f>
        <v>4.2547222222222221</v>
      </c>
      <c r="HT73" s="114">
        <f>IF(OR(HT$13="",HT$17="",HT$14="",HT$15="",HT$16="",HT$18="",HT$19="",HT$20="",HT$21=""),"",SUM($HG20:HT20))</f>
        <v>4.2547222222222221</v>
      </c>
      <c r="HU73" s="114">
        <f>IF(OR(HU$13="",HU$17="",HU$14="",HU$15="",HU$16="",HU$18="",HU$19="",HU$20="",HU$21=""),"",SUM($HG20:HU20))</f>
        <v>4.2547222222222221</v>
      </c>
      <c r="HV73" s="114">
        <f>IF(OR(HV$13="",HV$17="",HV$14="",HV$15="",HV$16="",HV$18="",HV$19="",HV$20="",HV$21=""),"",SUM($HG20:HV20))</f>
        <v>6.4963888888888892</v>
      </c>
      <c r="HW73" s="114">
        <f>IF(OR(HW$13="",HW$17="",HW$14="",HW$15="",HW$16="",HW$18="",HW$19="",HW$20="",HW$21=""),"",SUM($HG20:HW20))</f>
        <v>6.9216666666666669</v>
      </c>
      <c r="HX73" s="114">
        <f>IF(OR(HX$13="",HX$17="",HX$14="",HX$15="",HX$16="",HX$18="",HX$19="",HX$20="",HX$21=""),"",SUM($HG20:HX20))</f>
        <v>24.922777777777778</v>
      </c>
      <c r="HY73" s="114">
        <f>IF(OR(HY$13="",HY$17="",HY$14="",HY$15="",HY$16="",HY$18="",HY$19="",HY$20="",HY$21=""),"",SUM($HG20:HY20))</f>
        <v>48.922777777777782</v>
      </c>
      <c r="HZ73" s="114">
        <f>IF(OR(HZ$13="",HZ$17="",HZ$14="",HZ$15="",HZ$16="",HZ$18="",HZ$19="",HZ$20="",HZ$21=""),"",SUM($HG20:HZ20))</f>
        <v>51.723055555555561</v>
      </c>
      <c r="IA73" s="114">
        <f>IF(OR(IA$13="",IA$17="",IA$14="",IA$15="",IA$16="",IA$18="",IA$19="",IA$20="",IA$21=""),"",SUM($HG20:IA20))</f>
        <v>51.723055555555561</v>
      </c>
      <c r="IB73" s="114">
        <f>IF(OR(IB$13="",IB$17="",IB$14="",IB$15="",IB$16="",IB$18="",IB$19="",IB$20="",IB$21=""),"",SUM($HG20:IB20))</f>
        <v>51.723055555555561</v>
      </c>
      <c r="IC73" s="114">
        <f>IF(OR(IC$13="",IC$17="",IC$14="",IC$15="",IC$16="",IC$18="",IC$19="",IC$20="",IC$21=""),"",SUM($HG20:IC20))</f>
        <v>51.723055555555561</v>
      </c>
      <c r="ID73" s="114">
        <f>IF(OR(ID$13="",ID$17="",ID$14="",ID$15="",ID$16="",ID$18="",ID$19="",ID$20="",ID$21=""),"",SUM($HG20:ID20))</f>
        <v>52.69305555555556</v>
      </c>
      <c r="IE73" s="114">
        <f>IF(OR(IE$13="",IE$17="",IE$14="",IE$15="",IE$16="",IE$18="",IE$19="",IE$20="",IE$21=""),"",SUM($HG20:IE20))</f>
        <v>70.94305555555556</v>
      </c>
      <c r="IF73" s="114">
        <f>IF(OR(IF$13="",IF$17="",IF$14="",IF$15="",IF$16="",IF$18="",IF$19="",IF$20="",IF$21=""),"",SUM($HG20:IF20))</f>
        <v>70.94305555555556</v>
      </c>
      <c r="IG73" s="114">
        <f>IF(OR(IG$13="",IG$17="",IG$14="",IG$15="",IG$16="",IG$18="",IG$19="",IG$20="",IG$21=""),"",SUM($HG20:IG20))</f>
        <v>70.94305555555556</v>
      </c>
      <c r="IH73" s="114">
        <f>IF(OR(IH$13="",IH$17="",IH$14="",IH$15="",IH$16="",IH$18="",IH$19="",IH$20="",IH$21=""),"",SUM($HG20:IH20))</f>
        <v>70.94305555555556</v>
      </c>
      <c r="II73" s="114">
        <f>IF(OR(II$13="",II$17="",II$14="",II$15="",II$16="",II$18="",II$19="",II$20="",II$21=""),"",SUM($HG20:II20))</f>
        <v>70.94305555555556</v>
      </c>
      <c r="IJ73" s="114">
        <f>IF(OR(IJ$13="",IJ$17="",IJ$14="",IJ$15="",IJ$16="",IJ$18="",IJ$19="",IJ$20="",IJ$21=""),"",SUM($HG20:IJ20))</f>
        <v>90.673055555555564</v>
      </c>
      <c r="IK73" s="114">
        <f>IF(OR(IK$13="",IK$17="",IK$14="",IK$15="",IK$16="",IK$18="",IK$19="",IK$20="",IK$21=""),"",SUM($HG20:IK20))</f>
        <v>92.559722222222234</v>
      </c>
      <c r="IL73" s="114">
        <f>IF(OR(IL$13="",IL$17="",IL$14="",IL$15="",IL$16="",IL$18="",IL$19="",IL$20="",IL$21=""),"",SUM($IL20:IL20))</f>
        <v>9.3747222222222231</v>
      </c>
      <c r="IM73" s="114">
        <f>IF(OR(IM$13="",IM$17="",IM$14="",IM$15="",IM$16="",IM$18="",IM$19="",IM$20="",IM$21=""),"",SUM($IL20:IM20))</f>
        <v>11.139166666666668</v>
      </c>
      <c r="IN73" s="114">
        <f>IF(OR(IN$13="",IN$17="",IN$14="",IN$15="",IN$16="",IN$18="",IN$19="",IN$20="",IN$21=""),"",SUM($IL20:IN20))</f>
        <v>11.139166666666668</v>
      </c>
      <c r="IO73" s="114">
        <f>IF(OR(IO$13="",IO$17="",IO$14="",IO$15="",IO$16="",IO$18="",IO$19="",IO$20="",IO$21=""),"",SUM($IL20:IO20))</f>
        <v>21.259166666666669</v>
      </c>
      <c r="IP73" s="114">
        <f>IF(OR(IP$13="",IP$17="",IP$14="",IP$15="",IP$16="",IP$18="",IP$19="",IP$20="",IP$21=""),"",SUM($IL20:IP20))</f>
        <v>28.081111111111113</v>
      </c>
      <c r="IQ73" s="114">
        <f>IF(OR(IQ$13="",IQ$17="",IQ$14="",IQ$15="",IQ$16="",IQ$18="",IQ$19="",IQ$20="",IQ$21=""),"",SUM($IL20:IQ20))</f>
        <v>46.962500000000006</v>
      </c>
      <c r="IR73" s="114">
        <f>IF(OR(IR$13="",IR$17="",IR$14="",IR$15="",IR$16="",IR$18="",IR$19="",IR$20="",IR$21=""),"",SUM($IL20:IR20))</f>
        <v>46.962500000000006</v>
      </c>
      <c r="IS73" s="114">
        <f>IF(OR(IS$13="",IS$17="",IS$14="",IS$15="",IS$16="",IS$18="",IS$19="",IS$20="",IS$21=""),"",SUM($IL20:IS20))</f>
        <v>59.919722222222227</v>
      </c>
      <c r="IT73" s="114">
        <f>IF(OR(IT$13="",IT$17="",IT$14="",IT$15="",IT$16="",IT$18="",IT$19="",IT$20="",IT$21=""),"",SUM($IL20:IT20))</f>
        <v>78.019166666666663</v>
      </c>
      <c r="IU73" s="114">
        <f>IF(OR(IU$13="",IU$17="",IU$14="",IU$15="",IU$16="",IU$18="",IU$19="",IU$20="",IU$21=""),"",SUM($IL20:IU20))</f>
        <v>99.56</v>
      </c>
      <c r="IV73" s="114">
        <f>IF(OR(IV$13="",IV$17="",IV$14="",IV$15="",IV$16="",IV$18="",IV$19="",IV$20="",IV$21=""),"",SUM($IL20:IV20))</f>
        <v>102.95666666666666</v>
      </c>
      <c r="IW73" s="114">
        <f>IF(OR(IW$13="",IW$17="",IW$14="",IW$15="",IW$16="",IW$18="",IW$19="",IW$20="",IW$21=""),"",SUM($IL20:IW20))</f>
        <v>102.95666666666666</v>
      </c>
      <c r="IX73" s="114">
        <f>IF(OR(IX$13="",IX$17="",IX$14="",IX$15="",IX$16="",IX$18="",IX$19="",IX$20="",IX$21=""),"",SUM($IL20:IX20))</f>
        <v>106.52388888888889</v>
      </c>
      <c r="IY73" s="114">
        <f>IF(OR(IY$13="",IY$17="",IY$14="",IY$15="",IY$16="",IY$18="",IY$19="",IY$20="",IY$21=""),"",SUM($IL20:IY20))</f>
        <v>106.52388888888889</v>
      </c>
      <c r="IZ73" s="114">
        <f>IF(OR(IZ$13="",IZ$17="",IZ$14="",IZ$15="",IZ$16="",IZ$18="",IZ$19="",IZ$20="",IZ$21=""),"",SUM($IL20:IZ20))</f>
        <v>106.52388888888889</v>
      </c>
      <c r="JA73" s="114">
        <f>IF(OR(JA$13="",JA$17="",JA$14="",JA$15="",JA$16="",JA$18="",JA$19="",JA$20="",JA$21=""),"",SUM($IL20:JA20))</f>
        <v>106.52388888888889</v>
      </c>
      <c r="JB73" s="114">
        <f>IF(OR(JB$13="",JB$17="",JB$14="",JB$15="",JB$16="",JB$18="",JB$19="",JB$20="",JB$21=""),"",SUM($IL20:JB20))</f>
        <v>106.52388888888889</v>
      </c>
      <c r="JC73" s="114">
        <f>IF(OR(JC$13="",JC$17="",JC$14="",JC$15="",JC$16="",JC$18="",JC$19="",JC$20="",JC$21=""),"",SUM($IL20:JC20))</f>
        <v>107.59333333333333</v>
      </c>
      <c r="JD73" s="114">
        <f>IF(OR(JD$13="",JD$17="",JD$14="",JD$15="",JD$16="",JD$18="",JD$19="",JD$20="",JD$21=""),"",SUM($IL20:JD20))</f>
        <v>107.78777777777778</v>
      </c>
      <c r="JE73" s="114">
        <f>IF(OR(JE$13="",JE$17="",JE$14="",JE$15="",JE$16="",JE$18="",JE$19="",JE$20="",JE$21=""),"",SUM($IL20:JE20))</f>
        <v>107.78777777777778</v>
      </c>
      <c r="JF73" s="114">
        <f>IF(OR(JF$13="",JF$17="",JF$14="",JF$15="",JF$16="",JF$18="",JF$19="",JF$20="",JF$21=""),"",SUM($IL20:JF20))</f>
        <v>107.78777777777778</v>
      </c>
      <c r="JG73" s="114">
        <f>IF(OR(JG$13="",JG$17="",JG$14="",JG$15="",JG$16="",JG$18="",JG$19="",JG$20="",JG$21=""),"",SUM($IL20:JG20))</f>
        <v>110.33166666666666</v>
      </c>
      <c r="JH73" s="114">
        <f>IF(OR(JH$13="",JH$17="",JH$14="",JH$15="",JH$16="",JH$18="",JH$19="",JH$20="",JH$21=""),"",SUM($IL20:JH20))</f>
        <v>116.38111111111111</v>
      </c>
      <c r="JI73" s="114">
        <f>IF(OR(JI$13="",JI$17="",JI$14="",JI$15="",JI$16="",JI$18="",JI$19="",JI$20="",JI$21=""),"",SUM($IL20:JI20))</f>
        <v>116.72555555555556</v>
      </c>
      <c r="JJ73" s="114">
        <f>IF(OR(JJ$13="",JJ$17="",JJ$14="",JJ$15="",JJ$16="",JJ$18="",JJ$19="",JJ$20="",JJ$21=""),"",SUM($IL20:JJ20))</f>
        <v>119.65916666666666</v>
      </c>
      <c r="JK73" s="114">
        <f>IF(OR(JK$13="",JK$17="",JK$14="",JK$15="",JK$16="",JK$18="",JK$19="",JK$20="",JK$21=""),"",SUM($IL20:JK20))</f>
        <v>119.65916666666666</v>
      </c>
      <c r="JL73" s="114">
        <f>IF(OR(JL$13="",JL$17="",JL$14="",JL$15="",JL$16="",JL$18="",JL$19="",JL$20="",JL$21=""),"",SUM($IL20:JL20))</f>
        <v>119.71444444444444</v>
      </c>
      <c r="JM73" s="114">
        <f>IF(OR(JM$13="",JM$17="",JM$14="",JM$15="",JM$16="",JM$18="",JM$19="",JM$20="",JM$21=""),"",SUM($IL20:JM20))</f>
        <v>125.19833333333332</v>
      </c>
      <c r="JN73" s="114">
        <f>IF(OR(JN$13="",JN$17="",JN$14="",JN$15="",JN$16="",JN$18="",JN$19="",JN$20="",JN$21=""),"",SUM($IL20:JN20))</f>
        <v>140.43833333333333</v>
      </c>
      <c r="JO73" s="114">
        <f>IF(OR(JO$13="",JO$17="",JO$14="",JO$15="",JO$16="",JO$18="",JO$19="",JO$20="",JO$21=""),"",SUM($IL20:JO20))</f>
        <v>141.43833333333333</v>
      </c>
      <c r="JP73" s="114">
        <f>IF(OR(JP$13="",JP$17="",JP$14="",JP$15="",JP$16="",JP$18="",JP$19="",JP$20="",JP$21=""),"",SUM($JP20:JP20))</f>
        <v>1</v>
      </c>
      <c r="JQ73" s="114">
        <f>IF(OR(JQ$13="",JQ$17="",JQ$14="",JQ$15="",JQ$16="",JQ$18="",JQ$19="",JQ$20="",JQ$21=""),"",SUM($JP20:JQ20))</f>
        <v>2</v>
      </c>
      <c r="JR73" s="114">
        <f>IF(OR(JR$13="",JR$17="",JR$14="",JR$15="",JR$16="",JR$18="",JR$19="",JR$20="",JR$21=""),"",SUM($JP20:JR20))</f>
        <v>3</v>
      </c>
      <c r="JS73" s="114">
        <f>IF(OR(JS$13="",JS$17="",JS$14="",JS$15="",JS$16="",JS$18="",JS$19="",JS$20="",JS$21=""),"",SUM($JP20:JS20))</f>
        <v>4</v>
      </c>
      <c r="JT73" s="114">
        <f>IF(OR(JT$13="",JT$17="",JT$14="",JT$15="",JT$16="",JT$18="",JT$19="",JT$20="",JT$21=""),"",SUM($JP20:JT20))</f>
        <v>7.95</v>
      </c>
      <c r="JU73" s="114">
        <f>IF(OR(JU$13="",JU$17="",JU$14="",JU$15="",JU$16="",JU$18="",JU$19="",JU$20="",JU$21=""),"",SUM($JP20:JU20))</f>
        <v>8.08</v>
      </c>
      <c r="JV73" s="114">
        <f>IF(OR(JV$13="",JV$17="",JV$14="",JV$15="",JV$16="",JV$18="",JV$19="",JV$20="",JV$21=""),"",SUM($JP20:JV20))</f>
        <v>9.08</v>
      </c>
      <c r="JW73" s="114">
        <f>IF(OR(JW$13="",JW$17="",JW$14="",JW$15="",JW$16="",JW$18="",JW$19="",JW$20="",JW$21=""),"",SUM($JP20:JW20))</f>
        <v>9.08</v>
      </c>
      <c r="JX73" s="114">
        <f>IF(OR(JX$13="",JX$17="",JX$14="",JX$15="",JX$16="",JX$18="",JX$19="",JX$20="",JX$21=""),"",SUM($JP20:JX20))</f>
        <v>9.08</v>
      </c>
      <c r="JY73" s="114">
        <f>IF(OR(JY$13="",JY$17="",JY$14="",JY$15="",JY$16="",JY$18="",JY$19="",JY$20="",JY$21=""),"",SUM($JP20:JY20))</f>
        <v>9.08</v>
      </c>
      <c r="JZ73" s="114">
        <f>IF(OR(JZ$13="",JZ$17="",JZ$14="",JZ$15="",JZ$16="",JZ$18="",JZ$19="",JZ$20="",JZ$21=""),"",SUM($JP20:JZ20))</f>
        <v>9.08</v>
      </c>
      <c r="KA73" s="114">
        <f>IF(OR(KA$13="",KA$17="",KA$14="",KA$15="",KA$16="",KA$18="",KA$19="",KA$20="",KA$21=""),"",SUM($JP20:KA20))</f>
        <v>9.08</v>
      </c>
      <c r="KB73" s="114">
        <f>IF(OR(KB$13="",KB$17="",KB$14="",KB$15="",KB$16="",KB$18="",KB$19="",KB$20="",KB$21=""),"",SUM($JP20:KB20))</f>
        <v>9.08</v>
      </c>
      <c r="KC73" s="114">
        <f>IF(OR(KC$13="",KC$17="",KC$14="",KC$15="",KC$16="",KC$18="",KC$19="",KC$20="",KC$21=""),"",SUM($JP20:KC20))</f>
        <v>9.08</v>
      </c>
      <c r="KD73" s="114">
        <f>IF(OR(KD$13="",KD$17="",KD$14="",KD$15="",KD$16="",KD$18="",KD$19="",KD$20="",KD$21=""),"",SUM($JP20:KD20))</f>
        <v>9.08</v>
      </c>
      <c r="KE73" s="114">
        <f>IF(OR(KE$13="",KE$17="",KE$14="",KE$15="",KE$16="",KE$18="",KE$19="",KE$20="",KE$21=""),"",SUM($JP20:KE20))</f>
        <v>9.08</v>
      </c>
      <c r="KF73" s="114">
        <f>IF(OR(KF$13="",KF$17="",KF$14="",KF$15="",KF$16="",KF$18="",KF$19="",KF$20="",KF$21=""),"",SUM($JP20:KF20))</f>
        <v>9.08</v>
      </c>
      <c r="KG73" s="114">
        <f>IF(OR(KG$13="",KG$17="",KG$14="",KG$15="",KG$16="",KG$18="",KG$19="",KG$20="",KG$21=""),"",SUM($JP20:KG20))</f>
        <v>9.08</v>
      </c>
      <c r="KH73" s="114">
        <f>IF(OR(KH$13="",KH$17="",KH$14="",KH$15="",KH$16="",KH$18="",KH$19="",KH$20="",KH$21=""),"",SUM($JP20:KH20))</f>
        <v>9.08</v>
      </c>
      <c r="KI73" s="114">
        <f>IF(OR(KI$13="",KI$17="",KI$14="",KI$15="",KI$16="",KI$18="",KI$19="",KI$20="",KI$21=""),"",SUM($JP20:KI20))</f>
        <v>9.08</v>
      </c>
      <c r="KJ73" s="114">
        <f>IF(OR(KJ$13="",KJ$17="",KJ$14="",KJ$15="",KJ$16="",KJ$18="",KJ$19="",KJ$20="",KJ$21=""),"",SUM($JP20:KJ20))</f>
        <v>9.08</v>
      </c>
      <c r="KK73" s="114">
        <f>IF(OR(KK$13="",KK$17="",KK$14="",KK$15="",KK$16="",KK$18="",KK$19="",KK$20="",KK$21=""),"",SUM($JP20:KK20))</f>
        <v>9.08</v>
      </c>
      <c r="KL73" s="114">
        <f>IF(OR(KL$13="",KL$17="",KL$14="",KL$15="",KL$16="",KL$18="",KL$19="",KL$20="",KL$21=""),"",SUM($JP20:KL20))</f>
        <v>9.08</v>
      </c>
      <c r="KM73" s="114">
        <f>IF(OR(KM$13="",KM$17="",KM$14="",KM$15="",KM$16="",KM$18="",KM$19="",KM$20="",KM$21=""),"",SUM($JP20:KM20))</f>
        <v>9.08</v>
      </c>
      <c r="KN73" s="114">
        <f>IF(OR(KN$13="",KN$17="",KN$14="",KN$15="",KN$16="",KN$18="",KN$19="",KN$20="",KN$21=""),"",SUM($JP20:KN20))</f>
        <v>9.08</v>
      </c>
      <c r="KO73" s="114">
        <f>IF(OR(KO$13="",KO$17="",KO$14="",KO$15="",KO$16="",KO$18="",KO$19="",KO$20="",KO$21=""),"",SUM($JP20:KO20))</f>
        <v>9.08</v>
      </c>
      <c r="KP73" s="114">
        <f>IF(OR(KP$13="",KP$17="",KP$14="",KP$15="",KP$16="",KP$18="",KP$19="",KP$20="",KP$21=""),"",SUM($JP20:KP20))</f>
        <v>9.08</v>
      </c>
      <c r="KQ73" s="114">
        <f>IF(OR(KQ$13="",KQ$17="",KQ$14="",KQ$15="",KQ$16="",KQ$18="",KQ$19="",KQ$20="",KQ$21=""),"",SUM($JP20:KQ20))</f>
        <v>9.08</v>
      </c>
      <c r="KR73" s="114">
        <f>IF(OR(KR$13="",KR$17="",KR$14="",KR$15="",KR$16="",KR$18="",KR$19="",KR$20="",KR$21=""),"",SUM($JP20:KR20))</f>
        <v>9.08</v>
      </c>
      <c r="KS73" s="114">
        <f>IF(OR(KS$13="",KS$17="",KS$14="",KS$15="",KS$16="",KS$18="",KS$19="",KS$20="",KS$21=""),"",SUM($JP20:KS20))</f>
        <v>9.08</v>
      </c>
      <c r="KT73" s="114">
        <f>IF(OR(KT$13="",KT$17="",KT$14="",KT$15="",KT$16="",KT$18="",KT$19="",KT$20="",KT$21=""),"",SUM($JP20:KT20))</f>
        <v>9.08</v>
      </c>
      <c r="KU73" s="114" t="str">
        <f>IF(OR(KU$13="",KU$17="",KU$14="",KU$15="",KU$16="",KU$18="",KU$19="",KU$20="",KU$21=""),"",SUM($KU20:KU20))</f>
        <v/>
      </c>
      <c r="KV73" s="114" t="str">
        <f>IF(OR(KV$13="",KV$17="",KV$14="",KV$15="",KV$16="",KV$18="",KV$19="",KV$20="",KV$21=""),"",SUM($KU20:KV20))</f>
        <v/>
      </c>
      <c r="KW73" s="114" t="str">
        <f>IF(OR(KW$13="",KW$17="",KW$14="",KW$15="",KW$16="",KW$18="",KW$19="",KW$20="",KW$21=""),"",SUM($KU20:KW20))</f>
        <v/>
      </c>
      <c r="KX73" s="114" t="str">
        <f>IF(OR(KX$13="",KX$17="",KX$14="",KX$15="",KX$16="",KX$18="",KX$19="",KX$20="",KX$21=""),"",SUM($KU20:KX20))</f>
        <v/>
      </c>
      <c r="KY73" s="114" t="str">
        <f>IF(OR(KY$13="",KY$17="",KY$14="",KY$15="",KY$16="",KY$18="",KY$19="",KY$20="",KY$21=""),"",SUM($KU20:KY20))</f>
        <v/>
      </c>
      <c r="KZ73" s="114" t="str">
        <f>IF(OR(KZ$13="",KZ$17="",KZ$14="",KZ$15="",KZ$16="",KZ$18="",KZ$19="",KZ$20="",KZ$21=""),"",SUM($KU20:KZ20))</f>
        <v/>
      </c>
      <c r="LA73" s="114" t="str">
        <f>IF(OR(LA$13="",LA$17="",LA$14="",LA$15="",LA$16="",LA$18="",LA$19="",LA$20="",LA$21=""),"",SUM($KU20:LA20))</f>
        <v/>
      </c>
      <c r="LB73" s="114" t="str">
        <f>IF(OR(LB$13="",LB$17="",LB$14="",LB$15="",LB$16="",LB$18="",LB$19="",LB$20="",LB$21=""),"",SUM($KU20:LB20))</f>
        <v/>
      </c>
      <c r="LC73" s="114" t="str">
        <f>IF(OR(LC$13="",LC$17="",LC$14="",LC$15="",LC$16="",LC$18="",LC$19="",LC$20="",LC$21=""),"",SUM($KU20:LC20))</f>
        <v/>
      </c>
      <c r="LD73" s="114" t="str">
        <f>IF(OR(LD$13="",LD$17="",LD$14="",LD$15="",LD$16="",LD$18="",LD$19="",LD$20="",LD$21=""),"",SUM($KU20:LD20))</f>
        <v/>
      </c>
      <c r="LE73" s="114" t="str">
        <f>IF(OR(LE$13="",LE$17="",LE$14="",LE$15="",LE$16="",LE$18="",LE$19="",LE$20="",LE$21=""),"",SUM($KU20:LE20))</f>
        <v/>
      </c>
      <c r="LF73" s="114" t="str">
        <f>IF(OR(LF$13="",LF$17="",LF$14="",LF$15="",LF$16="",LF$18="",LF$19="",LF$20="",LF$21=""),"",SUM($KU20:LF20))</f>
        <v/>
      </c>
      <c r="LG73" s="114" t="str">
        <f>IF(OR(LG$13="",LG$17="",LG$14="",LG$15="",LG$16="",LG$18="",LG$19="",LG$20="",LG$21=""),"",SUM($KU20:LG20))</f>
        <v/>
      </c>
      <c r="LH73" s="114" t="str">
        <f>IF(OR(LH$13="",LH$17="",LH$14="",LH$15="",LH$16="",LH$18="",LH$19="",LH$20="",LH$21=""),"",SUM($KU20:LH20))</f>
        <v/>
      </c>
      <c r="LI73" s="114" t="str">
        <f>IF(OR(LI$13="",LI$17="",LI$14="",LI$15="",LI$16="",LI$18="",LI$19="",LI$20="",LI$21=""),"",SUM($KU20:LI20))</f>
        <v/>
      </c>
      <c r="LJ73" s="114" t="str">
        <f>IF(OR(LJ$13="",LJ$17="",LJ$14="",LJ$15="",LJ$16="",LJ$18="",LJ$19="",LJ$20="",LJ$21=""),"",SUM($KU20:LJ20))</f>
        <v/>
      </c>
      <c r="LK73" s="114" t="str">
        <f>IF(OR(LK$13="",LK$17="",LK$14="",LK$15="",LK$16="",LK$18="",LK$19="",LK$20="",LK$21=""),"",SUM($KU20:LK20))</f>
        <v/>
      </c>
      <c r="LL73" s="114" t="str">
        <f>IF(OR(LL$13="",LL$17="",LL$14="",LL$15="",LL$16="",LL$18="",LL$19="",LL$20="",LL$21=""),"",SUM($KU20:LL20))</f>
        <v/>
      </c>
      <c r="LM73" s="114" t="str">
        <f>IF(OR(LM$13="",LM$17="",LM$14="",LM$15="",LM$16="",LM$18="",LM$19="",LM$20="",LM$21=""),"",SUM($KU20:LM20))</f>
        <v/>
      </c>
      <c r="LN73" s="114" t="str">
        <f>IF(OR(LN$13="",LN$17="",LN$14="",LN$15="",LN$16="",LN$18="",LN$19="",LN$20="",LN$21=""),"",SUM($KU20:LN20))</f>
        <v/>
      </c>
      <c r="LO73" s="114" t="str">
        <f>IF(OR(LO$13="",LO$17="",LO$14="",LO$15="",LO$16="",LO$18="",LO$19="",LO$20="",LO$21=""),"",SUM($KU20:LO20))</f>
        <v/>
      </c>
      <c r="LP73" s="114" t="str">
        <f>IF(OR(LP$13="",LP$17="",LP$14="",LP$15="",LP$16="",LP$18="",LP$19="",LP$20="",LP$21=""),"",SUM($KU20:LP20))</f>
        <v/>
      </c>
      <c r="LQ73" s="114" t="str">
        <f>IF(OR(LQ$13="",LQ$17="",LQ$14="",LQ$15="",LQ$16="",LQ$18="",LQ$19="",LQ$20="",LQ$21=""),"",SUM($KU20:LQ20))</f>
        <v/>
      </c>
      <c r="LR73" s="114" t="str">
        <f>IF(OR(LR$13="",LR$17="",LR$14="",LR$15="",LR$16="",LR$18="",LR$19="",LR$20="",LR$21=""),"",SUM($KU20:LR20))</f>
        <v/>
      </c>
      <c r="LS73" s="114" t="str">
        <f>IF(OR(LS$13="",LS$17="",LS$14="",LS$15="",LS$16="",LS$18="",LS$19="",LS$20="",LS$21=""),"",SUM($KU20:LS20))</f>
        <v/>
      </c>
      <c r="LT73" s="114" t="str">
        <f>IF(OR(LT$13="",LT$17="",LT$14="",LT$15="",LT$16="",LT$18="",LT$19="",LT$20="",LT$21=""),"",SUM($KU20:LT20))</f>
        <v/>
      </c>
      <c r="LU73" s="114" t="str">
        <f>IF(OR(LU$13="",LU$17="",LU$14="",LU$15="",LU$16="",LU$18="",LU$19="",LU$20="",LU$21=""),"",SUM($KU20:LU20))</f>
        <v/>
      </c>
      <c r="LV73" s="114" t="str">
        <f>IF(OR(LV$13="",LV$17="",LV$14="",LV$15="",LV$16="",LV$18="",LV$19="",LV$20="",LV$21=""),"",SUM($KU20:LV20))</f>
        <v/>
      </c>
      <c r="LW73" s="114" t="str">
        <f>IF(OR(LW$13="",LW$17="",LW$14="",LW$15="",LW$16="",LW$18="",LW$19="",LW$20="",LW$21=""),"",SUM($KU20:LW20))</f>
        <v/>
      </c>
      <c r="LX73" s="114" t="str">
        <f>IF(OR(LX$13="",LX$17="",LX$14="",LX$15="",LX$16="",LX$18="",LX$19="",LX$20="",LX$21=""),"",SUM($KU20:LX20))</f>
        <v/>
      </c>
      <c r="LY73" s="114" t="str">
        <f>IF(OR(LY$13="",LY$17="",LY$14="",LY$15="",LY$16="",LY$18="",LY$19="",LY$20="",LY$21=""),"",SUM($LY20:LY20))</f>
        <v/>
      </c>
      <c r="LZ73" s="114" t="str">
        <f>IF(OR(LZ$13="",LZ$17="",LZ$14="",LZ$15="",LZ$16="",LZ$18="",LZ$19="",LZ$20="",LZ$21=""),"",SUM($LY20:LZ20))</f>
        <v/>
      </c>
      <c r="MA73" s="114" t="str">
        <f>IF(OR(MA$13="",MA$17="",MA$14="",MA$15="",MA$16="",MA$18="",MA$19="",MA$20="",MA$21=""),"",SUM($LY20:MA20))</f>
        <v/>
      </c>
      <c r="MB73" s="114" t="str">
        <f>IF(OR(MB$13="",MB$17="",MB$14="",MB$15="",MB$16="",MB$18="",MB$19="",MB$20="",MB$21=""),"",SUM($LY20:MB20))</f>
        <v/>
      </c>
      <c r="MC73" s="114" t="str">
        <f>IF(OR(MC$13="",MC$17="",MC$14="",MC$15="",MC$16="",MC$18="",MC$19="",MC$20="",MC$21=""),"",SUM($LY20:MC20))</f>
        <v/>
      </c>
      <c r="MD73" s="114" t="str">
        <f>IF(OR(MD$13="",MD$17="",MD$14="",MD$15="",MD$16="",MD$18="",MD$19="",MD$20="",MD$21=""),"",SUM($LY20:MD20))</f>
        <v/>
      </c>
      <c r="ME73" s="114" t="str">
        <f>IF(OR(ME$13="",ME$17="",ME$14="",ME$15="",ME$16="",ME$18="",ME$19="",ME$20="",ME$21=""),"",SUM($LY20:ME20))</f>
        <v/>
      </c>
      <c r="MF73" s="114" t="str">
        <f>IF(OR(MF$13="",MF$17="",MF$14="",MF$15="",MF$16="",MF$18="",MF$19="",MF$20="",MF$21=""),"",SUM($LY20:MF20))</f>
        <v/>
      </c>
      <c r="MG73" s="114" t="str">
        <f>IF(OR(MG$13="",MG$17="",MG$14="",MG$15="",MG$16="",MG$18="",MG$19="",MG$20="",MG$21=""),"",SUM($LY20:MG20))</f>
        <v/>
      </c>
      <c r="MH73" s="114" t="str">
        <f>IF(OR(MH$13="",MH$17="",MH$14="",MH$15="",MH$16="",MH$18="",MH$19="",MH$20="",MH$21=""),"",SUM($LY20:MH20))</f>
        <v/>
      </c>
      <c r="MI73" s="114" t="str">
        <f>IF(OR(MI$13="",MI$17="",MI$14="",MI$15="",MI$16="",MI$18="",MI$19="",MI$20="",MI$21=""),"",SUM($LY20:MI20))</f>
        <v/>
      </c>
      <c r="MJ73" s="114" t="str">
        <f>IF(OR(MJ$13="",MJ$17="",MJ$14="",MJ$15="",MJ$16="",MJ$18="",MJ$19="",MJ$20="",MJ$21=""),"",SUM($LY20:MJ20))</f>
        <v/>
      </c>
      <c r="MK73" s="114" t="str">
        <f>IF(OR(MK$13="",MK$17="",MK$14="",MK$15="",MK$16="",MK$18="",MK$19="",MK$20="",MK$21=""),"",SUM($LY20:MK20))</f>
        <v/>
      </c>
      <c r="ML73" s="114" t="str">
        <f>IF(OR(ML$13="",ML$17="",ML$14="",ML$15="",ML$16="",ML$18="",ML$19="",ML$20="",ML$21=""),"",SUM($LY20:ML20))</f>
        <v/>
      </c>
      <c r="MM73" s="114" t="str">
        <f>IF(OR(MM$13="",MM$17="",MM$14="",MM$15="",MM$16="",MM$18="",MM$19="",MM$20="",MM$21=""),"",SUM($LY20:MM20))</f>
        <v/>
      </c>
      <c r="MN73" s="114" t="str">
        <f>IF(OR(MN$13="",MN$17="",MN$14="",MN$15="",MN$16="",MN$18="",MN$19="",MN$20="",MN$21=""),"",SUM($LY20:MN20))</f>
        <v/>
      </c>
      <c r="MO73" s="114" t="str">
        <f>IF(OR(MO$13="",MO$17="",MO$14="",MO$15="",MO$16="",MO$18="",MO$19="",MO$20="",MO$21=""),"",SUM($LY20:MO20))</f>
        <v/>
      </c>
      <c r="MP73" s="114" t="str">
        <f>IF(OR(MP$13="",MP$17="",MP$14="",MP$15="",MP$16="",MP$18="",MP$19="",MP$20="",MP$21=""),"",SUM($LY20:MP20))</f>
        <v/>
      </c>
      <c r="MQ73" s="114" t="str">
        <f>IF(OR(MQ$13="",MQ$17="",MQ$14="",MQ$15="",MQ$16="",MQ$18="",MQ$19="",MQ$20="",MQ$21=""),"",SUM($LY20:MQ20))</f>
        <v/>
      </c>
      <c r="MR73" s="114" t="str">
        <f>IF(OR(MR$13="",MR$17="",MR$14="",MR$15="",MR$16="",MR$18="",MR$19="",MR$20="",MR$21=""),"",SUM($LY20:MR20))</f>
        <v/>
      </c>
      <c r="MS73" s="114" t="str">
        <f>IF(OR(MS$13="",MS$17="",MS$14="",MS$15="",MS$16="",MS$18="",MS$19="",MS$20="",MS$21=""),"",SUM($LY20:MS20))</f>
        <v/>
      </c>
      <c r="MT73" s="114" t="str">
        <f>IF(OR(MT$13="",MT$17="",MT$14="",MT$15="",MT$16="",MT$18="",MT$19="",MT$20="",MT$21=""),"",SUM($LY20:MT20))</f>
        <v/>
      </c>
      <c r="MU73" s="114" t="str">
        <f>IF(OR(MU$13="",MU$17="",MU$14="",MU$15="",MU$16="",MU$18="",MU$19="",MU$20="",MU$21=""),"",SUM($LY20:MU20))</f>
        <v/>
      </c>
      <c r="MV73" s="114" t="str">
        <f>IF(OR(MV$13="",MV$17="",MV$14="",MV$15="",MV$16="",MV$18="",MV$19="",MV$20="",MV$21=""),"",SUM($LY20:MV20))</f>
        <v/>
      </c>
      <c r="MW73" s="114" t="str">
        <f>IF(OR(MW$13="",MW$17="",MW$14="",MW$15="",MW$16="",MW$18="",MW$19="",MW$20="",MW$21=""),"",SUM($LY20:MW20))</f>
        <v/>
      </c>
      <c r="MX73" s="114" t="str">
        <f>IF(OR(MX$13="",MX$17="",MX$14="",MX$15="",MX$16="",MX$18="",MX$19="",MX$20="",MX$21=""),"",SUM($LY20:MX20))</f>
        <v/>
      </c>
      <c r="MY73" s="114" t="str">
        <f>IF(OR(MY$13="",MY$17="",MY$14="",MY$15="",MY$16="",MY$18="",MY$19="",MY$20="",MY$21=""),"",SUM($LY20:MY20))</f>
        <v/>
      </c>
      <c r="MZ73" s="114" t="str">
        <f>IF(OR(MZ$13="",MZ$17="",MZ$14="",MZ$15="",MZ$16="",MZ$18="",MZ$19="",MZ$20="",MZ$21=""),"",SUM($LY20:MZ20))</f>
        <v/>
      </c>
      <c r="NA73" s="114" t="str">
        <f>IF(OR(NA$13="",NA$17="",NA$14="",NA$15="",NA$16="",NA$18="",NA$19="",NA$20="",NA$21=""),"",SUM($LY20:NA20))</f>
        <v/>
      </c>
      <c r="NB73" s="114" t="str">
        <f>IF(OR(NB$13="",NB$17="",NB$14="",NB$15="",NB$16="",NB$18="",NB$19="",NB$20="",NB$21=""),"",SUM($LY20:NB20))</f>
        <v/>
      </c>
      <c r="NC73" s="114" t="str">
        <f>IF(OR(NC$13="",NC$17="",NC$14="",NC$15="",NC$16="",NC$18="",NC$19="",NC$20="",NC$21=""),"",SUM($LY20:NC20))</f>
        <v/>
      </c>
      <c r="ND73" s="114" t="str">
        <f>IF(OR(ND$13="",ND$17="",ND$14="",ND$15="",ND$16="",ND$18="",ND$19="",ND$20="",ND$21=""),"",SUM($ND20:ND20))</f>
        <v/>
      </c>
      <c r="NE73" s="114" t="str">
        <f>IF(OR(NE$13="",NE$17="",NE$14="",NE$15="",NE$16="",NE$18="",NE$19="",NE$20="",NE$21=""),"",SUM($ND20:NE20))</f>
        <v/>
      </c>
      <c r="NF73" s="114" t="str">
        <f>IF(OR(NF$13="",NF$17="",NF$14="",NF$15="",NF$16="",NF$18="",NF$19="",NF$20="",NF$21=""),"",SUM($ND20:NF20))</f>
        <v/>
      </c>
      <c r="NG73" s="114" t="str">
        <f>IF(OR(NG$13="",NG$17="",NG$14="",NG$15="",NG$16="",NG$18="",NG$19="",NG$20="",NG$21=""),"",SUM($ND20:NG20))</f>
        <v/>
      </c>
      <c r="NH73" s="114" t="str">
        <f>IF(OR(NH$13="",NH$17="",NH$14="",NH$15="",NH$16="",NH$18="",NH$19="",NH$20="",NH$21=""),"",SUM($ND20:NH20))</f>
        <v/>
      </c>
      <c r="NI73" s="114" t="str">
        <f>IF(OR(NI$13="",NI$17="",NI$14="",NI$15="",NI$16="",NI$18="",NI$19="",NI$20="",NI$21=""),"",SUM($ND20:NI20))</f>
        <v/>
      </c>
      <c r="NJ73" s="114" t="str">
        <f>IF(OR(NJ$13="",NJ$17="",NJ$14="",NJ$15="",NJ$16="",NJ$18="",NJ$19="",NJ$20="",NJ$21=""),"",SUM($ND20:NJ20))</f>
        <v/>
      </c>
      <c r="NK73" s="114" t="str">
        <f>IF(OR(NK$13="",NK$17="",NK$14="",NK$15="",NK$16="",NK$18="",NK$19="",NK$20="",NK$21=""),"",SUM($ND20:NK20))</f>
        <v/>
      </c>
      <c r="NL73" s="114" t="str">
        <f>IF(OR(NL$13="",NL$17="",NL$14="",NL$15="",NL$16="",NL$18="",NL$19="",NL$20="",NL$21=""),"",SUM($ND20:NL20))</f>
        <v/>
      </c>
      <c r="NM73" s="114" t="str">
        <f>IF(OR(NM$13="",NM$17="",NM$14="",NM$15="",NM$16="",NM$18="",NM$19="",NM$20="",NM$21=""),"",SUM($ND20:NM20))</f>
        <v/>
      </c>
      <c r="NN73" s="114" t="str">
        <f>IF(OR(NN$13="",NN$17="",NN$14="",NN$15="",NN$16="",NN$18="",NN$19="",NN$20="",NN$21=""),"",SUM($ND20:NN20))</f>
        <v/>
      </c>
      <c r="NO73" s="114" t="str">
        <f>IF(OR(NO$13="",NO$17="",NO$14="",NO$15="",NO$16="",NO$18="",NO$19="",NO$20="",NO$21=""),"",SUM($ND20:NO20))</f>
        <v/>
      </c>
      <c r="NP73" s="114" t="str">
        <f>IF(OR(NP$13="",NP$17="",NP$14="",NP$15="",NP$16="",NP$18="",NP$19="",NP$20="",NP$21=""),"",SUM($ND20:NP20))</f>
        <v/>
      </c>
      <c r="NQ73" s="114" t="str">
        <f>IF(OR(NQ$13="",NQ$17="",NQ$14="",NQ$15="",NQ$16="",NQ$18="",NQ$19="",NQ$20="",NQ$21=""),"",SUM($ND20:NQ20))</f>
        <v/>
      </c>
      <c r="NR73" s="114" t="str">
        <f>IF(OR(NR$13="",NR$17="",NR$14="",NR$15="",NR$16="",NR$18="",NR$19="",NR$20="",NR$21=""),"",SUM($ND20:NR20))</f>
        <v/>
      </c>
      <c r="NS73" s="114" t="str">
        <f>IF(OR(NS$13="",NS$17="",NS$14="",NS$15="",NS$16="",NS$18="",NS$19="",NS$20="",NS$21=""),"",SUM($ND20:NS20))</f>
        <v/>
      </c>
      <c r="NT73" s="114" t="str">
        <f>IF(OR(NT$13="",NT$17="",NT$14="",NT$15="",NT$16="",NT$18="",NT$19="",NT$20="",NT$21=""),"",SUM($ND20:NT20))</f>
        <v/>
      </c>
      <c r="NU73" s="114" t="str">
        <f>IF(OR(NU$13="",NU$17="",NU$14="",NU$15="",NU$16="",NU$18="",NU$19="",NU$20="",NU$21=""),"",SUM($ND20:NU20))</f>
        <v/>
      </c>
      <c r="NV73" s="114" t="str">
        <f>IF(OR(NV$13="",NV$17="",NV$14="",NV$15="",NV$16="",NV$18="",NV$19="",NV$20="",NV$21=""),"",SUM($ND20:NV20))</f>
        <v/>
      </c>
      <c r="NW73" s="114" t="str">
        <f>IF(OR(NW$13="",NW$17="",NW$14="",NW$15="",NW$16="",NW$18="",NW$19="",NW$20="",NW$21=""),"",SUM($ND20:NW20))</f>
        <v/>
      </c>
      <c r="NX73" s="114" t="str">
        <f>IF(OR(NX$13="",NX$17="",NX$14="",NX$15="",NX$16="",NX$18="",NX$19="",NX$20="",NX$21=""),"",SUM($ND20:NX20))</f>
        <v/>
      </c>
      <c r="NY73" s="114" t="str">
        <f>IF(OR(NY$13="",NY$17="",NY$14="",NY$15="",NY$16="",NY$18="",NY$19="",NY$20="",NY$21=""),"",SUM($ND20:NY20))</f>
        <v/>
      </c>
      <c r="NZ73" s="114" t="str">
        <f>IF(OR(NZ$13="",NZ$17="",NZ$14="",NZ$15="",NZ$16="",NZ$18="",NZ$19="",NZ$20="",NZ$21=""),"",SUM($ND20:NZ20))</f>
        <v/>
      </c>
      <c r="OA73" s="114" t="str">
        <f>IF(OR(OA$13="",OA$17="",OA$14="",OA$15="",OA$16="",OA$18="",OA$19="",OA$20="",OA$21=""),"",SUM($ND20:OA20))</f>
        <v/>
      </c>
      <c r="OB73" s="114" t="str">
        <f>IF(OR(OB$13="",OB$17="",OB$14="",OB$15="",OB$16="",OB$18="",OB$19="",OB$20="",OB$21=""),"",SUM($ND20:OB20))</f>
        <v/>
      </c>
      <c r="OC73" s="114" t="str">
        <f>IF(OR(OC$13="",OC$17="",OC$14="",OC$15="",OC$16="",OC$18="",OC$19="",OC$20="",OC$21=""),"",SUM($ND20:OC20))</f>
        <v/>
      </c>
      <c r="OD73" s="114" t="str">
        <f>IF(OR(OD$13="",OD$17="",OD$14="",OD$15="",OD$16="",OD$18="",OD$19="",OD$20="",OD$21=""),"",SUM($ND20:OD20))</f>
        <v/>
      </c>
      <c r="OE73" s="114" t="str">
        <f>IF(OR(OE$13="",OE$17="",OE$14="",OE$15="",OE$16="",OE$18="",OE$19="",OE$20="",OE$21=""),"",SUM($ND20:OE20))</f>
        <v/>
      </c>
      <c r="OF73" s="114" t="str">
        <f>IF(OR(OF$13="",OF$17="",OF$14="",OF$15="",OF$16="",OF$18="",OF$19="",OF$20="",OF$21=""),"",SUM($ND20:OF20))</f>
        <v/>
      </c>
      <c r="OG73" s="114" t="str">
        <f>IF(OR(OG$13="",OG$17="",OG$14="",OG$15="",OG$16="",OG$18="",OG$19="",OG$20="",OG$21=""),"",SUM($ND20:OG20))</f>
        <v/>
      </c>
      <c r="OH73" s="114" t="str">
        <f>IF(OR(OH$13="",OH$17="",OH$14="",OH$15="",OH$16="",OH$18="",OH$19="",OH$20="",OH$21=""),"",SUM($ND20:OH20))</f>
        <v/>
      </c>
      <c r="OI73" s="114" t="str">
        <f>IF(OR(OI$13="",OI$17="",OI$14="",OI$15="",OI$16="",OI$18="",OI$19="",OI$20="",OI$21=""),"",SUM($OI20:OI20))</f>
        <v/>
      </c>
      <c r="OJ73" s="114" t="str">
        <f>IF(OR(OJ$13="",OJ$17="",OJ$14="",OJ$15="",OJ$16="",OJ$18="",OJ$19="",OJ$20="",OJ$21=""),"",SUM($OI20:OJ20))</f>
        <v/>
      </c>
      <c r="OK73" s="114" t="str">
        <f>IF(OR(OK$13="",OK$17="",OK$14="",OK$15="",OK$16="",OK$18="",OK$19="",OK$20="",OK$21=""),"",SUM($OI20:OK20))</f>
        <v/>
      </c>
      <c r="OL73" s="114" t="str">
        <f>IF(OR(OL$13="",OL$17="",OL$14="",OL$15="",OL$16="",OL$18="",OL$19="",OL$20="",OL$21=""),"",SUM($OI20:OL20))</f>
        <v/>
      </c>
      <c r="OM73" s="114" t="str">
        <f>IF(OR(OM$13="",OM$17="",OM$14="",OM$15="",OM$16="",OM$18="",OM$19="",OM$20="",OM$21=""),"",SUM($OI20:OM20))</f>
        <v/>
      </c>
      <c r="ON73" s="114" t="str">
        <f>IF(OR(ON$13="",ON$17="",ON$14="",ON$15="",ON$16="",ON$18="",ON$19="",ON$20="",ON$21=""),"",SUM($OI20:ON20))</f>
        <v/>
      </c>
      <c r="OO73" s="114" t="str">
        <f>IF(OR(OO$13="",OO$17="",OO$14="",OO$15="",OO$16="",OO$18="",OO$19="",OO$20="",OO$21=""),"",SUM($OI20:OO20))</f>
        <v/>
      </c>
      <c r="OP73" s="114" t="str">
        <f>IF(OR(OP$13="",OP$17="",OP$14="",OP$15="",OP$16="",OP$18="",OP$19="",OP$20="",OP$21=""),"",SUM($OI20:OP20))</f>
        <v/>
      </c>
      <c r="OQ73" s="114" t="str">
        <f>IF(OR(OQ$13="",OQ$17="",OQ$14="",OQ$15="",OQ$16="",OQ$18="",OQ$19="",OQ$20="",OQ$21=""),"",SUM($OI20:OQ20))</f>
        <v/>
      </c>
      <c r="OR73" s="114" t="str">
        <f>IF(OR(OR$13="",OR$17="",OR$14="",OR$15="",OR$16="",OR$18="",OR$19="",OR$20="",OR$21=""),"",SUM($OI20:OR20))</f>
        <v/>
      </c>
      <c r="OS73" s="114" t="str">
        <f>IF(OR(OS$13="",OS$17="",OS$14="",OS$15="",OS$16="",OS$18="",OS$19="",OS$20="",OS$21=""),"",SUM($OI20:OS20))</f>
        <v/>
      </c>
      <c r="OT73" s="114" t="str">
        <f>IF(OR(OT$13="",OT$17="",OT$14="",OT$15="",OT$16="",OT$18="",OT$19="",OT$20="",OT$21=""),"",SUM($OI20:OT20))</f>
        <v/>
      </c>
      <c r="OU73" s="114" t="str">
        <f>IF(OR(OU$13="",OU$17="",OU$14="",OU$15="",OU$16="",OU$18="",OU$19="",OU$20="",OU$21=""),"",SUM($OI20:OU20))</f>
        <v/>
      </c>
      <c r="OV73" s="114" t="str">
        <f>IF(OR(OV$13="",OV$17="",OV$14="",OV$15="",OV$16="",OV$18="",OV$19="",OV$20="",OV$21=""),"",SUM($OI20:OV20))</f>
        <v/>
      </c>
      <c r="OW73" s="114" t="str">
        <f>IF(OR(OW$13="",OW$17="",OW$14="",OW$15="",OW$16="",OW$18="",OW$19="",OW$20="",OW$21=""),"",SUM($OI20:OW20))</f>
        <v/>
      </c>
      <c r="OX73" s="114" t="str">
        <f>IF(OR(OX$13="",OX$17="",OX$14="",OX$15="",OX$16="",OX$18="",OX$19="",OX$20="",OX$21=""),"",SUM($OI20:OX20))</f>
        <v/>
      </c>
      <c r="OY73" s="114" t="str">
        <f>IF(OR(OY$13="",OY$17="",OY$14="",OY$15="",OY$16="",OY$18="",OY$19="",OY$20="",OY$21=""),"",SUM($OI20:OY20))</f>
        <v/>
      </c>
      <c r="OZ73" s="114" t="str">
        <f>IF(OR(OZ$13="",OZ$17="",OZ$14="",OZ$15="",OZ$16="",OZ$18="",OZ$19="",OZ$20="",OZ$21=""),"",SUM($OI20:OZ20))</f>
        <v/>
      </c>
      <c r="PA73" s="114" t="str">
        <f>IF(OR(PA$13="",PA$17="",PA$14="",PA$15="",PA$16="",PA$18="",PA$19="",PA$20="",PA$21=""),"",SUM($OI20:PA20))</f>
        <v/>
      </c>
      <c r="PB73" s="114" t="str">
        <f>IF(OR(PB$13="",PB$17="",PB$14="",PB$15="",PB$16="",PB$18="",PB$19="",PB$20="",PB$21=""),"",SUM($OI20:PB20))</f>
        <v/>
      </c>
      <c r="PC73" s="114" t="str">
        <f>IF(OR(PC$13="",PC$17="",PC$14="",PC$15="",PC$16="",PC$18="",PC$19="",PC$20="",PC$21=""),"",SUM($OI20:PC20))</f>
        <v/>
      </c>
      <c r="PD73" s="114" t="str">
        <f>IF(OR(PD$13="",PD$17="",PD$14="",PD$15="",PD$16="",PD$18="",PD$19="",PD$20="",PD$21=""),"",SUM($OI20:PD20))</f>
        <v/>
      </c>
      <c r="PE73" s="114" t="str">
        <f>IF(OR(PE$13="",PE$17="",PE$14="",PE$15="",PE$16="",PE$18="",PE$19="",PE$20="",PE$21=""),"",SUM($OI20:PE20))</f>
        <v/>
      </c>
      <c r="PF73" s="114" t="str">
        <f>IF(OR(PF$13="",PF$17="",PF$14="",PF$15="",PF$16="",PF$18="",PF$19="",PF$20="",PF$21=""),"",SUM($OI20:PF20))</f>
        <v/>
      </c>
      <c r="PG73" s="114" t="str">
        <f>IF(OR(PG$13="",PG$17="",PG$14="",PG$15="",PG$16="",PG$18="",PG$19="",PG$20="",PG$21=""),"",SUM($OI20:PG20))</f>
        <v/>
      </c>
      <c r="PH73" s="114" t="str">
        <f>IF(OR(PH$13="",PH$17="",PH$14="",PH$15="",PH$16="",PH$18="",PH$19="",PH$20="",PH$21=""),"",SUM($OI20:PH20))</f>
        <v/>
      </c>
      <c r="PI73" s="114" t="str">
        <f>IF(OR(PI$13="",PI$17="",PI$14="",PI$15="",PI$16="",PI$18="",PI$19="",PI$20="",PI$21=""),"",SUM($OI20:PI20))</f>
        <v/>
      </c>
      <c r="PJ73" s="114" t="str">
        <f>IF(OR(PJ$13="",PJ$17="",PJ$14="",PJ$15="",PJ$16="",PJ$18="",PJ$19="",PJ$20="",PJ$21=""),"",SUM($OI20:PJ20))</f>
        <v/>
      </c>
      <c r="PK73" s="114" t="str">
        <f>IF(OR(PK$13="",PK$17="",PK$14="",PK$15="",PK$16="",PK$18="",PK$19="",PK$20="",PK$21=""),"",SUM($PK20:PK20))</f>
        <v/>
      </c>
      <c r="PL73" s="114" t="str">
        <f>IF(OR(PL$13="",PL$17="",PL$14="",PL$15="",PL$16="",PL$18="",PL$19="",PL$20="",PL$21=""),"",SUM($PK20:PL20))</f>
        <v/>
      </c>
      <c r="PM73" s="114" t="str">
        <f>IF(OR(PM$13="",PM$17="",PM$14="",PM$15="",PM$16="",PM$18="",PM$19="",PM$20="",PM$21=""),"",SUM($PK20:PM20))</f>
        <v/>
      </c>
      <c r="PN73" s="114" t="str">
        <f>IF(OR(PN$13="",PN$17="",PN$14="",PN$15="",PN$16="",PN$18="",PN$19="",PN$20="",PN$21=""),"",SUM($PK20:PN20))</f>
        <v/>
      </c>
      <c r="PO73" s="114" t="str">
        <f>IF(OR(PO$13="",PO$17="",PO$14="",PO$15="",PO$16="",PO$18="",PO$19="",PO$20="",PO$21=""),"",SUM($PK20:PO20))</f>
        <v/>
      </c>
      <c r="PP73" s="114" t="str">
        <f>IF(OR(PP$13="",PP$17="",PP$14="",PP$15="",PP$16="",PP$18="",PP$19="",PP$20="",PP$21=""),"",SUM($PK20:PP20))</f>
        <v/>
      </c>
      <c r="PQ73" s="114" t="str">
        <f>IF(OR(PQ$13="",PQ$17="",PQ$14="",PQ$15="",PQ$16="",PQ$18="",PQ$19="",PQ$20="",PQ$21=""),"",SUM($PK20:PQ20))</f>
        <v/>
      </c>
      <c r="PR73" s="114" t="str">
        <f>IF(OR(PR$13="",PR$17="",PR$14="",PR$15="",PR$16="",PR$18="",PR$19="",PR$20="",PR$21=""),"",SUM($PK20:PR20))</f>
        <v/>
      </c>
      <c r="PS73" s="114" t="str">
        <f>IF(OR(PS$13="",PS$17="",PS$14="",PS$15="",PS$16="",PS$18="",PS$19="",PS$20="",PS$21=""),"",SUM($PK20:PS20))</f>
        <v/>
      </c>
      <c r="PT73" s="114" t="str">
        <f>IF(OR(PT$13="",PT$17="",PT$14="",PT$15="",PT$16="",PT$18="",PT$19="",PT$20="",PT$21=""),"",SUM($PK20:PT20))</f>
        <v/>
      </c>
      <c r="PU73" s="114" t="str">
        <f>IF(OR(PU$13="",PU$17="",PU$14="",PU$15="",PU$16="",PU$18="",PU$19="",PU$20="",PU$21=""),"",SUM($PK20:PU20))</f>
        <v/>
      </c>
      <c r="PV73" s="114" t="str">
        <f>IF(OR(PV$13="",PV$17="",PV$14="",PV$15="",PV$16="",PV$18="",PV$19="",PV$20="",PV$21=""),"",SUM($PK20:PV20))</f>
        <v/>
      </c>
      <c r="PW73" s="114" t="str">
        <f>IF(OR(PW$13="",PW$17="",PW$14="",PW$15="",PW$16="",PW$18="",PW$19="",PW$20="",PW$21=""),"",SUM($PK20:PW20))</f>
        <v/>
      </c>
      <c r="PX73" s="114" t="str">
        <f>IF(OR(PX$13="",PX$17="",PX$14="",PX$15="",PX$16="",PX$18="",PX$19="",PX$20="",PX$21=""),"",SUM($PK20:PX20))</f>
        <v/>
      </c>
      <c r="PY73" s="114" t="str">
        <f>IF(OR(PY$13="",PY$17="",PY$14="",PY$15="",PY$16="",PY$18="",PY$19="",PY$20="",PY$21=""),"",SUM($PK20:PY20))</f>
        <v/>
      </c>
      <c r="PZ73" s="114" t="str">
        <f>IF(OR(PZ$13="",PZ$17="",PZ$14="",PZ$15="",PZ$16="",PZ$18="",PZ$19="",PZ$20="",PZ$21=""),"",SUM($PK20:PZ20))</f>
        <v/>
      </c>
      <c r="QA73" s="114" t="str">
        <f>IF(OR(QA$13="",QA$17="",QA$14="",QA$15="",QA$16="",QA$18="",QA$19="",QA$20="",QA$21=""),"",SUM($PK20:QA20))</f>
        <v/>
      </c>
      <c r="QB73" s="114" t="str">
        <f>IF(OR(QB$13="",QB$17="",QB$14="",QB$15="",QB$16="",QB$18="",QB$19="",QB$20="",QB$21=""),"",SUM($PK20:QB20))</f>
        <v/>
      </c>
      <c r="QC73" s="114" t="str">
        <f>IF(OR(QC$13="",QC$17="",QC$14="",QC$15="",QC$16="",QC$18="",QC$19="",QC$20="",QC$21=""),"",SUM($PK20:QC20))</f>
        <v/>
      </c>
      <c r="QD73" s="114" t="str">
        <f>IF(OR(QD$13="",QD$17="",QD$14="",QD$15="",QD$16="",QD$18="",QD$19="",QD$20="",QD$21=""),"",SUM($PK20:QD20))</f>
        <v/>
      </c>
      <c r="QE73" s="114" t="str">
        <f>IF(OR(QE$13="",QE$17="",QE$14="",QE$15="",QE$16="",QE$18="",QE$19="",QE$20="",QE$21=""),"",SUM($PK20:QE20))</f>
        <v/>
      </c>
      <c r="QF73" s="114" t="str">
        <f>IF(OR(QF$13="",QF$17="",QF$14="",QF$15="",QF$16="",QF$18="",QF$19="",QF$20="",QF$21=""),"",SUM($PK20:QF20))</f>
        <v/>
      </c>
      <c r="QG73" s="114" t="str">
        <f>IF(OR(QG$13="",QG$17="",QG$14="",QG$15="",QG$16="",QG$18="",QG$19="",QG$20="",QG$21=""),"",SUM($PK20:QG20))</f>
        <v/>
      </c>
      <c r="QH73" s="114" t="str">
        <f>IF(OR(QH$13="",QH$17="",QH$14="",QH$15="",QH$16="",QH$18="",QH$19="",QH$20="",QH$21=""),"",SUM($PK20:QH20))</f>
        <v/>
      </c>
      <c r="QI73" s="114" t="str">
        <f>IF(OR(QI$13="",QI$17="",QI$14="",QI$15="",QI$16="",QI$18="",QI$19="",QI$20="",QI$21=""),"",SUM($PK20:QI20))</f>
        <v/>
      </c>
      <c r="QJ73" s="114" t="str">
        <f>IF(OR(QJ$13="",QJ$17="",QJ$14="",QJ$15="",QJ$16="",QJ$18="",QJ$19="",QJ$20="",QJ$21=""),"",SUM($PK20:QJ20))</f>
        <v/>
      </c>
      <c r="QK73" s="114" t="str">
        <f>IF(OR(QK$13="",QK$17="",QK$14="",QK$15="",QK$16="",QK$18="",QK$19="",QK$20="",QK$21=""),"",SUM($PK20:QK20))</f>
        <v/>
      </c>
      <c r="QL73" s="114" t="str">
        <f>IF(OR(QL$13="",QL$17="",QL$14="",QL$15="",QL$16="",QL$18="",QL$19="",QL$20="",QL$21=""),"",SUM($PK20:QL20))</f>
        <v/>
      </c>
      <c r="QM73" s="114" t="str">
        <f>IF(OR(QM$13="",QM$17="",QM$14="",QM$15="",QM$16="",QM$18="",QM$19="",QM$20="",QM$21=""),"",SUM($PK20:QM20))</f>
        <v/>
      </c>
      <c r="QN73" s="114" t="str">
        <f>IF(OR(QN$13="",QN$17="",QN$14="",QN$15="",QN$16="",QN$18="",QN$19="",QN$20="",QN$21=""),"",SUM($PK20:QN20))</f>
        <v/>
      </c>
      <c r="QO73" s="114" t="str">
        <f>IF(OR(QO$13="",QO$17="",QO$14="",QO$15="",QO$16="",QO$18="",QO$19="",QO$20="",QO$21=""),"",SUM($PK20:QO20))</f>
        <v/>
      </c>
      <c r="QP73" s="114" t="str">
        <f>IF(OR(QP$13="",QP$17="",QP$14="",QP$15="",QP$16="",QP$18="",QP$19="",QP$20="",QP$21=""),"",SUM($QP20:QP20))</f>
        <v/>
      </c>
      <c r="QQ73" s="114" t="str">
        <f>IF(OR(QQ$13="",QQ$17="",QQ$14="",QQ$15="",QQ$16="",QQ$18="",QQ$19="",QQ$20="",QQ$21=""),"",SUM($QP20:QQ20))</f>
        <v/>
      </c>
      <c r="QR73" s="114" t="str">
        <f>IF(OR(QR$13="",QR$17="",QR$14="",QR$15="",QR$16="",QR$18="",QR$19="",QR$20="",QR$21=""),"",SUM($QP20:QR20))</f>
        <v/>
      </c>
      <c r="QS73" s="114" t="str">
        <f>IF(OR(QS$13="",QS$17="",QS$14="",QS$15="",QS$16="",QS$18="",QS$19="",QS$20="",QS$21=""),"",SUM($QP20:QS20))</f>
        <v/>
      </c>
      <c r="QT73" s="114" t="str">
        <f>IF(OR(QT$13="",QT$17="",QT$14="",QT$15="",QT$16="",QT$18="",QT$19="",QT$20="",QT$21=""),"",SUM($QP20:QT20))</f>
        <v/>
      </c>
      <c r="QU73" s="114" t="str">
        <f>IF(OR(QU$13="",QU$17="",QU$14="",QU$15="",QU$16="",QU$18="",QU$19="",QU$20="",QU$21=""),"",SUM($QP20:QU20))</f>
        <v/>
      </c>
      <c r="QV73" s="114" t="str">
        <f>IF(OR(QV$13="",QV$17="",QV$14="",QV$15="",QV$16="",QV$18="",QV$19="",QV$20="",QV$21=""),"",SUM($QP20:QV20))</f>
        <v/>
      </c>
      <c r="QW73" s="114" t="str">
        <f>IF(OR(QW$13="",QW$17="",QW$14="",QW$15="",QW$16="",QW$18="",QW$19="",QW$20="",QW$21=""),"",SUM($QP20:QW20))</f>
        <v/>
      </c>
      <c r="QX73" s="114" t="str">
        <f>IF(OR(QX$13="",QX$17="",QX$14="",QX$15="",QX$16="",QX$18="",QX$19="",QX$20="",QX$21=""),"",SUM($QP20:QX20))</f>
        <v/>
      </c>
      <c r="QY73" s="114" t="str">
        <f>IF(OR(QY$13="",QY$17="",QY$14="",QY$15="",QY$16="",QY$18="",QY$19="",QY$20="",QY$21=""),"",SUM($QP20:QY20))</f>
        <v/>
      </c>
      <c r="QZ73" s="114" t="str">
        <f>IF(OR(QZ$13="",QZ$17="",QZ$14="",QZ$15="",QZ$16="",QZ$18="",QZ$19="",QZ$20="",QZ$21=""),"",SUM($QP20:QZ20))</f>
        <v/>
      </c>
      <c r="RA73" s="114" t="str">
        <f>IF(OR(RA$13="",RA$17="",RA$14="",RA$15="",RA$16="",RA$18="",RA$19="",RA$20="",RA$21=""),"",SUM($QP20:RA20))</f>
        <v/>
      </c>
      <c r="RB73" s="114" t="str">
        <f>IF(OR(RB$13="",RB$17="",RB$14="",RB$15="",RB$16="",RB$18="",RB$19="",RB$20="",RB$21=""),"",SUM($QP20:RB20))</f>
        <v/>
      </c>
      <c r="RC73" s="114" t="str">
        <f>IF(OR(RC$13="",RC$17="",RC$14="",RC$15="",RC$16="",RC$18="",RC$19="",RC$20="",RC$21=""),"",SUM($QP20:RC20))</f>
        <v/>
      </c>
      <c r="RD73" s="114" t="str">
        <f>IF(OR(RD$13="",RD$17="",RD$14="",RD$15="",RD$16="",RD$18="",RD$19="",RD$20="",RD$21=""),"",SUM($QP20:RD20))</f>
        <v/>
      </c>
      <c r="RE73" s="114" t="str">
        <f>IF(OR(RE$13="",RE$17="",RE$14="",RE$15="",RE$16="",RE$18="",RE$19="",RE$20="",RE$21=""),"",SUM($QP20:RE20))</f>
        <v/>
      </c>
      <c r="RF73" s="114" t="str">
        <f>IF(OR(RF$13="",RF$17="",RF$14="",RF$15="",RF$16="",RF$18="",RF$19="",RF$20="",RF$21=""),"",SUM($QP20:RF20))</f>
        <v/>
      </c>
      <c r="RG73" s="114" t="str">
        <f>IF(OR(RG$13="",RG$17="",RG$14="",RG$15="",RG$16="",RG$18="",RG$19="",RG$20="",RG$21=""),"",SUM($QP20:RG20))</f>
        <v/>
      </c>
      <c r="RH73" s="114" t="str">
        <f>IF(OR(RH$13="",RH$17="",RH$14="",RH$15="",RH$16="",RH$18="",RH$19="",RH$20="",RH$21=""),"",SUM($QP20:RH20))</f>
        <v/>
      </c>
      <c r="RI73" s="114" t="str">
        <f>IF(OR(RI$13="",RI$17="",RI$14="",RI$15="",RI$16="",RI$18="",RI$19="",RI$20="",RI$21=""),"",SUM($QP20:RI20))</f>
        <v/>
      </c>
      <c r="RJ73" s="114" t="str">
        <f>IF(OR(RJ$13="",RJ$17="",RJ$14="",RJ$15="",RJ$16="",RJ$18="",RJ$19="",RJ$20="",RJ$21=""),"",SUM($QP20:RJ20))</f>
        <v/>
      </c>
      <c r="RK73" s="114" t="str">
        <f>IF(OR(RK$13="",RK$17="",RK$14="",RK$15="",RK$16="",RK$18="",RK$19="",RK$20="",RK$21=""),"",SUM($QP20:RK20))</f>
        <v/>
      </c>
      <c r="RL73" s="114" t="str">
        <f>IF(OR(RL$13="",RL$17="",RL$14="",RL$15="",RL$16="",RL$18="",RL$19="",RL$20="",RL$21=""),"",SUM($QP20:RL20))</f>
        <v/>
      </c>
      <c r="RM73" s="114" t="str">
        <f>IF(OR(RM$13="",RM$17="",RM$14="",RM$15="",RM$16="",RM$18="",RM$19="",RM$20="",RM$21=""),"",SUM($QP20:RM20))</f>
        <v/>
      </c>
      <c r="RN73" s="114" t="str">
        <f>IF(OR(RN$13="",RN$17="",RN$14="",RN$15="",RN$16="",RN$18="",RN$19="",RN$20="",RN$21=""),"",SUM($QP20:RN20))</f>
        <v/>
      </c>
      <c r="RO73" s="114" t="str">
        <f>IF(OR(RO$13="",RO$17="",RO$14="",RO$15="",RO$16="",RO$18="",RO$19="",RO$20="",RO$21=""),"",SUM($QP20:RO20))</f>
        <v/>
      </c>
      <c r="RP73" s="114" t="str">
        <f>IF(OR(RP$13="",RP$17="",RP$14="",RP$15="",RP$16="",RP$18="",RP$19="",RP$20="",RP$21=""),"",SUM($QP20:RP20))</f>
        <v/>
      </c>
      <c r="RQ73" s="114" t="str">
        <f>IF(OR(RQ$13="",RQ$17="",RQ$14="",RQ$15="",RQ$16="",RQ$18="",RQ$19="",RQ$20="",RQ$21=""),"",SUM($QP20:RQ20))</f>
        <v/>
      </c>
      <c r="RR73" s="114" t="str">
        <f>IF(OR(RR$13="",RR$17="",RR$14="",RR$15="",RR$16="",RR$18="",RR$19="",RR$20="",RR$21=""),"",SUM($QP20:RR20))</f>
        <v/>
      </c>
      <c r="RS73" s="114" t="str">
        <f>IF(OR(RS$13="",RS$17="",RS$14="",RS$15="",RS$16="",RS$18="",RS$19="",RS$20="",RS$21=""),"",SUM($QP20:RS20))</f>
        <v/>
      </c>
      <c r="RT73" s="114" t="str">
        <f>IF(OR(RT$13="",RT$17="",RT$14="",RT$15="",RT$16="",RT$18="",RT$19="",RT$20="",RT$21=""),"",SUM($RT20:RT20))</f>
        <v/>
      </c>
      <c r="RU73" s="114" t="str">
        <f>IF(OR(RU$13="",RU$17="",RU$14="",RU$15="",RU$16="",RU$18="",RU$19="",RU$20="",RU$21=""),"",SUM($RT20:RU20))</f>
        <v/>
      </c>
      <c r="RV73" s="114" t="str">
        <f>IF(OR(RV$13="",RV$17="",RV$14="",RV$15="",RV$16="",RV$18="",RV$19="",RV$20="",RV$21=""),"",SUM($RT20:RV20))</f>
        <v/>
      </c>
      <c r="RW73" s="114" t="str">
        <f>IF(OR(RW$13="",RW$17="",RW$14="",RW$15="",RW$16="",RW$18="",RW$19="",RW$20="",RW$21=""),"",SUM($RT20:RW20))</f>
        <v/>
      </c>
      <c r="RX73" s="114" t="str">
        <f>IF(OR(RX$13="",RX$17="",RX$14="",RX$15="",RX$16="",RX$18="",RX$19="",RX$20="",RX$21=""),"",SUM($RT20:RX20))</f>
        <v/>
      </c>
      <c r="RY73" s="114" t="str">
        <f>IF(OR(RY$13="",RY$17="",RY$14="",RY$15="",RY$16="",RY$18="",RY$19="",RY$20="",RY$21=""),"",SUM($RT20:RY20))</f>
        <v/>
      </c>
      <c r="RZ73" s="114" t="str">
        <f>IF(OR(RZ$13="",RZ$17="",RZ$14="",RZ$15="",RZ$16="",RZ$18="",RZ$19="",RZ$20="",RZ$21=""),"",SUM($RT20:RZ20))</f>
        <v/>
      </c>
      <c r="SA73" s="114" t="str">
        <f>IF(OR(SA$13="",SA$17="",SA$14="",SA$15="",SA$16="",SA$18="",SA$19="",SA$20="",SA$21=""),"",SUM($RT20:SA20))</f>
        <v/>
      </c>
      <c r="SB73" s="114" t="str">
        <f>IF(OR(SB$13="",SB$17="",SB$14="",SB$15="",SB$16="",SB$18="",SB$19="",SB$20="",SB$21=""),"",SUM($RT20:SB20))</f>
        <v/>
      </c>
      <c r="SC73" s="114" t="str">
        <f>IF(OR(SC$13="",SC$17="",SC$14="",SC$15="",SC$16="",SC$18="",SC$19="",SC$20="",SC$21=""),"",SUM($RT20:SC20))</f>
        <v/>
      </c>
      <c r="SD73" s="114" t="str">
        <f>IF(OR(SD$13="",SD$17="",SD$14="",SD$15="",SD$16="",SD$18="",SD$19="",SD$20="",SD$21=""),"",SUM($RT20:SD20))</f>
        <v/>
      </c>
      <c r="SE73" s="114" t="str">
        <f>IF(OR(SE$13="",SE$17="",SE$14="",SE$15="",SE$16="",SE$18="",SE$19="",SE$20="",SE$21=""),"",SUM($RT20:SE20))</f>
        <v/>
      </c>
      <c r="SF73" s="114" t="str">
        <f>IF(OR(SF$13="",SF$17="",SF$14="",SF$15="",SF$16="",SF$18="",SF$19="",SF$20="",SF$21=""),"",SUM($RT20:SF20))</f>
        <v/>
      </c>
      <c r="SG73" s="114" t="str">
        <f>IF(OR(SG$13="",SG$17="",SG$14="",SG$15="",SG$16="",SG$18="",SG$19="",SG$20="",SG$21=""),"",SUM($RT20:SG20))</f>
        <v/>
      </c>
      <c r="SH73" s="114" t="str">
        <f>IF(OR(SH$13="",SH$17="",SH$14="",SH$15="",SH$16="",SH$18="",SH$19="",SH$20="",SH$21=""),"",SUM($RT20:SH20))</f>
        <v/>
      </c>
      <c r="SI73" s="114" t="str">
        <f>IF(OR(SI$13="",SI$17="",SI$14="",SI$15="",SI$16="",SI$18="",SI$19="",SI$20="",SI$21=""),"",SUM($RT20:SI20))</f>
        <v/>
      </c>
      <c r="SJ73" s="114" t="str">
        <f>IF(OR(SJ$13="",SJ$17="",SJ$14="",SJ$15="",SJ$16="",SJ$18="",SJ$19="",SJ$20="",SJ$21=""),"",SUM($RT20:SJ20))</f>
        <v/>
      </c>
      <c r="SK73" s="114" t="str">
        <f>IF(OR(SK$13="",SK$17="",SK$14="",SK$15="",SK$16="",SK$18="",SK$19="",SK$20="",SK$21=""),"",SUM($RT20:SK20))</f>
        <v/>
      </c>
      <c r="SL73" s="114" t="str">
        <f>IF(OR(SL$13="",SL$17="",SL$14="",SL$15="",SL$16="",SL$18="",SL$19="",SL$20="",SL$21=""),"",SUM($RT20:SL20))</f>
        <v/>
      </c>
      <c r="SM73" s="114" t="str">
        <f>IF(OR(SM$13="",SM$17="",SM$14="",SM$15="",SM$16="",SM$18="",SM$19="",SM$20="",SM$21=""),"",SUM($RT20:SM20))</f>
        <v/>
      </c>
      <c r="SN73" s="114" t="str">
        <f>IF(OR(SN$13="",SN$17="",SN$14="",SN$15="",SN$16="",SN$18="",SN$19="",SN$20="",SN$21=""),"",SUM($RT20:SN20))</f>
        <v/>
      </c>
      <c r="SO73" s="114" t="str">
        <f>IF(OR(SO$13="",SO$17="",SO$14="",SO$15="",SO$16="",SO$18="",SO$19="",SO$20="",SO$21=""),"",SUM($RT20:SO20))</f>
        <v/>
      </c>
      <c r="SP73" s="114" t="str">
        <f>IF(OR(SP$13="",SP$17="",SP$14="",SP$15="",SP$16="",SP$18="",SP$19="",SP$20="",SP$21=""),"",SUM($RT20:SP20))</f>
        <v/>
      </c>
      <c r="SQ73" s="114" t="str">
        <f>IF(OR(SQ$13="",SQ$17="",SQ$14="",SQ$15="",SQ$16="",SQ$18="",SQ$19="",SQ$20="",SQ$21=""),"",SUM($RT20:SQ20))</f>
        <v/>
      </c>
      <c r="SR73" s="114" t="str">
        <f>IF(OR(SR$13="",SR$17="",SR$14="",SR$15="",SR$16="",SR$18="",SR$19="",SR$20="",SR$21=""),"",SUM($RT20:SR20))</f>
        <v/>
      </c>
      <c r="SS73" s="114" t="str">
        <f>IF(OR(SS$13="",SS$17="",SS$14="",SS$15="",SS$16="",SS$18="",SS$19="",SS$20="",SS$21=""),"",SUM($RT20:SS20))</f>
        <v/>
      </c>
      <c r="ST73" s="114" t="str">
        <f>IF(OR(ST$13="",ST$17="",ST$14="",ST$15="",ST$16="",ST$18="",ST$19="",ST$20="",ST$21=""),"",SUM($RT20:ST20))</f>
        <v/>
      </c>
      <c r="SU73" s="114" t="str">
        <f>IF(OR(SU$13="",SU$17="",SU$14="",SU$15="",SU$16="",SU$18="",SU$19="",SU$20="",SU$21=""),"",SUM($RT20:SU20))</f>
        <v/>
      </c>
      <c r="SV73" s="114" t="str">
        <f>IF(OR(SV$13="",SV$17="",SV$14="",SV$15="",SV$16="",SV$18="",SV$19="",SV$20="",SV$21=""),"",SUM($RT20:SV20))</f>
        <v/>
      </c>
      <c r="SW73" s="114" t="str">
        <f>IF(OR(SW$13="",SW$17="",SW$14="",SW$15="",SW$16="",SW$18="",SW$19="",SW$20="",SW$21=""),"",SUM($RT20:SW20))</f>
        <v/>
      </c>
    </row>
    <row r="74" spans="1:517" ht="24.6" customHeight="1" x14ac:dyDescent="0.2">
      <c r="A74" s="94">
        <v>777</v>
      </c>
      <c r="B74" s="119" t="s">
        <v>85</v>
      </c>
      <c r="C74" s="114">
        <f>IF(OR(C$13="",C$17="",C$14="",C$15="",C$16="",C$18="",C$19="",C$20="",C$21=""),"",SUM($C21:C21))</f>
        <v>0</v>
      </c>
      <c r="D74" s="114">
        <f>IF(OR(D$13="",D$17="",D$14="",D$15="",D$16="",D$18="",D$19="",D$20="",D$21=""),"",SUM($C21:D21))</f>
        <v>0</v>
      </c>
      <c r="E74" s="114">
        <f>IF(OR(E$13="",E$17="",E$14="",E$15="",E$16="",E$18="",E$19="",E$20="",E$21=""),"",SUM($C21:E21))</f>
        <v>0</v>
      </c>
      <c r="F74" s="114">
        <f>IF(OR(F$13="",F$17="",F$14="",F$15="",F$16="",F$18="",F$19="",F$20="",F$21=""),"",SUM($C21:F21))</f>
        <v>0</v>
      </c>
      <c r="G74" s="114">
        <f>IF(OR(G$13="",G$17="",G$14="",G$15="",G$16="",G$18="",G$19="",G$20="",G$21=""),"",SUM($C21:G21))</f>
        <v>0</v>
      </c>
      <c r="H74" s="114">
        <f>IF(OR(H$13="",H$17="",H$14="",H$15="",H$16="",H$18="",H$19="",H$20="",H$21=""),"",SUM($C21:H21))</f>
        <v>0</v>
      </c>
      <c r="I74" s="114">
        <f>IF(OR(I$13="",I$17="",I$14="",I$15="",I$16="",I$18="",I$19="",I$20="",I$21=""),"",SUM($C21:I21))</f>
        <v>0</v>
      </c>
      <c r="J74" s="114">
        <f>IF(OR(J$13="",J$17="",J$14="",J$15="",J$16="",J$18="",J$19="",J$20="",J$21=""),"",SUM($C21:J21))</f>
        <v>0</v>
      </c>
      <c r="K74" s="114">
        <f>IF(OR(K$13="",K$17="",K$14="",K$15="",K$16="",K$18="",K$19="",K$20="",K$21=""),"",SUM($C21:K21))</f>
        <v>0</v>
      </c>
      <c r="L74" s="114">
        <f>IF(OR(L$13="",L$17="",L$14="",L$15="",L$16="",L$18="",L$19="",L$20="",L$21=""),"",SUM($C21:L21))</f>
        <v>0</v>
      </c>
      <c r="M74" s="114">
        <f>IF(OR(M$13="",M$17="",M$14="",M$15="",M$16="",M$18="",M$19="",M$20="",M$21=""),"",SUM($C21:M21))</f>
        <v>0</v>
      </c>
      <c r="N74" s="114">
        <f>IF(OR(N$13="",N$17="",N$14="",N$15="",N$16="",N$18="",N$19="",N$20="",N$21=""),"",SUM($C21:N21))</f>
        <v>1</v>
      </c>
      <c r="O74" s="114">
        <f>IF(OR(O$13="",O$17="",O$14="",O$15="",O$16="",O$18="",O$19="",O$20="",O$21=""),"",SUM($C21:O21))</f>
        <v>1</v>
      </c>
      <c r="P74" s="114">
        <f>IF(OR(P$13="",P$17="",P$14="",P$15="",P$16="",P$18="",P$19="",P$20="",P$21=""),"",SUM($C21:P21))</f>
        <v>11.68</v>
      </c>
      <c r="Q74" s="114">
        <f>IF(OR(Q$13="",Q$17="",Q$14="",Q$15="",Q$16="",Q$18="",Q$19="",Q$20="",Q$21=""),"",SUM($C21:Q21))</f>
        <v>11.68</v>
      </c>
      <c r="R74" s="114">
        <f>IF(OR(R$13="",R$17="",R$14="",R$15="",R$16="",R$18="",R$19="",R$20="",R$21=""),"",SUM($C21:R21))</f>
        <v>11.68</v>
      </c>
      <c r="S74" s="114">
        <f>IF(OR(S$13="",S$17="",S$14="",S$15="",S$16="",S$18="",S$19="",S$20="",S$21=""),"",SUM($C21:S21))</f>
        <v>11.68</v>
      </c>
      <c r="T74" s="114">
        <f>IF(OR(T$13="",T$17="",T$14="",T$15="",T$16="",T$18="",T$19="",T$20="",T$21=""),"",SUM($C21:T21))</f>
        <v>11.68</v>
      </c>
      <c r="U74" s="114">
        <f>IF(OR(U$13="",U$17="",U$14="",U$15="",U$16="",U$18="",U$19="",U$20="",U$21=""),"",SUM($C21:U21))</f>
        <v>11.68</v>
      </c>
      <c r="V74" s="114">
        <f>IF(OR(V$13="",V$17="",V$14="",V$15="",V$16="",V$18="",V$19="",V$20="",V$21=""),"",SUM($C21:V21))</f>
        <v>11.68</v>
      </c>
      <c r="W74" s="114">
        <f>IF(OR(W$13="",W$17="",W$14="",W$15="",W$16="",W$18="",W$19="",W$20="",W$21=""),"",SUM($C21:W21))</f>
        <v>11.68</v>
      </c>
      <c r="X74" s="114">
        <f>IF(OR(X$13="",X$17="",X$14="",X$15="",X$16="",X$18="",X$19="",X$20="",X$21=""),"",SUM($C21:X21))</f>
        <v>11.68</v>
      </c>
      <c r="Y74" s="114">
        <f>IF(OR(Y$13="",Y$17="",Y$14="",Y$15="",Y$16="",Y$18="",Y$19="",Y$20="",Y$21=""),"",SUM($C21:Y21))</f>
        <v>11.68</v>
      </c>
      <c r="Z74" s="114">
        <f>IF(OR(Z$13="",Z$17="",Z$14="",Z$15="",Z$16="",Z$18="",Z$19="",Z$20="",Z$21=""),"",SUM($C21:Z21))</f>
        <v>11.68</v>
      </c>
      <c r="AA74" s="114">
        <f>IF(OR(AA$13="",AA$17="",AA$14="",AA$15="",AA$16="",AA$18="",AA$19="",AA$20="",AA$21=""),"",SUM($C21:AA21))</f>
        <v>34.33</v>
      </c>
      <c r="AB74" s="114">
        <f>IF(OR(AB$13="",AB$17="",AB$14="",AB$15="",AB$16="",AB$18="",AB$19="",AB$20="",AB$21=""),"",SUM($C21:AB21))</f>
        <v>34.33</v>
      </c>
      <c r="AC74" s="114">
        <f>IF(OR(AC$13="",AC$17="",AC$14="",AC$15="",AC$16="",AC$18="",AC$19="",AC$20="",AC$21=""),"",SUM($C21:AC21))</f>
        <v>34.33</v>
      </c>
      <c r="AD74" s="114">
        <f>IF(OR(AD$13="",AD$17="",AD$14="",AD$15="",AD$16="",AD$18="",AD$19="",AD$20="",AD$21=""),"",SUM($C21:AD21))</f>
        <v>34.33</v>
      </c>
      <c r="AE74" s="114">
        <f>IF(OR(AE$13="",AE$17="",AE$14="",AE$15="",AE$16="",AE$18="",AE$19="",AE$20="",AE$21=""),"",SUM($C21:AE21))</f>
        <v>36.83</v>
      </c>
      <c r="AF74" s="114">
        <f>IF(OR(AF$13="",AF$17="",AF$14="",AF$15="",AF$16="",AF$18="",AF$19="",AF$20="",AF$21=""),"",SUM($C21:AF21))</f>
        <v>36.83</v>
      </c>
      <c r="AG74" s="114">
        <f>IF(OR(AG$13="",AG$17="",AG$14="",AG$15="",AG$16="",AG$18="",AG$19="",AG$20="",AG$21=""),"",SUM($C21:AG21))</f>
        <v>36.83</v>
      </c>
      <c r="AH74" s="114">
        <f>IF(OR(AH$13="",AH$17="",AH$14="",AH$15="",AH$16="",AH$18="",AH$19="",AH$20="",AH$21=""),"",SUM($AH21:AH21))</f>
        <v>0</v>
      </c>
      <c r="AI74" s="114">
        <f>IF(OR(AI$13="",AI$17="",AI$14="",AI$15="",AI$16="",AI$18="",AI$19="",AI$20="",AI$21=""),"",SUM($AH21:AI21))</f>
        <v>1.61</v>
      </c>
      <c r="AJ74" s="114">
        <f>IF(OR(AJ$13="",AJ$17="",AJ$14="",AJ$15="",AJ$16="",AJ$18="",AJ$19="",AJ$20="",AJ$21=""),"",SUM($AH21:AJ21))</f>
        <v>1.61</v>
      </c>
      <c r="AK74" s="114">
        <f>IF(OR(AK$13="",AK$17="",AK$14="",AK$15="",AK$16="",AK$18="",AK$19="",AK$20="",AK$21=""),"",SUM($AH21:AK21))</f>
        <v>1.61</v>
      </c>
      <c r="AL74" s="114">
        <f>IF(OR(AL$13="",AL$17="",AL$14="",AL$15="",AL$16="",AL$18="",AL$19="",AL$20="",AL$21=""),"",SUM($AH21:AL21))</f>
        <v>1.61</v>
      </c>
      <c r="AM74" s="114">
        <f>IF(OR(AM$13="",AM$17="",AM$14="",AM$15="",AM$16="",AM$18="",AM$19="",AM$20="",AM$21=""),"",SUM($AH21:AM21))</f>
        <v>2.6100000000000003</v>
      </c>
      <c r="AN74" s="114">
        <f>IF(OR(AN$13="",AN$17="",AN$14="",AN$15="",AN$16="",AN$18="",AN$19="",AN$20="",AN$21=""),"",SUM($AH21:AN21))</f>
        <v>2.6100000000000003</v>
      </c>
      <c r="AO74" s="114">
        <f>IF(OR(AO$13="",AO$17="",AO$14="",AO$15="",AO$16="",AO$18="",AO$19="",AO$20="",AO$21=""),"",SUM($AH21:AO21))</f>
        <v>2.6100000000000003</v>
      </c>
      <c r="AP74" s="114">
        <f>IF(OR(AP$13="",AP$17="",AP$14="",AP$15="",AP$16="",AP$18="",AP$19="",AP$20="",AP$21=""),"",SUM($AH21:AP21))</f>
        <v>2.6100000000000003</v>
      </c>
      <c r="AQ74" s="114">
        <f>IF(OR(AQ$13="",AQ$17="",AQ$14="",AQ$15="",AQ$16="",AQ$18="",AQ$19="",AQ$20="",AQ$21=""),"",SUM($AH21:AQ21))</f>
        <v>5.04</v>
      </c>
      <c r="AR74" s="114">
        <f>IF(OR(AR$13="",AR$17="",AR$14="",AR$15="",AR$16="",AR$18="",AR$19="",AR$20="",AR$21=""),"",SUM($AH21:AR21))</f>
        <v>5.04</v>
      </c>
      <c r="AS74" s="114">
        <f>IF(OR(AS$13="",AS$17="",AS$14="",AS$15="",AS$16="",AS$18="",AS$19="",AS$20="",AS$21=""),"",SUM($AH21:AS21))</f>
        <v>5.04</v>
      </c>
      <c r="AT74" s="114">
        <f>IF(OR(AT$13="",AT$17="",AT$14="",AT$15="",AT$16="",AT$18="",AT$19="",AT$20="",AT$21=""),"",SUM($AH21:AT21))</f>
        <v>14.559999999999999</v>
      </c>
      <c r="AU74" s="114">
        <f>IF(OR(AU$13="",AU$17="",AU$14="",AU$15="",AU$16="",AU$18="",AU$19="",AU$20="",AU$21=""),"",SUM($AH21:AU21))</f>
        <v>14.559999999999999</v>
      </c>
      <c r="AV74" s="114">
        <f>IF(OR(AV$13="",AV$17="",AV$14="",AV$15="",AV$16="",AV$18="",AV$19="",AV$20="",AV$21=""),"",SUM($AH21:AV21))</f>
        <v>14.559999999999999</v>
      </c>
      <c r="AW74" s="114">
        <f>IF(OR(AW$13="",AW$17="",AW$14="",AW$15="",AW$16="",AW$18="",AW$19="",AW$20="",AW$21=""),"",SUM($AH21:AW21))</f>
        <v>14.559999999999999</v>
      </c>
      <c r="AX74" s="114">
        <f>IF(OR(AX$13="",AX$17="",AX$14="",AX$15="",AX$16="",AX$18="",AX$19="",AX$20="",AX$21=""),"",SUM($AH21:AX21))</f>
        <v>14.559999999999999</v>
      </c>
      <c r="AY74" s="114">
        <f>IF(OR(AY$13="",AY$17="",AY$14="",AY$15="",AY$16="",AY$18="",AY$19="",AY$20="",AY$21=""),"",SUM($AH21:AY21))</f>
        <v>14.559999999999999</v>
      </c>
      <c r="AZ74" s="114">
        <f>IF(OR(AZ$13="",AZ$17="",AZ$14="",AZ$15="",AZ$16="",AZ$18="",AZ$19="",AZ$20="",AZ$21=""),"",SUM($AH21:AZ21))</f>
        <v>15.759999999999998</v>
      </c>
      <c r="BA74" s="114">
        <f>IF(OR(BA$13="",BA$17="",BA$14="",BA$15="",BA$16="",BA$18="",BA$19="",BA$20="",BA$21=""),"",SUM($AH21:BA21))</f>
        <v>15.759999999999998</v>
      </c>
      <c r="BB74" s="114">
        <f>IF(OR(BB$13="",BB$17="",BB$14="",BB$15="",BB$16="",BB$18="",BB$19="",BB$20="",BB$21=""),"",SUM($AH21:BB21))</f>
        <v>15.759999999999998</v>
      </c>
      <c r="BC74" s="114">
        <f>IF(OR(BC$13="",BC$17="",BC$14="",BC$15="",BC$16="",BC$18="",BC$19="",BC$20="",BC$21=""),"",SUM($AH21:BC21))</f>
        <v>15.759999999999998</v>
      </c>
      <c r="BD74" s="114">
        <f>IF(OR(BD$13="",BD$17="",BD$14="",BD$15="",BD$16="",BD$18="",BD$19="",BD$20="",BD$21=""),"",SUM($AH21:BD21))</f>
        <v>15.759999999999998</v>
      </c>
      <c r="BE74" s="114">
        <f>IF(OR(BE$13="",BE$17="",BE$14="",BE$15="",BE$16="",BE$18="",BE$19="",BE$20="",BE$21=""),"",SUM($AH21:BE21))</f>
        <v>15.759999999999998</v>
      </c>
      <c r="BF74" s="114">
        <f>IF(OR(BF$13="",BF$17="",BF$14="",BF$15="",BF$16="",BF$18="",BF$19="",BF$20="",BF$21=""),"",SUM($AH21:BF21))</f>
        <v>32.69</v>
      </c>
      <c r="BG74" s="114">
        <f>IF(OR(BG$13="",BG$17="",BG$14="",BG$15="",BG$16="",BG$18="",BG$19="",BG$20="",BG$21=""),"",SUM($AH21:BG21))</f>
        <v>32.69</v>
      </c>
      <c r="BH74" s="114">
        <f>IF(OR(BH$13="",BH$17="",BH$14="",BH$15="",BH$16="",BH$18="",BH$19="",BH$20="",BH$21=""),"",SUM($AH21:BH21))</f>
        <v>32.69</v>
      </c>
      <c r="BI74" s="114">
        <f>IF(OR(BI$13="",BI$17="",BI$14="",BI$15="",BI$16="",BI$18="",BI$19="",BI$20="",BI$21=""),"",SUM($AH21:BI21))</f>
        <v>32.69</v>
      </c>
      <c r="BJ74" s="114">
        <f>IF(OR(BJ$13="",BJ$17="",BJ$14="",BJ$15="",BJ$16="",BJ$18="",BJ$19="",BJ$20="",BJ$21=""),"",SUM($BJ21:BJ21))</f>
        <v>0</v>
      </c>
      <c r="BK74" s="114">
        <f>IF(OR(BK$13="",BK$17="",BK$14="",BK$15="",BK$16="",BK$18="",BK$19="",BK$20="",BK$21=""),"",SUM($BJ21:BK21))</f>
        <v>0</v>
      </c>
      <c r="BL74" s="114">
        <f>IF(OR(BL$13="",BL$17="",BL$14="",BL$15="",BL$16="",BL$18="",BL$19="",BL$20="",BL$21=""),"",SUM($BJ21:BL21))</f>
        <v>0</v>
      </c>
      <c r="BM74" s="114">
        <f>IF(OR(BM$13="",BM$17="",BM$14="",BM$15="",BM$16="",BM$18="",BM$19="",BM$20="",BM$21=""),"",SUM($BJ21:BM21))</f>
        <v>0</v>
      </c>
      <c r="BN74" s="114">
        <f>IF(OR(BN$13="",BN$17="",BN$14="",BN$15="",BN$16="",BN$18="",BN$19="",BN$20="",BN$21=""),"",SUM($BJ21:BN21))</f>
        <v>0.18</v>
      </c>
      <c r="BO74" s="114">
        <f>IF(OR(BO$13="",BO$17="",BO$14="",BO$15="",BO$16="",BO$18="",BO$19="",BO$20="",BO$21=""),"",SUM($BJ21:BO21))</f>
        <v>0.18</v>
      </c>
      <c r="BP74" s="114">
        <f>IF(OR(BP$13="",BP$17="",BP$14="",BP$15="",BP$16="",BP$18="",BP$19="",BP$20="",BP$21=""),"",SUM($BJ21:BP21))</f>
        <v>13.649999999999999</v>
      </c>
      <c r="BQ74" s="114">
        <f>IF(OR(BQ$13="",BQ$17="",BQ$14="",BQ$15="",BQ$16="",BQ$18="",BQ$19="",BQ$20="",BQ$21=""),"",SUM($BJ21:BQ21))</f>
        <v>13.649999999999999</v>
      </c>
      <c r="BR74" s="114">
        <f>IF(OR(BR$13="",BR$17="",BR$14="",BR$15="",BR$16="",BR$18="",BR$19="",BR$20="",BR$21=""),"",SUM($BJ21:BR21))</f>
        <v>23.45</v>
      </c>
      <c r="BS74" s="114">
        <f>IF(OR(BS$13="",BS$17="",BS$14="",BS$15="",BS$16="",BS$18="",BS$19="",BS$20="",BS$21=""),"",SUM($BJ21:BS21))</f>
        <v>24.509999999999998</v>
      </c>
      <c r="BT74" s="114">
        <f>IF(OR(BT$13="",BT$17="",BT$14="",BT$15="",BT$16="",BT$18="",BT$19="",BT$20="",BT$21=""),"",SUM($BJ21:BT21))</f>
        <v>24.509999999999998</v>
      </c>
      <c r="BU74" s="114">
        <f>IF(OR(BU$13="",BU$17="",BU$14="",BU$15="",BU$16="",BU$18="",BU$19="",BU$20="",BU$21=""),"",SUM($BJ21:BU21))</f>
        <v>24.509999999999998</v>
      </c>
      <c r="BV74" s="114">
        <f>IF(OR(BV$13="",BV$17="",BV$14="",BV$15="",BV$16="",BV$18="",BV$19="",BV$20="",BV$21=""),"",SUM($BJ21:BV21))</f>
        <v>24.509999999999998</v>
      </c>
      <c r="BW74" s="114">
        <f>IF(OR(BW$13="",BW$17="",BW$14="",BW$15="",BW$16="",BW$18="",BW$19="",BW$20="",BW$21=""),"",SUM($BJ21:BW21))</f>
        <v>24.509999999999998</v>
      </c>
      <c r="BX74" s="114">
        <f>IF(OR(BX$13="",BX$17="",BX$14="",BX$15="",BX$16="",BX$18="",BX$19="",BX$20="",BX$21=""),"",SUM($BJ21:BX21))</f>
        <v>24.509999999999998</v>
      </c>
      <c r="BY74" s="114">
        <f>IF(OR(BY$13="",BY$17="",BY$14="",BY$15="",BY$16="",BY$18="",BY$19="",BY$20="",BY$21=""),"",SUM($BJ21:BY21))</f>
        <v>24.509999999999998</v>
      </c>
      <c r="BZ74" s="114">
        <f>IF(OR(BZ$13="",BZ$17="",BZ$14="",BZ$15="",BZ$16="",BZ$18="",BZ$19="",BZ$20="",BZ$21=""),"",SUM($BJ21:BZ21))</f>
        <v>24.509999999999998</v>
      </c>
      <c r="CA74" s="114">
        <f>IF(OR(CA$13="",CA$17="",CA$14="",CA$15="",CA$16="",CA$18="",CA$19="",CA$20="",CA$21=""),"",SUM($BJ21:CA21))</f>
        <v>24.779999999999998</v>
      </c>
      <c r="CB74" s="114">
        <f>IF(OR(CB$13="",CB$17="",CB$14="",CB$15="",CB$16="",CB$18="",CB$19="",CB$20="",CB$21=""),"",SUM($BJ21:CB21))</f>
        <v>24.779999999999998</v>
      </c>
      <c r="CC74" s="114">
        <f>IF(OR(CC$13="",CC$17="",CC$14="",CC$15="",CC$16="",CC$18="",CC$19="",CC$20="",CC$21=""),"",SUM($BJ21:CC21))</f>
        <v>36.4</v>
      </c>
      <c r="CD74" s="114">
        <f>IF(OR(CD$13="",CD$17="",CD$14="",CD$15="",CD$16="",CD$18="",CD$19="",CD$20="",CD$21=""),"",SUM($BJ21:CD21))</f>
        <v>36.4</v>
      </c>
      <c r="CE74" s="114">
        <f>IF(OR(CE$13="",CE$17="",CE$14="",CE$15="",CE$16="",CE$18="",CE$19="",CE$20="",CE$21=""),"",SUM($BJ21:CE21))</f>
        <v>36.4</v>
      </c>
      <c r="CF74" s="114">
        <f>IF(OR(CF$13="",CF$17="",CF$14="",CF$15="",CF$16="",CF$18="",CF$19="",CF$20="",CF$21=""),"",SUM($BJ21:CF21))</f>
        <v>36.4</v>
      </c>
      <c r="CG74" s="114">
        <f>IF(OR(CG$13="",CG$17="",CG$14="",CG$15="",CG$16="",CG$18="",CG$19="",CG$20="",CG$21=""),"",SUM($BJ21:CG21))</f>
        <v>36.4</v>
      </c>
      <c r="CH74" s="114">
        <f>IF(OR(CH$13="",CH$17="",CH$14="",CH$15="",CH$16="",CH$18="",CH$19="",CH$20="",CH$21=""),"",SUM($BJ21:CH21))</f>
        <v>36.4</v>
      </c>
      <c r="CI74" s="114">
        <f>IF(OR(CI$13="",CI$17="",CI$14="",CI$15="",CI$16="",CI$18="",CI$19="",CI$20="",CI$21=""),"",SUM($BJ21:CI21))</f>
        <v>36.4</v>
      </c>
      <c r="CJ74" s="114">
        <f>IF(OR(CJ$13="",CJ$17="",CJ$14="",CJ$15="",CJ$16="",CJ$18="",CJ$19="",CJ$20="",CJ$21=""),"",SUM($BJ21:CJ21))</f>
        <v>51.75</v>
      </c>
      <c r="CK74" s="114">
        <f>IF(OR(CK$13="",CK$17="",CK$14="",CK$15="",CK$16="",CK$18="",CK$19="",CK$20="",CK$21=""),"",SUM($BJ21:CK21))</f>
        <v>51.75</v>
      </c>
      <c r="CL74" s="114">
        <f>IF(OR(CL$13="",CL$17="",CL$14="",CL$15="",CL$16="",CL$18="",CL$19="",CL$20="",CL$21=""),"",SUM($BJ21:CL21))</f>
        <v>51.75</v>
      </c>
      <c r="CM74" s="114">
        <f>IF(OR(CM$13="",CM$17="",CM$14="",CM$15="",CM$16="",CM$18="",CM$19="",CM$20="",CM$21=""),"",SUM($BJ21:CM21))</f>
        <v>51.75</v>
      </c>
      <c r="CN74" s="114">
        <f>IF(OR(CN$13="",CN$17="",CN$14="",CN$15="",CN$16="",CN$18="",CN$19="",CN$20="",CN$21=""),"",SUM($BJ21:CN21))</f>
        <v>51.75</v>
      </c>
      <c r="CO74" s="114">
        <f>IF(OR(CO$13="",CO$17="",CO$14="",CO$15="",CO$16="",CO$18="",CO$19="",CO$20="",CO$21=""),"",SUM($CO21:CO21))</f>
        <v>0</v>
      </c>
      <c r="CP74" s="114">
        <f>IF(OR(CP$13="",CP$17="",CP$14="",CP$15="",CP$16="",CP$18="",CP$19="",CP$20="",CP$21=""),"",SUM($CO21:CP21))</f>
        <v>0</v>
      </c>
      <c r="CQ74" s="114">
        <f>IF(OR(CQ$13="",CQ$17="",CQ$14="",CQ$15="",CQ$16="",CQ$18="",CQ$19="",CQ$20="",CQ$21=""),"",SUM($CO21:CQ21))</f>
        <v>0</v>
      </c>
      <c r="CR74" s="114">
        <f>IF(OR(CR$13="",CR$17="",CR$14="",CR$15="",CR$16="",CR$18="",CR$19="",CR$20="",CR$21=""),"",SUM($CO21:CR21))</f>
        <v>0</v>
      </c>
      <c r="CS74" s="114">
        <f>IF(OR(CS$13="",CS$17="",CS$14="",CS$15="",CS$16="",CS$18="",CS$19="",CS$20="",CS$21=""),"",SUM($CO21:CS21))</f>
        <v>0</v>
      </c>
      <c r="CT74" s="114">
        <f>IF(OR(CT$13="",CT$17="",CT$14="",CT$15="",CT$16="",CT$18="",CT$19="",CT$20="",CT$21=""),"",SUM($CO21:CT21))</f>
        <v>0</v>
      </c>
      <c r="CU74" s="114">
        <f>IF(OR(CU$13="",CU$17="",CU$14="",CU$15="",CU$16="",CU$18="",CU$19="",CU$20="",CU$21=""),"",SUM($CO21:CU21))</f>
        <v>0</v>
      </c>
      <c r="CV74" s="114">
        <f>IF(OR(CV$13="",CV$17="",CV$14="",CV$15="",CV$16="",CV$18="",CV$19="",CV$20="",CV$21=""),"",SUM($CO21:CV21))</f>
        <v>0</v>
      </c>
      <c r="CW74" s="114">
        <f>IF(OR(CW$13="",CW$17="",CW$14="",CW$15="",CW$16="",CW$18="",CW$19="",CW$20="",CW$21=""),"",SUM($CO21:CW21))</f>
        <v>0</v>
      </c>
      <c r="CX74" s="114">
        <f>IF(OR(CX$13="",CX$17="",CX$14="",CX$15="",CX$16="",CX$18="",CX$19="",CX$20="",CX$21=""),"",SUM($CO21:CX21))</f>
        <v>0</v>
      </c>
      <c r="CY74" s="114">
        <f>IF(OR(CY$13="",CY$17="",CY$14="",CY$15="",CY$16="",CY$18="",CY$19="",CY$20="",CY$21=""),"",SUM($CO21:CY21))</f>
        <v>0</v>
      </c>
      <c r="CZ74" s="114">
        <f>IF(OR(CZ$13="",CZ$17="",CZ$14="",CZ$15="",CZ$16="",CZ$18="",CZ$19="",CZ$20="",CZ$21=""),"",SUM($CO21:CZ21))</f>
        <v>0</v>
      </c>
      <c r="DA74" s="114">
        <f>IF(OR(DA$13="",DA$17="",DA$14="",DA$15="",DA$16="",DA$18="",DA$19="",DA$20="",DA$21=""),"",SUM($CO21:DA21))</f>
        <v>0.53</v>
      </c>
      <c r="DB74" s="114">
        <f>IF(OR(DB$13="",DB$17="",DB$14="",DB$15="",DB$16="",DB$18="",DB$19="",DB$20="",DB$21=""),"",SUM($CO21:DB21))</f>
        <v>0.53</v>
      </c>
      <c r="DC74" s="114">
        <f>IF(OR(DC$13="",DC$17="",DC$14="",DC$15="",DC$16="",DC$18="",DC$19="",DC$20="",DC$21=""),"",SUM($CO21:DC21))</f>
        <v>9.4499999999999993</v>
      </c>
      <c r="DD74" s="114">
        <f>IF(OR(DD$13="",DD$17="",DD$14="",DD$15="",DD$16="",DD$18="",DD$19="",DD$20="",DD$21=""),"",SUM($CO21:DD21))</f>
        <v>9.4499999999999993</v>
      </c>
      <c r="DE74" s="114">
        <f>IF(OR(DE$13="",DE$17="",DE$14="",DE$15="",DE$16="",DE$18="",DE$19="",DE$20="",DE$21=""),"",SUM($CO21:DE21))</f>
        <v>9.4499999999999993</v>
      </c>
      <c r="DF74" s="114">
        <f>IF(OR(DF$13="",DF$17="",DF$14="",DF$15="",DF$16="",DF$18="",DF$19="",DF$20="",DF$21=""),"",SUM($CO21:DF21))</f>
        <v>9.4499999999999993</v>
      </c>
      <c r="DG74" s="114">
        <f>IF(OR(DG$13="",DG$17="",DG$14="",DG$15="",DG$16="",DG$18="",DG$19="",DG$20="",DG$21=""),"",SUM($CO21:DG21))</f>
        <v>9.4499999999999993</v>
      </c>
      <c r="DH74" s="114">
        <f>IF(OR(DH$13="",DH$17="",DH$14="",DH$15="",DH$16="",DH$18="",DH$19="",DH$20="",DH$21=""),"",SUM($CO21:DH21))</f>
        <v>9.4499999999999993</v>
      </c>
      <c r="DI74" s="114">
        <f>IF(OR(DI$13="",DI$17="",DI$14="",DI$15="",DI$16="",DI$18="",DI$19="",DI$20="",DI$21=""),"",SUM($CO21:DI21))</f>
        <v>9.4499999999999993</v>
      </c>
      <c r="DJ74" s="114">
        <f>IF(OR(DJ$13="",DJ$17="",DJ$14="",DJ$15="",DJ$16="",DJ$18="",DJ$19="",DJ$20="",DJ$21=""),"",SUM($CO21:DJ21))</f>
        <v>9.4499999999999993</v>
      </c>
      <c r="DK74" s="114">
        <f>IF(OR(DK$13="",DK$17="",DK$14="",DK$15="",DK$16="",DK$18="",DK$19="",DK$20="",DK$21=""),"",SUM($CO21:DK21))</f>
        <v>9.4499999999999993</v>
      </c>
      <c r="DL74" s="114">
        <f>IF(OR(DL$13="",DL$17="",DL$14="",DL$15="",DL$16="",DL$18="",DL$19="",DL$20="",DL$21=""),"",SUM($CO21:DL21))</f>
        <v>10.799999999999999</v>
      </c>
      <c r="DM74" s="114">
        <f>IF(OR(DM$13="",DM$17="",DM$14="",DM$15="",DM$16="",DM$18="",DM$19="",DM$20="",DM$21=""),"",SUM($CO21:DM21))</f>
        <v>18.829999999999998</v>
      </c>
      <c r="DN74" s="114">
        <f>IF(OR(DN$13="",DN$17="",DN$14="",DN$15="",DN$16="",DN$18="",DN$19="",DN$20="",DN$21=""),"",SUM($CO21:DN21))</f>
        <v>18.829999999999998</v>
      </c>
      <c r="DO74" s="114">
        <f>IF(OR(DO$13="",DO$17="",DO$14="",DO$15="",DO$16="",DO$18="",DO$19="",DO$20="",DO$21=""),"",SUM($CO21:DO21))</f>
        <v>18.829999999999998</v>
      </c>
      <c r="DP74" s="114">
        <f>IF(OR(DP$13="",DP$17="",DP$14="",DP$15="",DP$16="",DP$18="",DP$19="",DP$20="",DP$21=""),"",SUM($CO21:DP21))</f>
        <v>18.829999999999998</v>
      </c>
      <c r="DQ74" s="114">
        <f>IF(OR(DQ$13="",DQ$17="",DQ$14="",DQ$15="",DQ$16="",DQ$18="",DQ$19="",DQ$20="",DQ$21=""),"",SUM($CO21:DQ21))</f>
        <v>18.829999999999998</v>
      </c>
      <c r="DR74" s="114">
        <f>IF(OR(DR$13="",DR$17="",DR$14="",DR$15="",DR$16="",DR$18="",DR$19="",DR$20="",DR$21=""),"",SUM($CO21:DR21))</f>
        <v>18.829999999999998</v>
      </c>
      <c r="DS74" s="114">
        <f>IF(OR(DS$13="",DS$17="",DS$14="",DS$15="",DS$16="",DS$18="",DS$19="",DS$20="",DS$21=""),"",SUM($DS21:DS21))</f>
        <v>0</v>
      </c>
      <c r="DT74" s="114">
        <f>IF(OR(DT$13="",DT$17="",DT$14="",DT$15="",DT$16="",DT$18="",DT$19="",DT$20="",DT$21=""),"",SUM($DS21:DT21))</f>
        <v>0</v>
      </c>
      <c r="DU74" s="114">
        <f>IF(OR(DU$13="",DU$17="",DU$14="",DU$15="",DU$16="",DU$18="",DU$19="",DU$20="",DU$21=""),"",SUM($DS21:DU21))</f>
        <v>0</v>
      </c>
      <c r="DV74" s="114">
        <f>IF(OR(DV$13="",DV$17="",DV$14="",DV$15="",DV$16="",DV$18="",DV$19="",DV$20="",DV$21=""),"",SUM($DS21:DV21))</f>
        <v>6.95</v>
      </c>
      <c r="DW74" s="114">
        <f>IF(OR(DW$13="",DW$17="",DW$14="",DW$15="",DW$16="",DW$18="",DW$19="",DW$20="",DW$21=""),"",SUM($DS21:DW21))</f>
        <v>8.56</v>
      </c>
      <c r="DX74" s="114">
        <f>IF(OR(DX$13="",DX$17="",DX$14="",DX$15="",DX$16="",DX$18="",DX$19="",DX$20="",DX$21=""),"",SUM($DS21:DX21))</f>
        <v>8.56</v>
      </c>
      <c r="DY74" s="114">
        <f>IF(OR(DY$13="",DY$17="",DY$14="",DY$15="",DY$16="",DY$18="",DY$19="",DY$20="",DY$21=""),"",SUM($DS21:DY21))</f>
        <v>8.56</v>
      </c>
      <c r="DZ74" s="114">
        <f>IF(OR(DZ$13="",DZ$17="",DZ$14="",DZ$15="",DZ$16="",DZ$18="",DZ$19="",DZ$20="",DZ$21=""),"",SUM($DS21:DZ21))</f>
        <v>19.200000000000003</v>
      </c>
      <c r="EA74" s="114">
        <f>IF(OR(EA$13="",EA$17="",EA$14="",EA$15="",EA$16="",EA$18="",EA$19="",EA$20="",EA$21=""),"",SUM($DS21:EA21))</f>
        <v>23.080000000000002</v>
      </c>
      <c r="EB74" s="114">
        <f>IF(OR(EB$13="",EB$17="",EB$14="",EB$15="",EB$16="",EB$18="",EB$19="",EB$20="",EB$21=""),"",SUM($DS21:EB21))</f>
        <v>23.080000000000002</v>
      </c>
      <c r="EC74" s="114">
        <f>IF(OR(EC$13="",EC$17="",EC$14="",EC$15="",EC$16="",EC$18="",EC$19="",EC$20="",EC$21=""),"",SUM($DS21:EC21))</f>
        <v>35.28</v>
      </c>
      <c r="ED74" s="114">
        <f>IF(OR(ED$13="",ED$17="",ED$14="",ED$15="",ED$16="",ED$18="",ED$19="",ED$20="",ED$21=""),"",SUM($DS21:ED21))</f>
        <v>35.28</v>
      </c>
      <c r="EE74" s="114">
        <f>IF(OR(EE$13="",EE$17="",EE$14="",EE$15="",EE$16="",EE$18="",EE$19="",EE$20="",EE$21=""),"",SUM($DS21:EE21))</f>
        <v>35.28</v>
      </c>
      <c r="EF74" s="114">
        <f>IF(OR(EF$13="",EF$17="",EF$14="",EF$15="",EF$16="",EF$18="",EF$19="",EF$20="",EF$21=""),"",SUM($DS21:EF21))</f>
        <v>35.28</v>
      </c>
      <c r="EG74" s="114">
        <f>IF(OR(EG$13="",EG$17="",EG$14="",EG$15="",EG$16="",EG$18="",EG$19="",EG$20="",EG$21=""),"",SUM($DS21:EG21))</f>
        <v>35.28</v>
      </c>
      <c r="EH74" s="114">
        <f>IF(OR(EH$13="",EH$17="",EH$14="",EH$15="",EH$16="",EH$18="",EH$19="",EH$20="",EH$21=""),"",SUM($DS21:EH21))</f>
        <v>35.28</v>
      </c>
      <c r="EI74" s="114">
        <f>IF(OR(EI$13="",EI$17="",EI$14="",EI$15="",EI$16="",EI$18="",EI$19="",EI$20="",EI$21=""),"",SUM($DS21:EI21))</f>
        <v>35.28</v>
      </c>
      <c r="EJ74" s="114">
        <f>IF(OR(EJ$13="",EJ$17="",EJ$14="",EJ$15="",EJ$16="",EJ$18="",EJ$19="",EJ$20="",EJ$21=""),"",SUM($DS21:EJ21))</f>
        <v>35.28</v>
      </c>
      <c r="EK74" s="114">
        <f>IF(OR(EK$13="",EK$17="",EK$14="",EK$15="",EK$16="",EK$18="",EK$19="",EK$20="",EK$21=""),"",SUM($DS21:EK21))</f>
        <v>35.28</v>
      </c>
      <c r="EL74" s="114">
        <f>IF(OR(EL$13="",EL$17="",EL$14="",EL$15="",EL$16="",EL$18="",EL$19="",EL$20="",EL$21=""),"",SUM($DS21:EL21))</f>
        <v>35.28</v>
      </c>
      <c r="EM74" s="114">
        <f>IF(OR(EM$13="",EM$17="",EM$14="",EM$15="",EM$16="",EM$18="",EM$19="",EM$20="",EM$21=""),"",SUM($DS21:EM21))</f>
        <v>35.28</v>
      </c>
      <c r="EN74" s="114">
        <f>IF(OR(EN$13="",EN$17="",EN$14="",EN$15="",EN$16="",EN$18="",EN$19="",EN$20="",EN$21=""),"",SUM($DS21:EN21))</f>
        <v>43.78</v>
      </c>
      <c r="EO74" s="114">
        <f>IF(OR(EO$13="",EO$17="",EO$14="",EO$15="",EO$16="",EO$18="",EO$19="",EO$20="",EO$21=""),"",SUM($DS21:EO21))</f>
        <v>45.38</v>
      </c>
      <c r="EP74" s="114">
        <f>IF(OR(EP$13="",EP$17="",EP$14="",EP$15="",EP$16="",EP$18="",EP$19="",EP$20="",EP$21=""),"",SUM($DS21:EP21))</f>
        <v>45.38</v>
      </c>
      <c r="EQ74" s="114">
        <f>IF(OR(EQ$13="",EQ$17="",EQ$14="",EQ$15="",EQ$16="",EQ$18="",EQ$19="",EQ$20="",EQ$21=""),"",SUM($DS21:EQ21))</f>
        <v>50.45</v>
      </c>
      <c r="ER74" s="114">
        <f>IF(OR(ER$13="",ER$17="",ER$14="",ER$15="",ER$16="",ER$18="",ER$19="",ER$20="",ER$21=""),"",SUM($DS21:ER21))</f>
        <v>50.45</v>
      </c>
      <c r="ES74" s="114">
        <f>IF(OR(ES$13="",ES$17="",ES$14="",ES$15="",ES$16="",ES$18="",ES$19="",ES$20="",ES$21=""),"",SUM($DS21:ES21))</f>
        <v>62.28</v>
      </c>
      <c r="ET74" s="114">
        <f>IF(OR(ET$13="",ET$17="",ET$14="",ET$15="",ET$16="",ET$18="",ET$19="",ET$20="",ET$21=""),"",SUM($DS21:ET21))</f>
        <v>71.23</v>
      </c>
      <c r="EU74" s="114">
        <f>IF(OR(EU$13="",EU$17="",EU$14="",EU$15="",EU$16="",EU$18="",EU$19="",EU$20="",EU$21=""),"",SUM($DS21:EU21))</f>
        <v>71.23</v>
      </c>
      <c r="EV74" s="114">
        <f>IF(OR(EV$13="",EV$17="",EV$14="",EV$15="",EV$16="",EV$18="",EV$19="",EV$20="",EV$21=""),"",SUM($DS21:EV21))</f>
        <v>71.23</v>
      </c>
      <c r="EW74" s="114">
        <f>IF(OR(EW$13="",EW$17="",EW$14="",EW$15="",EW$16="",EW$18="",EW$19="",EW$20="",EW$21=""),"",SUM($DS21:EW21))</f>
        <v>71.23</v>
      </c>
      <c r="EX74" s="114">
        <f>IF(OR(EX$13="",EX$17="",EX$14="",EX$15="",EX$16="",EX$18="",EX$19="",EX$20="",EX$21=""),"",SUM($EX21:EX21))</f>
        <v>0</v>
      </c>
      <c r="EY74" s="114">
        <f>IF(OR(EY$13="",EY$17="",EY$14="",EY$15="",EY$16="",EY$18="",EY$19="",EY$20="",EY$21=""),"",SUM($EX21:EY21))</f>
        <v>0</v>
      </c>
      <c r="EZ74" s="114">
        <f>IF(OR(EZ$13="",EZ$17="",EZ$14="",EZ$15="",EZ$16="",EZ$18="",EZ$19="",EZ$20="",EZ$21=""),"",SUM($EX21:EZ21))</f>
        <v>0</v>
      </c>
      <c r="FA74" s="114">
        <f>IF(OR(FA$13="",FA$17="",FA$14="",FA$15="",FA$16="",FA$18="",FA$19="",FA$20="",FA$21=""),"",SUM($EX21:FA21))</f>
        <v>0</v>
      </c>
      <c r="FB74" s="114">
        <f>IF(OR(FB$13="",FB$17="",FB$14="",FB$15="",FB$16="",FB$18="",FB$19="",FB$20="",FB$21=""),"",SUM($EX21:FB21))</f>
        <v>0</v>
      </c>
      <c r="FC74" s="114">
        <f>IF(OR(FC$13="",FC$17="",FC$14="",FC$15="",FC$16="",FC$18="",FC$19="",FC$20="",FC$21=""),"",SUM($EX21:FC21))</f>
        <v>0</v>
      </c>
      <c r="FD74" s="114">
        <f>IF(OR(FD$13="",FD$17="",FD$14="",FD$15="",FD$16="",FD$18="",FD$19="",FD$20="",FD$21=""),"",SUM($EX21:FD21))</f>
        <v>7.82</v>
      </c>
      <c r="FE74" s="114">
        <f>IF(OR(FE$13="",FE$17="",FE$14="",FE$15="",FE$16="",FE$18="",FE$19="",FE$20="",FE$21=""),"",SUM($EX21:FE21))</f>
        <v>13.620000000000001</v>
      </c>
      <c r="FF74" s="114">
        <f>IF(OR(FF$13="",FF$17="",FF$14="",FF$15="",FF$16="",FF$18="",FF$19="",FF$20="",FF$21=""),"",SUM($EX21:FF21))</f>
        <v>13.620000000000001</v>
      </c>
      <c r="FG74" s="114">
        <f>IF(OR(FG$13="",FG$17="",FG$14="",FG$15="",FG$16="",FG$18="",FG$19="",FG$20="",FG$21=""),"",SUM($EX21:FG21))</f>
        <v>15.610000000000001</v>
      </c>
      <c r="FH74" s="114">
        <f>IF(OR(FH$13="",FH$17="",FH$14="",FH$15="",FH$16="",FH$18="",FH$19="",FH$20="",FH$21=""),"",SUM($EX21:FH21))</f>
        <v>15.610000000000001</v>
      </c>
      <c r="FI74" s="114">
        <f>IF(OR(FI$13="",FI$17="",FI$14="",FI$15="",FI$16="",FI$18="",FI$19="",FI$20="",FI$21=""),"",SUM($EX21:FI21))</f>
        <v>15.610000000000001</v>
      </c>
      <c r="FJ74" s="114">
        <f>IF(OR(FJ$13="",FJ$17="",FJ$14="",FJ$15="",FJ$16="",FJ$18="",FJ$19="",FJ$20="",FJ$21=""),"",SUM($EX21:FJ21))</f>
        <v>15.610000000000001</v>
      </c>
      <c r="FK74" s="114">
        <f>IF(OR(FK$13="",FK$17="",FK$14="",FK$15="",FK$16="",FK$18="",FK$19="",FK$20="",FK$21=""),"",SUM($EX21:FK21))</f>
        <v>15.610000000000001</v>
      </c>
      <c r="FL74" s="114">
        <f>IF(OR(FL$13="",FL$17="",FL$14="",FL$15="",FL$16="",FL$18="",FL$19="",FL$20="",FL$21=""),"",SUM($EX21:FL21))</f>
        <v>15.610000000000001</v>
      </c>
      <c r="FM74" s="114">
        <f>IF(OR(FM$13="",FM$17="",FM$14="",FM$15="",FM$16="",FM$18="",FM$19="",FM$20="",FM$21=""),"",SUM($EX21:FM21))</f>
        <v>30.340000000000003</v>
      </c>
      <c r="FN74" s="114">
        <f>IF(OR(FN$13="",FN$17="",FN$14="",FN$15="",FN$16="",FN$18="",FN$19="",FN$20="",FN$21=""),"",SUM($EX21:FN21))</f>
        <v>30.340000000000003</v>
      </c>
      <c r="FO74" s="114">
        <f>IF(OR(FO$13="",FO$17="",FO$14="",FO$15="",FO$16="",FO$18="",FO$19="",FO$20="",FO$21=""),"",SUM($EX21:FO21))</f>
        <v>30.340000000000003</v>
      </c>
      <c r="FP74" s="114">
        <f>IF(OR(FP$13="",FP$17="",FP$14="",FP$15="",FP$16="",FP$18="",FP$19="",FP$20="",FP$21=""),"",SUM($EX21:FP21))</f>
        <v>30.340000000000003</v>
      </c>
      <c r="FQ74" s="114">
        <f>IF(OR(FQ$13="",FQ$17="",FQ$14="",FQ$15="",FQ$16="",FQ$18="",FQ$19="",FQ$20="",FQ$21=""),"",SUM($EX21:FQ21))</f>
        <v>31.080000000000002</v>
      </c>
      <c r="FR74" s="114">
        <f>IF(OR(FR$13="",FR$17="",FR$14="",FR$15="",FR$16="",FR$18="",FR$19="",FR$20="",FR$21=""),"",SUM($EX21:FR21))</f>
        <v>31.080000000000002</v>
      </c>
      <c r="FS74" s="114">
        <f>IF(OR(FS$13="",FS$17="",FS$14="",FS$15="",FS$16="",FS$18="",FS$19="",FS$20="",FS$21=""),"",SUM($EX21:FS21))</f>
        <v>31.080000000000002</v>
      </c>
      <c r="FT74" s="114">
        <f>IF(OR(FT$13="",FT$17="",FT$14="",FT$15="",FT$16="",FT$18="",FT$19="",FT$20="",FT$21=""),"",SUM($EX21:FT21))</f>
        <v>34.380000000000003</v>
      </c>
      <c r="FU74" s="114">
        <f>IF(OR(FU$13="",FU$17="",FU$14="",FU$15="",FU$16="",FU$18="",FU$19="",FU$20="",FU$21=""),"",SUM($EX21:FU21))</f>
        <v>34.380000000000003</v>
      </c>
      <c r="FV74" s="114">
        <f>IF(OR(FV$13="",FV$17="",FV$14="",FV$15="",FV$16="",FV$18="",FV$19="",FV$20="",FV$21=""),"",SUM($EX21:FV21))</f>
        <v>34.380000000000003</v>
      </c>
      <c r="FW74" s="114">
        <f>IF(OR(FW$13="",FW$17="",FW$14="",FW$15="",FW$16="",FW$18="",FW$19="",FW$20="",FW$21=""),"",SUM($EX21:FW21))</f>
        <v>34.380000000000003</v>
      </c>
      <c r="FX74" s="114">
        <f>IF(OR(FX$13="",FX$17="",FX$14="",FX$15="",FX$16="",FX$18="",FX$19="",FX$20="",FX$21=""),"",SUM($EX21:FX21))</f>
        <v>34.380000000000003</v>
      </c>
      <c r="FY74" s="114">
        <f>IF(OR(FY$13="",FY$17="",FY$14="",FY$15="",FY$16="",FY$18="",FY$19="",FY$20="",FY$21=""),"",SUM($EX21:FY21))</f>
        <v>34.380000000000003</v>
      </c>
      <c r="FZ74" s="114">
        <f>IF(OR(FZ$13="",FZ$17="",FZ$14="",FZ$15="",FZ$16="",FZ$18="",FZ$19="",FZ$20="",FZ$21=""),"",SUM($EX21:FZ21))</f>
        <v>34.380000000000003</v>
      </c>
      <c r="GA74" s="114">
        <f>IF(OR(GA$13="",GA$17="",GA$14="",GA$15="",GA$16="",GA$18="",GA$19="",GA$20="",GA$21=""),"",SUM($EX21:GA21))</f>
        <v>75.180000000000007</v>
      </c>
      <c r="GB74" s="114">
        <f>IF(OR(GB$13="",GB$17="",GB$14="",GB$15="",GB$16="",GB$18="",GB$19="",GB$20="",GB$21=""),"",SUM($GB21:GB21))</f>
        <v>18.3</v>
      </c>
      <c r="GC74" s="114">
        <f>IF(OR(GC$13="",GC$17="",GC$14="",GC$15="",GC$16="",GC$18="",GC$19="",GC$20="",GC$21=""),"",SUM($GB21:GC21))</f>
        <v>18.3</v>
      </c>
      <c r="GD74" s="114">
        <f>IF(OR(GD$13="",GD$17="",GD$14="",GD$15="",GD$16="",GD$18="",GD$19="",GD$20="",GD$21=""),"",SUM($GB21:GD21))</f>
        <v>18.3</v>
      </c>
      <c r="GE74" s="114">
        <f>IF(OR(GE$13="",GE$17="",GE$14="",GE$15="",GE$16="",GE$18="",GE$19="",GE$20="",GE$21=""),"",SUM($GB21:GE21))</f>
        <v>18.88</v>
      </c>
      <c r="GF74" s="114">
        <f>IF(OR(GF$13="",GF$17="",GF$14="",GF$15="",GF$16="",GF$18="",GF$19="",GF$20="",GF$21=""),"",SUM($GB21:GF21))</f>
        <v>18.88</v>
      </c>
      <c r="GG74" s="114">
        <f>IF(OR(GG$13="",GG$17="",GG$14="",GG$15="",GG$16="",GG$18="",GG$19="",GG$20="",GG$21=""),"",SUM($GB21:GG21))</f>
        <v>18.88</v>
      </c>
      <c r="GH74" s="114">
        <f>IF(OR(GH$13="",GH$17="",GH$14="",GH$15="",GH$16="",GH$18="",GH$19="",GH$20="",GH$21=""),"",SUM($GB21:GH21))</f>
        <v>18.88</v>
      </c>
      <c r="GI74" s="114">
        <f>IF(OR(GI$13="",GI$17="",GI$14="",GI$15="",GI$16="",GI$18="",GI$19="",GI$20="",GI$21=""),"",SUM($GB21:GI21))</f>
        <v>24.11</v>
      </c>
      <c r="GJ74" s="114">
        <f>IF(OR(GJ$13="",GJ$17="",GJ$14="",GJ$15="",GJ$16="",GJ$18="",GJ$19="",GJ$20="",GJ$21=""),"",SUM($GB21:GJ21))</f>
        <v>24.11</v>
      </c>
      <c r="GK74" s="114">
        <f>IF(OR(GK$13="",GK$17="",GK$14="",GK$15="",GK$16="",GK$18="",GK$19="",GK$20="",GK$21=""),"",SUM($GB21:GK21))</f>
        <v>24.11</v>
      </c>
      <c r="GL74" s="114">
        <f>IF(OR(GL$13="",GL$17="",GL$14="",GL$15="",GL$16="",GL$18="",GL$19="",GL$20="",GL$21=""),"",SUM($GB21:GL21))</f>
        <v>24.11</v>
      </c>
      <c r="GM74" s="114">
        <f>IF(OR(GM$13="",GM$17="",GM$14="",GM$15="",GM$16="",GM$18="",GM$19="",GM$20="",GM$21=""),"",SUM($GB21:GM21))</f>
        <v>24.11</v>
      </c>
      <c r="GN74" s="114">
        <f>IF(OR(GN$13="",GN$17="",GN$14="",GN$15="",GN$16="",GN$18="",GN$19="",GN$20="",GN$21=""),"",SUM($GB21:GN21))</f>
        <v>24.11</v>
      </c>
      <c r="GO74" s="114">
        <f>IF(OR(GO$13="",GO$17="",GO$14="",GO$15="",GO$16="",GO$18="",GO$19="",GO$20="",GO$21=""),"",SUM($GB21:GO21))</f>
        <v>24.11</v>
      </c>
      <c r="GP74" s="114">
        <f>IF(OR(GP$13="",GP$17="",GP$14="",GP$15="",GP$16="",GP$18="",GP$19="",GP$20="",GP$21=""),"",SUM($GB21:GP21))</f>
        <v>24.11</v>
      </c>
      <c r="GQ74" s="114">
        <f>IF(OR(GQ$13="",GQ$17="",GQ$14="",GQ$15="",GQ$16="",GQ$18="",GQ$19="",GQ$20="",GQ$21=""),"",SUM($GB21:GQ21))</f>
        <v>24.939999999999998</v>
      </c>
      <c r="GR74" s="114">
        <f>IF(OR(GR$13="",GR$17="",GR$14="",GR$15="",GR$16="",GR$18="",GR$19="",GR$20="",GR$21=""),"",SUM($GB21:GR21))</f>
        <v>24.939999999999998</v>
      </c>
      <c r="GS74" s="114">
        <f>IF(OR(GS$13="",GS$17="",GS$14="",GS$15="",GS$16="",GS$18="",GS$19="",GS$20="",GS$21=""),"",SUM($GB21:GS21))</f>
        <v>24.939999999999998</v>
      </c>
      <c r="GT74" s="114">
        <f>IF(OR(GT$13="",GT$17="",GT$14="",GT$15="",GT$16="",GT$18="",GT$19="",GT$20="",GT$21=""),"",SUM($GB21:GT21))</f>
        <v>24.939999999999998</v>
      </c>
      <c r="GU74" s="114">
        <f>IF(OR(GU$13="",GU$17="",GU$14="",GU$15="",GU$16="",GU$18="",GU$19="",GU$20="",GU$21=""),"",SUM($GB21:GU21))</f>
        <v>24.939999999999998</v>
      </c>
      <c r="GV74" s="114">
        <f>IF(OR(GV$13="",GV$17="",GV$14="",GV$15="",GV$16="",GV$18="",GV$19="",GV$20="",GV$21=""),"",SUM($GB21:GV21))</f>
        <v>24.939999999999998</v>
      </c>
      <c r="GW74" s="114">
        <f>IF(OR(GW$13="",GW$17="",GW$14="",GW$15="",GW$16="",GW$18="",GW$19="",GW$20="",GW$21=""),"",SUM($GB21:GW21))</f>
        <v>24.939999999999998</v>
      </c>
      <c r="GX74" s="114">
        <f>IF(OR(GX$13="",GX$17="",GX$14="",GX$15="",GX$16="",GX$18="",GX$19="",GX$20="",GX$21=""),"",SUM($GB21:GX21))</f>
        <v>24.939999999999998</v>
      </c>
      <c r="GY74" s="114">
        <f>IF(OR(GY$13="",GY$17="",GY$14="",GY$15="",GY$16="",GY$18="",GY$19="",GY$20="",GY$21=""),"",SUM($GB21:GY21))</f>
        <v>24.939999999999998</v>
      </c>
      <c r="GZ74" s="114">
        <f>IF(OR(GZ$13="",GZ$17="",GZ$14="",GZ$15="",GZ$16="",GZ$18="",GZ$19="",GZ$20="",GZ$21=""),"",SUM($GB21:GZ21))</f>
        <v>24.939999999999998</v>
      </c>
      <c r="HA74" s="114">
        <f>IF(OR(HA$13="",HA$17="",HA$14="",HA$15="",HA$16="",HA$18="",HA$19="",HA$20="",HA$21=""),"",SUM($GB21:HA21))</f>
        <v>24.939999999999998</v>
      </c>
      <c r="HB74" s="114">
        <f>IF(OR(HB$13="",HB$17="",HB$14="",HB$15="",HB$16="",HB$18="",HB$19="",HB$20="",HB$21=""),"",SUM($GB21:HB21))</f>
        <v>24.939999999999998</v>
      </c>
      <c r="HC74" s="114">
        <f>IF(OR(HC$13="",HC$17="",HC$14="",HC$15="",HC$16="",HC$18="",HC$19="",HC$20="",HC$21=""),"",SUM($GB21:HC21))</f>
        <v>24.939999999999998</v>
      </c>
      <c r="HD74" s="114">
        <f>IF(OR(HD$13="",HD$17="",HD$14="",HD$15="",HD$16="",HD$18="",HD$19="",HD$20="",HD$21=""),"",SUM($GB21:HD21))</f>
        <v>24.939999999999998</v>
      </c>
      <c r="HE74" s="114">
        <f>IF(OR(HE$13="",HE$17="",HE$14="",HE$15="",HE$16="",HE$18="",HE$19="",HE$20="",HE$21=""),"",SUM($GB21:HE21))</f>
        <v>24.939999999999998</v>
      </c>
      <c r="HF74" s="114">
        <f>IF(OR(HF$13="",HF$17="",HF$14="",HF$15="",HF$16="",HF$18="",HF$19="",HF$20="",HF$21=""),"",SUM($GB21:HF21))</f>
        <v>24.939999999999998</v>
      </c>
      <c r="HG74" s="114">
        <f>IF(OR(HG$13="",HG$17="",HG$14="",HG$15="",HG$16="",HG$18="",HG$19="",HG$20="",HG$21=""),"",SUM($HG21:HG21))</f>
        <v>0</v>
      </c>
      <c r="HH74" s="114">
        <f>IF(OR(HH$13="",HH$17="",HH$14="",HH$15="",HH$16="",HH$18="",HH$19="",HH$20="",HH$21=""),"",SUM($HG21:HH21))</f>
        <v>0</v>
      </c>
      <c r="HI74" s="114">
        <f>IF(OR(HI$13="",HI$17="",HI$14="",HI$15="",HI$16="",HI$18="",HI$19="",HI$20="",HI$21=""),"",SUM($HG21:HI21))</f>
        <v>0</v>
      </c>
      <c r="HJ74" s="114">
        <f>IF(OR(HJ$13="",HJ$17="",HJ$14="",HJ$15="",HJ$16="",HJ$18="",HJ$19="",HJ$20="",HJ$21=""),"",SUM($HG21:HJ21))</f>
        <v>6.5555555555555561E-2</v>
      </c>
      <c r="HK74" s="114">
        <f>IF(OR(HK$13="",HK$17="",HK$14="",HK$15="",HK$16="",HK$18="",HK$19="",HK$20="",HK$21=""),"",SUM($HG21:HK21))</f>
        <v>6.5555555555555561E-2</v>
      </c>
      <c r="HL74" s="114">
        <f>IF(OR(HL$13="",HL$17="",HL$14="",HL$15="",HL$16="",HL$18="",HL$19="",HL$20="",HL$21=""),"",SUM($HG21:HL21))</f>
        <v>6.5555555555555561E-2</v>
      </c>
      <c r="HM74" s="114">
        <f>IF(OR(HM$13="",HM$17="",HM$14="",HM$15="",HM$16="",HM$18="",HM$19="",HM$20="",HM$21=""),"",SUM($HG21:HM21))</f>
        <v>6.5555555555555561E-2</v>
      </c>
      <c r="HN74" s="114">
        <f>IF(OR(HN$13="",HN$17="",HN$14="",HN$15="",HN$16="",HN$18="",HN$19="",HN$20="",HN$21=""),"",SUM($HG21:HN21))</f>
        <v>0.83527777777777779</v>
      </c>
      <c r="HO74" s="114">
        <f>IF(OR(HO$13="",HO$17="",HO$14="",HO$15="",HO$16="",HO$18="",HO$19="",HO$20="",HO$21=""),"",SUM($HG21:HO21))</f>
        <v>0.83527777777777779</v>
      </c>
      <c r="HP74" s="114">
        <f>IF(OR(HP$13="",HP$17="",HP$14="",HP$15="",HP$16="",HP$18="",HP$19="",HP$20="",HP$21=""),"",SUM($HG21:HP21))</f>
        <v>0.83527777777777779</v>
      </c>
      <c r="HQ74" s="114">
        <f>IF(OR(HQ$13="",HQ$17="",HQ$14="",HQ$15="",HQ$16="",HQ$18="",HQ$19="",HQ$20="",HQ$21=""),"",SUM($HG21:HQ21))</f>
        <v>4.868611111111111</v>
      </c>
      <c r="HR74" s="114">
        <f>IF(OR(HR$13="",HR$17="",HR$14="",HR$15="",HR$16="",HR$18="",HR$19="",HR$20="",HR$21=""),"",SUM($HG21:HR21))</f>
        <v>4.868611111111111</v>
      </c>
      <c r="HS74" s="114">
        <f>IF(OR(HS$13="",HS$17="",HS$14="",HS$15="",HS$16="",HS$18="",HS$19="",HS$20="",HS$21=""),"",SUM($HG21:HS21))</f>
        <v>12.586388888888887</v>
      </c>
      <c r="HT74" s="114">
        <f>IF(OR(HT$13="",HT$17="",HT$14="",HT$15="",HT$16="",HT$18="",HT$19="",HT$20="",HT$21=""),"",SUM($HG21:HT21))</f>
        <v>12.586388888888887</v>
      </c>
      <c r="HU74" s="114">
        <f>IF(OR(HU$13="",HU$17="",HU$14="",HU$15="",HU$16="",HU$18="",HU$19="",HU$20="",HU$21=""),"",SUM($HG21:HU21))</f>
        <v>12.586388888888887</v>
      </c>
      <c r="HV74" s="114">
        <f>IF(OR(HV$13="",HV$17="",HV$14="",HV$15="",HV$16="",HV$18="",HV$19="",HV$20="",HV$21=""),"",SUM($HG21:HV21))</f>
        <v>12.586388888888887</v>
      </c>
      <c r="HW74" s="114">
        <f>IF(OR(HW$13="",HW$17="",HW$14="",HW$15="",HW$16="",HW$18="",HW$19="",HW$20="",HW$21=""),"",SUM($HG21:HW21))</f>
        <v>12.586388888888887</v>
      </c>
      <c r="HX74" s="114">
        <f>IF(OR(HX$13="",HX$17="",HX$14="",HX$15="",HX$16="",HX$18="",HX$19="",HX$20="",HX$21=""),"",SUM($HG21:HX21))</f>
        <v>12.586388888888887</v>
      </c>
      <c r="HY74" s="114">
        <f>IF(OR(HY$13="",HY$17="",HY$14="",HY$15="",HY$16="",HY$18="",HY$19="",HY$20="",HY$21=""),"",SUM($HG21:HY21))</f>
        <v>12.586388888888887</v>
      </c>
      <c r="HZ74" s="114">
        <f>IF(OR(HZ$13="",HZ$17="",HZ$14="",HZ$15="",HZ$16="",HZ$18="",HZ$19="",HZ$20="",HZ$21=""),"",SUM($HG21:HZ21))</f>
        <v>12.586388888888887</v>
      </c>
      <c r="IA74" s="114">
        <f>IF(OR(IA$13="",IA$17="",IA$14="",IA$15="",IA$16="",IA$18="",IA$19="",IA$20="",IA$21=""),"",SUM($HG21:IA21))</f>
        <v>12.586388888888887</v>
      </c>
      <c r="IB74" s="114">
        <f>IF(OR(IB$13="",IB$17="",IB$14="",IB$15="",IB$16="",IB$18="",IB$19="",IB$20="",IB$21=""),"",SUM($HG21:IB21))</f>
        <v>12.586388888888887</v>
      </c>
      <c r="IC74" s="114">
        <f>IF(OR(IC$13="",IC$17="",IC$14="",IC$15="",IC$16="",IC$18="",IC$19="",IC$20="",IC$21=""),"",SUM($HG21:IC21))</f>
        <v>12.586388888888887</v>
      </c>
      <c r="ID74" s="114">
        <f>IF(OR(ID$13="",ID$17="",ID$14="",ID$15="",ID$16="",ID$18="",ID$19="",ID$20="",ID$21=""),"",SUM($HG21:ID21))</f>
        <v>12.586388888888887</v>
      </c>
      <c r="IE74" s="114">
        <f>IF(OR(IE$13="",IE$17="",IE$14="",IE$15="",IE$16="",IE$18="",IE$19="",IE$20="",IE$21=""),"",SUM($HG21:IE21))</f>
        <v>15.966388888888886</v>
      </c>
      <c r="IF74" s="114">
        <f>IF(OR(IF$13="",IF$17="",IF$14="",IF$15="",IF$16="",IF$18="",IF$19="",IF$20="",IF$21=""),"",SUM($HG21:IF21))</f>
        <v>15.966388888888886</v>
      </c>
      <c r="IG74" s="114">
        <f>IF(OR(IG$13="",IG$17="",IG$14="",IG$15="",IG$16="",IG$18="",IG$19="",IG$20="",IG$21=""),"",SUM($HG21:IG21))</f>
        <v>16.386388888888888</v>
      </c>
      <c r="IH74" s="114">
        <f>IF(OR(IH$13="",IH$17="",IH$14="",IH$15="",IH$16="",IH$18="",IH$19="",IH$20="",IH$21=""),"",SUM($HG21:IH21))</f>
        <v>16.386388888888888</v>
      </c>
      <c r="II74" s="114">
        <f>IF(OR(II$13="",II$17="",II$14="",II$15="",II$16="",II$18="",II$19="",II$20="",II$21=""),"",SUM($HG21:II21))</f>
        <v>16.386388888888888</v>
      </c>
      <c r="IJ74" s="114">
        <f>IF(OR(IJ$13="",IJ$17="",IJ$14="",IJ$15="",IJ$16="",IJ$18="",IJ$19="",IJ$20="",IJ$21=""),"",SUM($HG21:IJ21))</f>
        <v>16.386388888888888</v>
      </c>
      <c r="IK74" s="114">
        <f>IF(OR(IK$13="",IK$17="",IK$14="",IK$15="",IK$16="",IK$18="",IK$19="",IK$20="",IK$21=""),"",SUM($HG21:IK21))</f>
        <v>16.386388888888888</v>
      </c>
      <c r="IL74" s="114">
        <f>IF(OR(IL$13="",IL$17="",IL$14="",IL$15="",IL$16="",IL$18="",IL$19="",IL$20="",IL$21=""),"",SUM($IL21:IL21))</f>
        <v>12.915833333333333</v>
      </c>
      <c r="IM74" s="114">
        <f>IF(OR(IM$13="",IM$17="",IM$14="",IM$15="",IM$16="",IM$18="",IM$19="",IM$20="",IM$21=""),"",SUM($IL21:IM21))</f>
        <v>36.915833333333332</v>
      </c>
      <c r="IN74" s="114">
        <f>IF(OR(IN$13="",IN$17="",IN$14="",IN$15="",IN$16="",IN$18="",IN$19="",IN$20="",IN$21=""),"",SUM($IL21:IN21))</f>
        <v>60.915833333333332</v>
      </c>
      <c r="IO74" s="114">
        <f>IF(OR(IO$13="",IO$17="",IO$14="",IO$15="",IO$16="",IO$18="",IO$19="",IO$20="",IO$21=""),"",SUM($IL21:IO21))</f>
        <v>84.915833333333325</v>
      </c>
      <c r="IP74" s="114">
        <f>IF(OR(IP$13="",IP$17="",IP$14="",IP$15="",IP$16="",IP$18="",IP$19="",IP$20="",IP$21=""),"",SUM($IL21:IP21))</f>
        <v>108.91583333333332</v>
      </c>
      <c r="IQ74" s="114">
        <f>IF(OR(IQ$13="",IQ$17="",IQ$14="",IQ$15="",IQ$16="",IQ$18="",IQ$19="",IQ$20="",IQ$21=""),"",SUM($IL21:IQ21))</f>
        <v>113.39166666666665</v>
      </c>
      <c r="IR74" s="114">
        <f>IF(OR(IR$13="",IR$17="",IR$14="",IR$15="",IR$16="",IR$18="",IR$19="",IR$20="",IR$21=""),"",SUM($IL21:IR21))</f>
        <v>134.375</v>
      </c>
      <c r="IS74" s="114">
        <f>IF(OR(IS$13="",IS$17="",IS$14="",IS$15="",IS$16="",IS$18="",IS$19="",IS$20="",IS$21=""),"",SUM($IL21:IS21))</f>
        <v>158.61611111111111</v>
      </c>
      <c r="IT74" s="114">
        <f>IF(OR(IT$13="",IT$17="",IT$14="",IT$15="",IT$16="",IT$18="",IT$19="",IT$20="",IT$21=""),"",SUM($IL21:IT21))</f>
        <v>180.41083333333333</v>
      </c>
      <c r="IU74" s="114">
        <f>IF(OR(IU$13="",IU$17="",IU$14="",IU$15="",IU$16="",IU$18="",IU$19="",IU$20="",IU$21=""),"",SUM($IL21:IU21))</f>
        <v>186.72944444444443</v>
      </c>
      <c r="IV74" s="114">
        <f>IF(OR(IV$13="",IV$17="",IV$14="",IV$15="",IV$16="",IV$18="",IV$19="",IV$20="",IV$21=""),"",SUM($IL21:IV21))</f>
        <v>186.72944444444443</v>
      </c>
      <c r="IW74" s="114">
        <f>IF(OR(IW$13="",IW$17="",IW$14="",IW$15="",IW$16="",IW$18="",IW$19="",IW$20="",IW$21=""),"",SUM($IL21:IW21))</f>
        <v>186.76944444444442</v>
      </c>
      <c r="IX74" s="114">
        <f>IF(OR(IX$13="",IX$17="",IX$14="",IX$15="",IX$16="",IX$18="",IX$19="",IX$20="",IX$21=""),"",SUM($IL21:IX21))</f>
        <v>186.76944444444442</v>
      </c>
      <c r="IY74" s="114">
        <f>IF(OR(IY$13="",IY$17="",IY$14="",IY$15="",IY$16="",IY$18="",IY$19="",IY$20="",IY$21=""),"",SUM($IL21:IY21))</f>
        <v>192.03944444444443</v>
      </c>
      <c r="IZ74" s="114">
        <f>IF(OR(IZ$13="",IZ$17="",IZ$14="",IZ$15="",IZ$16="",IZ$18="",IZ$19="",IZ$20="",IZ$21=""),"",SUM($IL21:IZ21))</f>
        <v>192.31527777777777</v>
      </c>
      <c r="JA74" s="114">
        <f>IF(OR(JA$13="",JA$17="",JA$14="",JA$15="",JA$16="",JA$18="",JA$19="",JA$20="",JA$21=""),"",SUM($IL21:JA21))</f>
        <v>192.31527777777777</v>
      </c>
      <c r="JB74" s="114">
        <f>IF(OR(JB$13="",JB$17="",JB$14="",JB$15="",JB$16="",JB$18="",JB$19="",JB$20="",JB$21=""),"",SUM($IL21:JB21))</f>
        <v>192.31527777777777</v>
      </c>
      <c r="JC74" s="114">
        <f>IF(OR(JC$13="",JC$17="",JC$14="",JC$15="",JC$16="",JC$18="",JC$19="",JC$20="",JC$21=""),"",SUM($IL21:JC21))</f>
        <v>195.83777777777777</v>
      </c>
      <c r="JD74" s="114">
        <f>IF(OR(JD$13="",JD$17="",JD$14="",JD$15="",JD$16="",JD$18="",JD$19="",JD$20="",JD$21=""),"",SUM($IL21:JD21))</f>
        <v>210.75194444444443</v>
      </c>
      <c r="JE74" s="114">
        <f>IF(OR(JE$13="",JE$17="",JE$14="",JE$15="",JE$16="",JE$18="",JE$19="",JE$20="",JE$21=""),"",SUM($IL21:JE21))</f>
        <v>217.16361111111109</v>
      </c>
      <c r="JF74" s="114">
        <f>IF(OR(JF$13="",JF$17="",JF$14="",JF$15="",JF$16="",JF$18="",JF$19="",JF$20="",JF$21=""),"",SUM($IL21:JF21))</f>
        <v>219.41027777777776</v>
      </c>
      <c r="JG74" s="114">
        <f>IF(OR(JG$13="",JG$17="",JG$14="",JG$15="",JG$16="",JG$18="",JG$19="",JG$20="",JG$21=""),"",SUM($IL21:JG21))</f>
        <v>220.05277777777778</v>
      </c>
      <c r="JH74" s="114">
        <f>IF(OR(JH$13="",JH$17="",JH$14="",JH$15="",JH$16="",JH$18="",JH$19="",JH$20="",JH$21=""),"",SUM($IL21:JH21))</f>
        <v>220.05277777777778</v>
      </c>
      <c r="JI74" s="114">
        <f>IF(OR(JI$13="",JI$17="",JI$14="",JI$15="",JI$16="",JI$18="",JI$19="",JI$20="",JI$21=""),"",SUM($IL21:JI21))</f>
        <v>220.05277777777778</v>
      </c>
      <c r="JJ74" s="114">
        <f>IF(OR(JJ$13="",JJ$17="",JJ$14="",JJ$15="",JJ$16="",JJ$18="",JJ$19="",JJ$20="",JJ$21=""),"",SUM($IL21:JJ21))</f>
        <v>220.05277777777778</v>
      </c>
      <c r="JK74" s="114">
        <f>IF(OR(JK$13="",JK$17="",JK$14="",JK$15="",JK$16="",JK$18="",JK$19="",JK$20="",JK$21=""),"",SUM($IL21:JK21))</f>
        <v>224.3461111111111</v>
      </c>
      <c r="JL74" s="114">
        <f>IF(OR(JL$13="",JL$17="",JL$14="",JL$15="",JL$16="",JL$18="",JL$19="",JL$20="",JL$21=""),"",SUM($IL21:JL21))</f>
        <v>230.83999999999997</v>
      </c>
      <c r="JM74" s="114">
        <f>IF(OR(JM$13="",JM$17="",JM$14="",JM$15="",JM$16="",JM$18="",JM$19="",JM$20="",JM$21=""),"",SUM($IL21:JM21))</f>
        <v>231.21083333333331</v>
      </c>
      <c r="JN74" s="114">
        <f>IF(OR(JN$13="",JN$17="",JN$14="",JN$15="",JN$16="",JN$18="",JN$19="",JN$20="",JN$21=""),"",SUM($IL21:JN21))</f>
        <v>232.21083333333331</v>
      </c>
      <c r="JO74" s="114">
        <f>IF(OR(JO$13="",JO$17="",JO$14="",JO$15="",JO$16="",JO$18="",JO$19="",JO$20="",JO$21=""),"",SUM($IL21:JO21))</f>
        <v>233.21083333333331</v>
      </c>
      <c r="JP74" s="114">
        <f>IF(OR(JP$13="",JP$17="",JP$14="",JP$15="",JP$16="",JP$18="",JP$19="",JP$20="",JP$21=""),"",SUM($JP21:JP21))</f>
        <v>5.07</v>
      </c>
      <c r="JQ74" s="114">
        <f>IF(OR(JQ$13="",JQ$17="",JQ$14="",JQ$15="",JQ$16="",JQ$18="",JQ$19="",JQ$20="",JQ$21=""),"",SUM($JP21:JQ21))</f>
        <v>6.07</v>
      </c>
      <c r="JR74" s="114">
        <f>IF(OR(JR$13="",JR$17="",JR$14="",JR$15="",JR$16="",JR$18="",JR$19="",JR$20="",JR$21=""),"",SUM($JP21:JR21))</f>
        <v>6.5</v>
      </c>
      <c r="JS74" s="114">
        <f>IF(OR(JS$13="",JS$17="",JS$14="",JS$15="",JS$16="",JS$18="",JS$19="",JS$20="",JS$21=""),"",SUM($JP21:JS21))</f>
        <v>7.5</v>
      </c>
      <c r="JT74" s="114">
        <f>IF(OR(JT$13="",JT$17="",JT$14="",JT$15="",JT$16="",JT$18="",JT$19="",JT$20="",JT$21=""),"",SUM($JP21:JT21))</f>
        <v>7.92</v>
      </c>
      <c r="JU74" s="114">
        <f>IF(OR(JU$13="",JU$17="",JU$14="",JU$15="",JU$16="",JU$18="",JU$19="",JU$20="",JU$21=""),"",SUM($JP21:JU21))</f>
        <v>20.92</v>
      </c>
      <c r="JV74" s="114">
        <f>IF(OR(JV$13="",JV$17="",JV$14="",JV$15="",JV$16="",JV$18="",JV$19="",JV$20="",JV$21=""),"",SUM($JP21:JV21))</f>
        <v>21.92</v>
      </c>
      <c r="JW74" s="114">
        <f>IF(OR(JW$13="",JW$17="",JW$14="",JW$15="",JW$16="",JW$18="",JW$19="",JW$20="",JW$21=""),"",SUM($JP21:JW21))</f>
        <v>21.92</v>
      </c>
      <c r="JX74" s="114">
        <f>IF(OR(JX$13="",JX$17="",JX$14="",JX$15="",JX$16="",JX$18="",JX$19="",JX$20="",JX$21=""),"",SUM($JP21:JX21))</f>
        <v>21.92</v>
      </c>
      <c r="JY74" s="114">
        <f>IF(OR(JY$13="",JY$17="",JY$14="",JY$15="",JY$16="",JY$18="",JY$19="",JY$20="",JY$21=""),"",SUM($JP21:JY21))</f>
        <v>21.92</v>
      </c>
      <c r="JZ74" s="114">
        <f>IF(OR(JZ$13="",JZ$17="",JZ$14="",JZ$15="",JZ$16="",JZ$18="",JZ$19="",JZ$20="",JZ$21=""),"",SUM($JP21:JZ21))</f>
        <v>21.92</v>
      </c>
      <c r="KA74" s="114">
        <f>IF(OR(KA$13="",KA$17="",KA$14="",KA$15="",KA$16="",KA$18="",KA$19="",KA$20="",KA$21=""),"",SUM($JP21:KA21))</f>
        <v>21.92</v>
      </c>
      <c r="KB74" s="114">
        <f>IF(OR(KB$13="",KB$17="",KB$14="",KB$15="",KB$16="",KB$18="",KB$19="",KB$20="",KB$21=""),"",SUM($JP21:KB21))</f>
        <v>21.92</v>
      </c>
      <c r="KC74" s="114">
        <f>IF(OR(KC$13="",KC$17="",KC$14="",KC$15="",KC$16="",KC$18="",KC$19="",KC$20="",KC$21=""),"",SUM($JP21:KC21))</f>
        <v>21.92</v>
      </c>
      <c r="KD74" s="114">
        <f>IF(OR(KD$13="",KD$17="",KD$14="",KD$15="",KD$16="",KD$18="",KD$19="",KD$20="",KD$21=""),"",SUM($JP21:KD21))</f>
        <v>21.92</v>
      </c>
      <c r="KE74" s="114">
        <f>IF(OR(KE$13="",KE$17="",KE$14="",KE$15="",KE$16="",KE$18="",KE$19="",KE$20="",KE$21=""),"",SUM($JP21:KE21))</f>
        <v>21.92</v>
      </c>
      <c r="KF74" s="114">
        <f>IF(OR(KF$13="",KF$17="",KF$14="",KF$15="",KF$16="",KF$18="",KF$19="",KF$20="",KF$21=""),"",SUM($JP21:KF21))</f>
        <v>21.92</v>
      </c>
      <c r="KG74" s="114">
        <f>IF(OR(KG$13="",KG$17="",KG$14="",KG$15="",KG$16="",KG$18="",KG$19="",KG$20="",KG$21=""),"",SUM($JP21:KG21))</f>
        <v>21.92</v>
      </c>
      <c r="KH74" s="114">
        <f>IF(OR(KH$13="",KH$17="",KH$14="",KH$15="",KH$16="",KH$18="",KH$19="",KH$20="",KH$21=""),"",SUM($JP21:KH21))</f>
        <v>21.92</v>
      </c>
      <c r="KI74" s="114">
        <f>IF(OR(KI$13="",KI$17="",KI$14="",KI$15="",KI$16="",KI$18="",KI$19="",KI$20="",KI$21=""),"",SUM($JP21:KI21))</f>
        <v>21.92</v>
      </c>
      <c r="KJ74" s="114">
        <f>IF(OR(KJ$13="",KJ$17="",KJ$14="",KJ$15="",KJ$16="",KJ$18="",KJ$19="",KJ$20="",KJ$21=""),"",SUM($JP21:KJ21))</f>
        <v>21.92</v>
      </c>
      <c r="KK74" s="114">
        <f>IF(OR(KK$13="",KK$17="",KK$14="",KK$15="",KK$16="",KK$18="",KK$19="",KK$20="",KK$21=""),"",SUM($JP21:KK21))</f>
        <v>21.92</v>
      </c>
      <c r="KL74" s="114">
        <f>IF(OR(KL$13="",KL$17="",KL$14="",KL$15="",KL$16="",KL$18="",KL$19="",KL$20="",KL$21=""),"",SUM($JP21:KL21))</f>
        <v>21.92</v>
      </c>
      <c r="KM74" s="114">
        <f>IF(OR(KM$13="",KM$17="",KM$14="",KM$15="",KM$16="",KM$18="",KM$19="",KM$20="",KM$21=""),"",SUM($JP21:KM21))</f>
        <v>21.92</v>
      </c>
      <c r="KN74" s="114">
        <f>IF(OR(KN$13="",KN$17="",KN$14="",KN$15="",KN$16="",KN$18="",KN$19="",KN$20="",KN$21=""),"",SUM($JP21:KN21))</f>
        <v>21.92</v>
      </c>
      <c r="KO74" s="114">
        <f>IF(OR(KO$13="",KO$17="",KO$14="",KO$15="",KO$16="",KO$18="",KO$19="",KO$20="",KO$21=""),"",SUM($JP21:KO21))</f>
        <v>21.92</v>
      </c>
      <c r="KP74" s="114">
        <f>IF(OR(KP$13="",KP$17="",KP$14="",KP$15="",KP$16="",KP$18="",KP$19="",KP$20="",KP$21=""),"",SUM($JP21:KP21))</f>
        <v>21.92</v>
      </c>
      <c r="KQ74" s="114">
        <f>IF(OR(KQ$13="",KQ$17="",KQ$14="",KQ$15="",KQ$16="",KQ$18="",KQ$19="",KQ$20="",KQ$21=""),"",SUM($JP21:KQ21))</f>
        <v>21.92</v>
      </c>
      <c r="KR74" s="114">
        <f>IF(OR(KR$13="",KR$17="",KR$14="",KR$15="",KR$16="",KR$18="",KR$19="",KR$20="",KR$21=""),"",SUM($JP21:KR21))</f>
        <v>21.92</v>
      </c>
      <c r="KS74" s="114">
        <f>IF(OR(KS$13="",KS$17="",KS$14="",KS$15="",KS$16="",KS$18="",KS$19="",KS$20="",KS$21=""),"",SUM($JP21:KS21))</f>
        <v>21.92</v>
      </c>
      <c r="KT74" s="114">
        <f>IF(OR(KT$13="",KT$17="",KT$14="",KT$15="",KT$16="",KT$18="",KT$19="",KT$20="",KT$21=""),"",SUM($JP21:KT21))</f>
        <v>21.92</v>
      </c>
      <c r="KU74" s="114" t="str">
        <f>IF(OR(KU$13="",KU$17="",KU$14="",KU$15="",KU$16="",KU$18="",KU$19="",KU$20="",KU$21=""),"",SUM($KU21:KU21))</f>
        <v/>
      </c>
      <c r="KV74" s="114" t="str">
        <f>IF(OR(KV$13="",KV$17="",KV$14="",KV$15="",KV$16="",KV$18="",KV$19="",KV$20="",KV$21=""),"",SUM($KU21:KV21))</f>
        <v/>
      </c>
      <c r="KW74" s="114" t="str">
        <f>IF(OR(KW$13="",KW$17="",KW$14="",KW$15="",KW$16="",KW$18="",KW$19="",KW$20="",KW$21=""),"",SUM($KU21:KW21))</f>
        <v/>
      </c>
      <c r="KX74" s="114" t="str">
        <f>IF(OR(KX$13="",KX$17="",KX$14="",KX$15="",KX$16="",KX$18="",KX$19="",KX$20="",KX$21=""),"",SUM($KU21:KX21))</f>
        <v/>
      </c>
      <c r="KY74" s="114" t="str">
        <f>IF(OR(KY$13="",KY$17="",KY$14="",KY$15="",KY$16="",KY$18="",KY$19="",KY$20="",KY$21=""),"",SUM($KU21:KY21))</f>
        <v/>
      </c>
      <c r="KZ74" s="114" t="str">
        <f>IF(OR(KZ$13="",KZ$17="",KZ$14="",KZ$15="",KZ$16="",KZ$18="",KZ$19="",KZ$20="",KZ$21=""),"",SUM($KU21:KZ21))</f>
        <v/>
      </c>
      <c r="LA74" s="114" t="str">
        <f>IF(OR(LA$13="",LA$17="",LA$14="",LA$15="",LA$16="",LA$18="",LA$19="",LA$20="",LA$21=""),"",SUM($KU21:LA21))</f>
        <v/>
      </c>
      <c r="LB74" s="114" t="str">
        <f>IF(OR(LB$13="",LB$17="",LB$14="",LB$15="",LB$16="",LB$18="",LB$19="",LB$20="",LB$21=""),"",SUM($KU21:LB21))</f>
        <v/>
      </c>
      <c r="LC74" s="114" t="str">
        <f>IF(OR(LC$13="",LC$17="",LC$14="",LC$15="",LC$16="",LC$18="",LC$19="",LC$20="",LC$21=""),"",SUM($KU21:LC21))</f>
        <v/>
      </c>
      <c r="LD74" s="114" t="str">
        <f>IF(OR(LD$13="",LD$17="",LD$14="",LD$15="",LD$16="",LD$18="",LD$19="",LD$20="",LD$21=""),"",SUM($KU21:LD21))</f>
        <v/>
      </c>
      <c r="LE74" s="114" t="str">
        <f>IF(OR(LE$13="",LE$17="",LE$14="",LE$15="",LE$16="",LE$18="",LE$19="",LE$20="",LE$21=""),"",SUM($KU21:LE21))</f>
        <v/>
      </c>
      <c r="LF74" s="114" t="str">
        <f>IF(OR(LF$13="",LF$17="",LF$14="",LF$15="",LF$16="",LF$18="",LF$19="",LF$20="",LF$21=""),"",SUM($KU21:LF21))</f>
        <v/>
      </c>
      <c r="LG74" s="114" t="str">
        <f>IF(OR(LG$13="",LG$17="",LG$14="",LG$15="",LG$16="",LG$18="",LG$19="",LG$20="",LG$21=""),"",SUM($KU21:LG21))</f>
        <v/>
      </c>
      <c r="LH74" s="114" t="str">
        <f>IF(OR(LH$13="",LH$17="",LH$14="",LH$15="",LH$16="",LH$18="",LH$19="",LH$20="",LH$21=""),"",SUM($KU21:LH21))</f>
        <v/>
      </c>
      <c r="LI74" s="114" t="str">
        <f>IF(OR(LI$13="",LI$17="",LI$14="",LI$15="",LI$16="",LI$18="",LI$19="",LI$20="",LI$21=""),"",SUM($KU21:LI21))</f>
        <v/>
      </c>
      <c r="LJ74" s="114" t="str">
        <f>IF(OR(LJ$13="",LJ$17="",LJ$14="",LJ$15="",LJ$16="",LJ$18="",LJ$19="",LJ$20="",LJ$21=""),"",SUM($KU21:LJ21))</f>
        <v/>
      </c>
      <c r="LK74" s="114" t="str">
        <f>IF(OR(LK$13="",LK$17="",LK$14="",LK$15="",LK$16="",LK$18="",LK$19="",LK$20="",LK$21=""),"",SUM($KU21:LK21))</f>
        <v/>
      </c>
      <c r="LL74" s="114" t="str">
        <f>IF(OR(LL$13="",LL$17="",LL$14="",LL$15="",LL$16="",LL$18="",LL$19="",LL$20="",LL$21=""),"",SUM($KU21:LL21))</f>
        <v/>
      </c>
      <c r="LM74" s="114" t="str">
        <f>IF(OR(LM$13="",LM$17="",LM$14="",LM$15="",LM$16="",LM$18="",LM$19="",LM$20="",LM$21=""),"",SUM($KU21:LM21))</f>
        <v/>
      </c>
      <c r="LN74" s="114" t="str">
        <f>IF(OR(LN$13="",LN$17="",LN$14="",LN$15="",LN$16="",LN$18="",LN$19="",LN$20="",LN$21=""),"",SUM($KU21:LN21))</f>
        <v/>
      </c>
      <c r="LO74" s="114" t="str">
        <f>IF(OR(LO$13="",LO$17="",LO$14="",LO$15="",LO$16="",LO$18="",LO$19="",LO$20="",LO$21=""),"",SUM($KU21:LO21))</f>
        <v/>
      </c>
      <c r="LP74" s="114" t="str">
        <f>IF(OR(LP$13="",LP$17="",LP$14="",LP$15="",LP$16="",LP$18="",LP$19="",LP$20="",LP$21=""),"",SUM($KU21:LP21))</f>
        <v/>
      </c>
      <c r="LQ74" s="114" t="str">
        <f>IF(OR(LQ$13="",LQ$17="",LQ$14="",LQ$15="",LQ$16="",LQ$18="",LQ$19="",LQ$20="",LQ$21=""),"",SUM($KU21:LQ21))</f>
        <v/>
      </c>
      <c r="LR74" s="114" t="str">
        <f>IF(OR(LR$13="",LR$17="",LR$14="",LR$15="",LR$16="",LR$18="",LR$19="",LR$20="",LR$21=""),"",SUM($KU21:LR21))</f>
        <v/>
      </c>
      <c r="LS74" s="114" t="str">
        <f>IF(OR(LS$13="",LS$17="",LS$14="",LS$15="",LS$16="",LS$18="",LS$19="",LS$20="",LS$21=""),"",SUM($KU21:LS21))</f>
        <v/>
      </c>
      <c r="LT74" s="114" t="str">
        <f>IF(OR(LT$13="",LT$17="",LT$14="",LT$15="",LT$16="",LT$18="",LT$19="",LT$20="",LT$21=""),"",SUM($KU21:LT21))</f>
        <v/>
      </c>
      <c r="LU74" s="114" t="str">
        <f>IF(OR(LU$13="",LU$17="",LU$14="",LU$15="",LU$16="",LU$18="",LU$19="",LU$20="",LU$21=""),"",SUM($KU21:LU21))</f>
        <v/>
      </c>
      <c r="LV74" s="114" t="str">
        <f>IF(OR(LV$13="",LV$17="",LV$14="",LV$15="",LV$16="",LV$18="",LV$19="",LV$20="",LV$21=""),"",SUM($KU21:LV21))</f>
        <v/>
      </c>
      <c r="LW74" s="114" t="str">
        <f>IF(OR(LW$13="",LW$17="",LW$14="",LW$15="",LW$16="",LW$18="",LW$19="",LW$20="",LW$21=""),"",SUM($KU21:LW21))</f>
        <v/>
      </c>
      <c r="LX74" s="114" t="str">
        <f>IF(OR(LX$13="",LX$17="",LX$14="",LX$15="",LX$16="",LX$18="",LX$19="",LX$20="",LX$21=""),"",SUM($KU21:LX21))</f>
        <v/>
      </c>
      <c r="LY74" s="114" t="str">
        <f>IF(OR(LY$13="",LY$17="",LY$14="",LY$15="",LY$16="",LY$18="",LY$19="",LY$20="",LY$21=""),"",SUM($LY21:LY21))</f>
        <v/>
      </c>
      <c r="LZ74" s="114" t="str">
        <f>IF(OR(LZ$13="",LZ$17="",LZ$14="",LZ$15="",LZ$16="",LZ$18="",LZ$19="",LZ$20="",LZ$21=""),"",SUM($LY21:LZ21))</f>
        <v/>
      </c>
      <c r="MA74" s="114" t="str">
        <f>IF(OR(MA$13="",MA$17="",MA$14="",MA$15="",MA$16="",MA$18="",MA$19="",MA$20="",MA$21=""),"",SUM($LY21:MA21))</f>
        <v/>
      </c>
      <c r="MB74" s="114" t="str">
        <f>IF(OR(MB$13="",MB$17="",MB$14="",MB$15="",MB$16="",MB$18="",MB$19="",MB$20="",MB$21=""),"",SUM($LY21:MB21))</f>
        <v/>
      </c>
      <c r="MC74" s="114" t="str">
        <f>IF(OR(MC$13="",MC$17="",MC$14="",MC$15="",MC$16="",MC$18="",MC$19="",MC$20="",MC$21=""),"",SUM($LY21:MC21))</f>
        <v/>
      </c>
      <c r="MD74" s="114" t="str">
        <f>IF(OR(MD$13="",MD$17="",MD$14="",MD$15="",MD$16="",MD$18="",MD$19="",MD$20="",MD$21=""),"",SUM($LY21:MD21))</f>
        <v/>
      </c>
      <c r="ME74" s="114" t="str">
        <f>IF(OR(ME$13="",ME$17="",ME$14="",ME$15="",ME$16="",ME$18="",ME$19="",ME$20="",ME$21=""),"",SUM($LY21:ME21))</f>
        <v/>
      </c>
      <c r="MF74" s="114" t="str">
        <f>IF(OR(MF$13="",MF$17="",MF$14="",MF$15="",MF$16="",MF$18="",MF$19="",MF$20="",MF$21=""),"",SUM($LY21:MF21))</f>
        <v/>
      </c>
      <c r="MG74" s="114" t="str">
        <f>IF(OR(MG$13="",MG$17="",MG$14="",MG$15="",MG$16="",MG$18="",MG$19="",MG$20="",MG$21=""),"",SUM($LY21:MG21))</f>
        <v/>
      </c>
      <c r="MH74" s="114" t="str">
        <f>IF(OR(MH$13="",MH$17="",MH$14="",MH$15="",MH$16="",MH$18="",MH$19="",MH$20="",MH$21=""),"",SUM($LY21:MH21))</f>
        <v/>
      </c>
      <c r="MI74" s="114" t="str">
        <f>IF(OR(MI$13="",MI$17="",MI$14="",MI$15="",MI$16="",MI$18="",MI$19="",MI$20="",MI$21=""),"",SUM($LY21:MI21))</f>
        <v/>
      </c>
      <c r="MJ74" s="114" t="str">
        <f>IF(OR(MJ$13="",MJ$17="",MJ$14="",MJ$15="",MJ$16="",MJ$18="",MJ$19="",MJ$20="",MJ$21=""),"",SUM($LY21:MJ21))</f>
        <v/>
      </c>
      <c r="MK74" s="114" t="str">
        <f>IF(OR(MK$13="",MK$17="",MK$14="",MK$15="",MK$16="",MK$18="",MK$19="",MK$20="",MK$21=""),"",SUM($LY21:MK21))</f>
        <v/>
      </c>
      <c r="ML74" s="114" t="str">
        <f>IF(OR(ML$13="",ML$17="",ML$14="",ML$15="",ML$16="",ML$18="",ML$19="",ML$20="",ML$21=""),"",SUM($LY21:ML21))</f>
        <v/>
      </c>
      <c r="MM74" s="114" t="str">
        <f>IF(OR(MM$13="",MM$17="",MM$14="",MM$15="",MM$16="",MM$18="",MM$19="",MM$20="",MM$21=""),"",SUM($LY21:MM21))</f>
        <v/>
      </c>
      <c r="MN74" s="114" t="str">
        <f>IF(OR(MN$13="",MN$17="",MN$14="",MN$15="",MN$16="",MN$18="",MN$19="",MN$20="",MN$21=""),"",SUM($LY21:MN21))</f>
        <v/>
      </c>
      <c r="MO74" s="114" t="str">
        <f>IF(OR(MO$13="",MO$17="",MO$14="",MO$15="",MO$16="",MO$18="",MO$19="",MO$20="",MO$21=""),"",SUM($LY21:MO21))</f>
        <v/>
      </c>
      <c r="MP74" s="114" t="str">
        <f>IF(OR(MP$13="",MP$17="",MP$14="",MP$15="",MP$16="",MP$18="",MP$19="",MP$20="",MP$21=""),"",SUM($LY21:MP21))</f>
        <v/>
      </c>
      <c r="MQ74" s="114" t="str">
        <f>IF(OR(MQ$13="",MQ$17="",MQ$14="",MQ$15="",MQ$16="",MQ$18="",MQ$19="",MQ$20="",MQ$21=""),"",SUM($LY21:MQ21))</f>
        <v/>
      </c>
      <c r="MR74" s="114" t="str">
        <f>IF(OR(MR$13="",MR$17="",MR$14="",MR$15="",MR$16="",MR$18="",MR$19="",MR$20="",MR$21=""),"",SUM($LY21:MR21))</f>
        <v/>
      </c>
      <c r="MS74" s="114" t="str">
        <f>IF(OR(MS$13="",MS$17="",MS$14="",MS$15="",MS$16="",MS$18="",MS$19="",MS$20="",MS$21=""),"",SUM($LY21:MS21))</f>
        <v/>
      </c>
      <c r="MT74" s="114" t="str">
        <f>IF(OR(MT$13="",MT$17="",MT$14="",MT$15="",MT$16="",MT$18="",MT$19="",MT$20="",MT$21=""),"",SUM($LY21:MT21))</f>
        <v/>
      </c>
      <c r="MU74" s="114" t="str">
        <f>IF(OR(MU$13="",MU$17="",MU$14="",MU$15="",MU$16="",MU$18="",MU$19="",MU$20="",MU$21=""),"",SUM($LY21:MU21))</f>
        <v/>
      </c>
      <c r="MV74" s="114" t="str">
        <f>IF(OR(MV$13="",MV$17="",MV$14="",MV$15="",MV$16="",MV$18="",MV$19="",MV$20="",MV$21=""),"",SUM($LY21:MV21))</f>
        <v/>
      </c>
      <c r="MW74" s="114" t="str">
        <f>IF(OR(MW$13="",MW$17="",MW$14="",MW$15="",MW$16="",MW$18="",MW$19="",MW$20="",MW$21=""),"",SUM($LY21:MW21))</f>
        <v/>
      </c>
      <c r="MX74" s="114" t="str">
        <f>IF(OR(MX$13="",MX$17="",MX$14="",MX$15="",MX$16="",MX$18="",MX$19="",MX$20="",MX$21=""),"",SUM($LY21:MX21))</f>
        <v/>
      </c>
      <c r="MY74" s="114" t="str">
        <f>IF(OR(MY$13="",MY$17="",MY$14="",MY$15="",MY$16="",MY$18="",MY$19="",MY$20="",MY$21=""),"",SUM($LY21:MY21))</f>
        <v/>
      </c>
      <c r="MZ74" s="114" t="str">
        <f>IF(OR(MZ$13="",MZ$17="",MZ$14="",MZ$15="",MZ$16="",MZ$18="",MZ$19="",MZ$20="",MZ$21=""),"",SUM($LY21:MZ21))</f>
        <v/>
      </c>
      <c r="NA74" s="114" t="str">
        <f>IF(OR(NA$13="",NA$17="",NA$14="",NA$15="",NA$16="",NA$18="",NA$19="",NA$20="",NA$21=""),"",SUM($LY21:NA21))</f>
        <v/>
      </c>
      <c r="NB74" s="114" t="str">
        <f>IF(OR(NB$13="",NB$17="",NB$14="",NB$15="",NB$16="",NB$18="",NB$19="",NB$20="",NB$21=""),"",SUM($LY21:NB21))</f>
        <v/>
      </c>
      <c r="NC74" s="114" t="str">
        <f>IF(OR(NC$13="",NC$17="",NC$14="",NC$15="",NC$16="",NC$18="",NC$19="",NC$20="",NC$21=""),"",SUM($LY21:NC21))</f>
        <v/>
      </c>
      <c r="ND74" s="114" t="str">
        <f>IF(OR(ND$13="",ND$17="",ND$14="",ND$15="",ND$16="",ND$18="",ND$19="",ND$20="",ND$21=""),"",SUM($ND21:ND21))</f>
        <v/>
      </c>
      <c r="NE74" s="114" t="str">
        <f>IF(OR(NE$13="",NE$17="",NE$14="",NE$15="",NE$16="",NE$18="",NE$19="",NE$20="",NE$21=""),"",SUM($ND21:NE21))</f>
        <v/>
      </c>
      <c r="NF74" s="114" t="str">
        <f>IF(OR(NF$13="",NF$17="",NF$14="",NF$15="",NF$16="",NF$18="",NF$19="",NF$20="",NF$21=""),"",SUM($ND21:NF21))</f>
        <v/>
      </c>
      <c r="NG74" s="114" t="str">
        <f>IF(OR(NG$13="",NG$17="",NG$14="",NG$15="",NG$16="",NG$18="",NG$19="",NG$20="",NG$21=""),"",SUM($ND21:NG21))</f>
        <v/>
      </c>
      <c r="NH74" s="114" t="str">
        <f>IF(OR(NH$13="",NH$17="",NH$14="",NH$15="",NH$16="",NH$18="",NH$19="",NH$20="",NH$21=""),"",SUM($ND21:NH21))</f>
        <v/>
      </c>
      <c r="NI74" s="114" t="str">
        <f>IF(OR(NI$13="",NI$17="",NI$14="",NI$15="",NI$16="",NI$18="",NI$19="",NI$20="",NI$21=""),"",SUM($ND21:NI21))</f>
        <v/>
      </c>
      <c r="NJ74" s="114" t="str">
        <f>IF(OR(NJ$13="",NJ$17="",NJ$14="",NJ$15="",NJ$16="",NJ$18="",NJ$19="",NJ$20="",NJ$21=""),"",SUM($ND21:NJ21))</f>
        <v/>
      </c>
      <c r="NK74" s="114" t="str">
        <f>IF(OR(NK$13="",NK$17="",NK$14="",NK$15="",NK$16="",NK$18="",NK$19="",NK$20="",NK$21=""),"",SUM($ND21:NK21))</f>
        <v/>
      </c>
      <c r="NL74" s="114" t="str">
        <f>IF(OR(NL$13="",NL$17="",NL$14="",NL$15="",NL$16="",NL$18="",NL$19="",NL$20="",NL$21=""),"",SUM($ND21:NL21))</f>
        <v/>
      </c>
      <c r="NM74" s="114" t="str">
        <f>IF(OR(NM$13="",NM$17="",NM$14="",NM$15="",NM$16="",NM$18="",NM$19="",NM$20="",NM$21=""),"",SUM($ND21:NM21))</f>
        <v/>
      </c>
      <c r="NN74" s="114" t="str">
        <f>IF(OR(NN$13="",NN$17="",NN$14="",NN$15="",NN$16="",NN$18="",NN$19="",NN$20="",NN$21=""),"",SUM($ND21:NN21))</f>
        <v/>
      </c>
      <c r="NO74" s="114" t="str">
        <f>IF(OR(NO$13="",NO$17="",NO$14="",NO$15="",NO$16="",NO$18="",NO$19="",NO$20="",NO$21=""),"",SUM($ND21:NO21))</f>
        <v/>
      </c>
      <c r="NP74" s="114" t="str">
        <f>IF(OR(NP$13="",NP$17="",NP$14="",NP$15="",NP$16="",NP$18="",NP$19="",NP$20="",NP$21=""),"",SUM($ND21:NP21))</f>
        <v/>
      </c>
      <c r="NQ74" s="114" t="str">
        <f>IF(OR(NQ$13="",NQ$17="",NQ$14="",NQ$15="",NQ$16="",NQ$18="",NQ$19="",NQ$20="",NQ$21=""),"",SUM($ND21:NQ21))</f>
        <v/>
      </c>
      <c r="NR74" s="114" t="str">
        <f>IF(OR(NR$13="",NR$17="",NR$14="",NR$15="",NR$16="",NR$18="",NR$19="",NR$20="",NR$21=""),"",SUM($ND21:NR21))</f>
        <v/>
      </c>
      <c r="NS74" s="114" t="str">
        <f>IF(OR(NS$13="",NS$17="",NS$14="",NS$15="",NS$16="",NS$18="",NS$19="",NS$20="",NS$21=""),"",SUM($ND21:NS21))</f>
        <v/>
      </c>
      <c r="NT74" s="114" t="str">
        <f>IF(OR(NT$13="",NT$17="",NT$14="",NT$15="",NT$16="",NT$18="",NT$19="",NT$20="",NT$21=""),"",SUM($ND21:NT21))</f>
        <v/>
      </c>
      <c r="NU74" s="114" t="str">
        <f>IF(OR(NU$13="",NU$17="",NU$14="",NU$15="",NU$16="",NU$18="",NU$19="",NU$20="",NU$21=""),"",SUM($ND21:NU21))</f>
        <v/>
      </c>
      <c r="NV74" s="114" t="str">
        <f>IF(OR(NV$13="",NV$17="",NV$14="",NV$15="",NV$16="",NV$18="",NV$19="",NV$20="",NV$21=""),"",SUM($ND21:NV21))</f>
        <v/>
      </c>
      <c r="NW74" s="114" t="str">
        <f>IF(OR(NW$13="",NW$17="",NW$14="",NW$15="",NW$16="",NW$18="",NW$19="",NW$20="",NW$21=""),"",SUM($ND21:NW21))</f>
        <v/>
      </c>
      <c r="NX74" s="114" t="str">
        <f>IF(OR(NX$13="",NX$17="",NX$14="",NX$15="",NX$16="",NX$18="",NX$19="",NX$20="",NX$21=""),"",SUM($ND21:NX21))</f>
        <v/>
      </c>
      <c r="NY74" s="114" t="str">
        <f>IF(OR(NY$13="",NY$17="",NY$14="",NY$15="",NY$16="",NY$18="",NY$19="",NY$20="",NY$21=""),"",SUM($ND21:NY21))</f>
        <v/>
      </c>
      <c r="NZ74" s="114" t="str">
        <f>IF(OR(NZ$13="",NZ$17="",NZ$14="",NZ$15="",NZ$16="",NZ$18="",NZ$19="",NZ$20="",NZ$21=""),"",SUM($ND21:NZ21))</f>
        <v/>
      </c>
      <c r="OA74" s="114" t="str">
        <f>IF(OR(OA$13="",OA$17="",OA$14="",OA$15="",OA$16="",OA$18="",OA$19="",OA$20="",OA$21=""),"",SUM($ND21:OA21))</f>
        <v/>
      </c>
      <c r="OB74" s="114" t="str">
        <f>IF(OR(OB$13="",OB$17="",OB$14="",OB$15="",OB$16="",OB$18="",OB$19="",OB$20="",OB$21=""),"",SUM($ND21:OB21))</f>
        <v/>
      </c>
      <c r="OC74" s="114" t="str">
        <f>IF(OR(OC$13="",OC$17="",OC$14="",OC$15="",OC$16="",OC$18="",OC$19="",OC$20="",OC$21=""),"",SUM($ND21:OC21))</f>
        <v/>
      </c>
      <c r="OD74" s="114" t="str">
        <f>IF(OR(OD$13="",OD$17="",OD$14="",OD$15="",OD$16="",OD$18="",OD$19="",OD$20="",OD$21=""),"",SUM($ND21:OD21))</f>
        <v/>
      </c>
      <c r="OE74" s="114" t="str">
        <f>IF(OR(OE$13="",OE$17="",OE$14="",OE$15="",OE$16="",OE$18="",OE$19="",OE$20="",OE$21=""),"",SUM($ND21:OE21))</f>
        <v/>
      </c>
      <c r="OF74" s="114" t="str">
        <f>IF(OR(OF$13="",OF$17="",OF$14="",OF$15="",OF$16="",OF$18="",OF$19="",OF$20="",OF$21=""),"",SUM($ND21:OF21))</f>
        <v/>
      </c>
      <c r="OG74" s="114" t="str">
        <f>IF(OR(OG$13="",OG$17="",OG$14="",OG$15="",OG$16="",OG$18="",OG$19="",OG$20="",OG$21=""),"",SUM($ND21:OG21))</f>
        <v/>
      </c>
      <c r="OH74" s="114" t="str">
        <f>IF(OR(OH$13="",OH$17="",OH$14="",OH$15="",OH$16="",OH$18="",OH$19="",OH$20="",OH$21=""),"",SUM($ND21:OH21))</f>
        <v/>
      </c>
      <c r="OI74" s="114" t="str">
        <f>IF(OR(OI$13="",OI$17="",OI$14="",OI$15="",OI$16="",OI$18="",OI$19="",OI$20="",OI$21=""),"",SUM($OI21:OI21))</f>
        <v/>
      </c>
      <c r="OJ74" s="114" t="str">
        <f>IF(OR(OJ$13="",OJ$17="",OJ$14="",OJ$15="",OJ$16="",OJ$18="",OJ$19="",OJ$20="",OJ$21=""),"",SUM($OI21:OJ21))</f>
        <v/>
      </c>
      <c r="OK74" s="114" t="str">
        <f>IF(OR(OK$13="",OK$17="",OK$14="",OK$15="",OK$16="",OK$18="",OK$19="",OK$20="",OK$21=""),"",SUM($OI21:OK21))</f>
        <v/>
      </c>
      <c r="OL74" s="114" t="str">
        <f>IF(OR(OL$13="",OL$17="",OL$14="",OL$15="",OL$16="",OL$18="",OL$19="",OL$20="",OL$21=""),"",SUM($OI21:OL21))</f>
        <v/>
      </c>
      <c r="OM74" s="114" t="str">
        <f>IF(OR(OM$13="",OM$17="",OM$14="",OM$15="",OM$16="",OM$18="",OM$19="",OM$20="",OM$21=""),"",SUM($OI21:OM21))</f>
        <v/>
      </c>
      <c r="ON74" s="114" t="str">
        <f>IF(OR(ON$13="",ON$17="",ON$14="",ON$15="",ON$16="",ON$18="",ON$19="",ON$20="",ON$21=""),"",SUM($OI21:ON21))</f>
        <v/>
      </c>
      <c r="OO74" s="114" t="str">
        <f>IF(OR(OO$13="",OO$17="",OO$14="",OO$15="",OO$16="",OO$18="",OO$19="",OO$20="",OO$21=""),"",SUM($OI21:OO21))</f>
        <v/>
      </c>
      <c r="OP74" s="114" t="str">
        <f>IF(OR(OP$13="",OP$17="",OP$14="",OP$15="",OP$16="",OP$18="",OP$19="",OP$20="",OP$21=""),"",SUM($OI21:OP21))</f>
        <v/>
      </c>
      <c r="OQ74" s="114" t="str">
        <f>IF(OR(OQ$13="",OQ$17="",OQ$14="",OQ$15="",OQ$16="",OQ$18="",OQ$19="",OQ$20="",OQ$21=""),"",SUM($OI21:OQ21))</f>
        <v/>
      </c>
      <c r="OR74" s="114" t="str">
        <f>IF(OR(OR$13="",OR$17="",OR$14="",OR$15="",OR$16="",OR$18="",OR$19="",OR$20="",OR$21=""),"",SUM($OI21:OR21))</f>
        <v/>
      </c>
      <c r="OS74" s="114" t="str">
        <f>IF(OR(OS$13="",OS$17="",OS$14="",OS$15="",OS$16="",OS$18="",OS$19="",OS$20="",OS$21=""),"",SUM($OI21:OS21))</f>
        <v/>
      </c>
      <c r="OT74" s="114" t="str">
        <f>IF(OR(OT$13="",OT$17="",OT$14="",OT$15="",OT$16="",OT$18="",OT$19="",OT$20="",OT$21=""),"",SUM($OI21:OT21))</f>
        <v/>
      </c>
      <c r="OU74" s="114" t="str">
        <f>IF(OR(OU$13="",OU$17="",OU$14="",OU$15="",OU$16="",OU$18="",OU$19="",OU$20="",OU$21=""),"",SUM($OI21:OU21))</f>
        <v/>
      </c>
      <c r="OV74" s="114" t="str">
        <f>IF(OR(OV$13="",OV$17="",OV$14="",OV$15="",OV$16="",OV$18="",OV$19="",OV$20="",OV$21=""),"",SUM($OI21:OV21))</f>
        <v/>
      </c>
      <c r="OW74" s="114" t="str">
        <f>IF(OR(OW$13="",OW$17="",OW$14="",OW$15="",OW$16="",OW$18="",OW$19="",OW$20="",OW$21=""),"",SUM($OI21:OW21))</f>
        <v/>
      </c>
      <c r="OX74" s="114" t="str">
        <f>IF(OR(OX$13="",OX$17="",OX$14="",OX$15="",OX$16="",OX$18="",OX$19="",OX$20="",OX$21=""),"",SUM($OI21:OX21))</f>
        <v/>
      </c>
      <c r="OY74" s="114" t="str">
        <f>IF(OR(OY$13="",OY$17="",OY$14="",OY$15="",OY$16="",OY$18="",OY$19="",OY$20="",OY$21=""),"",SUM($OI21:OY21))</f>
        <v/>
      </c>
      <c r="OZ74" s="114" t="str">
        <f>IF(OR(OZ$13="",OZ$17="",OZ$14="",OZ$15="",OZ$16="",OZ$18="",OZ$19="",OZ$20="",OZ$21=""),"",SUM($OI21:OZ21))</f>
        <v/>
      </c>
      <c r="PA74" s="114" t="str">
        <f>IF(OR(PA$13="",PA$17="",PA$14="",PA$15="",PA$16="",PA$18="",PA$19="",PA$20="",PA$21=""),"",SUM($OI21:PA21))</f>
        <v/>
      </c>
      <c r="PB74" s="114" t="str">
        <f>IF(OR(PB$13="",PB$17="",PB$14="",PB$15="",PB$16="",PB$18="",PB$19="",PB$20="",PB$21=""),"",SUM($OI21:PB21))</f>
        <v/>
      </c>
      <c r="PC74" s="114" t="str">
        <f>IF(OR(PC$13="",PC$17="",PC$14="",PC$15="",PC$16="",PC$18="",PC$19="",PC$20="",PC$21=""),"",SUM($OI21:PC21))</f>
        <v/>
      </c>
      <c r="PD74" s="114" t="str">
        <f>IF(OR(PD$13="",PD$17="",PD$14="",PD$15="",PD$16="",PD$18="",PD$19="",PD$20="",PD$21=""),"",SUM($OI21:PD21))</f>
        <v/>
      </c>
      <c r="PE74" s="114" t="str">
        <f>IF(OR(PE$13="",PE$17="",PE$14="",PE$15="",PE$16="",PE$18="",PE$19="",PE$20="",PE$21=""),"",SUM($OI21:PE21))</f>
        <v/>
      </c>
      <c r="PF74" s="114" t="str">
        <f>IF(OR(PF$13="",PF$17="",PF$14="",PF$15="",PF$16="",PF$18="",PF$19="",PF$20="",PF$21=""),"",SUM($OI21:PF21))</f>
        <v/>
      </c>
      <c r="PG74" s="114" t="str">
        <f>IF(OR(PG$13="",PG$17="",PG$14="",PG$15="",PG$16="",PG$18="",PG$19="",PG$20="",PG$21=""),"",SUM($OI21:PG21))</f>
        <v/>
      </c>
      <c r="PH74" s="114" t="str">
        <f>IF(OR(PH$13="",PH$17="",PH$14="",PH$15="",PH$16="",PH$18="",PH$19="",PH$20="",PH$21=""),"",SUM($OI21:PH21))</f>
        <v/>
      </c>
      <c r="PI74" s="114" t="str">
        <f>IF(OR(PI$13="",PI$17="",PI$14="",PI$15="",PI$16="",PI$18="",PI$19="",PI$20="",PI$21=""),"",SUM($OI21:PI21))</f>
        <v/>
      </c>
      <c r="PJ74" s="114" t="str">
        <f>IF(OR(PJ$13="",PJ$17="",PJ$14="",PJ$15="",PJ$16="",PJ$18="",PJ$19="",PJ$20="",PJ$21=""),"",SUM($OI21:PJ21))</f>
        <v/>
      </c>
      <c r="PK74" s="114" t="str">
        <f>IF(OR(PK$13="",PK$17="",PK$14="",PK$15="",PK$16="",PK$18="",PK$19="",PK$20="",PK$21=""),"",SUM($PK21:PK21))</f>
        <v/>
      </c>
      <c r="PL74" s="114" t="str">
        <f>IF(OR(PL$13="",PL$17="",PL$14="",PL$15="",PL$16="",PL$18="",PL$19="",PL$20="",PL$21=""),"",SUM($PK21:PL21))</f>
        <v/>
      </c>
      <c r="PM74" s="114" t="str">
        <f>IF(OR(PM$13="",PM$17="",PM$14="",PM$15="",PM$16="",PM$18="",PM$19="",PM$20="",PM$21=""),"",SUM($PK21:PM21))</f>
        <v/>
      </c>
      <c r="PN74" s="114" t="str">
        <f>IF(OR(PN$13="",PN$17="",PN$14="",PN$15="",PN$16="",PN$18="",PN$19="",PN$20="",PN$21=""),"",SUM($PK21:PN21))</f>
        <v/>
      </c>
      <c r="PO74" s="114" t="str">
        <f>IF(OR(PO$13="",PO$17="",PO$14="",PO$15="",PO$16="",PO$18="",PO$19="",PO$20="",PO$21=""),"",SUM($PK21:PO21))</f>
        <v/>
      </c>
      <c r="PP74" s="114" t="str">
        <f>IF(OR(PP$13="",PP$17="",PP$14="",PP$15="",PP$16="",PP$18="",PP$19="",PP$20="",PP$21=""),"",SUM($PK21:PP21))</f>
        <v/>
      </c>
      <c r="PQ74" s="114" t="str">
        <f>IF(OR(PQ$13="",PQ$17="",PQ$14="",PQ$15="",PQ$16="",PQ$18="",PQ$19="",PQ$20="",PQ$21=""),"",SUM($PK21:PQ21))</f>
        <v/>
      </c>
      <c r="PR74" s="114" t="str">
        <f>IF(OR(PR$13="",PR$17="",PR$14="",PR$15="",PR$16="",PR$18="",PR$19="",PR$20="",PR$21=""),"",SUM($PK21:PR21))</f>
        <v/>
      </c>
      <c r="PS74" s="114" t="str">
        <f>IF(OR(PS$13="",PS$17="",PS$14="",PS$15="",PS$16="",PS$18="",PS$19="",PS$20="",PS$21=""),"",SUM($PK21:PS21))</f>
        <v/>
      </c>
      <c r="PT74" s="114" t="str">
        <f>IF(OR(PT$13="",PT$17="",PT$14="",PT$15="",PT$16="",PT$18="",PT$19="",PT$20="",PT$21=""),"",SUM($PK21:PT21))</f>
        <v/>
      </c>
      <c r="PU74" s="114" t="str">
        <f>IF(OR(PU$13="",PU$17="",PU$14="",PU$15="",PU$16="",PU$18="",PU$19="",PU$20="",PU$21=""),"",SUM($PK21:PU21))</f>
        <v/>
      </c>
      <c r="PV74" s="114" t="str">
        <f>IF(OR(PV$13="",PV$17="",PV$14="",PV$15="",PV$16="",PV$18="",PV$19="",PV$20="",PV$21=""),"",SUM($PK21:PV21))</f>
        <v/>
      </c>
      <c r="PW74" s="114" t="str">
        <f>IF(OR(PW$13="",PW$17="",PW$14="",PW$15="",PW$16="",PW$18="",PW$19="",PW$20="",PW$21=""),"",SUM($PK21:PW21))</f>
        <v/>
      </c>
      <c r="PX74" s="114" t="str">
        <f>IF(OR(PX$13="",PX$17="",PX$14="",PX$15="",PX$16="",PX$18="",PX$19="",PX$20="",PX$21=""),"",SUM($PK21:PX21))</f>
        <v/>
      </c>
      <c r="PY74" s="114" t="str">
        <f>IF(OR(PY$13="",PY$17="",PY$14="",PY$15="",PY$16="",PY$18="",PY$19="",PY$20="",PY$21=""),"",SUM($PK21:PY21))</f>
        <v/>
      </c>
      <c r="PZ74" s="114" t="str">
        <f>IF(OR(PZ$13="",PZ$17="",PZ$14="",PZ$15="",PZ$16="",PZ$18="",PZ$19="",PZ$20="",PZ$21=""),"",SUM($PK21:PZ21))</f>
        <v/>
      </c>
      <c r="QA74" s="114" t="str">
        <f>IF(OR(QA$13="",QA$17="",QA$14="",QA$15="",QA$16="",QA$18="",QA$19="",QA$20="",QA$21=""),"",SUM($PK21:QA21))</f>
        <v/>
      </c>
      <c r="QB74" s="114" t="str">
        <f>IF(OR(QB$13="",QB$17="",QB$14="",QB$15="",QB$16="",QB$18="",QB$19="",QB$20="",QB$21=""),"",SUM($PK21:QB21))</f>
        <v/>
      </c>
      <c r="QC74" s="114" t="str">
        <f>IF(OR(QC$13="",QC$17="",QC$14="",QC$15="",QC$16="",QC$18="",QC$19="",QC$20="",QC$21=""),"",SUM($PK21:QC21))</f>
        <v/>
      </c>
      <c r="QD74" s="114" t="str">
        <f>IF(OR(QD$13="",QD$17="",QD$14="",QD$15="",QD$16="",QD$18="",QD$19="",QD$20="",QD$21=""),"",SUM($PK21:QD21))</f>
        <v/>
      </c>
      <c r="QE74" s="114" t="str">
        <f>IF(OR(QE$13="",QE$17="",QE$14="",QE$15="",QE$16="",QE$18="",QE$19="",QE$20="",QE$21=""),"",SUM($PK21:QE21))</f>
        <v/>
      </c>
      <c r="QF74" s="114" t="str">
        <f>IF(OR(QF$13="",QF$17="",QF$14="",QF$15="",QF$16="",QF$18="",QF$19="",QF$20="",QF$21=""),"",SUM($PK21:QF21))</f>
        <v/>
      </c>
      <c r="QG74" s="114" t="str">
        <f>IF(OR(QG$13="",QG$17="",QG$14="",QG$15="",QG$16="",QG$18="",QG$19="",QG$20="",QG$21=""),"",SUM($PK21:QG21))</f>
        <v/>
      </c>
      <c r="QH74" s="114" t="str">
        <f>IF(OR(QH$13="",QH$17="",QH$14="",QH$15="",QH$16="",QH$18="",QH$19="",QH$20="",QH$21=""),"",SUM($PK21:QH21))</f>
        <v/>
      </c>
      <c r="QI74" s="114" t="str">
        <f>IF(OR(QI$13="",QI$17="",QI$14="",QI$15="",QI$16="",QI$18="",QI$19="",QI$20="",QI$21=""),"",SUM($PK21:QI21))</f>
        <v/>
      </c>
      <c r="QJ74" s="114" t="str">
        <f>IF(OR(QJ$13="",QJ$17="",QJ$14="",QJ$15="",QJ$16="",QJ$18="",QJ$19="",QJ$20="",QJ$21=""),"",SUM($PK21:QJ21))</f>
        <v/>
      </c>
      <c r="QK74" s="114" t="str">
        <f>IF(OR(QK$13="",QK$17="",QK$14="",QK$15="",QK$16="",QK$18="",QK$19="",QK$20="",QK$21=""),"",SUM($PK21:QK21))</f>
        <v/>
      </c>
      <c r="QL74" s="114" t="str">
        <f>IF(OR(QL$13="",QL$17="",QL$14="",QL$15="",QL$16="",QL$18="",QL$19="",QL$20="",QL$21=""),"",SUM($PK21:QL21))</f>
        <v/>
      </c>
      <c r="QM74" s="114" t="str">
        <f>IF(OR(QM$13="",QM$17="",QM$14="",QM$15="",QM$16="",QM$18="",QM$19="",QM$20="",QM$21=""),"",SUM($PK21:QM21))</f>
        <v/>
      </c>
      <c r="QN74" s="114" t="str">
        <f>IF(OR(QN$13="",QN$17="",QN$14="",QN$15="",QN$16="",QN$18="",QN$19="",QN$20="",QN$21=""),"",SUM($PK21:QN21))</f>
        <v/>
      </c>
      <c r="QO74" s="114" t="str">
        <f>IF(OR(QO$13="",QO$17="",QO$14="",QO$15="",QO$16="",QO$18="",QO$19="",QO$20="",QO$21=""),"",SUM($PK21:QO21))</f>
        <v/>
      </c>
      <c r="QP74" s="114" t="str">
        <f>IF(OR(QP$13="",QP$17="",QP$14="",QP$15="",QP$16="",QP$18="",QP$19="",QP$20="",QP$21=""),"",SUM($QP21:QP21))</f>
        <v/>
      </c>
      <c r="QQ74" s="114" t="str">
        <f>IF(OR(QQ$13="",QQ$17="",QQ$14="",QQ$15="",QQ$16="",QQ$18="",QQ$19="",QQ$20="",QQ$21=""),"",SUM($QP21:QQ21))</f>
        <v/>
      </c>
      <c r="QR74" s="114" t="str">
        <f>IF(OR(QR$13="",QR$17="",QR$14="",QR$15="",QR$16="",QR$18="",QR$19="",QR$20="",QR$21=""),"",SUM($QP21:QR21))</f>
        <v/>
      </c>
      <c r="QS74" s="114" t="str">
        <f>IF(OR(QS$13="",QS$17="",QS$14="",QS$15="",QS$16="",QS$18="",QS$19="",QS$20="",QS$21=""),"",SUM($QP21:QS21))</f>
        <v/>
      </c>
      <c r="QT74" s="114" t="str">
        <f>IF(OR(QT$13="",QT$17="",QT$14="",QT$15="",QT$16="",QT$18="",QT$19="",QT$20="",QT$21=""),"",SUM($QP21:QT21))</f>
        <v/>
      </c>
      <c r="QU74" s="114" t="str">
        <f>IF(OR(QU$13="",QU$17="",QU$14="",QU$15="",QU$16="",QU$18="",QU$19="",QU$20="",QU$21=""),"",SUM($QP21:QU21))</f>
        <v/>
      </c>
      <c r="QV74" s="114" t="str">
        <f>IF(OR(QV$13="",QV$17="",QV$14="",QV$15="",QV$16="",QV$18="",QV$19="",QV$20="",QV$21=""),"",SUM($QP21:QV21))</f>
        <v/>
      </c>
      <c r="QW74" s="114" t="str">
        <f>IF(OR(QW$13="",QW$17="",QW$14="",QW$15="",QW$16="",QW$18="",QW$19="",QW$20="",QW$21=""),"",SUM($QP21:QW21))</f>
        <v/>
      </c>
      <c r="QX74" s="114" t="str">
        <f>IF(OR(QX$13="",QX$17="",QX$14="",QX$15="",QX$16="",QX$18="",QX$19="",QX$20="",QX$21=""),"",SUM($QP21:QX21))</f>
        <v/>
      </c>
      <c r="QY74" s="114" t="str">
        <f>IF(OR(QY$13="",QY$17="",QY$14="",QY$15="",QY$16="",QY$18="",QY$19="",QY$20="",QY$21=""),"",SUM($QP21:QY21))</f>
        <v/>
      </c>
      <c r="QZ74" s="114" t="str">
        <f>IF(OR(QZ$13="",QZ$17="",QZ$14="",QZ$15="",QZ$16="",QZ$18="",QZ$19="",QZ$20="",QZ$21=""),"",SUM($QP21:QZ21))</f>
        <v/>
      </c>
      <c r="RA74" s="114" t="str">
        <f>IF(OR(RA$13="",RA$17="",RA$14="",RA$15="",RA$16="",RA$18="",RA$19="",RA$20="",RA$21=""),"",SUM($QP21:RA21))</f>
        <v/>
      </c>
      <c r="RB74" s="114" t="str">
        <f>IF(OR(RB$13="",RB$17="",RB$14="",RB$15="",RB$16="",RB$18="",RB$19="",RB$20="",RB$21=""),"",SUM($QP21:RB21))</f>
        <v/>
      </c>
      <c r="RC74" s="114" t="str">
        <f>IF(OR(RC$13="",RC$17="",RC$14="",RC$15="",RC$16="",RC$18="",RC$19="",RC$20="",RC$21=""),"",SUM($QP21:RC21))</f>
        <v/>
      </c>
      <c r="RD74" s="114" t="str">
        <f>IF(OR(RD$13="",RD$17="",RD$14="",RD$15="",RD$16="",RD$18="",RD$19="",RD$20="",RD$21=""),"",SUM($QP21:RD21))</f>
        <v/>
      </c>
      <c r="RE74" s="114" t="str">
        <f>IF(OR(RE$13="",RE$17="",RE$14="",RE$15="",RE$16="",RE$18="",RE$19="",RE$20="",RE$21=""),"",SUM($QP21:RE21))</f>
        <v/>
      </c>
      <c r="RF74" s="114" t="str">
        <f>IF(OR(RF$13="",RF$17="",RF$14="",RF$15="",RF$16="",RF$18="",RF$19="",RF$20="",RF$21=""),"",SUM($QP21:RF21))</f>
        <v/>
      </c>
      <c r="RG74" s="114" t="str">
        <f>IF(OR(RG$13="",RG$17="",RG$14="",RG$15="",RG$16="",RG$18="",RG$19="",RG$20="",RG$21=""),"",SUM($QP21:RG21))</f>
        <v/>
      </c>
      <c r="RH74" s="114" t="str">
        <f>IF(OR(RH$13="",RH$17="",RH$14="",RH$15="",RH$16="",RH$18="",RH$19="",RH$20="",RH$21=""),"",SUM($QP21:RH21))</f>
        <v/>
      </c>
      <c r="RI74" s="114" t="str">
        <f>IF(OR(RI$13="",RI$17="",RI$14="",RI$15="",RI$16="",RI$18="",RI$19="",RI$20="",RI$21=""),"",SUM($QP21:RI21))</f>
        <v/>
      </c>
      <c r="RJ74" s="114" t="str">
        <f>IF(OR(RJ$13="",RJ$17="",RJ$14="",RJ$15="",RJ$16="",RJ$18="",RJ$19="",RJ$20="",RJ$21=""),"",SUM($QP21:RJ21))</f>
        <v/>
      </c>
      <c r="RK74" s="114" t="str">
        <f>IF(OR(RK$13="",RK$17="",RK$14="",RK$15="",RK$16="",RK$18="",RK$19="",RK$20="",RK$21=""),"",SUM($QP21:RK21))</f>
        <v/>
      </c>
      <c r="RL74" s="114" t="str">
        <f>IF(OR(RL$13="",RL$17="",RL$14="",RL$15="",RL$16="",RL$18="",RL$19="",RL$20="",RL$21=""),"",SUM($QP21:RL21))</f>
        <v/>
      </c>
      <c r="RM74" s="114" t="str">
        <f>IF(OR(RM$13="",RM$17="",RM$14="",RM$15="",RM$16="",RM$18="",RM$19="",RM$20="",RM$21=""),"",SUM($QP21:RM21))</f>
        <v/>
      </c>
      <c r="RN74" s="114" t="str">
        <f>IF(OR(RN$13="",RN$17="",RN$14="",RN$15="",RN$16="",RN$18="",RN$19="",RN$20="",RN$21=""),"",SUM($QP21:RN21))</f>
        <v/>
      </c>
      <c r="RO74" s="114" t="str">
        <f>IF(OR(RO$13="",RO$17="",RO$14="",RO$15="",RO$16="",RO$18="",RO$19="",RO$20="",RO$21=""),"",SUM($QP21:RO21))</f>
        <v/>
      </c>
      <c r="RP74" s="114" t="str">
        <f>IF(OR(RP$13="",RP$17="",RP$14="",RP$15="",RP$16="",RP$18="",RP$19="",RP$20="",RP$21=""),"",SUM($QP21:RP21))</f>
        <v/>
      </c>
      <c r="RQ74" s="114" t="str">
        <f>IF(OR(RQ$13="",RQ$17="",RQ$14="",RQ$15="",RQ$16="",RQ$18="",RQ$19="",RQ$20="",RQ$21=""),"",SUM($QP21:RQ21))</f>
        <v/>
      </c>
      <c r="RR74" s="114" t="str">
        <f>IF(OR(RR$13="",RR$17="",RR$14="",RR$15="",RR$16="",RR$18="",RR$19="",RR$20="",RR$21=""),"",SUM($QP21:RR21))</f>
        <v/>
      </c>
      <c r="RS74" s="114" t="str">
        <f>IF(OR(RS$13="",RS$17="",RS$14="",RS$15="",RS$16="",RS$18="",RS$19="",RS$20="",RS$21=""),"",SUM($QP21:RS21))</f>
        <v/>
      </c>
      <c r="RT74" s="114" t="str">
        <f>IF(OR(RT$13="",RT$17="",RT$14="",RT$15="",RT$16="",RT$18="",RT$19="",RT$20="",RT$21=""),"",SUM($RT21:RT21))</f>
        <v/>
      </c>
      <c r="RU74" s="114" t="str">
        <f>IF(OR(RU$13="",RU$17="",RU$14="",RU$15="",RU$16="",RU$18="",RU$19="",RU$20="",RU$21=""),"",SUM($RT21:RU21))</f>
        <v/>
      </c>
      <c r="RV74" s="114" t="str">
        <f>IF(OR(RV$13="",RV$17="",RV$14="",RV$15="",RV$16="",RV$18="",RV$19="",RV$20="",RV$21=""),"",SUM($RT21:RV21))</f>
        <v/>
      </c>
      <c r="RW74" s="114" t="str">
        <f>IF(OR(RW$13="",RW$17="",RW$14="",RW$15="",RW$16="",RW$18="",RW$19="",RW$20="",RW$21=""),"",SUM($RT21:RW21))</f>
        <v/>
      </c>
      <c r="RX74" s="114" t="str">
        <f>IF(OR(RX$13="",RX$17="",RX$14="",RX$15="",RX$16="",RX$18="",RX$19="",RX$20="",RX$21=""),"",SUM($RT21:RX21))</f>
        <v/>
      </c>
      <c r="RY74" s="114" t="str">
        <f>IF(OR(RY$13="",RY$17="",RY$14="",RY$15="",RY$16="",RY$18="",RY$19="",RY$20="",RY$21=""),"",SUM($RT21:RY21))</f>
        <v/>
      </c>
      <c r="RZ74" s="114" t="str">
        <f>IF(OR(RZ$13="",RZ$17="",RZ$14="",RZ$15="",RZ$16="",RZ$18="",RZ$19="",RZ$20="",RZ$21=""),"",SUM($RT21:RZ21))</f>
        <v/>
      </c>
      <c r="SA74" s="114" t="str">
        <f>IF(OR(SA$13="",SA$17="",SA$14="",SA$15="",SA$16="",SA$18="",SA$19="",SA$20="",SA$21=""),"",SUM($RT21:SA21))</f>
        <v/>
      </c>
      <c r="SB74" s="114" t="str">
        <f>IF(OR(SB$13="",SB$17="",SB$14="",SB$15="",SB$16="",SB$18="",SB$19="",SB$20="",SB$21=""),"",SUM($RT21:SB21))</f>
        <v/>
      </c>
      <c r="SC74" s="114" t="str">
        <f>IF(OR(SC$13="",SC$17="",SC$14="",SC$15="",SC$16="",SC$18="",SC$19="",SC$20="",SC$21=""),"",SUM($RT21:SC21))</f>
        <v/>
      </c>
      <c r="SD74" s="114" t="str">
        <f>IF(OR(SD$13="",SD$17="",SD$14="",SD$15="",SD$16="",SD$18="",SD$19="",SD$20="",SD$21=""),"",SUM($RT21:SD21))</f>
        <v/>
      </c>
      <c r="SE74" s="114" t="str">
        <f>IF(OR(SE$13="",SE$17="",SE$14="",SE$15="",SE$16="",SE$18="",SE$19="",SE$20="",SE$21=""),"",SUM($RT21:SE21))</f>
        <v/>
      </c>
      <c r="SF74" s="114" t="str">
        <f>IF(OR(SF$13="",SF$17="",SF$14="",SF$15="",SF$16="",SF$18="",SF$19="",SF$20="",SF$21=""),"",SUM($RT21:SF21))</f>
        <v/>
      </c>
      <c r="SG74" s="114" t="str">
        <f>IF(OR(SG$13="",SG$17="",SG$14="",SG$15="",SG$16="",SG$18="",SG$19="",SG$20="",SG$21=""),"",SUM($RT21:SG21))</f>
        <v/>
      </c>
      <c r="SH74" s="114" t="str">
        <f>IF(OR(SH$13="",SH$17="",SH$14="",SH$15="",SH$16="",SH$18="",SH$19="",SH$20="",SH$21=""),"",SUM($RT21:SH21))</f>
        <v/>
      </c>
      <c r="SI74" s="114" t="str">
        <f>IF(OR(SI$13="",SI$17="",SI$14="",SI$15="",SI$16="",SI$18="",SI$19="",SI$20="",SI$21=""),"",SUM($RT21:SI21))</f>
        <v/>
      </c>
      <c r="SJ74" s="114" t="str">
        <f>IF(OR(SJ$13="",SJ$17="",SJ$14="",SJ$15="",SJ$16="",SJ$18="",SJ$19="",SJ$20="",SJ$21=""),"",SUM($RT21:SJ21))</f>
        <v/>
      </c>
      <c r="SK74" s="114" t="str">
        <f>IF(OR(SK$13="",SK$17="",SK$14="",SK$15="",SK$16="",SK$18="",SK$19="",SK$20="",SK$21=""),"",SUM($RT21:SK21))</f>
        <v/>
      </c>
      <c r="SL74" s="114" t="str">
        <f>IF(OR(SL$13="",SL$17="",SL$14="",SL$15="",SL$16="",SL$18="",SL$19="",SL$20="",SL$21=""),"",SUM($RT21:SL21))</f>
        <v/>
      </c>
      <c r="SM74" s="114" t="str">
        <f>IF(OR(SM$13="",SM$17="",SM$14="",SM$15="",SM$16="",SM$18="",SM$19="",SM$20="",SM$21=""),"",SUM($RT21:SM21))</f>
        <v/>
      </c>
      <c r="SN74" s="114" t="str">
        <f>IF(OR(SN$13="",SN$17="",SN$14="",SN$15="",SN$16="",SN$18="",SN$19="",SN$20="",SN$21=""),"",SUM($RT21:SN21))</f>
        <v/>
      </c>
      <c r="SO74" s="114" t="str">
        <f>IF(OR(SO$13="",SO$17="",SO$14="",SO$15="",SO$16="",SO$18="",SO$19="",SO$20="",SO$21=""),"",SUM($RT21:SO21))</f>
        <v/>
      </c>
      <c r="SP74" s="114" t="str">
        <f>IF(OR(SP$13="",SP$17="",SP$14="",SP$15="",SP$16="",SP$18="",SP$19="",SP$20="",SP$21=""),"",SUM($RT21:SP21))</f>
        <v/>
      </c>
      <c r="SQ74" s="114" t="str">
        <f>IF(OR(SQ$13="",SQ$17="",SQ$14="",SQ$15="",SQ$16="",SQ$18="",SQ$19="",SQ$20="",SQ$21=""),"",SUM($RT21:SQ21))</f>
        <v/>
      </c>
      <c r="SR74" s="114" t="str">
        <f>IF(OR(SR$13="",SR$17="",SR$14="",SR$15="",SR$16="",SR$18="",SR$19="",SR$20="",SR$21=""),"",SUM($RT21:SR21))</f>
        <v/>
      </c>
      <c r="SS74" s="114" t="str">
        <f>IF(OR(SS$13="",SS$17="",SS$14="",SS$15="",SS$16="",SS$18="",SS$19="",SS$20="",SS$21=""),"",SUM($RT21:SS21))</f>
        <v/>
      </c>
      <c r="ST74" s="114" t="str">
        <f>IF(OR(ST$13="",ST$17="",ST$14="",ST$15="",ST$16="",ST$18="",ST$19="",ST$20="",ST$21=""),"",SUM($RT21:ST21))</f>
        <v/>
      </c>
      <c r="SU74" s="114" t="str">
        <f>IF(OR(SU$13="",SU$17="",SU$14="",SU$15="",SU$16="",SU$18="",SU$19="",SU$20="",SU$21=""),"",SUM($RT21:SU21))</f>
        <v/>
      </c>
      <c r="SV74" s="114" t="str">
        <f>IF(OR(SV$13="",SV$17="",SV$14="",SV$15="",SV$16="",SV$18="",SV$19="",SV$20="",SV$21=""),"",SUM($RT21:SV21))</f>
        <v/>
      </c>
      <c r="SW74" s="114" t="str">
        <f>IF(OR(SW$13="",SW$17="",SW$14="",SW$15="",SW$16="",SW$18="",SW$19="",SW$20="",SW$21=""),"",SUM($RT21:SW21))</f>
        <v/>
      </c>
    </row>
    <row r="75" spans="1:517" ht="24.6" customHeight="1" x14ac:dyDescent="0.2">
      <c r="A75" s="94">
        <f>COUNTIF(A66:A74,B75)</f>
        <v>5</v>
      </c>
      <c r="B75" s="115" t="s">
        <v>86</v>
      </c>
      <c r="C75" s="116">
        <f>IF(OR(C66="",C67="",C68="",C69="",C70="",C71="",C72="",C73="",C74=""),"",SUMIF($A$66:$A$74,$B75,C$66:C$74))</f>
        <v>0</v>
      </c>
      <c r="D75" s="116">
        <f t="shared" ref="D75:BO75" si="579">IF(OR(D66="",D67="",D68="",D69="",D70="",D71="",D72="",D73="",D74=""),"",SUMIF($A$66:$A$74,$B75,D$66:D$74))</f>
        <v>0</v>
      </c>
      <c r="E75" s="116">
        <f t="shared" si="579"/>
        <v>2.4</v>
      </c>
      <c r="F75" s="116">
        <f t="shared" si="579"/>
        <v>2.4</v>
      </c>
      <c r="G75" s="116">
        <f t="shared" si="579"/>
        <v>2.4</v>
      </c>
      <c r="H75" s="116">
        <f t="shared" si="579"/>
        <v>9.6199999999999992</v>
      </c>
      <c r="I75" s="116">
        <f t="shared" si="579"/>
        <v>11.09</v>
      </c>
      <c r="J75" s="116">
        <f t="shared" si="579"/>
        <v>37.590000000000003</v>
      </c>
      <c r="K75" s="116">
        <f t="shared" si="579"/>
        <v>38.840000000000003</v>
      </c>
      <c r="L75" s="116">
        <f t="shared" si="579"/>
        <v>47.070000000000007</v>
      </c>
      <c r="M75" s="116">
        <f t="shared" si="579"/>
        <v>83.440000000000012</v>
      </c>
      <c r="N75" s="116">
        <f t="shared" si="579"/>
        <v>92.04000000000002</v>
      </c>
      <c r="O75" s="116">
        <f t="shared" si="579"/>
        <v>134.86000000000001</v>
      </c>
      <c r="P75" s="116">
        <f t="shared" si="579"/>
        <v>134.86000000000001</v>
      </c>
      <c r="Q75" s="116">
        <f t="shared" si="579"/>
        <v>141.31000000000003</v>
      </c>
      <c r="R75" s="116">
        <f t="shared" si="579"/>
        <v>171.42000000000002</v>
      </c>
      <c r="S75" s="116">
        <f t="shared" si="579"/>
        <v>172.44</v>
      </c>
      <c r="T75" s="116">
        <f t="shared" si="579"/>
        <v>177.87</v>
      </c>
      <c r="U75" s="116">
        <f t="shared" si="579"/>
        <v>181.14</v>
      </c>
      <c r="V75" s="116">
        <f t="shared" si="579"/>
        <v>194.91</v>
      </c>
      <c r="W75" s="116">
        <f t="shared" si="579"/>
        <v>195.13</v>
      </c>
      <c r="X75" s="116">
        <f t="shared" si="579"/>
        <v>221.08999999999997</v>
      </c>
      <c r="Y75" s="116">
        <f t="shared" si="579"/>
        <v>276.64</v>
      </c>
      <c r="Z75" s="116">
        <f t="shared" si="579"/>
        <v>286.04000000000002</v>
      </c>
      <c r="AA75" s="116">
        <f t="shared" si="579"/>
        <v>289.59000000000003</v>
      </c>
      <c r="AB75" s="116">
        <f t="shared" si="579"/>
        <v>289.59000000000003</v>
      </c>
      <c r="AC75" s="116">
        <f t="shared" si="579"/>
        <v>290.75</v>
      </c>
      <c r="AD75" s="116">
        <f t="shared" si="579"/>
        <v>333.25</v>
      </c>
      <c r="AE75" s="116">
        <f t="shared" si="579"/>
        <v>333.25</v>
      </c>
      <c r="AF75" s="116">
        <f t="shared" si="579"/>
        <v>348.48</v>
      </c>
      <c r="AG75" s="116">
        <f t="shared" si="579"/>
        <v>354.46000000000004</v>
      </c>
      <c r="AH75" s="116">
        <f t="shared" si="579"/>
        <v>1.97</v>
      </c>
      <c r="AI75" s="116">
        <f t="shared" si="579"/>
        <v>24.759999999999998</v>
      </c>
      <c r="AJ75" s="116">
        <f t="shared" si="579"/>
        <v>30.78</v>
      </c>
      <c r="AK75" s="116">
        <f t="shared" si="579"/>
        <v>38.650000000000006</v>
      </c>
      <c r="AL75" s="116">
        <f t="shared" si="579"/>
        <v>45.2</v>
      </c>
      <c r="AM75" s="116">
        <f t="shared" si="579"/>
        <v>67.16</v>
      </c>
      <c r="AN75" s="116">
        <f t="shared" si="579"/>
        <v>72.12</v>
      </c>
      <c r="AO75" s="116">
        <f t="shared" si="579"/>
        <v>86.320000000000007</v>
      </c>
      <c r="AP75" s="116">
        <f t="shared" si="579"/>
        <v>104.01000000000002</v>
      </c>
      <c r="AQ75" s="116">
        <f t="shared" si="579"/>
        <v>122.42000000000002</v>
      </c>
      <c r="AR75" s="116">
        <f t="shared" si="579"/>
        <v>139.03</v>
      </c>
      <c r="AS75" s="116">
        <f t="shared" si="579"/>
        <v>158.18</v>
      </c>
      <c r="AT75" s="116">
        <f t="shared" si="579"/>
        <v>160.99</v>
      </c>
      <c r="AU75" s="116">
        <f t="shared" si="579"/>
        <v>181.41</v>
      </c>
      <c r="AV75" s="116">
        <f t="shared" si="579"/>
        <v>209.93</v>
      </c>
      <c r="AW75" s="116">
        <f t="shared" si="579"/>
        <v>223.57999999999998</v>
      </c>
      <c r="AX75" s="116">
        <f t="shared" si="579"/>
        <v>226.76999999999998</v>
      </c>
      <c r="AY75" s="116">
        <f t="shared" si="579"/>
        <v>261.41999999999996</v>
      </c>
      <c r="AZ75" s="116">
        <f t="shared" si="579"/>
        <v>285.31</v>
      </c>
      <c r="BA75" s="116">
        <f t="shared" si="579"/>
        <v>311.96999999999997</v>
      </c>
      <c r="BB75" s="116">
        <f t="shared" si="579"/>
        <v>314.75</v>
      </c>
      <c r="BC75" s="116">
        <f t="shared" si="579"/>
        <v>326.40999999999997</v>
      </c>
      <c r="BD75" s="116">
        <f t="shared" si="579"/>
        <v>329.67999999999995</v>
      </c>
      <c r="BE75" s="116">
        <f t="shared" si="579"/>
        <v>334.39</v>
      </c>
      <c r="BF75" s="116">
        <f t="shared" si="579"/>
        <v>338.31</v>
      </c>
      <c r="BG75" s="116">
        <f t="shared" si="579"/>
        <v>343.14000000000004</v>
      </c>
      <c r="BH75" s="116">
        <f t="shared" si="579"/>
        <v>346.94000000000005</v>
      </c>
      <c r="BI75" s="116">
        <f t="shared" si="579"/>
        <v>355.67</v>
      </c>
      <c r="BJ75" s="116">
        <f t="shared" si="579"/>
        <v>31.130000000000003</v>
      </c>
      <c r="BK75" s="116">
        <f t="shared" si="579"/>
        <v>59.739999999999995</v>
      </c>
      <c r="BL75" s="116">
        <f t="shared" si="579"/>
        <v>102.78999999999999</v>
      </c>
      <c r="BM75" s="116">
        <f t="shared" si="579"/>
        <v>102.78999999999999</v>
      </c>
      <c r="BN75" s="116">
        <f t="shared" si="579"/>
        <v>127.49</v>
      </c>
      <c r="BO75" s="116">
        <f t="shared" si="579"/>
        <v>152</v>
      </c>
      <c r="BP75" s="116">
        <f t="shared" ref="BP75:EA75" si="580">IF(OR(BP66="",BP67="",BP68="",BP69="",BP70="",BP71="",BP72="",BP73="",BP74=""),"",SUMIF($A$66:$A$74,$B75,BP$66:BP$74))</f>
        <v>156.04</v>
      </c>
      <c r="BQ75" s="116">
        <f t="shared" si="580"/>
        <v>162.03</v>
      </c>
      <c r="BR75" s="116">
        <f t="shared" si="580"/>
        <v>180.86</v>
      </c>
      <c r="BS75" s="116">
        <f t="shared" si="580"/>
        <v>203.74</v>
      </c>
      <c r="BT75" s="116">
        <f t="shared" si="580"/>
        <v>209.91</v>
      </c>
      <c r="BU75" s="116">
        <f t="shared" si="580"/>
        <v>215.69</v>
      </c>
      <c r="BV75" s="116">
        <f t="shared" si="580"/>
        <v>233.7</v>
      </c>
      <c r="BW75" s="116">
        <f t="shared" si="580"/>
        <v>245.89999999999998</v>
      </c>
      <c r="BX75" s="116">
        <f t="shared" si="580"/>
        <v>248.42000000000002</v>
      </c>
      <c r="BY75" s="116">
        <f t="shared" si="580"/>
        <v>253.62</v>
      </c>
      <c r="BZ75" s="116">
        <f t="shared" si="580"/>
        <v>257.14999999999998</v>
      </c>
      <c r="CA75" s="116">
        <f t="shared" si="580"/>
        <v>270.03000000000003</v>
      </c>
      <c r="CB75" s="116">
        <f t="shared" si="580"/>
        <v>332.5</v>
      </c>
      <c r="CC75" s="116">
        <f t="shared" si="580"/>
        <v>382.09</v>
      </c>
      <c r="CD75" s="116">
        <f t="shared" si="580"/>
        <v>389.88</v>
      </c>
      <c r="CE75" s="116">
        <f t="shared" si="580"/>
        <v>389.88</v>
      </c>
      <c r="CF75" s="116">
        <f t="shared" si="580"/>
        <v>407.53999999999996</v>
      </c>
      <c r="CG75" s="116">
        <f t="shared" si="580"/>
        <v>407.86</v>
      </c>
      <c r="CH75" s="116">
        <f t="shared" si="580"/>
        <v>412.76</v>
      </c>
      <c r="CI75" s="116">
        <f t="shared" si="580"/>
        <v>424.41</v>
      </c>
      <c r="CJ75" s="116">
        <f t="shared" si="580"/>
        <v>434.66999999999996</v>
      </c>
      <c r="CK75" s="116">
        <f t="shared" si="580"/>
        <v>434.66999999999996</v>
      </c>
      <c r="CL75" s="116">
        <f t="shared" si="580"/>
        <v>436.74999999999994</v>
      </c>
      <c r="CM75" s="116">
        <f t="shared" si="580"/>
        <v>465.15999999999997</v>
      </c>
      <c r="CN75" s="116">
        <f t="shared" si="580"/>
        <v>475.90999999999997</v>
      </c>
      <c r="CO75" s="116">
        <f t="shared" si="580"/>
        <v>34.96</v>
      </c>
      <c r="CP75" s="116">
        <f t="shared" si="580"/>
        <v>45.82</v>
      </c>
      <c r="CQ75" s="116">
        <f t="shared" si="580"/>
        <v>63.54</v>
      </c>
      <c r="CR75" s="116">
        <f t="shared" si="580"/>
        <v>96.52000000000001</v>
      </c>
      <c r="CS75" s="116">
        <f t="shared" si="580"/>
        <v>127.7</v>
      </c>
      <c r="CT75" s="116">
        <f t="shared" si="580"/>
        <v>145.70000000000002</v>
      </c>
      <c r="CU75" s="116">
        <f t="shared" si="580"/>
        <v>156.16999999999999</v>
      </c>
      <c r="CV75" s="116">
        <f t="shared" si="580"/>
        <v>157.6</v>
      </c>
      <c r="CW75" s="116">
        <f t="shared" si="580"/>
        <v>157.6</v>
      </c>
      <c r="CX75" s="116">
        <f t="shared" si="580"/>
        <v>157.6</v>
      </c>
      <c r="CY75" s="116">
        <f t="shared" si="580"/>
        <v>174.53</v>
      </c>
      <c r="CZ75" s="116">
        <f t="shared" si="580"/>
        <v>174.53</v>
      </c>
      <c r="DA75" s="116">
        <f t="shared" si="580"/>
        <v>191.92000000000002</v>
      </c>
      <c r="DB75" s="116">
        <f t="shared" si="580"/>
        <v>196.3</v>
      </c>
      <c r="DC75" s="116">
        <f t="shared" si="580"/>
        <v>196.3</v>
      </c>
      <c r="DD75" s="116">
        <f t="shared" si="580"/>
        <v>210.11</v>
      </c>
      <c r="DE75" s="116">
        <f t="shared" si="580"/>
        <v>221.81</v>
      </c>
      <c r="DF75" s="116">
        <f t="shared" si="580"/>
        <v>223.81</v>
      </c>
      <c r="DG75" s="116">
        <f t="shared" si="580"/>
        <v>239.06000000000003</v>
      </c>
      <c r="DH75" s="116">
        <f t="shared" si="580"/>
        <v>283.8</v>
      </c>
      <c r="DI75" s="116">
        <f t="shared" si="580"/>
        <v>285.64</v>
      </c>
      <c r="DJ75" s="116">
        <f t="shared" si="580"/>
        <v>291.89999999999998</v>
      </c>
      <c r="DK75" s="116">
        <f t="shared" si="580"/>
        <v>295.58999999999997</v>
      </c>
      <c r="DL75" s="116">
        <f t="shared" si="580"/>
        <v>299.20999999999998</v>
      </c>
      <c r="DM75" s="116">
        <f t="shared" si="580"/>
        <v>299.20999999999998</v>
      </c>
      <c r="DN75" s="116">
        <f t="shared" si="580"/>
        <v>299.20999999999998</v>
      </c>
      <c r="DO75" s="116">
        <f t="shared" si="580"/>
        <v>307.96000000000004</v>
      </c>
      <c r="DP75" s="116">
        <f t="shared" si="580"/>
        <v>316.06</v>
      </c>
      <c r="DQ75" s="116">
        <f t="shared" si="580"/>
        <v>317.19</v>
      </c>
      <c r="DR75" s="116">
        <f t="shared" si="580"/>
        <v>353.21000000000004</v>
      </c>
      <c r="DS75" s="116">
        <f t="shared" si="580"/>
        <v>16.380000000000003</v>
      </c>
      <c r="DT75" s="116">
        <f t="shared" si="580"/>
        <v>21.340000000000003</v>
      </c>
      <c r="DU75" s="116">
        <f t="shared" si="580"/>
        <v>57.290000000000006</v>
      </c>
      <c r="DV75" s="116">
        <f t="shared" si="580"/>
        <v>63.14</v>
      </c>
      <c r="DW75" s="116">
        <f t="shared" si="580"/>
        <v>64.41</v>
      </c>
      <c r="DX75" s="116">
        <f t="shared" si="580"/>
        <v>78.460000000000008</v>
      </c>
      <c r="DY75" s="116">
        <f t="shared" si="580"/>
        <v>83.050000000000011</v>
      </c>
      <c r="DZ75" s="116">
        <f t="shared" si="580"/>
        <v>102.88</v>
      </c>
      <c r="EA75" s="116">
        <f t="shared" si="580"/>
        <v>102.88</v>
      </c>
      <c r="EB75" s="116">
        <f t="shared" ref="EB75:GM75" si="581">IF(OR(EB66="",EB67="",EB68="",EB69="",EB70="",EB71="",EB72="",EB73="",EB74=""),"",SUMIF($A$66:$A$74,$B75,EB$66:EB$74))</f>
        <v>110.87</v>
      </c>
      <c r="EC75" s="116">
        <f t="shared" si="581"/>
        <v>153.51</v>
      </c>
      <c r="ED75" s="116">
        <f t="shared" si="581"/>
        <v>167.61</v>
      </c>
      <c r="EE75" s="116">
        <f t="shared" si="581"/>
        <v>214.83999999999997</v>
      </c>
      <c r="EF75" s="116">
        <f t="shared" si="581"/>
        <v>214.83999999999997</v>
      </c>
      <c r="EG75" s="116">
        <f t="shared" si="581"/>
        <v>254.76</v>
      </c>
      <c r="EH75" s="116">
        <f t="shared" si="581"/>
        <v>255.13</v>
      </c>
      <c r="EI75" s="116">
        <f t="shared" si="581"/>
        <v>284.01</v>
      </c>
      <c r="EJ75" s="116">
        <f t="shared" si="581"/>
        <v>297.46999999999997</v>
      </c>
      <c r="EK75" s="116">
        <f t="shared" si="581"/>
        <v>305.37</v>
      </c>
      <c r="EL75" s="116">
        <f t="shared" si="581"/>
        <v>330.52000000000004</v>
      </c>
      <c r="EM75" s="116">
        <f t="shared" si="581"/>
        <v>341.09000000000003</v>
      </c>
      <c r="EN75" s="116">
        <f t="shared" si="581"/>
        <v>343.19</v>
      </c>
      <c r="EO75" s="116">
        <f t="shared" si="581"/>
        <v>371.12</v>
      </c>
      <c r="EP75" s="116">
        <f t="shared" si="581"/>
        <v>405.99</v>
      </c>
      <c r="EQ75" s="116">
        <f t="shared" si="581"/>
        <v>409.37</v>
      </c>
      <c r="ER75" s="116">
        <f t="shared" si="581"/>
        <v>418.77000000000004</v>
      </c>
      <c r="ES75" s="116">
        <f t="shared" si="581"/>
        <v>426.52000000000004</v>
      </c>
      <c r="ET75" s="116">
        <f t="shared" si="581"/>
        <v>433.05</v>
      </c>
      <c r="EU75" s="116">
        <f t="shared" si="581"/>
        <v>433.05</v>
      </c>
      <c r="EV75" s="116">
        <f t="shared" si="581"/>
        <v>433.05</v>
      </c>
      <c r="EW75" s="116">
        <f t="shared" si="581"/>
        <v>433.05</v>
      </c>
      <c r="EX75" s="116">
        <f t="shared" si="581"/>
        <v>0</v>
      </c>
      <c r="EY75" s="116">
        <f t="shared" si="581"/>
        <v>0</v>
      </c>
      <c r="EZ75" s="116">
        <f t="shared" si="581"/>
        <v>0</v>
      </c>
      <c r="FA75" s="116">
        <f t="shared" si="581"/>
        <v>0</v>
      </c>
      <c r="FB75" s="116">
        <f t="shared" si="581"/>
        <v>0</v>
      </c>
      <c r="FC75" s="116">
        <f t="shared" si="581"/>
        <v>0</v>
      </c>
      <c r="FD75" s="116">
        <f t="shared" si="581"/>
        <v>4.5500000000000007</v>
      </c>
      <c r="FE75" s="116">
        <f t="shared" si="581"/>
        <v>31.680000000000003</v>
      </c>
      <c r="FF75" s="116">
        <f t="shared" si="581"/>
        <v>43.17</v>
      </c>
      <c r="FG75" s="116">
        <f t="shared" si="581"/>
        <v>67.8</v>
      </c>
      <c r="FH75" s="116">
        <f t="shared" si="581"/>
        <v>79.349999999999994</v>
      </c>
      <c r="FI75" s="116">
        <f t="shared" si="581"/>
        <v>102.07</v>
      </c>
      <c r="FJ75" s="116">
        <f t="shared" si="581"/>
        <v>109.05</v>
      </c>
      <c r="FK75" s="116">
        <f t="shared" si="581"/>
        <v>131.88</v>
      </c>
      <c r="FL75" s="116">
        <f t="shared" si="581"/>
        <v>135.08000000000001</v>
      </c>
      <c r="FM75" s="116">
        <f t="shared" si="581"/>
        <v>140.19999999999999</v>
      </c>
      <c r="FN75" s="116">
        <f t="shared" si="581"/>
        <v>140.19999999999999</v>
      </c>
      <c r="FO75" s="116">
        <f t="shared" si="581"/>
        <v>171.86</v>
      </c>
      <c r="FP75" s="116">
        <f t="shared" si="581"/>
        <v>236.29999999999995</v>
      </c>
      <c r="FQ75" s="116">
        <f t="shared" si="581"/>
        <v>245.52999999999997</v>
      </c>
      <c r="FR75" s="116">
        <f t="shared" si="581"/>
        <v>399.54999999999995</v>
      </c>
      <c r="FS75" s="116">
        <f t="shared" si="581"/>
        <v>414.02</v>
      </c>
      <c r="FT75" s="116">
        <f t="shared" si="581"/>
        <v>440.79999999999995</v>
      </c>
      <c r="FU75" s="116">
        <f t="shared" si="581"/>
        <v>462.62</v>
      </c>
      <c r="FV75" s="116">
        <f t="shared" si="581"/>
        <v>483.73</v>
      </c>
      <c r="FW75" s="116">
        <f t="shared" si="581"/>
        <v>503.94000000000005</v>
      </c>
      <c r="FX75" s="116">
        <f t="shared" si="581"/>
        <v>522.45000000000005</v>
      </c>
      <c r="FY75" s="116">
        <f t="shared" si="581"/>
        <v>799.81</v>
      </c>
      <c r="FZ75" s="116">
        <f t="shared" si="581"/>
        <v>811.33</v>
      </c>
      <c r="GA75" s="116">
        <f t="shared" si="581"/>
        <v>812.63</v>
      </c>
      <c r="GB75" s="116">
        <f t="shared" si="581"/>
        <v>64.149999999999991</v>
      </c>
      <c r="GC75" s="116">
        <f t="shared" si="581"/>
        <v>79.02</v>
      </c>
      <c r="GD75" s="116">
        <f t="shared" si="581"/>
        <v>103.27</v>
      </c>
      <c r="GE75" s="116">
        <f t="shared" si="581"/>
        <v>138.86999999999998</v>
      </c>
      <c r="GF75" s="116">
        <f t="shared" si="581"/>
        <v>148.51999999999998</v>
      </c>
      <c r="GG75" s="116">
        <f t="shared" si="581"/>
        <v>239.71999999999997</v>
      </c>
      <c r="GH75" s="116">
        <f t="shared" si="581"/>
        <v>263.22000000000003</v>
      </c>
      <c r="GI75" s="116">
        <f t="shared" si="581"/>
        <v>269.64</v>
      </c>
      <c r="GJ75" s="116">
        <f t="shared" si="581"/>
        <v>276.02999999999997</v>
      </c>
      <c r="GK75" s="116">
        <f t="shared" si="581"/>
        <v>276.02999999999997</v>
      </c>
      <c r="GL75" s="116">
        <f t="shared" si="581"/>
        <v>466.91</v>
      </c>
      <c r="GM75" s="116">
        <f t="shared" si="581"/>
        <v>479.82</v>
      </c>
      <c r="GN75" s="116">
        <f t="shared" ref="GN75:IY75" si="582">IF(OR(GN66="",GN67="",GN68="",GN69="",GN70="",GN71="",GN72="",GN73="",GN74=""),"",SUMIF($A$66:$A$74,$B75,GN$66:GN$74))</f>
        <v>479.82</v>
      </c>
      <c r="GO75" s="116">
        <f t="shared" si="582"/>
        <v>479.82</v>
      </c>
      <c r="GP75" s="116">
        <f t="shared" si="582"/>
        <v>479.82</v>
      </c>
      <c r="GQ75" s="116">
        <f t="shared" si="582"/>
        <v>479.82</v>
      </c>
      <c r="GR75" s="116">
        <f t="shared" si="582"/>
        <v>527.74</v>
      </c>
      <c r="GS75" s="116">
        <f t="shared" si="582"/>
        <v>527.74</v>
      </c>
      <c r="GT75" s="116">
        <f t="shared" si="582"/>
        <v>539.32000000000005</v>
      </c>
      <c r="GU75" s="116">
        <f t="shared" si="582"/>
        <v>587.14</v>
      </c>
      <c r="GV75" s="116">
        <f t="shared" si="582"/>
        <v>587.14</v>
      </c>
      <c r="GW75" s="116">
        <f t="shared" si="582"/>
        <v>630.71999999999991</v>
      </c>
      <c r="GX75" s="116">
        <f t="shared" si="582"/>
        <v>630.71999999999991</v>
      </c>
      <c r="GY75" s="116">
        <f t="shared" si="582"/>
        <v>630.71999999999991</v>
      </c>
      <c r="GZ75" s="116">
        <f t="shared" si="582"/>
        <v>630.71999999999991</v>
      </c>
      <c r="HA75" s="116">
        <f t="shared" si="582"/>
        <v>630.71999999999991</v>
      </c>
      <c r="HB75" s="116">
        <f t="shared" si="582"/>
        <v>633.39</v>
      </c>
      <c r="HC75" s="116">
        <f t="shared" si="582"/>
        <v>653.33999999999992</v>
      </c>
      <c r="HD75" s="116">
        <f t="shared" si="582"/>
        <v>671.02</v>
      </c>
      <c r="HE75" s="116">
        <f t="shared" si="582"/>
        <v>671.02</v>
      </c>
      <c r="HF75" s="116">
        <f t="shared" si="582"/>
        <v>686.31999999999994</v>
      </c>
      <c r="HG75" s="116">
        <f t="shared" si="582"/>
        <v>17.156111111111112</v>
      </c>
      <c r="HH75" s="116">
        <f t="shared" si="582"/>
        <v>22.655000000000001</v>
      </c>
      <c r="HI75" s="116">
        <f t="shared" si="582"/>
        <v>50.158888888888882</v>
      </c>
      <c r="HJ75" s="116">
        <f t="shared" si="582"/>
        <v>58.310555555555553</v>
      </c>
      <c r="HK75" s="116">
        <f t="shared" si="582"/>
        <v>78.881666666666661</v>
      </c>
      <c r="HL75" s="116">
        <f t="shared" si="582"/>
        <v>99.733611111111117</v>
      </c>
      <c r="HM75" s="116">
        <f t="shared" si="582"/>
        <v>126.905</v>
      </c>
      <c r="HN75" s="116">
        <f t="shared" si="582"/>
        <v>142.03638888888889</v>
      </c>
      <c r="HO75" s="116">
        <f t="shared" si="582"/>
        <v>142.40083333333334</v>
      </c>
      <c r="HP75" s="116">
        <f t="shared" si="582"/>
        <v>177.90305555555557</v>
      </c>
      <c r="HQ75" s="116">
        <f t="shared" si="582"/>
        <v>179.73416666666668</v>
      </c>
      <c r="HR75" s="116">
        <f t="shared" si="582"/>
        <v>202.39555555555557</v>
      </c>
      <c r="HS75" s="116">
        <f t="shared" si="582"/>
        <v>218.74722222222223</v>
      </c>
      <c r="HT75" s="116">
        <f t="shared" si="582"/>
        <v>226.82194444444445</v>
      </c>
      <c r="HU75" s="116">
        <f t="shared" si="582"/>
        <v>238.63416666666669</v>
      </c>
      <c r="HV75" s="116">
        <f t="shared" si="582"/>
        <v>241.01444444444445</v>
      </c>
      <c r="HW75" s="116">
        <f t="shared" si="582"/>
        <v>252.74916666666667</v>
      </c>
      <c r="HX75" s="116">
        <f t="shared" si="582"/>
        <v>272.7166666666667</v>
      </c>
      <c r="HY75" s="116">
        <f t="shared" si="582"/>
        <v>287.57833333333338</v>
      </c>
      <c r="HZ75" s="116">
        <f t="shared" si="582"/>
        <v>343.78500000000003</v>
      </c>
      <c r="IA75" s="116">
        <f t="shared" si="582"/>
        <v>352.72500000000002</v>
      </c>
      <c r="IB75" s="116">
        <f t="shared" si="582"/>
        <v>358.98861111111114</v>
      </c>
      <c r="IC75" s="116">
        <f t="shared" si="582"/>
        <v>381.62861111111113</v>
      </c>
      <c r="ID75" s="116">
        <f t="shared" si="582"/>
        <v>386.74861111111113</v>
      </c>
      <c r="IE75" s="116">
        <f t="shared" si="582"/>
        <v>399.26861111111111</v>
      </c>
      <c r="IF75" s="116">
        <f t="shared" si="582"/>
        <v>409.13861111111112</v>
      </c>
      <c r="IG75" s="116">
        <f t="shared" si="582"/>
        <v>415.9686111111111</v>
      </c>
      <c r="IH75" s="116">
        <f t="shared" si="582"/>
        <v>506.26861111111111</v>
      </c>
      <c r="II75" s="116">
        <f t="shared" si="582"/>
        <v>506.26861111111111</v>
      </c>
      <c r="IJ75" s="116">
        <f t="shared" si="582"/>
        <v>577.55861111111108</v>
      </c>
      <c r="IK75" s="116">
        <f t="shared" si="582"/>
        <v>591.80611111111114</v>
      </c>
      <c r="IL75" s="116">
        <f t="shared" si="582"/>
        <v>9.1177777777777784</v>
      </c>
      <c r="IM75" s="116">
        <f t="shared" si="582"/>
        <v>20.238888888888887</v>
      </c>
      <c r="IN75" s="116">
        <f t="shared" si="582"/>
        <v>50.436388888888899</v>
      </c>
      <c r="IO75" s="116">
        <f t="shared" si="582"/>
        <v>66.849722222222226</v>
      </c>
      <c r="IP75" s="116">
        <f t="shared" si="582"/>
        <v>77.545555555555566</v>
      </c>
      <c r="IQ75" s="116">
        <f t="shared" si="582"/>
        <v>88.336388888888905</v>
      </c>
      <c r="IR75" s="116">
        <f t="shared" si="582"/>
        <v>100.83027777777778</v>
      </c>
      <c r="IS75" s="116">
        <f t="shared" si="582"/>
        <v>106.4863888888889</v>
      </c>
      <c r="IT75" s="116">
        <f t="shared" si="582"/>
        <v>126.37888888888889</v>
      </c>
      <c r="IU75" s="116">
        <f t="shared" si="582"/>
        <v>168.40333333333334</v>
      </c>
      <c r="IV75" s="116">
        <f t="shared" si="582"/>
        <v>201.82638888888889</v>
      </c>
      <c r="IW75" s="116">
        <f t="shared" si="582"/>
        <v>236.01722222222222</v>
      </c>
      <c r="IX75" s="116">
        <f t="shared" si="582"/>
        <v>290.41555555555556</v>
      </c>
      <c r="IY75" s="116">
        <f t="shared" si="582"/>
        <v>333.26805555555558</v>
      </c>
      <c r="IZ75" s="116">
        <f t="shared" ref="IZ75:LK75" si="583">IF(OR(IZ66="",IZ67="",IZ68="",IZ69="",IZ70="",IZ71="",IZ72="",IZ73="",IZ74=""),"",SUMIF($A$66:$A$74,$B75,IZ$66:IZ$74))</f>
        <v>350.98055555555561</v>
      </c>
      <c r="JA75" s="116">
        <f t="shared" si="583"/>
        <v>370.03333333333336</v>
      </c>
      <c r="JB75" s="116">
        <f t="shared" si="583"/>
        <v>371.2427777777778</v>
      </c>
      <c r="JC75" s="116">
        <f t="shared" si="583"/>
        <v>372.2166666666667</v>
      </c>
      <c r="JD75" s="116">
        <f t="shared" si="583"/>
        <v>381.98750000000001</v>
      </c>
      <c r="JE75" s="116">
        <f t="shared" si="583"/>
        <v>384.46722222222223</v>
      </c>
      <c r="JF75" s="116">
        <f t="shared" si="583"/>
        <v>384.46722222222223</v>
      </c>
      <c r="JG75" s="116">
        <f t="shared" si="583"/>
        <v>384.46722222222223</v>
      </c>
      <c r="JH75" s="116">
        <f t="shared" si="583"/>
        <v>394.38499999999999</v>
      </c>
      <c r="JI75" s="116">
        <f t="shared" si="583"/>
        <v>421.3175</v>
      </c>
      <c r="JJ75" s="116">
        <f t="shared" si="583"/>
        <v>450.55027777777786</v>
      </c>
      <c r="JK75" s="116">
        <f t="shared" si="583"/>
        <v>459.89138888888886</v>
      </c>
      <c r="JL75" s="116">
        <f t="shared" si="583"/>
        <v>466.2211111111111</v>
      </c>
      <c r="JM75" s="116">
        <f t="shared" si="583"/>
        <v>473.64111111111106</v>
      </c>
      <c r="JN75" s="116">
        <f t="shared" si="583"/>
        <v>492.35611111111109</v>
      </c>
      <c r="JO75" s="116">
        <f t="shared" si="583"/>
        <v>497.35611111111109</v>
      </c>
      <c r="JP75" s="116">
        <f t="shared" si="583"/>
        <v>14.452500000000001</v>
      </c>
      <c r="JQ75" s="116">
        <f t="shared" si="583"/>
        <v>27.6325</v>
      </c>
      <c r="JR75" s="116">
        <f t="shared" si="583"/>
        <v>91.373333333333335</v>
      </c>
      <c r="JS75" s="116">
        <f t="shared" si="583"/>
        <v>99.728611111111121</v>
      </c>
      <c r="JT75" s="116">
        <f t="shared" si="583"/>
        <v>102.00861111111111</v>
      </c>
      <c r="JU75" s="116">
        <f t="shared" si="583"/>
        <v>106.4686111111111</v>
      </c>
      <c r="JV75" s="116">
        <f t="shared" si="583"/>
        <v>108.76861111111111</v>
      </c>
      <c r="JW75" s="116">
        <f t="shared" si="583"/>
        <v>108.76861111111111</v>
      </c>
      <c r="JX75" s="116">
        <f t="shared" si="583"/>
        <v>112.76861111111111</v>
      </c>
      <c r="JY75" s="116">
        <f t="shared" si="583"/>
        <v>136.76861111111111</v>
      </c>
      <c r="JZ75" s="116">
        <f t="shared" si="583"/>
        <v>160.76861111111111</v>
      </c>
      <c r="KA75" s="116">
        <f t="shared" si="583"/>
        <v>160.76861111111111</v>
      </c>
      <c r="KB75" s="116">
        <f t="shared" si="583"/>
        <v>160.76861111111111</v>
      </c>
      <c r="KC75" s="116">
        <f t="shared" si="583"/>
        <v>184.76861111111111</v>
      </c>
      <c r="KD75" s="116">
        <f t="shared" si="583"/>
        <v>190.76861111111111</v>
      </c>
      <c r="KE75" s="116">
        <f t="shared" si="583"/>
        <v>190.76861111111111</v>
      </c>
      <c r="KF75" s="116">
        <f t="shared" si="583"/>
        <v>190.76861111111111</v>
      </c>
      <c r="KG75" s="116">
        <f t="shared" si="583"/>
        <v>190.76861111111111</v>
      </c>
      <c r="KH75" s="116">
        <f t="shared" si="583"/>
        <v>226.76861111111111</v>
      </c>
      <c r="KI75" s="116">
        <f t="shared" si="583"/>
        <v>226.76861111111111</v>
      </c>
      <c r="KJ75" s="116">
        <f t="shared" si="583"/>
        <v>232.76861111111111</v>
      </c>
      <c r="KK75" s="116">
        <f t="shared" si="583"/>
        <v>232.76861111111111</v>
      </c>
      <c r="KL75" s="116">
        <f t="shared" si="583"/>
        <v>232.76861111111111</v>
      </c>
      <c r="KM75" s="116">
        <f t="shared" si="583"/>
        <v>232.76861111111111</v>
      </c>
      <c r="KN75" s="116">
        <f t="shared" si="583"/>
        <v>232.76861111111111</v>
      </c>
      <c r="KO75" s="116">
        <f t="shared" si="583"/>
        <v>232.76861111111111</v>
      </c>
      <c r="KP75" s="116">
        <f t="shared" si="583"/>
        <v>232.76861111111111</v>
      </c>
      <c r="KQ75" s="116">
        <f t="shared" si="583"/>
        <v>232.76861111111111</v>
      </c>
      <c r="KR75" s="116">
        <f t="shared" si="583"/>
        <v>232.76861111111111</v>
      </c>
      <c r="KS75" s="116">
        <f t="shared" si="583"/>
        <v>232.76861111111111</v>
      </c>
      <c r="KT75" s="116">
        <f t="shared" si="583"/>
        <v>232.76861111111111</v>
      </c>
      <c r="KU75" s="116" t="str">
        <f t="shared" si="583"/>
        <v/>
      </c>
      <c r="KV75" s="116" t="str">
        <f t="shared" si="583"/>
        <v/>
      </c>
      <c r="KW75" s="116" t="str">
        <f t="shared" si="583"/>
        <v/>
      </c>
      <c r="KX75" s="116" t="str">
        <f t="shared" si="583"/>
        <v/>
      </c>
      <c r="KY75" s="116" t="str">
        <f t="shared" si="583"/>
        <v/>
      </c>
      <c r="KZ75" s="116" t="str">
        <f t="shared" si="583"/>
        <v/>
      </c>
      <c r="LA75" s="116" t="str">
        <f t="shared" si="583"/>
        <v/>
      </c>
      <c r="LB75" s="116" t="str">
        <f t="shared" si="583"/>
        <v/>
      </c>
      <c r="LC75" s="116" t="str">
        <f t="shared" si="583"/>
        <v/>
      </c>
      <c r="LD75" s="116" t="str">
        <f t="shared" si="583"/>
        <v/>
      </c>
      <c r="LE75" s="116" t="str">
        <f t="shared" si="583"/>
        <v/>
      </c>
      <c r="LF75" s="116" t="str">
        <f t="shared" si="583"/>
        <v/>
      </c>
      <c r="LG75" s="116" t="str">
        <f t="shared" si="583"/>
        <v/>
      </c>
      <c r="LH75" s="116" t="str">
        <f t="shared" si="583"/>
        <v/>
      </c>
      <c r="LI75" s="116" t="str">
        <f t="shared" si="583"/>
        <v/>
      </c>
      <c r="LJ75" s="116" t="str">
        <f t="shared" si="583"/>
        <v/>
      </c>
      <c r="LK75" s="116" t="str">
        <f t="shared" si="583"/>
        <v/>
      </c>
      <c r="LL75" s="116" t="str">
        <f t="shared" ref="LL75:NW75" si="584">IF(OR(LL66="",LL67="",LL68="",LL69="",LL70="",LL71="",LL72="",LL73="",LL74=""),"",SUMIF($A$66:$A$74,$B75,LL$66:LL$74))</f>
        <v/>
      </c>
      <c r="LM75" s="116" t="str">
        <f t="shared" si="584"/>
        <v/>
      </c>
      <c r="LN75" s="116" t="str">
        <f t="shared" si="584"/>
        <v/>
      </c>
      <c r="LO75" s="116" t="str">
        <f t="shared" si="584"/>
        <v/>
      </c>
      <c r="LP75" s="116" t="str">
        <f t="shared" si="584"/>
        <v/>
      </c>
      <c r="LQ75" s="116" t="str">
        <f t="shared" si="584"/>
        <v/>
      </c>
      <c r="LR75" s="116" t="str">
        <f t="shared" si="584"/>
        <v/>
      </c>
      <c r="LS75" s="116" t="str">
        <f t="shared" si="584"/>
        <v/>
      </c>
      <c r="LT75" s="116" t="str">
        <f t="shared" si="584"/>
        <v/>
      </c>
      <c r="LU75" s="116" t="str">
        <f t="shared" si="584"/>
        <v/>
      </c>
      <c r="LV75" s="116" t="str">
        <f t="shared" si="584"/>
        <v/>
      </c>
      <c r="LW75" s="116" t="str">
        <f t="shared" si="584"/>
        <v/>
      </c>
      <c r="LX75" s="116" t="str">
        <f t="shared" si="584"/>
        <v/>
      </c>
      <c r="LY75" s="116" t="str">
        <f t="shared" si="584"/>
        <v/>
      </c>
      <c r="LZ75" s="116" t="str">
        <f t="shared" si="584"/>
        <v/>
      </c>
      <c r="MA75" s="116" t="str">
        <f t="shared" si="584"/>
        <v/>
      </c>
      <c r="MB75" s="116" t="str">
        <f t="shared" si="584"/>
        <v/>
      </c>
      <c r="MC75" s="116" t="str">
        <f t="shared" si="584"/>
        <v/>
      </c>
      <c r="MD75" s="116" t="str">
        <f t="shared" si="584"/>
        <v/>
      </c>
      <c r="ME75" s="116" t="str">
        <f t="shared" si="584"/>
        <v/>
      </c>
      <c r="MF75" s="116" t="str">
        <f t="shared" si="584"/>
        <v/>
      </c>
      <c r="MG75" s="116" t="str">
        <f t="shared" si="584"/>
        <v/>
      </c>
      <c r="MH75" s="116" t="str">
        <f t="shared" si="584"/>
        <v/>
      </c>
      <c r="MI75" s="116" t="str">
        <f t="shared" si="584"/>
        <v/>
      </c>
      <c r="MJ75" s="116" t="str">
        <f t="shared" si="584"/>
        <v/>
      </c>
      <c r="MK75" s="116" t="str">
        <f t="shared" si="584"/>
        <v/>
      </c>
      <c r="ML75" s="116" t="str">
        <f t="shared" si="584"/>
        <v/>
      </c>
      <c r="MM75" s="116" t="str">
        <f t="shared" si="584"/>
        <v/>
      </c>
      <c r="MN75" s="116" t="str">
        <f t="shared" si="584"/>
        <v/>
      </c>
      <c r="MO75" s="116" t="str">
        <f t="shared" si="584"/>
        <v/>
      </c>
      <c r="MP75" s="116" t="str">
        <f t="shared" si="584"/>
        <v/>
      </c>
      <c r="MQ75" s="116" t="str">
        <f t="shared" si="584"/>
        <v/>
      </c>
      <c r="MR75" s="116" t="str">
        <f t="shared" si="584"/>
        <v/>
      </c>
      <c r="MS75" s="116" t="str">
        <f t="shared" si="584"/>
        <v/>
      </c>
      <c r="MT75" s="116" t="str">
        <f t="shared" si="584"/>
        <v/>
      </c>
      <c r="MU75" s="116" t="str">
        <f t="shared" si="584"/>
        <v/>
      </c>
      <c r="MV75" s="116" t="str">
        <f t="shared" si="584"/>
        <v/>
      </c>
      <c r="MW75" s="116" t="str">
        <f t="shared" si="584"/>
        <v/>
      </c>
      <c r="MX75" s="116" t="str">
        <f t="shared" si="584"/>
        <v/>
      </c>
      <c r="MY75" s="116" t="str">
        <f t="shared" si="584"/>
        <v/>
      </c>
      <c r="MZ75" s="116" t="str">
        <f t="shared" si="584"/>
        <v/>
      </c>
      <c r="NA75" s="116" t="str">
        <f t="shared" si="584"/>
        <v/>
      </c>
      <c r="NB75" s="116" t="str">
        <f t="shared" si="584"/>
        <v/>
      </c>
      <c r="NC75" s="116" t="str">
        <f t="shared" si="584"/>
        <v/>
      </c>
      <c r="ND75" s="116" t="str">
        <f t="shared" si="584"/>
        <v/>
      </c>
      <c r="NE75" s="116" t="str">
        <f t="shared" si="584"/>
        <v/>
      </c>
      <c r="NF75" s="116" t="str">
        <f t="shared" si="584"/>
        <v/>
      </c>
      <c r="NG75" s="116" t="str">
        <f t="shared" si="584"/>
        <v/>
      </c>
      <c r="NH75" s="116" t="str">
        <f t="shared" si="584"/>
        <v/>
      </c>
      <c r="NI75" s="116" t="str">
        <f t="shared" si="584"/>
        <v/>
      </c>
      <c r="NJ75" s="116" t="str">
        <f t="shared" si="584"/>
        <v/>
      </c>
      <c r="NK75" s="116" t="str">
        <f t="shared" si="584"/>
        <v/>
      </c>
      <c r="NL75" s="116" t="str">
        <f t="shared" si="584"/>
        <v/>
      </c>
      <c r="NM75" s="116" t="str">
        <f t="shared" si="584"/>
        <v/>
      </c>
      <c r="NN75" s="116" t="str">
        <f t="shared" si="584"/>
        <v/>
      </c>
      <c r="NO75" s="116" t="str">
        <f t="shared" si="584"/>
        <v/>
      </c>
      <c r="NP75" s="116" t="str">
        <f t="shared" si="584"/>
        <v/>
      </c>
      <c r="NQ75" s="116" t="str">
        <f t="shared" si="584"/>
        <v/>
      </c>
      <c r="NR75" s="116" t="str">
        <f t="shared" si="584"/>
        <v/>
      </c>
      <c r="NS75" s="116" t="str">
        <f t="shared" si="584"/>
        <v/>
      </c>
      <c r="NT75" s="116" t="str">
        <f t="shared" si="584"/>
        <v/>
      </c>
      <c r="NU75" s="116" t="str">
        <f t="shared" si="584"/>
        <v/>
      </c>
      <c r="NV75" s="116" t="str">
        <f t="shared" si="584"/>
        <v/>
      </c>
      <c r="NW75" s="116" t="str">
        <f t="shared" si="584"/>
        <v/>
      </c>
      <c r="NX75" s="116" t="str">
        <f t="shared" ref="NX75:QI75" si="585">IF(OR(NX66="",NX67="",NX68="",NX69="",NX70="",NX71="",NX72="",NX73="",NX74=""),"",SUMIF($A$66:$A$74,$B75,NX$66:NX$74))</f>
        <v/>
      </c>
      <c r="NY75" s="116" t="str">
        <f t="shared" si="585"/>
        <v/>
      </c>
      <c r="NZ75" s="116" t="str">
        <f t="shared" si="585"/>
        <v/>
      </c>
      <c r="OA75" s="116" t="str">
        <f t="shared" si="585"/>
        <v/>
      </c>
      <c r="OB75" s="116" t="str">
        <f t="shared" si="585"/>
        <v/>
      </c>
      <c r="OC75" s="116" t="str">
        <f t="shared" si="585"/>
        <v/>
      </c>
      <c r="OD75" s="116" t="str">
        <f t="shared" si="585"/>
        <v/>
      </c>
      <c r="OE75" s="116" t="str">
        <f t="shared" si="585"/>
        <v/>
      </c>
      <c r="OF75" s="116" t="str">
        <f t="shared" si="585"/>
        <v/>
      </c>
      <c r="OG75" s="116" t="str">
        <f t="shared" si="585"/>
        <v/>
      </c>
      <c r="OH75" s="116" t="str">
        <f t="shared" si="585"/>
        <v/>
      </c>
      <c r="OI75" s="116" t="str">
        <f t="shared" si="585"/>
        <v/>
      </c>
      <c r="OJ75" s="116" t="str">
        <f t="shared" si="585"/>
        <v/>
      </c>
      <c r="OK75" s="116" t="str">
        <f t="shared" si="585"/>
        <v/>
      </c>
      <c r="OL75" s="116" t="str">
        <f t="shared" si="585"/>
        <v/>
      </c>
      <c r="OM75" s="116" t="str">
        <f t="shared" si="585"/>
        <v/>
      </c>
      <c r="ON75" s="116" t="str">
        <f t="shared" si="585"/>
        <v/>
      </c>
      <c r="OO75" s="116" t="str">
        <f t="shared" si="585"/>
        <v/>
      </c>
      <c r="OP75" s="116" t="str">
        <f t="shared" si="585"/>
        <v/>
      </c>
      <c r="OQ75" s="116" t="str">
        <f t="shared" si="585"/>
        <v/>
      </c>
      <c r="OR75" s="116" t="str">
        <f t="shared" si="585"/>
        <v/>
      </c>
      <c r="OS75" s="116" t="str">
        <f t="shared" si="585"/>
        <v/>
      </c>
      <c r="OT75" s="116" t="str">
        <f t="shared" si="585"/>
        <v/>
      </c>
      <c r="OU75" s="116" t="str">
        <f t="shared" si="585"/>
        <v/>
      </c>
      <c r="OV75" s="116" t="str">
        <f t="shared" si="585"/>
        <v/>
      </c>
      <c r="OW75" s="116" t="str">
        <f t="shared" si="585"/>
        <v/>
      </c>
      <c r="OX75" s="116" t="str">
        <f t="shared" si="585"/>
        <v/>
      </c>
      <c r="OY75" s="116" t="str">
        <f t="shared" si="585"/>
        <v/>
      </c>
      <c r="OZ75" s="116" t="str">
        <f t="shared" si="585"/>
        <v/>
      </c>
      <c r="PA75" s="116" t="str">
        <f t="shared" si="585"/>
        <v/>
      </c>
      <c r="PB75" s="116" t="str">
        <f t="shared" si="585"/>
        <v/>
      </c>
      <c r="PC75" s="116" t="str">
        <f t="shared" si="585"/>
        <v/>
      </c>
      <c r="PD75" s="116" t="str">
        <f t="shared" si="585"/>
        <v/>
      </c>
      <c r="PE75" s="116" t="str">
        <f t="shared" si="585"/>
        <v/>
      </c>
      <c r="PF75" s="116" t="str">
        <f t="shared" si="585"/>
        <v/>
      </c>
      <c r="PG75" s="116" t="str">
        <f t="shared" si="585"/>
        <v/>
      </c>
      <c r="PH75" s="116" t="str">
        <f t="shared" si="585"/>
        <v/>
      </c>
      <c r="PI75" s="116" t="str">
        <f t="shared" si="585"/>
        <v/>
      </c>
      <c r="PJ75" s="116" t="str">
        <f t="shared" si="585"/>
        <v/>
      </c>
      <c r="PK75" s="116" t="str">
        <f t="shared" si="585"/>
        <v/>
      </c>
      <c r="PL75" s="116" t="str">
        <f t="shared" si="585"/>
        <v/>
      </c>
      <c r="PM75" s="116" t="str">
        <f t="shared" si="585"/>
        <v/>
      </c>
      <c r="PN75" s="116" t="str">
        <f t="shared" si="585"/>
        <v/>
      </c>
      <c r="PO75" s="116" t="str">
        <f t="shared" si="585"/>
        <v/>
      </c>
      <c r="PP75" s="116" t="str">
        <f t="shared" si="585"/>
        <v/>
      </c>
      <c r="PQ75" s="116" t="str">
        <f t="shared" si="585"/>
        <v/>
      </c>
      <c r="PR75" s="116" t="str">
        <f t="shared" si="585"/>
        <v/>
      </c>
      <c r="PS75" s="116" t="str">
        <f t="shared" si="585"/>
        <v/>
      </c>
      <c r="PT75" s="116" t="str">
        <f t="shared" si="585"/>
        <v/>
      </c>
      <c r="PU75" s="116" t="str">
        <f t="shared" si="585"/>
        <v/>
      </c>
      <c r="PV75" s="116" t="str">
        <f t="shared" si="585"/>
        <v/>
      </c>
      <c r="PW75" s="116" t="str">
        <f t="shared" si="585"/>
        <v/>
      </c>
      <c r="PX75" s="116" t="str">
        <f t="shared" si="585"/>
        <v/>
      </c>
      <c r="PY75" s="116" t="str">
        <f t="shared" si="585"/>
        <v/>
      </c>
      <c r="PZ75" s="116" t="str">
        <f t="shared" si="585"/>
        <v/>
      </c>
      <c r="QA75" s="116" t="str">
        <f t="shared" si="585"/>
        <v/>
      </c>
      <c r="QB75" s="116" t="str">
        <f t="shared" si="585"/>
        <v/>
      </c>
      <c r="QC75" s="116" t="str">
        <f t="shared" si="585"/>
        <v/>
      </c>
      <c r="QD75" s="116" t="str">
        <f t="shared" si="585"/>
        <v/>
      </c>
      <c r="QE75" s="116" t="str">
        <f t="shared" si="585"/>
        <v/>
      </c>
      <c r="QF75" s="116" t="str">
        <f t="shared" si="585"/>
        <v/>
      </c>
      <c r="QG75" s="116" t="str">
        <f t="shared" si="585"/>
        <v/>
      </c>
      <c r="QH75" s="116" t="str">
        <f t="shared" si="585"/>
        <v/>
      </c>
      <c r="QI75" s="116" t="str">
        <f t="shared" si="585"/>
        <v/>
      </c>
      <c r="QJ75" s="116" t="str">
        <f t="shared" ref="QJ75:SU75" si="586">IF(OR(QJ66="",QJ67="",QJ68="",QJ69="",QJ70="",QJ71="",QJ72="",QJ73="",QJ74=""),"",SUMIF($A$66:$A$74,$B75,QJ$66:QJ$74))</f>
        <v/>
      </c>
      <c r="QK75" s="116" t="str">
        <f t="shared" si="586"/>
        <v/>
      </c>
      <c r="QL75" s="116" t="str">
        <f t="shared" si="586"/>
        <v/>
      </c>
      <c r="QM75" s="116" t="str">
        <f t="shared" si="586"/>
        <v/>
      </c>
      <c r="QN75" s="116" t="str">
        <f t="shared" si="586"/>
        <v/>
      </c>
      <c r="QO75" s="116" t="str">
        <f t="shared" si="586"/>
        <v/>
      </c>
      <c r="QP75" s="116" t="str">
        <f t="shared" si="586"/>
        <v/>
      </c>
      <c r="QQ75" s="116" t="str">
        <f t="shared" si="586"/>
        <v/>
      </c>
      <c r="QR75" s="116" t="str">
        <f t="shared" si="586"/>
        <v/>
      </c>
      <c r="QS75" s="116" t="str">
        <f t="shared" si="586"/>
        <v/>
      </c>
      <c r="QT75" s="116" t="str">
        <f t="shared" si="586"/>
        <v/>
      </c>
      <c r="QU75" s="116" t="str">
        <f t="shared" si="586"/>
        <v/>
      </c>
      <c r="QV75" s="116" t="str">
        <f t="shared" si="586"/>
        <v/>
      </c>
      <c r="QW75" s="116" t="str">
        <f t="shared" si="586"/>
        <v/>
      </c>
      <c r="QX75" s="116" t="str">
        <f t="shared" si="586"/>
        <v/>
      </c>
      <c r="QY75" s="116" t="str">
        <f t="shared" si="586"/>
        <v/>
      </c>
      <c r="QZ75" s="116" t="str">
        <f t="shared" si="586"/>
        <v/>
      </c>
      <c r="RA75" s="116" t="str">
        <f t="shared" si="586"/>
        <v/>
      </c>
      <c r="RB75" s="116" t="str">
        <f t="shared" si="586"/>
        <v/>
      </c>
      <c r="RC75" s="116" t="str">
        <f t="shared" si="586"/>
        <v/>
      </c>
      <c r="RD75" s="116" t="str">
        <f t="shared" si="586"/>
        <v/>
      </c>
      <c r="RE75" s="116" t="str">
        <f t="shared" si="586"/>
        <v/>
      </c>
      <c r="RF75" s="116" t="str">
        <f t="shared" si="586"/>
        <v/>
      </c>
      <c r="RG75" s="116" t="str">
        <f t="shared" si="586"/>
        <v/>
      </c>
      <c r="RH75" s="116" t="str">
        <f t="shared" si="586"/>
        <v/>
      </c>
      <c r="RI75" s="116" t="str">
        <f t="shared" si="586"/>
        <v/>
      </c>
      <c r="RJ75" s="116" t="str">
        <f t="shared" si="586"/>
        <v/>
      </c>
      <c r="RK75" s="116" t="str">
        <f t="shared" si="586"/>
        <v/>
      </c>
      <c r="RL75" s="116" t="str">
        <f t="shared" si="586"/>
        <v/>
      </c>
      <c r="RM75" s="116" t="str">
        <f t="shared" si="586"/>
        <v/>
      </c>
      <c r="RN75" s="116" t="str">
        <f t="shared" si="586"/>
        <v/>
      </c>
      <c r="RO75" s="116" t="str">
        <f t="shared" si="586"/>
        <v/>
      </c>
      <c r="RP75" s="116" t="str">
        <f t="shared" si="586"/>
        <v/>
      </c>
      <c r="RQ75" s="116" t="str">
        <f t="shared" si="586"/>
        <v/>
      </c>
      <c r="RR75" s="116" t="str">
        <f t="shared" si="586"/>
        <v/>
      </c>
      <c r="RS75" s="116" t="str">
        <f t="shared" si="586"/>
        <v/>
      </c>
      <c r="RT75" s="116" t="str">
        <f t="shared" si="586"/>
        <v/>
      </c>
      <c r="RU75" s="116" t="str">
        <f t="shared" si="586"/>
        <v/>
      </c>
      <c r="RV75" s="116" t="str">
        <f t="shared" si="586"/>
        <v/>
      </c>
      <c r="RW75" s="116" t="str">
        <f t="shared" si="586"/>
        <v/>
      </c>
      <c r="RX75" s="116" t="str">
        <f t="shared" si="586"/>
        <v/>
      </c>
      <c r="RY75" s="116" t="str">
        <f t="shared" si="586"/>
        <v/>
      </c>
      <c r="RZ75" s="116" t="str">
        <f t="shared" si="586"/>
        <v/>
      </c>
      <c r="SA75" s="116" t="str">
        <f t="shared" si="586"/>
        <v/>
      </c>
      <c r="SB75" s="116" t="str">
        <f t="shared" si="586"/>
        <v/>
      </c>
      <c r="SC75" s="116" t="str">
        <f t="shared" si="586"/>
        <v/>
      </c>
      <c r="SD75" s="116" t="str">
        <f t="shared" si="586"/>
        <v/>
      </c>
      <c r="SE75" s="116" t="str">
        <f t="shared" si="586"/>
        <v/>
      </c>
      <c r="SF75" s="116" t="str">
        <f t="shared" si="586"/>
        <v/>
      </c>
      <c r="SG75" s="116" t="str">
        <f t="shared" si="586"/>
        <v/>
      </c>
      <c r="SH75" s="116" t="str">
        <f t="shared" si="586"/>
        <v/>
      </c>
      <c r="SI75" s="116" t="str">
        <f t="shared" si="586"/>
        <v/>
      </c>
      <c r="SJ75" s="116" t="str">
        <f t="shared" si="586"/>
        <v/>
      </c>
      <c r="SK75" s="116" t="str">
        <f t="shared" si="586"/>
        <v/>
      </c>
      <c r="SL75" s="116" t="str">
        <f t="shared" si="586"/>
        <v/>
      </c>
      <c r="SM75" s="116" t="str">
        <f t="shared" si="586"/>
        <v/>
      </c>
      <c r="SN75" s="116" t="str">
        <f t="shared" si="586"/>
        <v/>
      </c>
      <c r="SO75" s="116" t="str">
        <f t="shared" si="586"/>
        <v/>
      </c>
      <c r="SP75" s="116" t="str">
        <f t="shared" si="586"/>
        <v/>
      </c>
      <c r="SQ75" s="116" t="str">
        <f t="shared" si="586"/>
        <v/>
      </c>
      <c r="SR75" s="116" t="str">
        <f t="shared" si="586"/>
        <v/>
      </c>
      <c r="SS75" s="116" t="str">
        <f t="shared" si="586"/>
        <v/>
      </c>
      <c r="ST75" s="116" t="str">
        <f t="shared" si="586"/>
        <v/>
      </c>
      <c r="SU75" s="116" t="str">
        <f t="shared" si="586"/>
        <v/>
      </c>
      <c r="SV75" s="116" t="str">
        <f t="shared" ref="SV75:SW75" si="587">IF(OR(SV66="",SV67="",SV68="",SV69="",SV70="",SV71="",SV72="",SV73="",SV74=""),"",SUMIF($A$66:$A$74,$B75,SV$66:SV$74))</f>
        <v/>
      </c>
      <c r="SW75" s="116" t="str">
        <f t="shared" si="587"/>
        <v/>
      </c>
    </row>
    <row r="76" spans="1:517" ht="24.6" customHeight="1" x14ac:dyDescent="0.2">
      <c r="A76" s="94">
        <f>COUNTIF(A66:A74,B76)</f>
        <v>4</v>
      </c>
      <c r="B76" s="115">
        <v>777</v>
      </c>
      <c r="C76" s="116">
        <f>IF(OR(C67="",C68="",C69="",C70="",C71="",C72="",C73="",C74="",C75=""),"",SUMIF($A$66:$A$74,$B76,C$66:C$74))</f>
        <v>0</v>
      </c>
      <c r="D76" s="116">
        <f t="shared" ref="D76:BO76" si="588">IF(OR(D67="",D68="",D69="",D70="",D71="",D72="",D73="",D74="",D75=""),"",SUMIF($A$66:$A$74,$B76,D$66:D$74))</f>
        <v>54.120000000000005</v>
      </c>
      <c r="E76" s="116">
        <f t="shared" si="588"/>
        <v>58.17</v>
      </c>
      <c r="F76" s="116">
        <f t="shared" si="588"/>
        <v>58.17</v>
      </c>
      <c r="G76" s="116">
        <f t="shared" si="588"/>
        <v>88.89</v>
      </c>
      <c r="H76" s="116">
        <f t="shared" si="588"/>
        <v>100.26</v>
      </c>
      <c r="I76" s="116">
        <f t="shared" si="588"/>
        <v>110.08000000000001</v>
      </c>
      <c r="J76" s="116">
        <f t="shared" si="588"/>
        <v>139.94</v>
      </c>
      <c r="K76" s="116">
        <f t="shared" si="588"/>
        <v>143.49</v>
      </c>
      <c r="L76" s="116">
        <f t="shared" si="588"/>
        <v>157.59</v>
      </c>
      <c r="M76" s="116">
        <f t="shared" si="588"/>
        <v>215.51999999999998</v>
      </c>
      <c r="N76" s="116">
        <f t="shared" si="588"/>
        <v>217.74</v>
      </c>
      <c r="O76" s="116">
        <f t="shared" si="588"/>
        <v>217.74</v>
      </c>
      <c r="P76" s="116">
        <f t="shared" si="588"/>
        <v>242.88</v>
      </c>
      <c r="Q76" s="116">
        <f t="shared" si="588"/>
        <v>258.2</v>
      </c>
      <c r="R76" s="116">
        <f t="shared" si="588"/>
        <v>260.75</v>
      </c>
      <c r="S76" s="116">
        <f t="shared" si="588"/>
        <v>260.75</v>
      </c>
      <c r="T76" s="116">
        <f t="shared" si="588"/>
        <v>268.78000000000003</v>
      </c>
      <c r="U76" s="116">
        <f t="shared" si="588"/>
        <v>285.08000000000004</v>
      </c>
      <c r="V76" s="116">
        <f t="shared" si="588"/>
        <v>296.63000000000005</v>
      </c>
      <c r="W76" s="116">
        <f t="shared" si="588"/>
        <v>298.83000000000004</v>
      </c>
      <c r="X76" s="116">
        <f t="shared" si="588"/>
        <v>299.85000000000008</v>
      </c>
      <c r="Y76" s="116">
        <f t="shared" si="588"/>
        <v>301.60000000000008</v>
      </c>
      <c r="Z76" s="116">
        <f t="shared" si="588"/>
        <v>304.98000000000008</v>
      </c>
      <c r="AA76" s="116">
        <f t="shared" si="588"/>
        <v>327.63000000000005</v>
      </c>
      <c r="AB76" s="116">
        <f t="shared" si="588"/>
        <v>327.63000000000005</v>
      </c>
      <c r="AC76" s="116">
        <f t="shared" si="588"/>
        <v>359.13000000000005</v>
      </c>
      <c r="AD76" s="116">
        <f t="shared" si="588"/>
        <v>359.13000000000005</v>
      </c>
      <c r="AE76" s="116">
        <f t="shared" si="588"/>
        <v>361.63000000000005</v>
      </c>
      <c r="AF76" s="116">
        <f t="shared" si="588"/>
        <v>361.63000000000005</v>
      </c>
      <c r="AG76" s="116">
        <f t="shared" si="588"/>
        <v>362.92</v>
      </c>
      <c r="AH76" s="116">
        <f t="shared" si="588"/>
        <v>6.38</v>
      </c>
      <c r="AI76" s="116">
        <f t="shared" si="588"/>
        <v>7.99</v>
      </c>
      <c r="AJ76" s="116">
        <f t="shared" si="588"/>
        <v>7.99</v>
      </c>
      <c r="AK76" s="116">
        <f t="shared" si="588"/>
        <v>7.99</v>
      </c>
      <c r="AL76" s="116">
        <f t="shared" si="588"/>
        <v>13.61</v>
      </c>
      <c r="AM76" s="116">
        <f t="shared" si="588"/>
        <v>15.11</v>
      </c>
      <c r="AN76" s="116">
        <f t="shared" si="588"/>
        <v>16.95</v>
      </c>
      <c r="AO76" s="116">
        <f t="shared" si="588"/>
        <v>16.95</v>
      </c>
      <c r="AP76" s="116">
        <f t="shared" si="588"/>
        <v>16.95</v>
      </c>
      <c r="AQ76" s="116">
        <f t="shared" si="588"/>
        <v>22.38</v>
      </c>
      <c r="AR76" s="116">
        <f t="shared" si="588"/>
        <v>24.68</v>
      </c>
      <c r="AS76" s="116">
        <f t="shared" si="588"/>
        <v>35.96</v>
      </c>
      <c r="AT76" s="116">
        <f t="shared" si="588"/>
        <v>63.66</v>
      </c>
      <c r="AU76" s="116">
        <f t="shared" si="588"/>
        <v>63.66</v>
      </c>
      <c r="AV76" s="116">
        <f t="shared" si="588"/>
        <v>63.66</v>
      </c>
      <c r="AW76" s="116">
        <f t="shared" si="588"/>
        <v>63.66</v>
      </c>
      <c r="AX76" s="116">
        <f t="shared" si="588"/>
        <v>69.739999999999995</v>
      </c>
      <c r="AY76" s="116">
        <f t="shared" si="588"/>
        <v>69.739999999999995</v>
      </c>
      <c r="AZ76" s="116">
        <f t="shared" si="588"/>
        <v>70.94</v>
      </c>
      <c r="BA76" s="116">
        <f t="shared" si="588"/>
        <v>82.240000000000009</v>
      </c>
      <c r="BB76" s="116">
        <f t="shared" si="588"/>
        <v>87.66</v>
      </c>
      <c r="BC76" s="116">
        <f t="shared" si="588"/>
        <v>132.13</v>
      </c>
      <c r="BD76" s="116">
        <f t="shared" si="588"/>
        <v>159</v>
      </c>
      <c r="BE76" s="116">
        <f t="shared" si="588"/>
        <v>160.13</v>
      </c>
      <c r="BF76" s="116">
        <f t="shared" si="588"/>
        <v>182.88</v>
      </c>
      <c r="BG76" s="116">
        <f t="shared" si="588"/>
        <v>182.88</v>
      </c>
      <c r="BH76" s="116">
        <f t="shared" si="588"/>
        <v>182.88</v>
      </c>
      <c r="BI76" s="116">
        <f t="shared" si="588"/>
        <v>188.04999999999995</v>
      </c>
      <c r="BJ76" s="116">
        <f t="shared" si="588"/>
        <v>16.18</v>
      </c>
      <c r="BK76" s="116">
        <f t="shared" si="588"/>
        <v>23.85</v>
      </c>
      <c r="BL76" s="116">
        <f t="shared" si="588"/>
        <v>41.67</v>
      </c>
      <c r="BM76" s="116">
        <f t="shared" si="588"/>
        <v>54.290000000000006</v>
      </c>
      <c r="BN76" s="116">
        <f t="shared" si="588"/>
        <v>61.79</v>
      </c>
      <c r="BO76" s="116">
        <f t="shared" si="588"/>
        <v>96.710000000000022</v>
      </c>
      <c r="BP76" s="116">
        <f t="shared" ref="BP76:EA76" si="589">IF(OR(BP67="",BP68="",BP69="",BP70="",BP71="",BP72="",BP73="",BP74="",BP75=""),"",SUMIF($A$66:$A$74,$B76,BP$66:BP$74))</f>
        <v>116.05000000000001</v>
      </c>
      <c r="BQ76" s="116">
        <f t="shared" si="589"/>
        <v>116.92000000000002</v>
      </c>
      <c r="BR76" s="116">
        <f t="shared" si="589"/>
        <v>140.68</v>
      </c>
      <c r="BS76" s="116">
        <f t="shared" si="589"/>
        <v>148.52000000000001</v>
      </c>
      <c r="BT76" s="116">
        <f t="shared" si="589"/>
        <v>168.15</v>
      </c>
      <c r="BU76" s="116">
        <f t="shared" si="589"/>
        <v>168.15</v>
      </c>
      <c r="BV76" s="116">
        <f t="shared" si="589"/>
        <v>168.15</v>
      </c>
      <c r="BW76" s="116">
        <f t="shared" si="589"/>
        <v>168.15</v>
      </c>
      <c r="BX76" s="116">
        <f t="shared" si="589"/>
        <v>193</v>
      </c>
      <c r="BY76" s="116">
        <f t="shared" si="589"/>
        <v>209.17000000000002</v>
      </c>
      <c r="BZ76" s="116">
        <f t="shared" si="589"/>
        <v>209.17000000000002</v>
      </c>
      <c r="CA76" s="116">
        <f t="shared" si="589"/>
        <v>209.44000000000003</v>
      </c>
      <c r="CB76" s="116">
        <f t="shared" si="589"/>
        <v>210.63000000000002</v>
      </c>
      <c r="CC76" s="116">
        <f t="shared" si="589"/>
        <v>225.95000000000002</v>
      </c>
      <c r="CD76" s="116">
        <f t="shared" si="589"/>
        <v>225.95000000000002</v>
      </c>
      <c r="CE76" s="116">
        <f t="shared" si="589"/>
        <v>225.95000000000002</v>
      </c>
      <c r="CF76" s="116">
        <f t="shared" si="589"/>
        <v>242.55000000000004</v>
      </c>
      <c r="CG76" s="116">
        <f t="shared" si="589"/>
        <v>242.55000000000004</v>
      </c>
      <c r="CH76" s="116">
        <f t="shared" si="589"/>
        <v>245.27</v>
      </c>
      <c r="CI76" s="116">
        <f t="shared" si="589"/>
        <v>267.29000000000002</v>
      </c>
      <c r="CJ76" s="116">
        <f t="shared" si="589"/>
        <v>282.64000000000004</v>
      </c>
      <c r="CK76" s="116">
        <f t="shared" si="589"/>
        <v>283.64000000000004</v>
      </c>
      <c r="CL76" s="116">
        <f t="shared" si="589"/>
        <v>285.08000000000004</v>
      </c>
      <c r="CM76" s="116">
        <f t="shared" si="589"/>
        <v>290.31000000000006</v>
      </c>
      <c r="CN76" s="116">
        <f t="shared" si="589"/>
        <v>290.31000000000006</v>
      </c>
      <c r="CO76" s="116">
        <f t="shared" si="589"/>
        <v>15.52</v>
      </c>
      <c r="CP76" s="116">
        <f t="shared" si="589"/>
        <v>16.7</v>
      </c>
      <c r="CQ76" s="116">
        <f t="shared" si="589"/>
        <v>20.37</v>
      </c>
      <c r="CR76" s="116">
        <f t="shared" si="589"/>
        <v>20.37</v>
      </c>
      <c r="CS76" s="116">
        <f t="shared" si="589"/>
        <v>32.290000000000006</v>
      </c>
      <c r="CT76" s="116">
        <f t="shared" si="589"/>
        <v>36.110000000000007</v>
      </c>
      <c r="CU76" s="116">
        <f t="shared" si="589"/>
        <v>36.110000000000007</v>
      </c>
      <c r="CV76" s="116">
        <f t="shared" si="589"/>
        <v>40.36</v>
      </c>
      <c r="CW76" s="116">
        <f t="shared" si="589"/>
        <v>45.28</v>
      </c>
      <c r="CX76" s="116">
        <f t="shared" si="589"/>
        <v>81.86</v>
      </c>
      <c r="CY76" s="116">
        <f t="shared" si="589"/>
        <v>81.86</v>
      </c>
      <c r="CZ76" s="116">
        <f t="shared" si="589"/>
        <v>83.36</v>
      </c>
      <c r="DA76" s="116">
        <f t="shared" si="589"/>
        <v>84.89</v>
      </c>
      <c r="DB76" s="116">
        <f t="shared" si="589"/>
        <v>94.64</v>
      </c>
      <c r="DC76" s="116">
        <f t="shared" si="589"/>
        <v>105.26</v>
      </c>
      <c r="DD76" s="116">
        <f t="shared" si="589"/>
        <v>108.27</v>
      </c>
      <c r="DE76" s="116">
        <f t="shared" si="589"/>
        <v>129.48999999999998</v>
      </c>
      <c r="DF76" s="116">
        <f t="shared" si="589"/>
        <v>164.88</v>
      </c>
      <c r="DG76" s="116">
        <f t="shared" si="589"/>
        <v>164.88</v>
      </c>
      <c r="DH76" s="116">
        <f t="shared" si="589"/>
        <v>167.23</v>
      </c>
      <c r="DI76" s="116">
        <f t="shared" si="589"/>
        <v>171.20999999999998</v>
      </c>
      <c r="DJ76" s="116">
        <f t="shared" si="589"/>
        <v>350.78000000000003</v>
      </c>
      <c r="DK76" s="116">
        <f t="shared" si="589"/>
        <v>350.78000000000003</v>
      </c>
      <c r="DL76" s="116">
        <f t="shared" si="589"/>
        <v>352.13000000000005</v>
      </c>
      <c r="DM76" s="116">
        <f t="shared" si="589"/>
        <v>360.16</v>
      </c>
      <c r="DN76" s="116">
        <f t="shared" si="589"/>
        <v>364.44</v>
      </c>
      <c r="DO76" s="116">
        <f t="shared" si="589"/>
        <v>364.44</v>
      </c>
      <c r="DP76" s="116">
        <f t="shared" si="589"/>
        <v>366.54999999999995</v>
      </c>
      <c r="DQ76" s="116">
        <f t="shared" si="589"/>
        <v>369.9</v>
      </c>
      <c r="DR76" s="116">
        <f t="shared" si="589"/>
        <v>370.27</v>
      </c>
      <c r="DS76" s="116">
        <f t="shared" si="589"/>
        <v>2.2199999999999998</v>
      </c>
      <c r="DT76" s="116">
        <f t="shared" si="589"/>
        <v>10.799999999999999</v>
      </c>
      <c r="DU76" s="116">
        <f t="shared" si="589"/>
        <v>24.97</v>
      </c>
      <c r="DV76" s="116">
        <f t="shared" si="589"/>
        <v>35.910000000000004</v>
      </c>
      <c r="DW76" s="116">
        <f t="shared" si="589"/>
        <v>77.740000000000009</v>
      </c>
      <c r="DX76" s="116">
        <f t="shared" si="589"/>
        <v>77.740000000000009</v>
      </c>
      <c r="DY76" s="116">
        <f t="shared" si="589"/>
        <v>77.740000000000009</v>
      </c>
      <c r="DZ76" s="116">
        <f t="shared" si="589"/>
        <v>88.38000000000001</v>
      </c>
      <c r="EA76" s="116">
        <f t="shared" si="589"/>
        <v>93.409999999999982</v>
      </c>
      <c r="EB76" s="116">
        <f t="shared" ref="EB76:GM76" si="590">IF(OR(EB67="",EB68="",EB69="",EB70="",EB71="",EB72="",EB73="",EB74="",EB75=""),"",SUMIF($A$66:$A$74,$B76,EB$66:EB$74))</f>
        <v>101.32999999999998</v>
      </c>
      <c r="EC76" s="116">
        <f t="shared" si="590"/>
        <v>113.52999999999999</v>
      </c>
      <c r="ED76" s="116">
        <f t="shared" si="590"/>
        <v>113.52999999999999</v>
      </c>
      <c r="EE76" s="116">
        <f t="shared" si="590"/>
        <v>125.83</v>
      </c>
      <c r="EF76" s="116">
        <f t="shared" si="590"/>
        <v>133.68</v>
      </c>
      <c r="EG76" s="116">
        <f t="shared" si="590"/>
        <v>178.52</v>
      </c>
      <c r="EH76" s="116">
        <f t="shared" si="590"/>
        <v>188.67999999999998</v>
      </c>
      <c r="EI76" s="116">
        <f t="shared" si="590"/>
        <v>207.20000000000002</v>
      </c>
      <c r="EJ76" s="116">
        <f t="shared" si="590"/>
        <v>207.20000000000002</v>
      </c>
      <c r="EK76" s="116">
        <f t="shared" si="590"/>
        <v>207.20000000000002</v>
      </c>
      <c r="EL76" s="116">
        <f t="shared" si="590"/>
        <v>231.20000000000002</v>
      </c>
      <c r="EM76" s="116">
        <f t="shared" si="590"/>
        <v>258.25</v>
      </c>
      <c r="EN76" s="116">
        <f t="shared" si="590"/>
        <v>290.75</v>
      </c>
      <c r="EO76" s="116">
        <f t="shared" si="590"/>
        <v>304.35000000000002</v>
      </c>
      <c r="EP76" s="116">
        <f t="shared" si="590"/>
        <v>311.38</v>
      </c>
      <c r="EQ76" s="116">
        <f t="shared" si="590"/>
        <v>317.35000000000002</v>
      </c>
      <c r="ER76" s="116">
        <f t="shared" si="590"/>
        <v>317.35000000000002</v>
      </c>
      <c r="ES76" s="116">
        <f t="shared" si="590"/>
        <v>334.96000000000004</v>
      </c>
      <c r="ET76" s="116">
        <f t="shared" si="590"/>
        <v>352.61</v>
      </c>
      <c r="EU76" s="116">
        <f t="shared" si="590"/>
        <v>355.61</v>
      </c>
      <c r="EV76" s="116">
        <f t="shared" si="590"/>
        <v>355.61</v>
      </c>
      <c r="EW76" s="116">
        <f t="shared" si="590"/>
        <v>355.61</v>
      </c>
      <c r="EX76" s="116">
        <f t="shared" si="590"/>
        <v>0</v>
      </c>
      <c r="EY76" s="116">
        <f t="shared" si="590"/>
        <v>0</v>
      </c>
      <c r="EZ76" s="116">
        <f t="shared" si="590"/>
        <v>0</v>
      </c>
      <c r="FA76" s="116">
        <f t="shared" si="590"/>
        <v>0</v>
      </c>
      <c r="FB76" s="116">
        <f t="shared" si="590"/>
        <v>0</v>
      </c>
      <c r="FC76" s="116">
        <f t="shared" si="590"/>
        <v>0</v>
      </c>
      <c r="FD76" s="116">
        <f t="shared" si="590"/>
        <v>28.240000000000002</v>
      </c>
      <c r="FE76" s="116">
        <f t="shared" si="590"/>
        <v>60.490000000000009</v>
      </c>
      <c r="FF76" s="116">
        <f t="shared" si="590"/>
        <v>60.990000000000009</v>
      </c>
      <c r="FG76" s="116">
        <f t="shared" si="590"/>
        <v>72.539999999999992</v>
      </c>
      <c r="FH76" s="116">
        <f t="shared" si="590"/>
        <v>79.61</v>
      </c>
      <c r="FI76" s="116">
        <f t="shared" si="590"/>
        <v>80.989999999999995</v>
      </c>
      <c r="FJ76" s="116">
        <f t="shared" si="590"/>
        <v>83.64</v>
      </c>
      <c r="FK76" s="116">
        <f t="shared" si="590"/>
        <v>83.64</v>
      </c>
      <c r="FL76" s="116">
        <f t="shared" si="590"/>
        <v>88.21</v>
      </c>
      <c r="FM76" s="116">
        <f t="shared" si="590"/>
        <v>102.94</v>
      </c>
      <c r="FN76" s="116">
        <f t="shared" si="590"/>
        <v>102.94</v>
      </c>
      <c r="FO76" s="116">
        <f t="shared" si="590"/>
        <v>108.51</v>
      </c>
      <c r="FP76" s="116">
        <f t="shared" si="590"/>
        <v>108.51</v>
      </c>
      <c r="FQ76" s="116">
        <f t="shared" si="590"/>
        <v>109.27</v>
      </c>
      <c r="FR76" s="116">
        <f t="shared" si="590"/>
        <v>109.27</v>
      </c>
      <c r="FS76" s="116">
        <f t="shared" si="590"/>
        <v>127.37</v>
      </c>
      <c r="FT76" s="116">
        <f t="shared" si="590"/>
        <v>166.05</v>
      </c>
      <c r="FU76" s="116">
        <f t="shared" si="590"/>
        <v>166.05</v>
      </c>
      <c r="FV76" s="116">
        <f t="shared" si="590"/>
        <v>171.18</v>
      </c>
      <c r="FW76" s="116">
        <f t="shared" si="590"/>
        <v>184.4</v>
      </c>
      <c r="FX76" s="116">
        <f t="shared" si="590"/>
        <v>187.31</v>
      </c>
      <c r="FY76" s="116">
        <f t="shared" si="590"/>
        <v>187.31</v>
      </c>
      <c r="FZ76" s="116">
        <f t="shared" si="590"/>
        <v>187.49</v>
      </c>
      <c r="GA76" s="116">
        <f t="shared" si="590"/>
        <v>228.29000000000002</v>
      </c>
      <c r="GB76" s="116">
        <f t="shared" si="590"/>
        <v>22.33</v>
      </c>
      <c r="GC76" s="116">
        <f t="shared" si="590"/>
        <v>22.33</v>
      </c>
      <c r="GD76" s="116">
        <f t="shared" si="590"/>
        <v>22.33</v>
      </c>
      <c r="GE76" s="116">
        <f t="shared" si="590"/>
        <v>24.779999999999998</v>
      </c>
      <c r="GF76" s="116">
        <f t="shared" si="590"/>
        <v>36.81</v>
      </c>
      <c r="GG76" s="116">
        <f t="shared" si="590"/>
        <v>38.47</v>
      </c>
      <c r="GH76" s="116">
        <f t="shared" si="590"/>
        <v>38.47</v>
      </c>
      <c r="GI76" s="116">
        <f t="shared" si="590"/>
        <v>43.7</v>
      </c>
      <c r="GJ76" s="116">
        <f t="shared" si="590"/>
        <v>48.08</v>
      </c>
      <c r="GK76" s="116">
        <f t="shared" si="590"/>
        <v>54.4</v>
      </c>
      <c r="GL76" s="116">
        <f t="shared" si="590"/>
        <v>54.4</v>
      </c>
      <c r="GM76" s="116">
        <f t="shared" si="590"/>
        <v>54.4</v>
      </c>
      <c r="GN76" s="116">
        <f t="shared" ref="GN76:IY76" si="591">IF(OR(GN67="",GN68="",GN69="",GN70="",GN71="",GN72="",GN73="",GN74="",GN75=""),"",SUMIF($A$66:$A$74,$B76,GN$66:GN$74))</f>
        <v>54.4</v>
      </c>
      <c r="GO76" s="116">
        <f t="shared" si="591"/>
        <v>54.4</v>
      </c>
      <c r="GP76" s="116">
        <f t="shared" si="591"/>
        <v>54.4</v>
      </c>
      <c r="GQ76" s="116">
        <f t="shared" si="591"/>
        <v>57.599999999999994</v>
      </c>
      <c r="GR76" s="116">
        <f t="shared" si="591"/>
        <v>65.72999999999999</v>
      </c>
      <c r="GS76" s="116">
        <f t="shared" si="591"/>
        <v>65.72999999999999</v>
      </c>
      <c r="GT76" s="116">
        <f t="shared" si="591"/>
        <v>73.180000000000007</v>
      </c>
      <c r="GU76" s="116">
        <f t="shared" si="591"/>
        <v>73.180000000000007</v>
      </c>
      <c r="GV76" s="116">
        <f t="shared" si="591"/>
        <v>226.52999999999997</v>
      </c>
      <c r="GW76" s="116">
        <f t="shared" si="591"/>
        <v>234.14999999999998</v>
      </c>
      <c r="GX76" s="116">
        <f t="shared" si="591"/>
        <v>234.14999999999998</v>
      </c>
      <c r="GY76" s="116">
        <f t="shared" si="591"/>
        <v>234.14999999999998</v>
      </c>
      <c r="GZ76" s="116">
        <f t="shared" si="591"/>
        <v>234.14999999999998</v>
      </c>
      <c r="HA76" s="116">
        <f t="shared" si="591"/>
        <v>234.14999999999998</v>
      </c>
      <c r="HB76" s="116">
        <f t="shared" si="591"/>
        <v>379.25</v>
      </c>
      <c r="HC76" s="116">
        <f t="shared" si="591"/>
        <v>379.25</v>
      </c>
      <c r="HD76" s="116">
        <f t="shared" si="591"/>
        <v>379.25</v>
      </c>
      <c r="HE76" s="116">
        <f t="shared" si="591"/>
        <v>379.25</v>
      </c>
      <c r="HF76" s="116">
        <f t="shared" si="591"/>
        <v>379.25</v>
      </c>
      <c r="HG76" s="116">
        <f t="shared" si="591"/>
        <v>0</v>
      </c>
      <c r="HH76" s="116">
        <f t="shared" si="591"/>
        <v>0</v>
      </c>
      <c r="HI76" s="116">
        <f t="shared" si="591"/>
        <v>0</v>
      </c>
      <c r="HJ76" s="116">
        <f t="shared" si="591"/>
        <v>6.5555555555555561E-2</v>
      </c>
      <c r="HK76" s="116">
        <f t="shared" si="591"/>
        <v>21.435277777777777</v>
      </c>
      <c r="HL76" s="116">
        <f t="shared" si="591"/>
        <v>45.435277777777777</v>
      </c>
      <c r="HM76" s="116">
        <f t="shared" si="591"/>
        <v>73.88333333333334</v>
      </c>
      <c r="HN76" s="116">
        <f t="shared" si="591"/>
        <v>76.234999999999999</v>
      </c>
      <c r="HO76" s="116">
        <f t="shared" si="591"/>
        <v>76.234999999999999</v>
      </c>
      <c r="HP76" s="116">
        <f t="shared" si="591"/>
        <v>76.234999999999999</v>
      </c>
      <c r="HQ76" s="116">
        <f t="shared" si="591"/>
        <v>80.268333333333331</v>
      </c>
      <c r="HR76" s="116">
        <f t="shared" si="591"/>
        <v>80.268333333333331</v>
      </c>
      <c r="HS76" s="116">
        <f t="shared" si="591"/>
        <v>122.77305555555556</v>
      </c>
      <c r="HT76" s="116">
        <f t="shared" si="591"/>
        <v>146.77305555555554</v>
      </c>
      <c r="HU76" s="116">
        <f t="shared" si="591"/>
        <v>170.77305555555554</v>
      </c>
      <c r="HV76" s="116">
        <f t="shared" si="591"/>
        <v>193.28166666666667</v>
      </c>
      <c r="HW76" s="116">
        <f t="shared" si="591"/>
        <v>196.99166666666665</v>
      </c>
      <c r="HX76" s="116">
        <f t="shared" si="591"/>
        <v>214.99277777777775</v>
      </c>
      <c r="HY76" s="116">
        <f t="shared" si="591"/>
        <v>242.58111111111111</v>
      </c>
      <c r="HZ76" s="116">
        <f t="shared" si="591"/>
        <v>253.4361111111111</v>
      </c>
      <c r="IA76" s="116">
        <f t="shared" si="591"/>
        <v>253.4361111111111</v>
      </c>
      <c r="IB76" s="116">
        <f t="shared" si="591"/>
        <v>256.43333333333334</v>
      </c>
      <c r="IC76" s="116">
        <f t="shared" si="591"/>
        <v>256.43333333333334</v>
      </c>
      <c r="ID76" s="116">
        <f t="shared" si="591"/>
        <v>344.23333333333335</v>
      </c>
      <c r="IE76" s="116">
        <f t="shared" si="591"/>
        <v>365.86333333333334</v>
      </c>
      <c r="IF76" s="116">
        <f t="shared" si="591"/>
        <v>370.89333333333332</v>
      </c>
      <c r="IG76" s="116">
        <f t="shared" si="591"/>
        <v>371.31333333333328</v>
      </c>
      <c r="IH76" s="116">
        <f t="shared" si="591"/>
        <v>373.83333333333337</v>
      </c>
      <c r="II76" s="116">
        <f t="shared" si="591"/>
        <v>373.83333333333337</v>
      </c>
      <c r="IJ76" s="116">
        <f t="shared" si="591"/>
        <v>393.56333333333339</v>
      </c>
      <c r="IK76" s="116">
        <f t="shared" si="591"/>
        <v>399.39166666666665</v>
      </c>
      <c r="IL76" s="116">
        <f t="shared" si="591"/>
        <v>22.290555555555557</v>
      </c>
      <c r="IM76" s="116">
        <f t="shared" si="591"/>
        <v>48.055</v>
      </c>
      <c r="IN76" s="116">
        <f t="shared" si="591"/>
        <v>75.962500000000006</v>
      </c>
      <c r="IO76" s="116">
        <f t="shared" si="591"/>
        <v>112.70583333333332</v>
      </c>
      <c r="IP76" s="116">
        <f t="shared" si="591"/>
        <v>143.52777777777777</v>
      </c>
      <c r="IQ76" s="116">
        <f t="shared" si="591"/>
        <v>168.40944444444443</v>
      </c>
      <c r="IR76" s="116">
        <f t="shared" si="591"/>
        <v>213.39277777777778</v>
      </c>
      <c r="IS76" s="116">
        <f t="shared" si="591"/>
        <v>274.65666666666664</v>
      </c>
      <c r="IT76" s="116">
        <f t="shared" si="591"/>
        <v>338.55083333333334</v>
      </c>
      <c r="IU76" s="116">
        <f t="shared" si="591"/>
        <v>373.35833333333335</v>
      </c>
      <c r="IV76" s="116">
        <f t="shared" si="591"/>
        <v>376.85916666666662</v>
      </c>
      <c r="IW76" s="116">
        <f t="shared" si="591"/>
        <v>376.99361111111108</v>
      </c>
      <c r="IX76" s="116">
        <f t="shared" si="591"/>
        <v>380.56083333333333</v>
      </c>
      <c r="IY76" s="116">
        <f t="shared" si="591"/>
        <v>389.54305555555555</v>
      </c>
      <c r="IZ76" s="116">
        <f t="shared" ref="IZ76:LK76" si="592">IF(OR(IZ67="",IZ68="",IZ69="",IZ70="",IZ71="",IZ72="",IZ73="",IZ74="",IZ75=""),"",SUMIF($A$66:$A$74,$B76,IZ$66:IZ$74))</f>
        <v>389.87138888888887</v>
      </c>
      <c r="JA76" s="116">
        <f t="shared" si="592"/>
        <v>391.70472222222224</v>
      </c>
      <c r="JB76" s="116">
        <f t="shared" si="592"/>
        <v>397.62166666666667</v>
      </c>
      <c r="JC76" s="116">
        <f t="shared" si="592"/>
        <v>402.28499999999997</v>
      </c>
      <c r="JD76" s="116">
        <f t="shared" si="592"/>
        <v>417.39361111111111</v>
      </c>
      <c r="JE76" s="116">
        <f t="shared" si="592"/>
        <v>423.80527777777775</v>
      </c>
      <c r="JF76" s="116">
        <f t="shared" si="592"/>
        <v>426.05194444444442</v>
      </c>
      <c r="JG76" s="116">
        <f t="shared" si="592"/>
        <v>429.23833333333334</v>
      </c>
      <c r="JH76" s="116">
        <f t="shared" si="592"/>
        <v>444.40333333333331</v>
      </c>
      <c r="JI76" s="116">
        <f t="shared" si="592"/>
        <v>448.16083333333336</v>
      </c>
      <c r="JJ76" s="116">
        <f t="shared" si="592"/>
        <v>454.30416666666667</v>
      </c>
      <c r="JK76" s="116">
        <f t="shared" si="592"/>
        <v>469.90027777777777</v>
      </c>
      <c r="JL76" s="116">
        <f t="shared" si="592"/>
        <v>490.39222222222219</v>
      </c>
      <c r="JM76" s="116">
        <f t="shared" si="592"/>
        <v>505.39138888888886</v>
      </c>
      <c r="JN76" s="116">
        <f t="shared" si="592"/>
        <v>523.05138888888882</v>
      </c>
      <c r="JO76" s="116">
        <f t="shared" si="592"/>
        <v>527.05138888888882</v>
      </c>
      <c r="JP76" s="116">
        <f t="shared" si="592"/>
        <v>8.07</v>
      </c>
      <c r="JQ76" s="116">
        <f t="shared" si="592"/>
        <v>12.26</v>
      </c>
      <c r="JR76" s="116">
        <f t="shared" si="592"/>
        <v>15.69</v>
      </c>
      <c r="JS76" s="116">
        <f t="shared" si="592"/>
        <v>36.089999999999996</v>
      </c>
      <c r="JT76" s="116">
        <f t="shared" si="592"/>
        <v>47.51</v>
      </c>
      <c r="JU76" s="116">
        <f t="shared" si="592"/>
        <v>60.97</v>
      </c>
      <c r="JV76" s="116">
        <f t="shared" si="592"/>
        <v>64.97</v>
      </c>
      <c r="JW76" s="116">
        <f t="shared" si="592"/>
        <v>64.97</v>
      </c>
      <c r="JX76" s="116">
        <f t="shared" si="592"/>
        <v>64.97</v>
      </c>
      <c r="JY76" s="116">
        <f t="shared" si="592"/>
        <v>64.97</v>
      </c>
      <c r="JZ76" s="116">
        <f t="shared" si="592"/>
        <v>64.97</v>
      </c>
      <c r="KA76" s="116">
        <f t="shared" si="592"/>
        <v>64.97</v>
      </c>
      <c r="KB76" s="116">
        <f t="shared" si="592"/>
        <v>64.97</v>
      </c>
      <c r="KC76" s="116">
        <f t="shared" si="592"/>
        <v>64.97</v>
      </c>
      <c r="KD76" s="116">
        <f t="shared" si="592"/>
        <v>64.97</v>
      </c>
      <c r="KE76" s="116">
        <f t="shared" si="592"/>
        <v>64.97</v>
      </c>
      <c r="KF76" s="116">
        <f t="shared" si="592"/>
        <v>64.97</v>
      </c>
      <c r="KG76" s="116">
        <f t="shared" si="592"/>
        <v>64.97</v>
      </c>
      <c r="KH76" s="116">
        <f t="shared" si="592"/>
        <v>64.97</v>
      </c>
      <c r="KI76" s="116">
        <f t="shared" si="592"/>
        <v>64.97</v>
      </c>
      <c r="KJ76" s="116">
        <f t="shared" si="592"/>
        <v>64.97</v>
      </c>
      <c r="KK76" s="116">
        <f t="shared" si="592"/>
        <v>64.97</v>
      </c>
      <c r="KL76" s="116">
        <f t="shared" si="592"/>
        <v>64.97</v>
      </c>
      <c r="KM76" s="116">
        <f t="shared" si="592"/>
        <v>64.97</v>
      </c>
      <c r="KN76" s="116">
        <f t="shared" si="592"/>
        <v>64.97</v>
      </c>
      <c r="KO76" s="116">
        <f t="shared" si="592"/>
        <v>64.97</v>
      </c>
      <c r="KP76" s="116">
        <f t="shared" si="592"/>
        <v>64.97</v>
      </c>
      <c r="KQ76" s="116">
        <f t="shared" si="592"/>
        <v>64.97</v>
      </c>
      <c r="KR76" s="116">
        <f t="shared" si="592"/>
        <v>64.97</v>
      </c>
      <c r="KS76" s="116">
        <f t="shared" si="592"/>
        <v>64.97</v>
      </c>
      <c r="KT76" s="116">
        <f t="shared" si="592"/>
        <v>64.97</v>
      </c>
      <c r="KU76" s="116" t="str">
        <f t="shared" si="592"/>
        <v/>
      </c>
      <c r="KV76" s="116" t="str">
        <f t="shared" si="592"/>
        <v/>
      </c>
      <c r="KW76" s="116" t="str">
        <f t="shared" si="592"/>
        <v/>
      </c>
      <c r="KX76" s="116" t="str">
        <f t="shared" si="592"/>
        <v/>
      </c>
      <c r="KY76" s="116" t="str">
        <f t="shared" si="592"/>
        <v/>
      </c>
      <c r="KZ76" s="116" t="str">
        <f t="shared" si="592"/>
        <v/>
      </c>
      <c r="LA76" s="116" t="str">
        <f t="shared" si="592"/>
        <v/>
      </c>
      <c r="LB76" s="116" t="str">
        <f t="shared" si="592"/>
        <v/>
      </c>
      <c r="LC76" s="116" t="str">
        <f t="shared" si="592"/>
        <v/>
      </c>
      <c r="LD76" s="116" t="str">
        <f t="shared" si="592"/>
        <v/>
      </c>
      <c r="LE76" s="116" t="str">
        <f t="shared" si="592"/>
        <v/>
      </c>
      <c r="LF76" s="116" t="str">
        <f t="shared" si="592"/>
        <v/>
      </c>
      <c r="LG76" s="116" t="str">
        <f t="shared" si="592"/>
        <v/>
      </c>
      <c r="LH76" s="116" t="str">
        <f t="shared" si="592"/>
        <v/>
      </c>
      <c r="LI76" s="116" t="str">
        <f t="shared" si="592"/>
        <v/>
      </c>
      <c r="LJ76" s="116" t="str">
        <f t="shared" si="592"/>
        <v/>
      </c>
      <c r="LK76" s="116" t="str">
        <f t="shared" si="592"/>
        <v/>
      </c>
      <c r="LL76" s="116" t="str">
        <f t="shared" ref="LL76:NW76" si="593">IF(OR(LL67="",LL68="",LL69="",LL70="",LL71="",LL72="",LL73="",LL74="",LL75=""),"",SUMIF($A$66:$A$74,$B76,LL$66:LL$74))</f>
        <v/>
      </c>
      <c r="LM76" s="116" t="str">
        <f t="shared" si="593"/>
        <v/>
      </c>
      <c r="LN76" s="116" t="str">
        <f t="shared" si="593"/>
        <v/>
      </c>
      <c r="LO76" s="116" t="str">
        <f t="shared" si="593"/>
        <v/>
      </c>
      <c r="LP76" s="116" t="str">
        <f t="shared" si="593"/>
        <v/>
      </c>
      <c r="LQ76" s="116" t="str">
        <f t="shared" si="593"/>
        <v/>
      </c>
      <c r="LR76" s="116" t="str">
        <f t="shared" si="593"/>
        <v/>
      </c>
      <c r="LS76" s="116" t="str">
        <f t="shared" si="593"/>
        <v/>
      </c>
      <c r="LT76" s="116" t="str">
        <f t="shared" si="593"/>
        <v/>
      </c>
      <c r="LU76" s="116" t="str">
        <f t="shared" si="593"/>
        <v/>
      </c>
      <c r="LV76" s="116" t="str">
        <f t="shared" si="593"/>
        <v/>
      </c>
      <c r="LW76" s="116" t="str">
        <f t="shared" si="593"/>
        <v/>
      </c>
      <c r="LX76" s="116" t="str">
        <f t="shared" si="593"/>
        <v/>
      </c>
      <c r="LY76" s="116" t="str">
        <f t="shared" si="593"/>
        <v/>
      </c>
      <c r="LZ76" s="116" t="str">
        <f t="shared" si="593"/>
        <v/>
      </c>
      <c r="MA76" s="116" t="str">
        <f t="shared" si="593"/>
        <v/>
      </c>
      <c r="MB76" s="116" t="str">
        <f t="shared" si="593"/>
        <v/>
      </c>
      <c r="MC76" s="116" t="str">
        <f t="shared" si="593"/>
        <v/>
      </c>
      <c r="MD76" s="116" t="str">
        <f t="shared" si="593"/>
        <v/>
      </c>
      <c r="ME76" s="116" t="str">
        <f t="shared" si="593"/>
        <v/>
      </c>
      <c r="MF76" s="116" t="str">
        <f t="shared" si="593"/>
        <v/>
      </c>
      <c r="MG76" s="116" t="str">
        <f t="shared" si="593"/>
        <v/>
      </c>
      <c r="MH76" s="116" t="str">
        <f t="shared" si="593"/>
        <v/>
      </c>
      <c r="MI76" s="116" t="str">
        <f t="shared" si="593"/>
        <v/>
      </c>
      <c r="MJ76" s="116" t="str">
        <f t="shared" si="593"/>
        <v/>
      </c>
      <c r="MK76" s="116" t="str">
        <f t="shared" si="593"/>
        <v/>
      </c>
      <c r="ML76" s="116" t="str">
        <f t="shared" si="593"/>
        <v/>
      </c>
      <c r="MM76" s="116" t="str">
        <f t="shared" si="593"/>
        <v/>
      </c>
      <c r="MN76" s="116" t="str">
        <f t="shared" si="593"/>
        <v/>
      </c>
      <c r="MO76" s="116" t="str">
        <f t="shared" si="593"/>
        <v/>
      </c>
      <c r="MP76" s="116" t="str">
        <f t="shared" si="593"/>
        <v/>
      </c>
      <c r="MQ76" s="116" t="str">
        <f t="shared" si="593"/>
        <v/>
      </c>
      <c r="MR76" s="116" t="str">
        <f t="shared" si="593"/>
        <v/>
      </c>
      <c r="MS76" s="116" t="str">
        <f t="shared" si="593"/>
        <v/>
      </c>
      <c r="MT76" s="116" t="str">
        <f t="shared" si="593"/>
        <v/>
      </c>
      <c r="MU76" s="116" t="str">
        <f t="shared" si="593"/>
        <v/>
      </c>
      <c r="MV76" s="116" t="str">
        <f t="shared" si="593"/>
        <v/>
      </c>
      <c r="MW76" s="116" t="str">
        <f t="shared" si="593"/>
        <v/>
      </c>
      <c r="MX76" s="116" t="str">
        <f t="shared" si="593"/>
        <v/>
      </c>
      <c r="MY76" s="116" t="str">
        <f t="shared" si="593"/>
        <v/>
      </c>
      <c r="MZ76" s="116" t="str">
        <f t="shared" si="593"/>
        <v/>
      </c>
      <c r="NA76" s="116" t="str">
        <f t="shared" si="593"/>
        <v/>
      </c>
      <c r="NB76" s="116" t="str">
        <f t="shared" si="593"/>
        <v/>
      </c>
      <c r="NC76" s="116" t="str">
        <f t="shared" si="593"/>
        <v/>
      </c>
      <c r="ND76" s="116" t="str">
        <f t="shared" si="593"/>
        <v/>
      </c>
      <c r="NE76" s="116" t="str">
        <f t="shared" si="593"/>
        <v/>
      </c>
      <c r="NF76" s="116" t="str">
        <f t="shared" si="593"/>
        <v/>
      </c>
      <c r="NG76" s="116" t="str">
        <f t="shared" si="593"/>
        <v/>
      </c>
      <c r="NH76" s="116" t="str">
        <f t="shared" si="593"/>
        <v/>
      </c>
      <c r="NI76" s="116" t="str">
        <f t="shared" si="593"/>
        <v/>
      </c>
      <c r="NJ76" s="116" t="str">
        <f t="shared" si="593"/>
        <v/>
      </c>
      <c r="NK76" s="116" t="str">
        <f t="shared" si="593"/>
        <v/>
      </c>
      <c r="NL76" s="116" t="str">
        <f t="shared" si="593"/>
        <v/>
      </c>
      <c r="NM76" s="116" t="str">
        <f t="shared" si="593"/>
        <v/>
      </c>
      <c r="NN76" s="116" t="str">
        <f t="shared" si="593"/>
        <v/>
      </c>
      <c r="NO76" s="116" t="str">
        <f t="shared" si="593"/>
        <v/>
      </c>
      <c r="NP76" s="116" t="str">
        <f t="shared" si="593"/>
        <v/>
      </c>
      <c r="NQ76" s="116" t="str">
        <f t="shared" si="593"/>
        <v/>
      </c>
      <c r="NR76" s="116" t="str">
        <f t="shared" si="593"/>
        <v/>
      </c>
      <c r="NS76" s="116" t="str">
        <f t="shared" si="593"/>
        <v/>
      </c>
      <c r="NT76" s="116" t="str">
        <f t="shared" si="593"/>
        <v/>
      </c>
      <c r="NU76" s="116" t="str">
        <f t="shared" si="593"/>
        <v/>
      </c>
      <c r="NV76" s="116" t="str">
        <f t="shared" si="593"/>
        <v/>
      </c>
      <c r="NW76" s="116" t="str">
        <f t="shared" si="593"/>
        <v/>
      </c>
      <c r="NX76" s="116" t="str">
        <f t="shared" ref="NX76:QI76" si="594">IF(OR(NX67="",NX68="",NX69="",NX70="",NX71="",NX72="",NX73="",NX74="",NX75=""),"",SUMIF($A$66:$A$74,$B76,NX$66:NX$74))</f>
        <v/>
      </c>
      <c r="NY76" s="116" t="str">
        <f t="shared" si="594"/>
        <v/>
      </c>
      <c r="NZ76" s="116" t="str">
        <f t="shared" si="594"/>
        <v/>
      </c>
      <c r="OA76" s="116" t="str">
        <f t="shared" si="594"/>
        <v/>
      </c>
      <c r="OB76" s="116" t="str">
        <f t="shared" si="594"/>
        <v/>
      </c>
      <c r="OC76" s="116" t="str">
        <f t="shared" si="594"/>
        <v/>
      </c>
      <c r="OD76" s="116" t="str">
        <f t="shared" si="594"/>
        <v/>
      </c>
      <c r="OE76" s="116" t="str">
        <f t="shared" si="594"/>
        <v/>
      </c>
      <c r="OF76" s="116" t="str">
        <f t="shared" si="594"/>
        <v/>
      </c>
      <c r="OG76" s="116" t="str">
        <f t="shared" si="594"/>
        <v/>
      </c>
      <c r="OH76" s="116" t="str">
        <f t="shared" si="594"/>
        <v/>
      </c>
      <c r="OI76" s="116" t="str">
        <f t="shared" si="594"/>
        <v/>
      </c>
      <c r="OJ76" s="116" t="str">
        <f t="shared" si="594"/>
        <v/>
      </c>
      <c r="OK76" s="116" t="str">
        <f t="shared" si="594"/>
        <v/>
      </c>
      <c r="OL76" s="116" t="str">
        <f t="shared" si="594"/>
        <v/>
      </c>
      <c r="OM76" s="116" t="str">
        <f t="shared" si="594"/>
        <v/>
      </c>
      <c r="ON76" s="116" t="str">
        <f t="shared" si="594"/>
        <v/>
      </c>
      <c r="OO76" s="116" t="str">
        <f t="shared" si="594"/>
        <v/>
      </c>
      <c r="OP76" s="116" t="str">
        <f t="shared" si="594"/>
        <v/>
      </c>
      <c r="OQ76" s="116" t="str">
        <f t="shared" si="594"/>
        <v/>
      </c>
      <c r="OR76" s="116" t="str">
        <f t="shared" si="594"/>
        <v/>
      </c>
      <c r="OS76" s="116" t="str">
        <f t="shared" si="594"/>
        <v/>
      </c>
      <c r="OT76" s="116" t="str">
        <f t="shared" si="594"/>
        <v/>
      </c>
      <c r="OU76" s="116" t="str">
        <f t="shared" si="594"/>
        <v/>
      </c>
      <c r="OV76" s="116" t="str">
        <f t="shared" si="594"/>
        <v/>
      </c>
      <c r="OW76" s="116" t="str">
        <f t="shared" si="594"/>
        <v/>
      </c>
      <c r="OX76" s="116" t="str">
        <f t="shared" si="594"/>
        <v/>
      </c>
      <c r="OY76" s="116" t="str">
        <f t="shared" si="594"/>
        <v/>
      </c>
      <c r="OZ76" s="116" t="str">
        <f t="shared" si="594"/>
        <v/>
      </c>
      <c r="PA76" s="116" t="str">
        <f t="shared" si="594"/>
        <v/>
      </c>
      <c r="PB76" s="116" t="str">
        <f t="shared" si="594"/>
        <v/>
      </c>
      <c r="PC76" s="116" t="str">
        <f t="shared" si="594"/>
        <v/>
      </c>
      <c r="PD76" s="116" t="str">
        <f t="shared" si="594"/>
        <v/>
      </c>
      <c r="PE76" s="116" t="str">
        <f t="shared" si="594"/>
        <v/>
      </c>
      <c r="PF76" s="116" t="str">
        <f t="shared" si="594"/>
        <v/>
      </c>
      <c r="PG76" s="116" t="str">
        <f t="shared" si="594"/>
        <v/>
      </c>
      <c r="PH76" s="116" t="str">
        <f t="shared" si="594"/>
        <v/>
      </c>
      <c r="PI76" s="116" t="str">
        <f t="shared" si="594"/>
        <v/>
      </c>
      <c r="PJ76" s="116" t="str">
        <f t="shared" si="594"/>
        <v/>
      </c>
      <c r="PK76" s="116" t="str">
        <f t="shared" si="594"/>
        <v/>
      </c>
      <c r="PL76" s="116" t="str">
        <f t="shared" si="594"/>
        <v/>
      </c>
      <c r="PM76" s="116" t="str">
        <f t="shared" si="594"/>
        <v/>
      </c>
      <c r="PN76" s="116" t="str">
        <f t="shared" si="594"/>
        <v/>
      </c>
      <c r="PO76" s="116" t="str">
        <f t="shared" si="594"/>
        <v/>
      </c>
      <c r="PP76" s="116" t="str">
        <f t="shared" si="594"/>
        <v/>
      </c>
      <c r="PQ76" s="116" t="str">
        <f t="shared" si="594"/>
        <v/>
      </c>
      <c r="PR76" s="116" t="str">
        <f t="shared" si="594"/>
        <v/>
      </c>
      <c r="PS76" s="116" t="str">
        <f t="shared" si="594"/>
        <v/>
      </c>
      <c r="PT76" s="116" t="str">
        <f t="shared" si="594"/>
        <v/>
      </c>
      <c r="PU76" s="116" t="str">
        <f t="shared" si="594"/>
        <v/>
      </c>
      <c r="PV76" s="116" t="str">
        <f t="shared" si="594"/>
        <v/>
      </c>
      <c r="PW76" s="116" t="str">
        <f t="shared" si="594"/>
        <v/>
      </c>
      <c r="PX76" s="116" t="str">
        <f t="shared" si="594"/>
        <v/>
      </c>
      <c r="PY76" s="116" t="str">
        <f t="shared" si="594"/>
        <v/>
      </c>
      <c r="PZ76" s="116" t="str">
        <f t="shared" si="594"/>
        <v/>
      </c>
      <c r="QA76" s="116" t="str">
        <f t="shared" si="594"/>
        <v/>
      </c>
      <c r="QB76" s="116" t="str">
        <f t="shared" si="594"/>
        <v/>
      </c>
      <c r="QC76" s="116" t="str">
        <f t="shared" si="594"/>
        <v/>
      </c>
      <c r="QD76" s="116" t="str">
        <f t="shared" si="594"/>
        <v/>
      </c>
      <c r="QE76" s="116" t="str">
        <f t="shared" si="594"/>
        <v/>
      </c>
      <c r="QF76" s="116" t="str">
        <f t="shared" si="594"/>
        <v/>
      </c>
      <c r="QG76" s="116" t="str">
        <f t="shared" si="594"/>
        <v/>
      </c>
      <c r="QH76" s="116" t="str">
        <f t="shared" si="594"/>
        <v/>
      </c>
      <c r="QI76" s="116" t="str">
        <f t="shared" si="594"/>
        <v/>
      </c>
      <c r="QJ76" s="116" t="str">
        <f t="shared" ref="QJ76:SU76" si="595">IF(OR(QJ67="",QJ68="",QJ69="",QJ70="",QJ71="",QJ72="",QJ73="",QJ74="",QJ75=""),"",SUMIF($A$66:$A$74,$B76,QJ$66:QJ$74))</f>
        <v/>
      </c>
      <c r="QK76" s="116" t="str">
        <f t="shared" si="595"/>
        <v/>
      </c>
      <c r="QL76" s="116" t="str">
        <f t="shared" si="595"/>
        <v/>
      </c>
      <c r="QM76" s="116" t="str">
        <f t="shared" si="595"/>
        <v/>
      </c>
      <c r="QN76" s="116" t="str">
        <f t="shared" si="595"/>
        <v/>
      </c>
      <c r="QO76" s="116" t="str">
        <f t="shared" si="595"/>
        <v/>
      </c>
      <c r="QP76" s="116" t="str">
        <f t="shared" si="595"/>
        <v/>
      </c>
      <c r="QQ76" s="116" t="str">
        <f t="shared" si="595"/>
        <v/>
      </c>
      <c r="QR76" s="116" t="str">
        <f t="shared" si="595"/>
        <v/>
      </c>
      <c r="QS76" s="116" t="str">
        <f t="shared" si="595"/>
        <v/>
      </c>
      <c r="QT76" s="116" t="str">
        <f t="shared" si="595"/>
        <v/>
      </c>
      <c r="QU76" s="116" t="str">
        <f t="shared" si="595"/>
        <v/>
      </c>
      <c r="QV76" s="116" t="str">
        <f t="shared" si="595"/>
        <v/>
      </c>
      <c r="QW76" s="116" t="str">
        <f t="shared" si="595"/>
        <v/>
      </c>
      <c r="QX76" s="116" t="str">
        <f t="shared" si="595"/>
        <v/>
      </c>
      <c r="QY76" s="116" t="str">
        <f t="shared" si="595"/>
        <v/>
      </c>
      <c r="QZ76" s="116" t="str">
        <f t="shared" si="595"/>
        <v/>
      </c>
      <c r="RA76" s="116" t="str">
        <f t="shared" si="595"/>
        <v/>
      </c>
      <c r="RB76" s="116" t="str">
        <f t="shared" si="595"/>
        <v/>
      </c>
      <c r="RC76" s="116" t="str">
        <f t="shared" si="595"/>
        <v/>
      </c>
      <c r="RD76" s="116" t="str">
        <f t="shared" si="595"/>
        <v/>
      </c>
      <c r="RE76" s="116" t="str">
        <f t="shared" si="595"/>
        <v/>
      </c>
      <c r="RF76" s="116" t="str">
        <f t="shared" si="595"/>
        <v/>
      </c>
      <c r="RG76" s="116" t="str">
        <f t="shared" si="595"/>
        <v/>
      </c>
      <c r="RH76" s="116" t="str">
        <f t="shared" si="595"/>
        <v/>
      </c>
      <c r="RI76" s="116" t="str">
        <f t="shared" si="595"/>
        <v/>
      </c>
      <c r="RJ76" s="116" t="str">
        <f t="shared" si="595"/>
        <v/>
      </c>
      <c r="RK76" s="116" t="str">
        <f t="shared" si="595"/>
        <v/>
      </c>
      <c r="RL76" s="116" t="str">
        <f t="shared" si="595"/>
        <v/>
      </c>
      <c r="RM76" s="116" t="str">
        <f t="shared" si="595"/>
        <v/>
      </c>
      <c r="RN76" s="116" t="str">
        <f t="shared" si="595"/>
        <v/>
      </c>
      <c r="RO76" s="116" t="str">
        <f t="shared" si="595"/>
        <v/>
      </c>
      <c r="RP76" s="116" t="str">
        <f t="shared" si="595"/>
        <v/>
      </c>
      <c r="RQ76" s="116" t="str">
        <f t="shared" si="595"/>
        <v/>
      </c>
      <c r="RR76" s="116" t="str">
        <f t="shared" si="595"/>
        <v/>
      </c>
      <c r="RS76" s="116" t="str">
        <f t="shared" si="595"/>
        <v/>
      </c>
      <c r="RT76" s="116" t="str">
        <f t="shared" si="595"/>
        <v/>
      </c>
      <c r="RU76" s="116" t="str">
        <f t="shared" si="595"/>
        <v/>
      </c>
      <c r="RV76" s="116" t="str">
        <f t="shared" si="595"/>
        <v/>
      </c>
      <c r="RW76" s="116" t="str">
        <f t="shared" si="595"/>
        <v/>
      </c>
      <c r="RX76" s="116" t="str">
        <f t="shared" si="595"/>
        <v/>
      </c>
      <c r="RY76" s="116" t="str">
        <f t="shared" si="595"/>
        <v/>
      </c>
      <c r="RZ76" s="116" t="str">
        <f t="shared" si="595"/>
        <v/>
      </c>
      <c r="SA76" s="116" t="str">
        <f t="shared" si="595"/>
        <v/>
      </c>
      <c r="SB76" s="116" t="str">
        <f t="shared" si="595"/>
        <v/>
      </c>
      <c r="SC76" s="116" t="str">
        <f t="shared" si="595"/>
        <v/>
      </c>
      <c r="SD76" s="116" t="str">
        <f t="shared" si="595"/>
        <v/>
      </c>
      <c r="SE76" s="116" t="str">
        <f t="shared" si="595"/>
        <v/>
      </c>
      <c r="SF76" s="116" t="str">
        <f t="shared" si="595"/>
        <v/>
      </c>
      <c r="SG76" s="116" t="str">
        <f t="shared" si="595"/>
        <v/>
      </c>
      <c r="SH76" s="116" t="str">
        <f t="shared" si="595"/>
        <v/>
      </c>
      <c r="SI76" s="116" t="str">
        <f t="shared" si="595"/>
        <v/>
      </c>
      <c r="SJ76" s="116" t="str">
        <f t="shared" si="595"/>
        <v/>
      </c>
      <c r="SK76" s="116" t="str">
        <f t="shared" si="595"/>
        <v/>
      </c>
      <c r="SL76" s="116" t="str">
        <f t="shared" si="595"/>
        <v/>
      </c>
      <c r="SM76" s="116" t="str">
        <f t="shared" si="595"/>
        <v/>
      </c>
      <c r="SN76" s="116" t="str">
        <f t="shared" si="595"/>
        <v/>
      </c>
      <c r="SO76" s="116" t="str">
        <f t="shared" si="595"/>
        <v/>
      </c>
      <c r="SP76" s="116" t="str">
        <f t="shared" si="595"/>
        <v/>
      </c>
      <c r="SQ76" s="116" t="str">
        <f t="shared" si="595"/>
        <v/>
      </c>
      <c r="SR76" s="116" t="str">
        <f t="shared" si="595"/>
        <v/>
      </c>
      <c r="SS76" s="116" t="str">
        <f t="shared" si="595"/>
        <v/>
      </c>
      <c r="ST76" s="116" t="str">
        <f t="shared" si="595"/>
        <v/>
      </c>
      <c r="SU76" s="116" t="str">
        <f t="shared" si="595"/>
        <v/>
      </c>
      <c r="SV76" s="116" t="str">
        <f t="shared" ref="SV76:SW76" si="596">IF(OR(SV67="",SV68="",SV69="",SV70="",SV71="",SV72="",SV73="",SV74="",SV75=""),"",SUMIF($A$66:$A$74,$B76,SV$66:SV$74))</f>
        <v/>
      </c>
      <c r="SW76" s="116" t="str">
        <f t="shared" si="596"/>
        <v/>
      </c>
    </row>
    <row r="77" spans="1:517" ht="24.6" customHeight="1" x14ac:dyDescent="0.2">
      <c r="A77" s="85">
        <f>SUM(A75:A76)</f>
        <v>9</v>
      </c>
    </row>
    <row r="78" spans="1:517" ht="24.6" customHeight="1" x14ac:dyDescent="0.2"/>
    <row r="79" spans="1:517" ht="24.6" customHeight="1" x14ac:dyDescent="0.2">
      <c r="B79" s="112" t="s">
        <v>33</v>
      </c>
    </row>
    <row r="80" spans="1:517" ht="24.6" customHeight="1" x14ac:dyDescent="0.2">
      <c r="A80" s="113" t="s">
        <v>86</v>
      </c>
      <c r="B80" s="119" t="s">
        <v>77</v>
      </c>
      <c r="C80" s="114">
        <f>IF(OR(C$13="",C$17="",C$14="",C$15="",C$16="",C$18="",C$19="",C$20="",C$21=""),"",SUM($C13:C13))</f>
        <v>0</v>
      </c>
      <c r="D80" s="114">
        <f>IF(OR(D$13="",D$17="",D$14="",D$15="",D$16="",D$18="",D$19="",D$20="",D$21=""),"",SUM($C13:D13))</f>
        <v>0</v>
      </c>
      <c r="E80" s="114">
        <f>IF(OR(E$13="",E$17="",E$14="",E$15="",E$16="",E$18="",E$19="",E$20="",E$21=""),"",SUM($C13:E13))</f>
        <v>2.4</v>
      </c>
      <c r="F80" s="114">
        <f>IF(OR(F$13="",F$17="",F$14="",F$15="",F$16="",F$18="",F$19="",F$20="",F$21=""),"",SUM($C13:F13))</f>
        <v>2.4</v>
      </c>
      <c r="G80" s="114">
        <f>IF(OR(G$13="",G$17="",G$14="",G$15="",G$16="",G$18="",G$19="",G$20="",G$21=""),"",SUM($C13:G13))</f>
        <v>2.4</v>
      </c>
      <c r="H80" s="114">
        <f>IF(OR(H$13="",H$17="",H$14="",H$15="",H$16="",H$18="",H$19="",H$20="",H$21=""),"",SUM($C13:H13))</f>
        <v>9.6199999999999992</v>
      </c>
      <c r="I80" s="114">
        <f>IF(OR(I$13="",I$17="",I$14="",I$15="",I$16="",I$18="",I$19="",I$20="",I$21=""),"",SUM($C13:I13))</f>
        <v>11.09</v>
      </c>
      <c r="J80" s="114">
        <f>IF(OR(J$13="",J$17="",J$14="",J$15="",J$16="",J$18="",J$19="",J$20="",J$21=""),"",SUM($C13:J13))</f>
        <v>37.590000000000003</v>
      </c>
      <c r="K80" s="114">
        <f>IF(OR(K$13="",K$17="",K$14="",K$15="",K$16="",K$18="",K$19="",K$20="",K$21=""),"",SUM($C13:K13))</f>
        <v>37.590000000000003</v>
      </c>
      <c r="L80" s="114">
        <f>IF(OR(L$13="",L$17="",L$14="",L$15="",L$16="",L$18="",L$19="",L$20="",L$21=""),"",SUM($C13:L13))</f>
        <v>37.590000000000003</v>
      </c>
      <c r="M80" s="114">
        <f>IF(OR(M$13="",M$17="",M$14="",M$15="",M$16="",M$18="",M$19="",M$20="",M$21=""),"",SUM($C13:M13))</f>
        <v>37.590000000000003</v>
      </c>
      <c r="N80" s="114">
        <f>IF(OR(N$13="",N$17="",N$14="",N$15="",N$16="",N$18="",N$19="",N$20="",N$21=""),"",SUM($C13:N13))</f>
        <v>46.190000000000005</v>
      </c>
      <c r="O80" s="114">
        <f>IF(OR(O$13="",O$17="",O$14="",O$15="",O$16="",O$18="",O$19="",O$20="",O$21=""),"",SUM($C13:O13))</f>
        <v>46.190000000000005</v>
      </c>
      <c r="P80" s="114">
        <f>IF(OR(P$13="",P$17="",P$14="",P$15="",P$16="",P$18="",P$19="",P$20="",P$21=""),"",SUM($C13:P13))</f>
        <v>46.190000000000005</v>
      </c>
      <c r="Q80" s="114">
        <f>IF(OR(Q$13="",Q$17="",Q$14="",Q$15="",Q$16="",Q$18="",Q$19="",Q$20="",Q$21=""),"",SUM($C13:Q13))</f>
        <v>46.190000000000005</v>
      </c>
      <c r="R80" s="114">
        <f>IF(OR(R$13="",R$17="",R$14="",R$15="",R$16="",R$18="",R$19="",R$20="",R$21=""),"",SUM($C13:R13))</f>
        <v>66.5</v>
      </c>
      <c r="S80" s="114">
        <f>IF(OR(S$13="",S$17="",S$14="",S$15="",S$16="",S$18="",S$19="",S$20="",S$21=""),"",SUM($C13:S13))</f>
        <v>66.5</v>
      </c>
      <c r="T80" s="114">
        <f>IF(OR(T$13="",T$17="",T$14="",T$15="",T$16="",T$18="",T$19="",T$20="",T$21=""),"",SUM($C13:T13))</f>
        <v>66.5</v>
      </c>
      <c r="U80" s="114">
        <f>IF(OR(U$13="",U$17="",U$14="",U$15="",U$16="",U$18="",U$19="",U$20="",U$21=""),"",SUM($C13:U13))</f>
        <v>66.5</v>
      </c>
      <c r="V80" s="114">
        <f>IF(OR(V$13="",V$17="",V$14="",V$15="",V$16="",V$18="",V$19="",V$20="",V$21=""),"",SUM($C13:V13))</f>
        <v>71.599999999999994</v>
      </c>
      <c r="W80" s="114">
        <f>IF(OR(W$13="",W$17="",W$14="",W$15="",W$16="",W$18="",W$19="",W$20="",W$21=""),"",SUM($C13:W13))</f>
        <v>71.819999999999993</v>
      </c>
      <c r="X80" s="114">
        <f>IF(OR(X$13="",X$17="",X$14="",X$15="",X$16="",X$18="",X$19="",X$20="",X$21=""),"",SUM($C13:X13))</f>
        <v>72.789999999999992</v>
      </c>
      <c r="Y80" s="114">
        <f>IF(OR(Y$13="",Y$17="",Y$14="",Y$15="",Y$16="",Y$18="",Y$19="",Y$20="",Y$21=""),"",SUM($C13:Y13))</f>
        <v>79.02</v>
      </c>
      <c r="Z80" s="114">
        <f>IF(OR(Z$13="",Z$17="",Z$14="",Z$15="",Z$16="",Z$18="",Z$19="",Z$20="",Z$21=""),"",SUM($C13:Z13))</f>
        <v>79.02</v>
      </c>
      <c r="AA80" s="114">
        <f>IF(OR(AA$13="",AA$17="",AA$14="",AA$15="",AA$16="",AA$18="",AA$19="",AA$20="",AA$21=""),"",SUM($C13:AA13))</f>
        <v>81.89</v>
      </c>
      <c r="AB80" s="114">
        <f>IF(OR(AB$13="",AB$17="",AB$14="",AB$15="",AB$16="",AB$18="",AB$19="",AB$20="",AB$21=""),"",SUM($C13:AB13))</f>
        <v>81.89</v>
      </c>
      <c r="AC80" s="114">
        <f>IF(OR(AC$13="",AC$17="",AC$14="",AC$15="",AC$16="",AC$18="",AC$19="",AC$20="",AC$21=""),"",SUM($C13:AC13))</f>
        <v>83.05</v>
      </c>
      <c r="AD80" s="114">
        <f>IF(OR(AD$13="",AD$17="",AD$14="",AD$15="",AD$16="",AD$18="",AD$19="",AD$20="",AD$21=""),"",SUM($C13:AD13))</f>
        <v>86.429999999999993</v>
      </c>
      <c r="AE80" s="114">
        <f>IF(OR(AE$13="",AE$17="",AE$14="",AE$15="",AE$16="",AE$18="",AE$19="",AE$20="",AE$21=""),"",SUM($C13:AE13))</f>
        <v>86.429999999999993</v>
      </c>
      <c r="AF80" s="114">
        <f>IF(OR(AF$13="",AF$17="",AF$14="",AF$15="",AF$16="",AF$18="",AF$19="",AF$20="",AF$21=""),"",SUM($C13:AF13))</f>
        <v>86.429999999999993</v>
      </c>
      <c r="AG80" s="114">
        <f>IF(OR(AG$13="",AG$17="",AG$14="",AG$15="",AG$16="",AG$18="",AG$19="",AG$20="",AG$21=""),"",SUM($C13:AG13))</f>
        <v>86.429999999999993</v>
      </c>
      <c r="AH80" s="114">
        <f>IF(OR(AH$13="",AH$17="",AH$14="",AH$15="",AH$16="",AH$18="",AH$19="",AH$20="",AH$21=""),"",SUM($C13:AH13))</f>
        <v>86.429999999999993</v>
      </c>
      <c r="AI80" s="114">
        <f>IF(OR(AI$13="",AI$17="",AI$14="",AI$15="",AI$16="",AI$18="",AI$19="",AI$20="",AI$21=""),"",SUM($C13:AI13))</f>
        <v>97.109999999999985</v>
      </c>
      <c r="AJ80" s="114">
        <f>IF(OR(AJ$13="",AJ$17="",AJ$14="",AJ$15="",AJ$16="",AJ$18="",AJ$19="",AJ$20="",AJ$21=""),"",SUM($C13:AJ13))</f>
        <v>97.109999999999985</v>
      </c>
      <c r="AK80" s="114">
        <f>IF(OR(AK$13="",AK$17="",AK$14="",AK$15="",AK$16="",AK$18="",AK$19="",AK$20="",AK$21=""),"",SUM($C13:AK13))</f>
        <v>97.109999999999985</v>
      </c>
      <c r="AL80" s="114">
        <f>IF(OR(AL$13="",AL$17="",AL$14="",AL$15="",AL$16="",AL$18="",AL$19="",AL$20="",AL$21=""),"",SUM($C13:AL13))</f>
        <v>97.109999999999985</v>
      </c>
      <c r="AM80" s="114">
        <f>IF(OR(AM$13="",AM$17="",AM$14="",AM$15="",AM$16="",AM$18="",AM$19="",AM$20="",AM$21=""),"",SUM($C13:AM13))</f>
        <v>99.259999999999991</v>
      </c>
      <c r="AN80" s="114">
        <f>IF(OR(AN$13="",AN$17="",AN$14="",AN$15="",AN$16="",AN$18="",AN$19="",AN$20="",AN$21=""),"",SUM($C13:AN13))</f>
        <v>99.259999999999991</v>
      </c>
      <c r="AO80" s="114">
        <f>IF(OR(AO$13="",AO$17="",AO$14="",AO$15="",AO$16="",AO$18="",AO$19="",AO$20="",AO$21=""),"",SUM($C13:AO13))</f>
        <v>99.259999999999991</v>
      </c>
      <c r="AP80" s="114">
        <f>IF(OR(AP$13="",AP$17="",AP$14="",AP$15="",AP$16="",AP$18="",AP$19="",AP$20="",AP$21=""),"",SUM($C13:AP13))</f>
        <v>99.259999999999991</v>
      </c>
      <c r="AQ80" s="114">
        <f>IF(OR(AQ$13="",AQ$17="",AQ$14="",AQ$15="",AQ$16="",AQ$18="",AQ$19="",AQ$20="",AQ$21=""),"",SUM($C13:AQ13))</f>
        <v>106.10999999999999</v>
      </c>
      <c r="AR80" s="114">
        <f>IF(OR(AR$13="",AR$17="",AR$14="",AR$15="",AR$16="",AR$18="",AR$19="",AR$20="",AR$21=""),"",SUM($C13:AR13))</f>
        <v>106.10999999999999</v>
      </c>
      <c r="AS80" s="114">
        <f>IF(OR(AS$13="",AS$17="",AS$14="",AS$15="",AS$16="",AS$18="",AS$19="",AS$20="",AS$21=""),"",SUM($C13:AS13))</f>
        <v>125.25999999999999</v>
      </c>
      <c r="AT80" s="114">
        <f>IF(OR(AT$13="",AT$17="",AT$14="",AT$15="",AT$16="",AT$18="",AT$19="",AT$20="",AT$21=""),"",SUM($C13:AT13))</f>
        <v>125.25999999999999</v>
      </c>
      <c r="AU80" s="114">
        <f>IF(OR(AU$13="",AU$17="",AU$14="",AU$15="",AU$16="",AU$18="",AU$19="",AU$20="",AU$21=""),"",SUM($C13:AU13))</f>
        <v>141.91</v>
      </c>
      <c r="AV80" s="114">
        <f>IF(OR(AV$13="",AV$17="",AV$14="",AV$15="",AV$16="",AV$18="",AV$19="",AV$20="",AV$21=""),"",SUM($C13:AV13))</f>
        <v>143.38</v>
      </c>
      <c r="AW80" s="114">
        <f>IF(OR(AW$13="",AW$17="",AW$14="",AW$15="",AW$16="",AW$18="",AW$19="",AW$20="",AW$21=""),"",SUM($C13:AW13))</f>
        <v>153.44999999999999</v>
      </c>
      <c r="AX80" s="114">
        <f>IF(OR(AX$13="",AX$17="",AX$14="",AX$15="",AX$16="",AX$18="",AX$19="",AX$20="",AX$21=""),"",SUM($C13:AX13))</f>
        <v>153.44999999999999</v>
      </c>
      <c r="AY80" s="114">
        <f>IF(OR(AY$13="",AY$17="",AY$14="",AY$15="",AY$16="",AY$18="",AY$19="",AY$20="",AY$21=""),"",SUM($C13:AY13))</f>
        <v>153.44999999999999</v>
      </c>
      <c r="AZ80" s="114">
        <f>IF(OR(AZ$13="",AZ$17="",AZ$14="",AZ$15="",AZ$16="",AZ$18="",AZ$19="",AZ$20="",AZ$21=""),"",SUM($C13:AZ13))</f>
        <v>153.44999999999999</v>
      </c>
      <c r="BA80" s="114">
        <f>IF(OR(BA$13="",BA$17="",BA$14="",BA$15="",BA$16="",BA$18="",BA$19="",BA$20="",BA$21=""),"",SUM($C13:BA13))</f>
        <v>160.69</v>
      </c>
      <c r="BB80" s="114">
        <f>IF(OR(BB$13="",BB$17="",BB$14="",BB$15="",BB$16="",BB$18="",BB$19="",BB$20="",BB$21=""),"",SUM($C13:BB13))</f>
        <v>161.97</v>
      </c>
      <c r="BC80" s="114">
        <f>IF(OR(BC$13="",BC$17="",BC$14="",BC$15="",BC$16="",BC$18="",BC$19="",BC$20="",BC$21=""),"",SUM($C13:BC13))</f>
        <v>167.4</v>
      </c>
      <c r="BD80" s="114">
        <f>IF(OR(BD$13="",BD$17="",BD$14="",BD$15="",BD$16="",BD$18="",BD$19="",BD$20="",BD$21=""),"",SUM($C13:BD13))</f>
        <v>167.4</v>
      </c>
      <c r="BE80" s="114">
        <f>IF(OR(BE$13="",BE$17="",BE$14="",BE$15="",BE$16="",BE$18="",BE$19="",BE$20="",BE$21=""),"",SUM($C13:BE13))</f>
        <v>170.13</v>
      </c>
      <c r="BF80" s="114">
        <f>IF(OR(BF$13="",BF$17="",BF$14="",BF$15="",BF$16="",BF$18="",BF$19="",BF$20="",BF$21=""),"",SUM($C13:BF13))</f>
        <v>170.13</v>
      </c>
      <c r="BG80" s="114">
        <f>IF(OR(BG$13="",BG$17="",BG$14="",BG$15="",BG$16="",BG$18="",BG$19="",BG$20="",BG$21=""),"",SUM($C13:BG13))</f>
        <v>170.13</v>
      </c>
      <c r="BH80" s="114">
        <f>IF(OR(BH$13="",BH$17="",BH$14="",BH$15="",BH$16="",BH$18="",BH$19="",BH$20="",BH$21=""),"",SUM($C13:BH13))</f>
        <v>173.93</v>
      </c>
      <c r="BI80" s="114">
        <f>IF(OR(BI$13="",BI$17="",BI$14="",BI$15="",BI$16="",BI$18="",BI$19="",BI$20="",BI$21=""),"",SUM($C13:BI13))</f>
        <v>174.13</v>
      </c>
      <c r="BJ80" s="114">
        <f>IF(OR(BJ$13="",BJ$17="",BJ$14="",BJ$15="",BJ$16="",BJ$18="",BJ$19="",BJ$20="",BJ$21=""),"",SUM($C13:BJ13))</f>
        <v>174.13</v>
      </c>
      <c r="BK80" s="114">
        <f>IF(OR(BK$13="",BK$17="",BK$14="",BK$15="",BK$16="",BK$18="",BK$19="",BK$20="",BK$21=""),"",SUM($C13:BK13))</f>
        <v>175.4</v>
      </c>
      <c r="BL80" s="114">
        <f>IF(OR(BL$13="",BL$17="",BL$14="",BL$15="",BL$16="",BL$18="",BL$19="",BL$20="",BL$21=""),"",SUM($C13:BL13))</f>
        <v>175.4</v>
      </c>
      <c r="BM80" s="114">
        <f>IF(OR(BM$13="",BM$17="",BM$14="",BM$15="",BM$16="",BM$18="",BM$19="",BM$20="",BM$21=""),"",SUM($C13:BM13))</f>
        <v>175.4</v>
      </c>
      <c r="BN80" s="114">
        <f>IF(OR(BN$13="",BN$17="",BN$14="",BN$15="",BN$16="",BN$18="",BN$19="",BN$20="",BN$21=""),"",SUM($C13:BN13))</f>
        <v>175.4</v>
      </c>
      <c r="BO80" s="114">
        <f>IF(OR(BO$13="",BO$17="",BO$14="",BO$15="",BO$16="",BO$18="",BO$19="",BO$20="",BO$21=""),"",SUM($C13:BO13))</f>
        <v>175.4</v>
      </c>
      <c r="BP80" s="114">
        <f>IF(OR(BP$13="",BP$17="",BP$14="",BP$15="",BP$16="",BP$18="",BP$19="",BP$20="",BP$21=""),"",SUM($C13:BP13))</f>
        <v>175.4</v>
      </c>
      <c r="BQ80" s="114">
        <f>IF(OR(BQ$13="",BQ$17="",BQ$14="",BQ$15="",BQ$16="",BQ$18="",BQ$19="",BQ$20="",BQ$21=""),"",SUM($C13:BQ13))</f>
        <v>175.4</v>
      </c>
      <c r="BR80" s="114">
        <f>IF(OR(BR$13="",BR$17="",BR$14="",BR$15="",BR$16="",BR$18="",BR$19="",BR$20="",BR$21=""),"",SUM($C13:BR13))</f>
        <v>177.68</v>
      </c>
      <c r="BS80" s="114">
        <f>IF(OR(BS$13="",BS$17="",BS$14="",BS$15="",BS$16="",BS$18="",BS$19="",BS$20="",BS$21=""),"",SUM($C13:BS13))</f>
        <v>177.68</v>
      </c>
      <c r="BT80" s="114">
        <f>IF(OR(BT$13="",BT$17="",BT$14="",BT$15="",BT$16="",BT$18="",BT$19="",BT$20="",BT$21=""),"",SUM($C13:BT13))</f>
        <v>177.68</v>
      </c>
      <c r="BU80" s="114">
        <f>IF(OR(BU$13="",BU$17="",BU$14="",BU$15="",BU$16="",BU$18="",BU$19="",BU$20="",BU$21=""),"",SUM($C13:BU13))</f>
        <v>177.68</v>
      </c>
      <c r="BV80" s="114">
        <f>IF(OR(BV$13="",BV$17="",BV$14="",BV$15="",BV$16="",BV$18="",BV$19="",BV$20="",BV$21=""),"",SUM($C13:BV13))</f>
        <v>177.68</v>
      </c>
      <c r="BW80" s="114">
        <f>IF(OR(BW$13="",BW$17="",BW$14="",BW$15="",BW$16="",BW$18="",BW$19="",BW$20="",BW$21=""),"",SUM($C13:BW13))</f>
        <v>177.68</v>
      </c>
      <c r="BX80" s="114">
        <f>IF(OR(BX$13="",BX$17="",BX$14="",BX$15="",BX$16="",BX$18="",BX$19="",BX$20="",BX$21=""),"",SUM($C13:BX13))</f>
        <v>177.68</v>
      </c>
      <c r="BY80" s="114">
        <f>IF(OR(BY$13="",BY$17="",BY$14="",BY$15="",BY$16="",BY$18="",BY$19="",BY$20="",BY$21=""),"",SUM($C13:BY13))</f>
        <v>182.88</v>
      </c>
      <c r="BZ80" s="114">
        <f>IF(OR(BZ$13="",BZ$17="",BZ$14="",BZ$15="",BZ$16="",BZ$18="",BZ$19="",BZ$20="",BZ$21=""),"",SUM($C13:BZ13))</f>
        <v>182.88</v>
      </c>
      <c r="CA80" s="114">
        <f>IF(OR(CA$13="",CA$17="",CA$14="",CA$15="",CA$16="",CA$18="",CA$19="",CA$20="",CA$21=""),"",SUM($C13:CA13))</f>
        <v>182.88</v>
      </c>
      <c r="CB80" s="114">
        <f>IF(OR(CB$13="",CB$17="",CB$14="",CB$15="",CB$16="",CB$18="",CB$19="",CB$20="",CB$21=""),"",SUM($C13:CB13))</f>
        <v>206.65</v>
      </c>
      <c r="CC80" s="114">
        <f>IF(OR(CC$13="",CC$17="",CC$14="",CC$15="",CC$16="",CC$18="",CC$19="",CC$20="",CC$21=""),"",SUM($C13:CC13))</f>
        <v>217.01</v>
      </c>
      <c r="CD80" s="114">
        <f>IF(OR(CD$13="",CD$17="",CD$14="",CD$15="",CD$16="",CD$18="",CD$19="",CD$20="",CD$21=""),"",SUM($C13:CD13))</f>
        <v>222.81</v>
      </c>
      <c r="CE80" s="114">
        <f>IF(OR(CE$13="",CE$17="",CE$14="",CE$15="",CE$16="",CE$18="",CE$19="",CE$20="",CE$21=""),"",SUM($C13:CE13))</f>
        <v>222.81</v>
      </c>
      <c r="CF80" s="114">
        <f>IF(OR(CF$13="",CF$17="",CF$14="",CF$15="",CF$16="",CF$18="",CF$19="",CF$20="",CF$21=""),"",SUM($C13:CF13))</f>
        <v>237.41</v>
      </c>
      <c r="CG80" s="114">
        <f>IF(OR(CG$13="",CG$17="",CG$14="",CG$15="",CG$16="",CG$18="",CG$19="",CG$20="",CG$21=""),"",SUM($C13:CG13))</f>
        <v>237.73</v>
      </c>
      <c r="CH80" s="114">
        <f>IF(OR(CH$13="",CH$17="",CH$14="",CH$15="",CH$16="",CH$18="",CH$19="",CH$20="",CH$21=""),"",SUM($C13:CH13))</f>
        <v>241.92999999999998</v>
      </c>
      <c r="CI80" s="114">
        <f>IF(OR(CI$13="",CI$17="",CI$14="",CI$15="",CI$16="",CI$18="",CI$19="",CI$20="",CI$21=""),"",SUM($C13:CI13))</f>
        <v>250.23</v>
      </c>
      <c r="CJ80" s="114">
        <f>IF(OR(CJ$13="",CJ$17="",CJ$14="",CJ$15="",CJ$16="",CJ$18="",CJ$19="",CJ$20="",CJ$21=""),"",SUM($C13:CJ13))</f>
        <v>250.23</v>
      </c>
      <c r="CK80" s="114">
        <f>IF(OR(CK$13="",CK$17="",CK$14="",CK$15="",CK$16="",CK$18="",CK$19="",CK$20="",CK$21=""),"",SUM($C13:CK13))</f>
        <v>250.23</v>
      </c>
      <c r="CL80" s="114">
        <f>IF(OR(CL$13="",CL$17="",CL$14="",CL$15="",CL$16="",CL$18="",CL$19="",CL$20="",CL$21=""),"",SUM($C13:CL13))</f>
        <v>250.23</v>
      </c>
      <c r="CM80" s="114">
        <f>IF(OR(CM$13="",CM$17="",CM$14="",CM$15="",CM$16="",CM$18="",CM$19="",CM$20="",CM$21=""),"",SUM($C13:CM13))</f>
        <v>253.42</v>
      </c>
      <c r="CN80" s="114">
        <f>IF(OR(CN$13="",CN$17="",CN$14="",CN$15="",CN$16="",CN$18="",CN$19="",CN$20="",CN$21=""),"",SUM($C13:CN13))</f>
        <v>253.42</v>
      </c>
      <c r="CO80" s="114">
        <f>IF(OR(CO$13="",CO$17="",CO$14="",CO$15="",CO$16="",CO$18="",CO$19="",CO$20="",CO$21=""),"",SUM($C13:CO13))</f>
        <v>253.42</v>
      </c>
      <c r="CP80" s="114">
        <f>IF(OR(CP$13="",CP$17="",CP$14="",CP$15="",CP$16="",CP$18="",CP$19="",CP$20="",CP$21=""),"",SUM($C13:CP13))</f>
        <v>259.53999999999996</v>
      </c>
      <c r="CQ80" s="114">
        <f>IF(OR(CQ$13="",CQ$17="",CQ$14="",CQ$15="",CQ$16="",CQ$18="",CQ$19="",CQ$20="",CQ$21=""),"",SUM($C13:CQ13))</f>
        <v>259.53999999999996</v>
      </c>
      <c r="CR80" s="114">
        <f>IF(OR(CR$13="",CR$17="",CR$14="",CR$15="",CR$16="",CR$18="",CR$19="",CR$20="",CR$21=""),"",SUM($C13:CR13))</f>
        <v>259.53999999999996</v>
      </c>
      <c r="CS80" s="114">
        <f>IF(OR(CS$13="",CS$17="",CS$14="",CS$15="",CS$16="",CS$18="",CS$19="",CS$20="",CS$21=""),"",SUM($C13:CS13))</f>
        <v>259.53999999999996</v>
      </c>
      <c r="CT80" s="114">
        <f>IF(OR(CT$13="",CT$17="",CT$14="",CT$15="",CT$16="",CT$18="",CT$19="",CT$20="",CT$21=""),"",SUM($C13:CT13))</f>
        <v>259.93999999999994</v>
      </c>
      <c r="CU80" s="114">
        <f>IF(OR(CU$13="",CU$17="",CU$14="",CU$15="",CU$16="",CU$18="",CU$19="",CU$20="",CU$21=""),"",SUM($C13:CU13))</f>
        <v>259.93999999999994</v>
      </c>
      <c r="CV80" s="114">
        <f>IF(OR(CV$13="",CV$17="",CV$14="",CV$15="",CV$16="",CV$18="",CV$19="",CV$20="",CV$21=""),"",SUM($C13:CV13))</f>
        <v>260.53999999999996</v>
      </c>
      <c r="CW80" s="114">
        <f>IF(OR(CW$13="",CW$17="",CW$14="",CW$15="",CW$16="",CW$18="",CW$19="",CW$20="",CW$21=""),"",SUM($C13:CW13))</f>
        <v>260.53999999999996</v>
      </c>
      <c r="CX80" s="114">
        <f>IF(OR(CX$13="",CX$17="",CX$14="",CX$15="",CX$16="",CX$18="",CX$19="",CX$20="",CX$21=""),"",SUM($C13:CX13))</f>
        <v>260.53999999999996</v>
      </c>
      <c r="CY80" s="114">
        <f>IF(OR(CY$13="",CY$17="",CY$14="",CY$15="",CY$16="",CY$18="",CY$19="",CY$20="",CY$21=""),"",SUM($C13:CY13))</f>
        <v>260.53999999999996</v>
      </c>
      <c r="CZ80" s="114">
        <f>IF(OR(CZ$13="",CZ$17="",CZ$14="",CZ$15="",CZ$16="",CZ$18="",CZ$19="",CZ$20="",CZ$21=""),"",SUM($C13:CZ13))</f>
        <v>260.53999999999996</v>
      </c>
      <c r="DA80" s="114">
        <f>IF(OR(DA$13="",DA$17="",DA$14="",DA$15="",DA$16="",DA$18="",DA$19="",DA$20="",DA$21=""),"",SUM($C13:DA13))</f>
        <v>265.15999999999997</v>
      </c>
      <c r="DB80" s="114">
        <f>IF(OR(DB$13="",DB$17="",DB$14="",DB$15="",DB$16="",DB$18="",DB$19="",DB$20="",DB$21=""),"",SUM($C13:DB13))</f>
        <v>265.15999999999997</v>
      </c>
      <c r="DC80" s="114">
        <f>IF(OR(DC$13="",DC$17="",DC$14="",DC$15="",DC$16="",DC$18="",DC$19="",DC$20="",DC$21=""),"",SUM($C13:DC13))</f>
        <v>265.15999999999997</v>
      </c>
      <c r="DD80" s="114">
        <f>IF(OR(DD$13="",DD$17="",DD$14="",DD$15="",DD$16="",DD$18="",DD$19="",DD$20="",DD$21=""),"",SUM($C13:DD13))</f>
        <v>266.23999999999995</v>
      </c>
      <c r="DE80" s="114">
        <f>IF(OR(DE$13="",DE$17="",DE$14="",DE$15="",DE$16="",DE$18="",DE$19="",DE$20="",DE$21=""),"",SUM($C13:DE13))</f>
        <v>266.23999999999995</v>
      </c>
      <c r="DF80" s="114">
        <f>IF(OR(DF$13="",DF$17="",DF$14="",DF$15="",DF$16="",DF$18="",DF$19="",DF$20="",DF$21=""),"",SUM($C13:DF13))</f>
        <v>266.23999999999995</v>
      </c>
      <c r="DG80" s="114">
        <f>IF(OR(DG$13="",DG$17="",DG$14="",DG$15="",DG$16="",DG$18="",DG$19="",DG$20="",DG$21=""),"",SUM($C13:DG13))</f>
        <v>266.23999999999995</v>
      </c>
      <c r="DH80" s="114">
        <f>IF(OR(DH$13="",DH$17="",DH$14="",DH$15="",DH$16="",DH$18="",DH$19="",DH$20="",DH$21=""),"",SUM($C13:DH13))</f>
        <v>266.23999999999995</v>
      </c>
      <c r="DI80" s="114">
        <f>IF(OR(DI$13="",DI$17="",DI$14="",DI$15="",DI$16="",DI$18="",DI$19="",DI$20="",DI$21=""),"",SUM($C13:DI13))</f>
        <v>266.23999999999995</v>
      </c>
      <c r="DJ80" s="114">
        <f>IF(OR(DJ$13="",DJ$17="",DJ$14="",DJ$15="",DJ$16="",DJ$18="",DJ$19="",DJ$20="",DJ$21=""),"",SUM($C13:DJ13))</f>
        <v>266.23999999999995</v>
      </c>
      <c r="DK80" s="114">
        <f>IF(OR(DK$13="",DK$17="",DK$14="",DK$15="",DK$16="",DK$18="",DK$19="",DK$20="",DK$21=""),"",SUM($C13:DK13))</f>
        <v>268.50999999999993</v>
      </c>
      <c r="DL80" s="114">
        <f>IF(OR(DL$13="",DL$17="",DL$14="",DL$15="",DL$16="",DL$18="",DL$19="",DL$20="",DL$21=""),"",SUM($C13:DL13))</f>
        <v>272.12999999999994</v>
      </c>
      <c r="DM80" s="114">
        <f>IF(OR(DM$13="",DM$17="",DM$14="",DM$15="",DM$16="",DM$18="",DM$19="",DM$20="",DM$21=""),"",SUM($C13:DM13))</f>
        <v>272.12999999999994</v>
      </c>
      <c r="DN80" s="114">
        <f>IF(OR(DN$13="",DN$17="",DN$14="",DN$15="",DN$16="",DN$18="",DN$19="",DN$20="",DN$21=""),"",SUM($C13:DN13))</f>
        <v>272.12999999999994</v>
      </c>
      <c r="DO80" s="114">
        <f>IF(OR(DO$13="",DO$17="",DO$14="",DO$15="",DO$16="",DO$18="",DO$19="",DO$20="",DO$21=""),"",SUM($C13:DO13))</f>
        <v>272.12999999999994</v>
      </c>
      <c r="DP80" s="114">
        <f>IF(OR(DP$13="",DP$17="",DP$14="",DP$15="",DP$16="",DP$18="",DP$19="",DP$20="",DP$21=""),"",SUM($C13:DP13))</f>
        <v>272.12999999999994</v>
      </c>
      <c r="DQ80" s="114">
        <f>IF(OR(DQ$13="",DQ$17="",DQ$14="",DQ$15="",DQ$16="",DQ$18="",DQ$19="",DQ$20="",DQ$21=""),"",SUM($C13:DQ13))</f>
        <v>272.12999999999994</v>
      </c>
      <c r="DR80" s="114">
        <f>IF(OR(DR$13="",DR$17="",DR$14="",DR$15="",DR$16="",DR$18="",DR$19="",DR$20="",DR$21=""),"",SUM($C13:DR13))</f>
        <v>272.12999999999994</v>
      </c>
      <c r="DS80" s="114">
        <f>IF(OR(DS$13="",DS$17="",DS$14="",DS$15="",DS$16="",DS$18="",DS$19="",DS$20="",DS$21=""),"",SUM($C13:DS13))</f>
        <v>272.12999999999994</v>
      </c>
      <c r="DT80" s="114">
        <f>IF(OR(DT$13="",DT$17="",DT$14="",DT$15="",DT$16="",DT$18="",DT$19="",DT$20="",DT$21=""),"",SUM($C13:DT13))</f>
        <v>275.17999999999995</v>
      </c>
      <c r="DU80" s="114">
        <f>IF(OR(DU$13="",DU$17="",DU$14="",DU$15="",DU$16="",DU$18="",DU$19="",DU$20="",DU$21=""),"",SUM($C13:DU13))</f>
        <v>275.17999999999995</v>
      </c>
      <c r="DV80" s="114">
        <f>IF(OR(DV$13="",DV$17="",DV$14="",DV$15="",DV$16="",DV$18="",DV$19="",DV$20="",DV$21=""),"",SUM($C13:DV13))</f>
        <v>275.17999999999995</v>
      </c>
      <c r="DW80" s="114">
        <f>IF(OR(DW$13="",DW$17="",DW$14="",DW$15="",DW$16="",DW$18="",DW$19="",DW$20="",DW$21=""),"",SUM($C13:DW13))</f>
        <v>275.17999999999995</v>
      </c>
      <c r="DX80" s="114">
        <f>IF(OR(DX$13="",DX$17="",DX$14="",DX$15="",DX$16="",DX$18="",DX$19="",DX$20="",DX$21=""),"",SUM($C13:DX13))</f>
        <v>275.17999999999995</v>
      </c>
      <c r="DY80" s="114">
        <f>IF(OR(DY$13="",DY$17="",DY$14="",DY$15="",DY$16="",DY$18="",DY$19="",DY$20="",DY$21=""),"",SUM($C13:DY13))</f>
        <v>275.17999999999995</v>
      </c>
      <c r="DZ80" s="114">
        <f>IF(OR(DZ$13="",DZ$17="",DZ$14="",DZ$15="",DZ$16="",DZ$18="",DZ$19="",DZ$20="",DZ$21=""),"",SUM($C13:DZ13))</f>
        <v>277.87999999999994</v>
      </c>
      <c r="EA80" s="114">
        <f>IF(OR(EA$13="",EA$17="",EA$14="",EA$15="",EA$16="",EA$18="",EA$19="",EA$20="",EA$21=""),"",SUM($C13:EA13))</f>
        <v>277.87999999999994</v>
      </c>
      <c r="EB80" s="114">
        <f>IF(OR(EB$13="",EB$17="",EB$14="",EB$15="",EB$16="",EB$18="",EB$19="",EB$20="",EB$21=""),"",SUM($C13:EB13))</f>
        <v>280.24999999999994</v>
      </c>
      <c r="EC80" s="114">
        <f>IF(OR(EC$13="",EC$17="",EC$14="",EC$15="",EC$16="",EC$18="",EC$19="",EC$20="",EC$21=""),"",SUM($C13:EC13))</f>
        <v>297.24999999999994</v>
      </c>
      <c r="ED80" s="114">
        <f>IF(OR(ED$13="",ED$17="",ED$14="",ED$15="",ED$16="",ED$18="",ED$19="",ED$20="",ED$21=""),"",SUM($C13:ED13))</f>
        <v>307.64999999999992</v>
      </c>
      <c r="EE80" s="114">
        <f>IF(OR(EE$13="",EE$17="",EE$14="",EE$15="",EE$16="",EE$18="",EE$19="",EE$20="",EE$21=""),"",SUM($C13:EE13))</f>
        <v>317.94999999999993</v>
      </c>
      <c r="EF80" s="114">
        <f>IF(OR(EF$13="",EF$17="",EF$14="",EF$15="",EF$16="",EF$18="",EF$19="",EF$20="",EF$21=""),"",SUM($C13:EF13))</f>
        <v>317.94999999999993</v>
      </c>
      <c r="EG80" s="114">
        <f>IF(OR(EG$13="",EG$17="",EG$14="",EG$15="",EG$16="",EG$18="",EG$19="",EG$20="",EG$21=""),"",SUM($C13:EG13))</f>
        <v>326.04999999999995</v>
      </c>
      <c r="EH80" s="114">
        <f>IF(OR(EH$13="",EH$17="",EH$14="",EH$15="",EH$16="",EH$18="",EH$19="",EH$20="",EH$21=""),"",SUM($C13:EH13))</f>
        <v>326.41999999999996</v>
      </c>
      <c r="EI80" s="114">
        <f>IF(OR(EI$13="",EI$17="",EI$14="",EI$15="",EI$16="",EI$18="",EI$19="",EI$20="",EI$21=""),"",SUM($C13:EI13))</f>
        <v>331.69999999999993</v>
      </c>
      <c r="EJ80" s="114">
        <f>IF(OR(EJ$13="",EJ$17="",EJ$14="",EJ$15="",EJ$16="",EJ$18="",EJ$19="",EJ$20="",EJ$21=""),"",SUM($C13:EJ13))</f>
        <v>331.69999999999993</v>
      </c>
      <c r="EK80" s="114">
        <f>IF(OR(EK$13="",EK$17="",EK$14="",EK$15="",EK$16="",EK$18="",EK$19="",EK$20="",EK$21=""),"",SUM($C13:EK13))</f>
        <v>331.69999999999993</v>
      </c>
      <c r="EL80" s="114">
        <f>IF(OR(EL$13="",EL$17="",EL$14="",EL$15="",EL$16="",EL$18="",EL$19="",EL$20="",EL$21=""),"",SUM($C13:EL13))</f>
        <v>331.69999999999993</v>
      </c>
      <c r="EM80" s="114">
        <f>IF(OR(EM$13="",EM$17="",EM$14="",EM$15="",EM$16="",EM$18="",EM$19="",EM$20="",EM$21=""),"",SUM($C13:EM13))</f>
        <v>331.69999999999993</v>
      </c>
      <c r="EN80" s="114">
        <f>IF(OR(EN$13="",EN$17="",EN$14="",EN$15="",EN$16="",EN$18="",EN$19="",EN$20="",EN$21=""),"",SUM($C13:EN13))</f>
        <v>331.69999999999993</v>
      </c>
      <c r="EO80" s="114">
        <f>IF(OR(EO$13="",EO$17="",EO$14="",EO$15="",EO$16="",EO$18="",EO$19="",EO$20="",EO$21=""),"",SUM($C13:EO13))</f>
        <v>331.69999999999993</v>
      </c>
      <c r="EP80" s="114">
        <f>IF(OR(EP$13="",EP$17="",EP$14="",EP$15="",EP$16="",EP$18="",EP$19="",EP$20="",EP$21=""),"",SUM($C13:EP13))</f>
        <v>331.69999999999993</v>
      </c>
      <c r="EQ80" s="114">
        <f>IF(OR(EQ$13="",EQ$17="",EQ$14="",EQ$15="",EQ$16="",EQ$18="",EQ$19="",EQ$20="",EQ$21=""),"",SUM($C13:EQ13))</f>
        <v>331.69999999999993</v>
      </c>
      <c r="ER80" s="114">
        <f>IF(OR(ER$13="",ER$17="",ER$14="",ER$15="",ER$16="",ER$18="",ER$19="",ER$20="",ER$21=""),"",SUM($C13:ER13))</f>
        <v>341.09999999999991</v>
      </c>
      <c r="ES80" s="114">
        <f>IF(OR(ES$13="",ES$17="",ES$14="",ES$15="",ES$16="",ES$18="",ES$19="",ES$20="",ES$21=""),"",SUM($C13:ES13))</f>
        <v>341.09999999999991</v>
      </c>
      <c r="ET80" s="114">
        <f>IF(OR(ET$13="",ET$17="",ET$14="",ET$15="",ET$16="",ET$18="",ET$19="",ET$20="",ET$21=""),"",SUM($C13:ET13))</f>
        <v>341.09999999999991</v>
      </c>
      <c r="EU80" s="114">
        <f>IF(OR(EU$13="",EU$17="",EU$14="",EU$15="",EU$16="",EU$18="",EU$19="",EU$20="",EU$21=""),"",SUM($C13:EU13))</f>
        <v>341.09999999999991</v>
      </c>
      <c r="EV80" s="114">
        <f>IF(OR(EV$13="",EV$17="",EV$14="",EV$15="",EV$16="",EV$18="",EV$19="",EV$20="",EV$21=""),"",SUM($C13:EV13))</f>
        <v>341.09999999999991</v>
      </c>
      <c r="EW80" s="114">
        <f>IF(OR(EW$13="",EW$17="",EW$14="",EW$15="",EW$16="",EW$18="",EW$19="",EW$20="",EW$21=""),"",SUM($C13:EW13))</f>
        <v>341.09999999999991</v>
      </c>
      <c r="EX80" s="114">
        <f>IF(OR(EX$13="",EX$17="",EX$14="",EX$15="",EX$16="",EX$18="",EX$19="",EX$20="",EX$21=""),"",SUM($C13:EX13))</f>
        <v>341.09999999999991</v>
      </c>
      <c r="EY80" s="114">
        <f>IF(OR(EY$13="",EY$17="",EY$14="",EY$15="",EY$16="",EY$18="",EY$19="",EY$20="",EY$21=""),"",SUM($C13:EY13))</f>
        <v>341.09999999999991</v>
      </c>
      <c r="EZ80" s="114">
        <f>IF(OR(EZ$13="",EZ$17="",EZ$14="",EZ$15="",EZ$16="",EZ$18="",EZ$19="",EZ$20="",EZ$21=""),"",SUM($C13:EZ13))</f>
        <v>341.09999999999991</v>
      </c>
      <c r="FA80" s="114">
        <f>IF(OR(FA$13="",FA$17="",FA$14="",FA$15="",FA$16="",FA$18="",FA$19="",FA$20="",FA$21=""),"",SUM($C13:FA13))</f>
        <v>341.09999999999991</v>
      </c>
      <c r="FB80" s="114">
        <f>IF(OR(FB$13="",FB$17="",FB$14="",FB$15="",FB$16="",FB$18="",FB$19="",FB$20="",FB$21=""),"",SUM($C13:FB13))</f>
        <v>341.09999999999991</v>
      </c>
      <c r="FC80" s="114">
        <f>IF(OR(FC$13="",FC$17="",FC$14="",FC$15="",FC$16="",FC$18="",FC$19="",FC$20="",FC$21=""),"",SUM($C13:FC13))</f>
        <v>341.09999999999991</v>
      </c>
      <c r="FD80" s="114">
        <f>IF(OR(FD$13="",FD$17="",FD$14="",FD$15="",FD$16="",FD$18="",FD$19="",FD$20="",FD$21=""),"",SUM($C13:FD13))</f>
        <v>341.09999999999991</v>
      </c>
      <c r="FE80" s="114">
        <f>IF(OR(FE$13="",FE$17="",FE$14="",FE$15="",FE$16="",FE$18="",FE$19="",FE$20="",FE$21=""),"",SUM($C13:FE13))</f>
        <v>366.6699999999999</v>
      </c>
      <c r="FF80" s="114">
        <f>IF(OR(FF$13="",FF$17="",FF$14="",FF$15="",FF$16="",FF$18="",FF$19="",FF$20="",FF$21=""),"",SUM($C13:FF13))</f>
        <v>370.88999999999993</v>
      </c>
      <c r="FG80" s="114">
        <f>IF(OR(FG$13="",FG$17="",FG$14="",FG$15="",FG$16="",FG$18="",FG$19="",FG$20="",FG$21=""),"",SUM($C13:FG13))</f>
        <v>371.13999999999993</v>
      </c>
      <c r="FH80" s="114">
        <f>IF(OR(FH$13="",FH$17="",FH$14="",FH$15="",FH$16="",FH$18="",FH$19="",FH$20="",FH$21=""),"",SUM($C13:FH13))</f>
        <v>381.38999999999993</v>
      </c>
      <c r="FI80" s="114">
        <f>IF(OR(FI$13="",FI$17="",FI$14="",FI$15="",FI$16="",FI$18="",FI$19="",FI$20="",FI$21=""),"",SUM($C13:FI13))</f>
        <v>390.57999999999993</v>
      </c>
      <c r="FJ80" s="114">
        <f>IF(OR(FJ$13="",FJ$17="",FJ$14="",FJ$15="",FJ$16="",FJ$18="",FJ$19="",FJ$20="",FJ$21=""),"",SUM($C13:FJ13))</f>
        <v>390.57999999999993</v>
      </c>
      <c r="FK80" s="114">
        <f>IF(OR(FK$13="",FK$17="",FK$14="",FK$15="",FK$16="",FK$18="",FK$19="",FK$20="",FK$21=""),"",SUM($C13:FK13))</f>
        <v>390.57999999999993</v>
      </c>
      <c r="FL80" s="114">
        <f>IF(OR(FL$13="",FL$17="",FL$14="",FL$15="",FL$16="",FL$18="",FL$19="",FL$20="",FL$21=""),"",SUM($C13:FL13))</f>
        <v>390.57999999999993</v>
      </c>
      <c r="FM80" s="114">
        <f>IF(OR(FM$13="",FM$17="",FM$14="",FM$15="",FM$16="",FM$18="",FM$19="",FM$20="",FM$21=""),"",SUM($C13:FM13))</f>
        <v>390.57999999999993</v>
      </c>
      <c r="FN80" s="114">
        <f>IF(OR(FN$13="",FN$17="",FN$14="",FN$15="",FN$16="",FN$18="",FN$19="",FN$20="",FN$21=""),"",SUM($C13:FN13))</f>
        <v>390.57999999999993</v>
      </c>
      <c r="FO80" s="114">
        <f>IF(OR(FO$13="",FO$17="",FO$14="",FO$15="",FO$16="",FO$18="",FO$19="",FO$20="",FO$21=""),"",SUM($C13:FO13))</f>
        <v>390.57999999999993</v>
      </c>
      <c r="FP80" s="114">
        <f>IF(OR(FP$13="",FP$17="",FP$14="",FP$15="",FP$16="",FP$18="",FP$19="",FP$20="",FP$21=""),"",SUM($C13:FP13))</f>
        <v>390.57999999999993</v>
      </c>
      <c r="FQ80" s="114">
        <f>IF(OR(FQ$13="",FQ$17="",FQ$14="",FQ$15="",FQ$16="",FQ$18="",FQ$19="",FQ$20="",FQ$21=""),"",SUM($C13:FQ13))</f>
        <v>390.57999999999993</v>
      </c>
      <c r="FR80" s="114">
        <f>IF(OR(FR$13="",FR$17="",FR$14="",FR$15="",FR$16="",FR$18="",FR$19="",FR$20="",FR$21=""),"",SUM($C13:FR13))</f>
        <v>390.57999999999993</v>
      </c>
      <c r="FS80" s="114">
        <f>IF(OR(FS$13="",FS$17="",FS$14="",FS$15="",FS$16="",FS$18="",FS$19="",FS$20="",FS$21=""),"",SUM($C13:FS13))</f>
        <v>390.57999999999993</v>
      </c>
      <c r="FT80" s="114">
        <f>IF(OR(FT$13="",FT$17="",FT$14="",FT$15="",FT$16="",FT$18="",FT$19="",FT$20="",FT$21=""),"",SUM($C13:FT13))</f>
        <v>390.57999999999993</v>
      </c>
      <c r="FU80" s="114">
        <f>IF(OR(FU$13="",FU$17="",FU$14="",FU$15="",FU$16="",FU$18="",FU$19="",FU$20="",FU$21=""),"",SUM($C13:FU13))</f>
        <v>390.57999999999993</v>
      </c>
      <c r="FV80" s="114">
        <f>IF(OR(FV$13="",FV$17="",FV$14="",FV$15="",FV$16="",FV$18="",FV$19="",FV$20="",FV$21=""),"",SUM($C13:FV13))</f>
        <v>399.67999999999995</v>
      </c>
      <c r="FW80" s="114">
        <f>IF(OR(FW$13="",FW$17="",FW$14="",FW$15="",FW$16="",FW$18="",FW$19="",FW$20="",FW$21=""),"",SUM($C13:FW13))</f>
        <v>402.65999999999997</v>
      </c>
      <c r="FX80" s="114">
        <f>IF(OR(FX$13="",FX$17="",FX$14="",FX$15="",FX$16="",FX$18="",FX$19="",FX$20="",FX$21=""),"",SUM($C13:FX13))</f>
        <v>402.65999999999997</v>
      </c>
      <c r="FY80" s="114">
        <f>IF(OR(FY$13="",FY$17="",FY$14="",FY$15="",FY$16="",FY$18="",FY$19="",FY$20="",FY$21=""),"",SUM($C13:FY13))</f>
        <v>402.65999999999997</v>
      </c>
      <c r="FZ80" s="114">
        <f>IF(OR(FZ$13="",FZ$17="",FZ$14="",FZ$15="",FZ$16="",FZ$18="",FZ$19="",FZ$20="",FZ$21=""),"",SUM($C13:FZ13))</f>
        <v>414.17999999999995</v>
      </c>
      <c r="GA80" s="114">
        <f>IF(OR(GA$13="",GA$17="",GA$14="",GA$15="",GA$16="",GA$18="",GA$19="",GA$20="",GA$21=""),"",SUM($C13:GA13))</f>
        <v>414.17999999999995</v>
      </c>
      <c r="GB80" s="114">
        <f>IF(OR(GB$13="",GB$17="",GB$14="",GB$15="",GB$16="",GB$18="",GB$19="",GB$20="",GB$21=""),"",SUM($C13:GB13))</f>
        <v>414.17999999999995</v>
      </c>
      <c r="GC80" s="114">
        <f>IF(OR(GC$13="",GC$17="",GC$14="",GC$15="",GC$16="",GC$18="",GC$19="",GC$20="",GC$21=""),"",SUM($C13:GC13))</f>
        <v>414.78999999999996</v>
      </c>
      <c r="GD80" s="114">
        <f>IF(OR(GD$13="",GD$17="",GD$14="",GD$15="",GD$16="",GD$18="",GD$19="",GD$20="",GD$21=""),"",SUM($C13:GD13))</f>
        <v>414.78999999999996</v>
      </c>
      <c r="GE80" s="114">
        <f>IF(OR(GE$13="",GE$17="",GE$14="",GE$15="",GE$16="",GE$18="",GE$19="",GE$20="",GE$21=""),"",SUM($C13:GE13))</f>
        <v>414.86999999999995</v>
      </c>
      <c r="GF80" s="114">
        <f>IF(OR(GF$13="",GF$17="",GF$14="",GF$15="",GF$16="",GF$18="",GF$19="",GF$20="",GF$21=""),"",SUM($C13:GF13))</f>
        <v>414.86999999999995</v>
      </c>
      <c r="GG80" s="114">
        <f>IF(OR(GG$13="",GG$17="",GG$14="",GG$15="",GG$16="",GG$18="",GG$19="",GG$20="",GG$21=""),"",SUM($C13:GG13))</f>
        <v>414.86999999999995</v>
      </c>
      <c r="GH80" s="114">
        <f>IF(OR(GH$13="",GH$17="",GH$14="",GH$15="",GH$16="",GH$18="",GH$19="",GH$20="",GH$21=""),"",SUM($C13:GH13))</f>
        <v>415.88999999999993</v>
      </c>
      <c r="GI80" s="114">
        <f>IF(OR(GI$13="",GI$17="",GI$14="",GI$15="",GI$16="",GI$18="",GI$19="",GI$20="",GI$21=""),"",SUM($C13:GI13))</f>
        <v>415.88999999999993</v>
      </c>
      <c r="GJ80" s="114">
        <f>IF(OR(GJ$13="",GJ$17="",GJ$14="",GJ$15="",GJ$16="",GJ$18="",GJ$19="",GJ$20="",GJ$21=""),"",SUM($C13:GJ13))</f>
        <v>415.88999999999993</v>
      </c>
      <c r="GK80" s="114">
        <f>IF(OR(GK$13="",GK$17="",GK$14="",GK$15="",GK$16="",GK$18="",GK$19="",GK$20="",GK$21=""),"",SUM($C13:GK13))</f>
        <v>415.88999999999993</v>
      </c>
      <c r="GL80" s="114">
        <f>IF(OR(GL$13="",GL$17="",GL$14="",GL$15="",GL$16="",GL$18="",GL$19="",GL$20="",GL$21=""),"",SUM($C13:GL13))</f>
        <v>415.88999999999993</v>
      </c>
      <c r="GM80" s="114">
        <f>IF(OR(GM$13="",GM$17="",GM$14="",GM$15="",GM$16="",GM$18="",GM$19="",GM$20="",GM$21=""),"",SUM($C13:GM13))</f>
        <v>415.88999999999993</v>
      </c>
      <c r="GN80" s="114">
        <f>IF(OR(GN$13="",GN$17="",GN$14="",GN$15="",GN$16="",GN$18="",GN$19="",GN$20="",GN$21=""),"",SUM($C13:GN13))</f>
        <v>415.88999999999993</v>
      </c>
      <c r="GO80" s="114">
        <f>IF(OR(GO$13="",GO$17="",GO$14="",GO$15="",GO$16="",GO$18="",GO$19="",GO$20="",GO$21=""),"",SUM($C13:GO13))</f>
        <v>415.88999999999993</v>
      </c>
      <c r="GP80" s="114">
        <f>IF(OR(GP$13="",GP$17="",GP$14="",GP$15="",GP$16="",GP$18="",GP$19="",GP$20="",GP$21=""),"",SUM($C13:GP13))</f>
        <v>415.88999999999993</v>
      </c>
      <c r="GQ80" s="114">
        <f>IF(OR(GQ$13="",GQ$17="",GQ$14="",GQ$15="",GQ$16="",GQ$18="",GQ$19="",GQ$20="",GQ$21=""),"",SUM($C13:GQ13))</f>
        <v>415.88999999999993</v>
      </c>
      <c r="GR80" s="114">
        <f>IF(OR(GR$13="",GR$17="",GR$14="",GR$15="",GR$16="",GR$18="",GR$19="",GR$20="",GR$21=""),"",SUM($C13:GR13))</f>
        <v>415.88999999999993</v>
      </c>
      <c r="GS80" s="114">
        <f>IF(OR(GS$13="",GS$17="",GS$14="",GS$15="",GS$16="",GS$18="",GS$19="",GS$20="",GS$21=""),"",SUM($C13:GS13))</f>
        <v>415.88999999999993</v>
      </c>
      <c r="GT80" s="114">
        <f>IF(OR(GT$13="",GT$17="",GT$14="",GT$15="",GT$16="",GT$18="",GT$19="",GT$20="",GT$21=""),"",SUM($C13:GT13))</f>
        <v>415.88999999999993</v>
      </c>
      <c r="GU80" s="114">
        <f>IF(OR(GU$13="",GU$17="",GU$14="",GU$15="",GU$16="",GU$18="",GU$19="",GU$20="",GU$21=""),"",SUM($C13:GU13))</f>
        <v>463.70999999999992</v>
      </c>
      <c r="GV80" s="114">
        <f>IF(OR(GV$13="",GV$17="",GV$14="",GV$15="",GV$16="",GV$18="",GV$19="",GV$20="",GV$21=""),"",SUM($C13:GV13))</f>
        <v>463.70999999999992</v>
      </c>
      <c r="GW80" s="114">
        <f>IF(OR(GW$13="",GW$17="",GW$14="",GW$15="",GW$16="",GW$18="",GW$19="",GW$20="",GW$21=""),"",SUM($C13:GW13))</f>
        <v>466.88999999999993</v>
      </c>
      <c r="GX80" s="114">
        <f>IF(OR(GX$13="",GX$17="",GX$14="",GX$15="",GX$16="",GX$18="",GX$19="",GX$20="",GX$21=""),"",SUM($C13:GX13))</f>
        <v>466.88999999999993</v>
      </c>
      <c r="GY80" s="114">
        <f>IF(OR(GY$13="",GY$17="",GY$14="",GY$15="",GY$16="",GY$18="",GY$19="",GY$20="",GY$21=""),"",SUM($C13:GY13))</f>
        <v>466.88999999999993</v>
      </c>
      <c r="GZ80" s="114">
        <f>IF(OR(GZ$13="",GZ$17="",GZ$14="",GZ$15="",GZ$16="",GZ$18="",GZ$19="",GZ$20="",GZ$21=""),"",SUM($C13:GZ13))</f>
        <v>466.88999999999993</v>
      </c>
      <c r="HA80" s="114">
        <f>IF(OR(HA$13="",HA$17="",HA$14="",HA$15="",HA$16="",HA$18="",HA$19="",HA$20="",HA$21=""),"",SUM($C13:HA13))</f>
        <v>466.88999999999993</v>
      </c>
      <c r="HB80" s="114">
        <f>IF(OR(HB$13="",HB$17="",HB$14="",HB$15="",HB$16="",HB$18="",HB$19="",HB$20="",HB$21=""),"",SUM($C13:HB13))</f>
        <v>466.88999999999993</v>
      </c>
      <c r="HC80" s="114">
        <f>IF(OR(HC$13="",HC$17="",HC$14="",HC$15="",HC$16="",HC$18="",HC$19="",HC$20="",HC$21=""),"",SUM($C13:HC13))</f>
        <v>466.88999999999993</v>
      </c>
      <c r="HD80" s="114">
        <f>IF(OR(HD$13="",HD$17="",HD$14="",HD$15="",HD$16="",HD$18="",HD$19="",HD$20="",HD$21=""),"",SUM($C13:HD13))</f>
        <v>484.56999999999994</v>
      </c>
      <c r="HE80" s="114">
        <f>IF(OR(HE$13="",HE$17="",HE$14="",HE$15="",HE$16="",HE$18="",HE$19="",HE$20="",HE$21=""),"",SUM($C13:HE13))</f>
        <v>484.56999999999994</v>
      </c>
      <c r="HF80" s="114">
        <f>IF(OR(HF$13="",HF$17="",HF$14="",HF$15="",HF$16="",HF$18="",HF$19="",HF$20="",HF$21=""),"",SUM($C13:HF13))</f>
        <v>484.56999999999994</v>
      </c>
      <c r="HG80" s="114">
        <f>IF(OR(HG$13="",HG$17="",HG$14="",HG$15="",HG$16="",HG$18="",HG$19="",HG$20="",HG$21=""),"",SUM($C13:HG13))</f>
        <v>484.56999999999994</v>
      </c>
      <c r="HH80" s="114">
        <f>IF(OR(HH$13="",HH$17="",HH$14="",HH$15="",HH$16="",HH$18="",HH$19="",HH$20="",HH$21=""),"",SUM($C13:HH13))</f>
        <v>484.56999999999994</v>
      </c>
      <c r="HI80" s="114">
        <f>IF(OR(HI$13="",HI$17="",HI$14="",HI$15="",HI$16="",HI$18="",HI$19="",HI$20="",HI$21=""),"",SUM($C13:HI13))</f>
        <v>484.56999999999994</v>
      </c>
      <c r="HJ80" s="114">
        <f>IF(OR(HJ$13="",HJ$17="",HJ$14="",HJ$15="",HJ$16="",HJ$18="",HJ$19="",HJ$20="",HJ$21=""),"",SUM($C13:HJ13))</f>
        <v>485.25833333333327</v>
      </c>
      <c r="HK80" s="114">
        <f>IF(OR(HK$13="",HK$17="",HK$14="",HK$15="",HK$16="",HK$18="",HK$19="",HK$20="",HK$21=""),"",SUM($C13:HK13))</f>
        <v>505.01277777777773</v>
      </c>
      <c r="HL80" s="114">
        <f>IF(OR(HL$13="",HL$17="",HL$14="",HL$15="",HL$16="",HL$18="",HL$19="",HL$20="",HL$21=""),"",SUM($C13:HL13))</f>
        <v>505.65361111111105</v>
      </c>
      <c r="HM80" s="114">
        <f>IF(OR(HM$13="",HM$17="",HM$14="",HM$15="",HM$16="",HM$18="",HM$19="",HM$20="",HM$21=""),"",SUM($C13:HM13))</f>
        <v>505.65361111111105</v>
      </c>
      <c r="HN80" s="114">
        <f>IF(OR(HN$13="",HN$17="",HN$14="",HN$15="",HN$16="",HN$18="",HN$19="",HN$20="",HN$21=""),"",SUM($C13:HN13))</f>
        <v>505.65361111111105</v>
      </c>
      <c r="HO80" s="114">
        <f>IF(OR(HO$13="",HO$17="",HO$14="",HO$15="",HO$16="",HO$18="",HO$19="",HO$20="",HO$21=""),"",SUM($C13:HO13))</f>
        <v>505.65361111111105</v>
      </c>
      <c r="HP80" s="114">
        <f>IF(OR(HP$13="",HP$17="",HP$14="",HP$15="",HP$16="",HP$18="",HP$19="",HP$20="",HP$21=""),"",SUM($C13:HP13))</f>
        <v>505.65361111111105</v>
      </c>
      <c r="HQ80" s="114">
        <f>IF(OR(HQ$13="",HQ$17="",HQ$14="",HQ$15="",HQ$16="",HQ$18="",HQ$19="",HQ$20="",HQ$21=""),"",SUM($C13:HQ13))</f>
        <v>505.65361111111105</v>
      </c>
      <c r="HR80" s="114">
        <f>IF(OR(HR$13="",HR$17="",HR$14="",HR$15="",HR$16="",HR$18="",HR$19="",HR$20="",HR$21=""),"",SUM($C13:HR13))</f>
        <v>505.65361111111105</v>
      </c>
      <c r="HS80" s="114">
        <f>IF(OR(HS$13="",HS$17="",HS$14="",HS$15="",HS$16="",HS$18="",HS$19="",HS$20="",HS$21=""),"",SUM($C13:HS13))</f>
        <v>522.00527777777768</v>
      </c>
      <c r="HT80" s="114">
        <f>IF(OR(HT$13="",HT$17="",HT$14="",HT$15="",HT$16="",HT$18="",HT$19="",HT$20="",HT$21=""),"",SUM($C13:HT13))</f>
        <v>522.00527777777768</v>
      </c>
      <c r="HU80" s="114">
        <f>IF(OR(HU$13="",HU$17="",HU$14="",HU$15="",HU$16="",HU$18="",HU$19="",HU$20="",HU$21=""),"",SUM($C13:HU13))</f>
        <v>527.37166666666656</v>
      </c>
      <c r="HV80" s="114">
        <f>IF(OR(HV$13="",HV$17="",HV$14="",HV$15="",HV$16="",HV$18="",HV$19="",HV$20="",HV$21=""),"",SUM($C13:HV13))</f>
        <v>527.37166666666656</v>
      </c>
      <c r="HW80" s="114">
        <f>IF(OR(HW$13="",HW$17="",HW$14="",HW$15="",HW$16="",HW$18="",HW$19="",HW$20="",HW$21=""),"",SUM($C13:HW13))</f>
        <v>527.37166666666656</v>
      </c>
      <c r="HX80" s="114">
        <f>IF(OR(HX$13="",HX$17="",HX$14="",HX$15="",HX$16="",HX$18="",HX$19="",HX$20="",HX$21=""),"",SUM($C13:HX13))</f>
        <v>540.67416666666657</v>
      </c>
      <c r="HY80" s="114">
        <f>IF(OR(HY$13="",HY$17="",HY$14="",HY$15="",HY$16="",HY$18="",HY$19="",HY$20="",HY$21=""),"",SUM($C13:HY13))</f>
        <v>544.34972222222211</v>
      </c>
      <c r="HZ80" s="114">
        <f>IF(OR(HZ$13="",HZ$17="",HZ$14="",HZ$15="",HZ$16="",HZ$18="",HZ$19="",HZ$20="",HZ$21=""),"",SUM($C13:HZ13))</f>
        <v>550.79499999999985</v>
      </c>
      <c r="IA80" s="114">
        <f>IF(OR(IA$13="",IA$17="",IA$14="",IA$15="",IA$16="",IA$18="",IA$19="",IA$20="",IA$21=""),"",SUM($C13:IA13))</f>
        <v>551.51805555555541</v>
      </c>
      <c r="IB80" s="114">
        <f>IF(OR(IB$13="",IB$17="",IB$14="",IB$15="",IB$16="",IB$18="",IB$19="",IB$20="",IB$21=""),"",SUM($C13:IB13))</f>
        <v>557.78166666666652</v>
      </c>
      <c r="IC80" s="114">
        <f>IF(OR(IC$13="",IC$17="",IC$14="",IC$15="",IC$16="",IC$18="",IC$19="",IC$20="",IC$21=""),"",SUM($C13:IC13))</f>
        <v>580.42166666666651</v>
      </c>
      <c r="ID80" s="114">
        <f>IF(OR(ID$13="",ID$17="",ID$14="",ID$15="",ID$16="",ID$18="",ID$19="",ID$20="",ID$21=""),"",SUM($C13:ID13))</f>
        <v>581.89166666666654</v>
      </c>
      <c r="IE80" s="114">
        <f>IF(OR(IE$13="",IE$17="",IE$14="",IE$15="",IE$16="",IE$18="",IE$19="",IE$20="",IE$21=""),"",SUM($C13:IE13))</f>
        <v>581.89166666666654</v>
      </c>
      <c r="IF80" s="114">
        <f>IF(OR(IF$13="",IF$17="",IF$14="",IF$15="",IF$16="",IF$18="",IF$19="",IF$20="",IF$21=""),"",SUM($C13:IF13))</f>
        <v>586.11166666666657</v>
      </c>
      <c r="IG80" s="114">
        <f>IF(OR(IG$13="",IG$17="",IG$14="",IG$15="",IG$16="",IG$18="",IG$19="",IG$20="",IG$21=""),"",SUM($C13:IG13))</f>
        <v>592.94166666666661</v>
      </c>
      <c r="IH80" s="114">
        <f>IF(OR(IH$13="",IH$17="",IH$14="",IH$15="",IH$16="",IH$18="",IH$19="",IH$20="",IH$21=""),"",SUM($C13:IH13))</f>
        <v>592.94166666666661</v>
      </c>
      <c r="II80" s="114">
        <f>IF(OR(II$13="",II$17="",II$14="",II$15="",II$16="",II$18="",II$19="",II$20="",II$21=""),"",SUM($C13:II13))</f>
        <v>592.94166666666661</v>
      </c>
      <c r="IJ80" s="114">
        <f>IF(OR(IJ$13="",IJ$17="",IJ$14="",IJ$15="",IJ$16="",IJ$18="",IJ$19="",IJ$20="",IJ$21=""),"",SUM($C13:IJ13))</f>
        <v>596.60166666666657</v>
      </c>
      <c r="IK80" s="114">
        <f>IF(OR(IK$13="",IK$17="",IK$14="",IK$15="",IK$16="",IK$18="",IK$19="",IK$20="",IK$21=""),"",SUM($C13:IK13))</f>
        <v>596.60166666666657</v>
      </c>
      <c r="IL80" s="114">
        <f>IF(OR(IL$13="",IL$17="",IL$14="",IL$15="",IL$16="",IL$18="",IL$19="",IL$20="",IL$21=""),"",SUM($C13:IL13))</f>
        <v>596.60166666666657</v>
      </c>
      <c r="IM80" s="114">
        <f>IF(OR(IM$13="",IM$17="",IM$14="",IM$15="",IM$16="",IM$18="",IM$19="",IM$20="",IM$21=""),"",SUM($C13:IM13))</f>
        <v>596.60166666666657</v>
      </c>
      <c r="IN80" s="114">
        <f>IF(OR(IN$13="",IN$17="",IN$14="",IN$15="",IN$16="",IN$18="",IN$19="",IN$20="",IN$21=""),"",SUM($C13:IN13))</f>
        <v>607.23083333333329</v>
      </c>
      <c r="IO80" s="114">
        <f>IF(OR(IO$13="",IO$17="",IO$14="",IO$15="",IO$16="",IO$18="",IO$19="",IO$20="",IO$21=""),"",SUM($C13:IO13))</f>
        <v>618.08111111111111</v>
      </c>
      <c r="IP80" s="114">
        <f>IF(OR(IP$13="",IP$17="",IP$14="",IP$15="",IP$16="",IP$18="",IP$19="",IP$20="",IP$21=""),"",SUM($C13:IP13))</f>
        <v>618.49166666666667</v>
      </c>
      <c r="IQ80" s="114">
        <f>IF(OR(IQ$13="",IQ$17="",IQ$14="",IQ$15="",IQ$16="",IQ$18="",IQ$19="",IQ$20="",IQ$21=""),"",SUM($C13:IQ13))</f>
        <v>623.09694444444449</v>
      </c>
      <c r="IR80" s="114">
        <f>IF(OR(IR$13="",IR$17="",IR$14="",IR$15="",IR$16="",IR$18="",IR$19="",IR$20="",IR$21=""),"",SUM($C13:IR13))</f>
        <v>623.2455555555556</v>
      </c>
      <c r="IS80" s="114">
        <f>IF(OR(IS$13="",IS$17="",IS$14="",IS$15="",IS$16="",IS$18="",IS$19="",IS$20="",IS$21=""),"",SUM($C13:IS13))</f>
        <v>624.74972222222232</v>
      </c>
      <c r="IT80" s="114">
        <f>IF(OR(IT$13="",IT$17="",IT$14="",IT$15="",IT$16="",IT$18="",IT$19="",IT$20="",IT$21=""),"",SUM($C13:IT13))</f>
        <v>624.74972222222232</v>
      </c>
      <c r="IU80" s="114">
        <f>IF(OR(IU$13="",IU$17="",IU$14="",IU$15="",IU$16="",IU$18="",IU$19="",IU$20="",IU$21=""),"",SUM($C13:IU13))</f>
        <v>635.47361111111115</v>
      </c>
      <c r="IV80" s="114">
        <f>IF(OR(IV$13="",IV$17="",IV$14="",IV$15="",IV$16="",IV$18="",IV$19="",IV$20="",IV$21=""),"",SUM($C13:IV13))</f>
        <v>637.03472222222229</v>
      </c>
      <c r="IW80" s="114">
        <f>IF(OR(IW$13="",IW$17="",IW$14="",IW$15="",IW$16="",IW$18="",IW$19="",IW$20="",IW$21=""),"",SUM($C13:IW13))</f>
        <v>637.03472222222229</v>
      </c>
      <c r="IX80" s="114">
        <f>IF(OR(IX$13="",IX$17="",IX$14="",IX$15="",IX$16="",IX$18="",IX$19="",IX$20="",IX$21=""),"",SUM($C13:IX13))</f>
        <v>648.46472222222224</v>
      </c>
      <c r="IY80" s="114">
        <f>IF(OR(IY$13="",IY$17="",IY$14="",IY$15="",IY$16="",IY$18="",IY$19="",IY$20="",IY$21=""),"",SUM($C13:IY13))</f>
        <v>648.46472222222224</v>
      </c>
      <c r="IZ80" s="114">
        <f>IF(OR(IZ$13="",IZ$17="",IZ$14="",IZ$15="",IZ$16="",IZ$18="",IZ$19="",IZ$20="",IZ$21=""),"",SUM($C13:IZ13))</f>
        <v>648.46472222222224</v>
      </c>
      <c r="JA80" s="114">
        <f>IF(OR(JA$13="",JA$17="",JA$14="",JA$15="",JA$16="",JA$18="",JA$19="",JA$20="",JA$21=""),"",SUM($C13:JA13))</f>
        <v>653.70111111111112</v>
      </c>
      <c r="JB80" s="114">
        <f>IF(OR(JB$13="",JB$17="",JB$14="",JB$15="",JB$16="",JB$18="",JB$19="",JB$20="",JB$21=""),"",SUM($C13:JB13))</f>
        <v>653.75805555555553</v>
      </c>
      <c r="JC80" s="114">
        <f>IF(OR(JC$13="",JC$17="",JC$14="",JC$15="",JC$16="",JC$18="",JC$19="",JC$20="",JC$21=""),"",SUM($C13:JC13))</f>
        <v>653.75805555555553</v>
      </c>
      <c r="JD80" s="114">
        <f>IF(OR(JD$13="",JD$17="",JD$14="",JD$15="",JD$16="",JD$18="",JD$19="",JD$20="",JD$21=""),"",SUM($C13:JD13))</f>
        <v>653.75805555555553</v>
      </c>
      <c r="JE80" s="114">
        <f>IF(OR(JE$13="",JE$17="",JE$14="",JE$15="",JE$16="",JE$18="",JE$19="",JE$20="",JE$21=""),"",SUM($C13:JE13))</f>
        <v>653.75805555555553</v>
      </c>
      <c r="JF80" s="114">
        <f>IF(OR(JF$13="",JF$17="",JF$14="",JF$15="",JF$16="",JF$18="",JF$19="",JF$20="",JF$21=""),"",SUM($C13:JF13))</f>
        <v>653.75805555555553</v>
      </c>
      <c r="JG80" s="114">
        <f>IF(OR(JG$13="",JG$17="",JG$14="",JG$15="",JG$16="",JG$18="",JG$19="",JG$20="",JG$21=""),"",SUM($C13:JG13))</f>
        <v>653.75805555555553</v>
      </c>
      <c r="JH80" s="114">
        <f>IF(OR(JH$13="",JH$17="",JH$14="",JH$15="",JH$16="",JH$18="",JH$19="",JH$20="",JH$21=""),"",SUM($C13:JH13))</f>
        <v>653.75805555555553</v>
      </c>
      <c r="JI80" s="114">
        <f>IF(OR(JI$13="",JI$17="",JI$14="",JI$15="",JI$16="",JI$18="",JI$19="",JI$20="",JI$21=""),"",SUM($C13:JI13))</f>
        <v>653.75805555555553</v>
      </c>
      <c r="JJ80" s="114">
        <f>IF(OR(JJ$13="",JJ$17="",JJ$14="",JJ$15="",JJ$16="",JJ$18="",JJ$19="",JJ$20="",JJ$21=""),"",SUM($C13:JJ13))</f>
        <v>653.75805555555553</v>
      </c>
      <c r="JK80" s="114">
        <f>IF(OR(JK$13="",JK$17="",JK$14="",JK$15="",JK$16="",JK$18="",JK$19="",JK$20="",JK$21=""),"",SUM($C13:JK13))</f>
        <v>653.75805555555553</v>
      </c>
      <c r="JL80" s="114">
        <f>IF(OR(JL$13="",JL$17="",JL$14="",JL$15="",JL$16="",JL$18="",JL$19="",JL$20="",JL$21=""),"",SUM($C13:JL13))</f>
        <v>653.75805555555553</v>
      </c>
      <c r="JM80" s="114">
        <f>IF(OR(JM$13="",JM$17="",JM$14="",JM$15="",JM$16="",JM$18="",JM$19="",JM$20="",JM$21=""),"",SUM($C13:JM13))</f>
        <v>661.17805555555549</v>
      </c>
      <c r="JN80" s="114">
        <f>IF(OR(JN$13="",JN$17="",JN$14="",JN$15="",JN$16="",JN$18="",JN$19="",JN$20="",JN$21=""),"",SUM($C13:JN13))</f>
        <v>661.17805555555549</v>
      </c>
      <c r="JO80" s="114">
        <f>IF(OR(JO$13="",JO$17="",JO$14="",JO$15="",JO$16="",JO$18="",JO$19="",JO$20="",JO$21=""),"",SUM($C13:JO13))</f>
        <v>662.17805555555549</v>
      </c>
      <c r="JP80" s="114">
        <f>IF(OR(JP$13="",JP$17="",JP$14="",JP$15="",JP$16="",JP$18="",JP$19="",JP$20="",JP$21=""),"",SUM($C13:JP13))</f>
        <v>663.17805555555549</v>
      </c>
      <c r="JQ80" s="114">
        <f>IF(OR(JQ$13="",JQ$17="",JQ$14="",JQ$15="",JQ$16="",JQ$18="",JQ$19="",JQ$20="",JQ$21=""),"",SUM($C13:JQ13))</f>
        <v>669.1680555555555</v>
      </c>
      <c r="JR80" s="114">
        <f>IF(OR(JR$13="",JR$17="",JR$14="",JR$15="",JR$16="",JR$18="",JR$19="",JR$20="",JR$21=""),"",SUM($C13:JR13))</f>
        <v>689.00611111111107</v>
      </c>
      <c r="JS80" s="114">
        <f>IF(OR(JS$13="",JS$17="",JS$14="",JS$15="",JS$16="",JS$18="",JS$19="",JS$20="",JS$21=""),"",SUM($C13:JS13))</f>
        <v>689.36138888888888</v>
      </c>
      <c r="JT80" s="114">
        <f>IF(OR(JT$13="",JT$17="",JT$14="",JT$15="",JT$16="",JT$18="",JT$19="",JT$20="",JT$21=""),"",SUM($C13:JT13))</f>
        <v>689.36138888888888</v>
      </c>
      <c r="JU80" s="114">
        <f>IF(OR(JU$13="",JU$17="",JU$14="",JU$15="",JU$16="",JU$18="",JU$19="",JU$20="",JU$21=""),"",SUM($C13:JU13))</f>
        <v>689.36138888888888</v>
      </c>
      <c r="JV80" s="114">
        <f>IF(OR(JV$13="",JV$17="",JV$14="",JV$15="",JV$16="",JV$18="",JV$19="",JV$20="",JV$21=""),"",SUM($C13:JV13))</f>
        <v>690.36138888888888</v>
      </c>
      <c r="JW80" s="114">
        <f>IF(OR(JW$13="",JW$17="",JW$14="",JW$15="",JW$16="",JW$18="",JW$19="",JW$20="",JW$21=""),"",SUM($C13:JW13))</f>
        <v>690.36138888888888</v>
      </c>
      <c r="JX80" s="114">
        <f>IF(OR(JX$13="",JX$17="",JX$14="",JX$15="",JX$16="",JX$18="",JX$19="",JX$20="",JX$21=""),"",SUM($C13:JX13))</f>
        <v>694.36138888888888</v>
      </c>
      <c r="JY80" s="114">
        <f>IF(OR(JY$13="",JY$17="",JY$14="",JY$15="",JY$16="",JY$18="",JY$19="",JY$20="",JY$21=""),"",SUM($C13:JY13))</f>
        <v>718.36138888888888</v>
      </c>
      <c r="JZ80" s="114">
        <f>IF(OR(JZ$13="",JZ$17="",JZ$14="",JZ$15="",JZ$16="",JZ$18="",JZ$19="",JZ$20="",JZ$21=""),"",SUM($C13:JZ13))</f>
        <v>742.36138888888888</v>
      </c>
      <c r="KA80" s="114">
        <f>IF(OR(KA$13="",KA$17="",KA$14="",KA$15="",KA$16="",KA$18="",KA$19="",KA$20="",KA$21=""),"",SUM($C13:KA13))</f>
        <v>742.36138888888888</v>
      </c>
      <c r="KB80" s="114">
        <f>IF(OR(KB$13="",KB$17="",KB$14="",KB$15="",KB$16="",KB$18="",KB$19="",KB$20="",KB$21=""),"",SUM($C13:KB13))</f>
        <v>742.36138888888888</v>
      </c>
      <c r="KC80" s="114">
        <f>IF(OR(KC$13="",KC$17="",KC$14="",KC$15="",KC$16="",KC$18="",KC$19="",KC$20="",KC$21=""),"",SUM($C13:KC13))</f>
        <v>742.36138888888888</v>
      </c>
      <c r="KD80" s="114">
        <f>IF(OR(KD$13="",KD$17="",KD$14="",KD$15="",KD$16="",KD$18="",KD$19="",KD$20="",KD$21=""),"",SUM($C13:KD13))</f>
        <v>742.36138888888888</v>
      </c>
      <c r="KE80" s="114">
        <f>IF(OR(KE$13="",KE$17="",KE$14="",KE$15="",KE$16="",KE$18="",KE$19="",KE$20="",KE$21=""),"",SUM($C13:KE13))</f>
        <v>742.36138888888888</v>
      </c>
      <c r="KF80" s="114">
        <f>IF(OR(KF$13="",KF$17="",KF$14="",KF$15="",KF$16="",KF$18="",KF$19="",KF$20="",KF$21=""),"",SUM($C13:KF13))</f>
        <v>742.36138888888888</v>
      </c>
      <c r="KG80" s="114">
        <f>IF(OR(KG$13="",KG$17="",KG$14="",KG$15="",KG$16="",KG$18="",KG$19="",KG$20="",KG$21=""),"",SUM($C13:KG13))</f>
        <v>742.36138888888888</v>
      </c>
      <c r="KH80" s="114">
        <f>IF(OR(KH$13="",KH$17="",KH$14="",KH$15="",KH$16="",KH$18="",KH$19="",KH$20="",KH$21=""),"",SUM($C13:KH13))</f>
        <v>754.36138888888888</v>
      </c>
      <c r="KI80" s="114">
        <f>IF(OR(KI$13="",KI$17="",KI$14="",KI$15="",KI$16="",KI$18="",KI$19="",KI$20="",KI$21=""),"",SUM($C13:KI13))</f>
        <v>754.36138888888888</v>
      </c>
      <c r="KJ80" s="114">
        <f>IF(OR(KJ$13="",KJ$17="",KJ$14="",KJ$15="",KJ$16="",KJ$18="",KJ$19="",KJ$20="",KJ$21=""),"",SUM($C13:KJ13))</f>
        <v>760.36138888888888</v>
      </c>
      <c r="KK80" s="114">
        <f>IF(OR(KK$13="",KK$17="",KK$14="",KK$15="",KK$16="",KK$18="",KK$19="",KK$20="",KK$21=""),"",SUM($C13:KK13))</f>
        <v>760.36138888888888</v>
      </c>
      <c r="KL80" s="114">
        <f>IF(OR(KL$13="",KL$17="",KL$14="",KL$15="",KL$16="",KL$18="",KL$19="",KL$20="",KL$21=""),"",SUM($C13:KL13))</f>
        <v>760.36138888888888</v>
      </c>
      <c r="KM80" s="114">
        <f>IF(OR(KM$13="",KM$17="",KM$14="",KM$15="",KM$16="",KM$18="",KM$19="",KM$20="",KM$21=""),"",SUM($C13:KM13))</f>
        <v>760.36138888888888</v>
      </c>
      <c r="KN80" s="114">
        <f>IF(OR(KN$13="",KN$17="",KN$14="",KN$15="",KN$16="",KN$18="",KN$19="",KN$20="",KN$21=""),"",SUM($C13:KN13))</f>
        <v>760.36138888888888</v>
      </c>
      <c r="KO80" s="114">
        <f>IF(OR(KO$13="",KO$17="",KO$14="",KO$15="",KO$16="",KO$18="",KO$19="",KO$20="",KO$21=""),"",SUM($C13:KO13))</f>
        <v>760.36138888888888</v>
      </c>
      <c r="KP80" s="114">
        <f>IF(OR(KP$13="",KP$17="",KP$14="",KP$15="",KP$16="",KP$18="",KP$19="",KP$20="",KP$21=""),"",SUM($C13:KP13))</f>
        <v>760.36138888888888</v>
      </c>
      <c r="KQ80" s="114">
        <f>IF(OR(KQ$13="",KQ$17="",KQ$14="",KQ$15="",KQ$16="",KQ$18="",KQ$19="",KQ$20="",KQ$21=""),"",SUM($C13:KQ13))</f>
        <v>760.36138888888888</v>
      </c>
      <c r="KR80" s="114">
        <f>IF(OR(KR$13="",KR$17="",KR$14="",KR$15="",KR$16="",KR$18="",KR$19="",KR$20="",KR$21=""),"",SUM($C13:KR13))</f>
        <v>760.36138888888888</v>
      </c>
      <c r="KS80" s="114">
        <f>IF(OR(KS$13="",KS$17="",KS$14="",KS$15="",KS$16="",KS$18="",KS$19="",KS$20="",KS$21=""),"",SUM($C13:KS13))</f>
        <v>760.36138888888888</v>
      </c>
      <c r="KT80" s="114">
        <f>IF(OR(KT$13="",KT$17="",KT$14="",KT$15="",KT$16="",KT$18="",KT$19="",KT$20="",KT$21=""),"",SUM($C13:KT13))</f>
        <v>760.36138888888888</v>
      </c>
      <c r="KU80" s="114" t="str">
        <f>IF(OR(KU$13="",KU$17="",KU$14="",KU$15="",KU$16="",KU$18="",KU$19="",KU$20="",KU$21=""),"",SUM($C13:KU13))</f>
        <v/>
      </c>
      <c r="KV80" s="114" t="str">
        <f>IF(OR(KV$13="",KV$17="",KV$14="",KV$15="",KV$16="",KV$18="",KV$19="",KV$20="",KV$21=""),"",SUM($C13:KV13))</f>
        <v/>
      </c>
      <c r="KW80" s="114" t="str">
        <f>IF(OR(KW$13="",KW$17="",KW$14="",KW$15="",KW$16="",KW$18="",KW$19="",KW$20="",KW$21=""),"",SUM($C13:KW13))</f>
        <v/>
      </c>
      <c r="KX80" s="114" t="str">
        <f>IF(OR(KX$13="",KX$17="",KX$14="",KX$15="",KX$16="",KX$18="",KX$19="",KX$20="",KX$21=""),"",SUM($C13:KX13))</f>
        <v/>
      </c>
      <c r="KY80" s="114" t="str">
        <f>IF(OR(KY$13="",KY$17="",KY$14="",KY$15="",KY$16="",KY$18="",KY$19="",KY$20="",KY$21=""),"",SUM($C13:KY13))</f>
        <v/>
      </c>
      <c r="KZ80" s="114" t="str">
        <f>IF(OR(KZ$13="",KZ$17="",KZ$14="",KZ$15="",KZ$16="",KZ$18="",KZ$19="",KZ$20="",KZ$21=""),"",SUM($C13:KZ13))</f>
        <v/>
      </c>
      <c r="LA80" s="114" t="str">
        <f>IF(OR(LA$13="",LA$17="",LA$14="",LA$15="",LA$16="",LA$18="",LA$19="",LA$20="",LA$21=""),"",SUM($C13:LA13))</f>
        <v/>
      </c>
      <c r="LB80" s="114" t="str">
        <f>IF(OR(LB$13="",LB$17="",LB$14="",LB$15="",LB$16="",LB$18="",LB$19="",LB$20="",LB$21=""),"",SUM($C13:LB13))</f>
        <v/>
      </c>
      <c r="LC80" s="114" t="str">
        <f>IF(OR(LC$13="",LC$17="",LC$14="",LC$15="",LC$16="",LC$18="",LC$19="",LC$20="",LC$21=""),"",SUM($C13:LC13))</f>
        <v/>
      </c>
      <c r="LD80" s="114" t="str">
        <f>IF(OR(LD$13="",LD$17="",LD$14="",LD$15="",LD$16="",LD$18="",LD$19="",LD$20="",LD$21=""),"",SUM($C13:LD13))</f>
        <v/>
      </c>
      <c r="LE80" s="114" t="str">
        <f>IF(OR(LE$13="",LE$17="",LE$14="",LE$15="",LE$16="",LE$18="",LE$19="",LE$20="",LE$21=""),"",SUM($C13:LE13))</f>
        <v/>
      </c>
      <c r="LF80" s="114" t="str">
        <f>IF(OR(LF$13="",LF$17="",LF$14="",LF$15="",LF$16="",LF$18="",LF$19="",LF$20="",LF$21=""),"",SUM($C13:LF13))</f>
        <v/>
      </c>
      <c r="LG80" s="114" t="str">
        <f>IF(OR(LG$13="",LG$17="",LG$14="",LG$15="",LG$16="",LG$18="",LG$19="",LG$20="",LG$21=""),"",SUM($C13:LG13))</f>
        <v/>
      </c>
      <c r="LH80" s="114" t="str">
        <f>IF(OR(LH$13="",LH$17="",LH$14="",LH$15="",LH$16="",LH$18="",LH$19="",LH$20="",LH$21=""),"",SUM($C13:LH13))</f>
        <v/>
      </c>
      <c r="LI80" s="114" t="str">
        <f>IF(OR(LI$13="",LI$17="",LI$14="",LI$15="",LI$16="",LI$18="",LI$19="",LI$20="",LI$21=""),"",SUM($C13:LI13))</f>
        <v/>
      </c>
      <c r="LJ80" s="114" t="str">
        <f>IF(OR(LJ$13="",LJ$17="",LJ$14="",LJ$15="",LJ$16="",LJ$18="",LJ$19="",LJ$20="",LJ$21=""),"",SUM($C13:LJ13))</f>
        <v/>
      </c>
      <c r="LK80" s="114" t="str">
        <f>IF(OR(LK$13="",LK$17="",LK$14="",LK$15="",LK$16="",LK$18="",LK$19="",LK$20="",LK$21=""),"",SUM($C13:LK13))</f>
        <v/>
      </c>
      <c r="LL80" s="114" t="str">
        <f>IF(OR(LL$13="",LL$17="",LL$14="",LL$15="",LL$16="",LL$18="",LL$19="",LL$20="",LL$21=""),"",SUM($C13:LL13))</f>
        <v/>
      </c>
      <c r="LM80" s="114" t="str">
        <f>IF(OR(LM$13="",LM$17="",LM$14="",LM$15="",LM$16="",LM$18="",LM$19="",LM$20="",LM$21=""),"",SUM($C13:LM13))</f>
        <v/>
      </c>
      <c r="LN80" s="114" t="str">
        <f>IF(OR(LN$13="",LN$17="",LN$14="",LN$15="",LN$16="",LN$18="",LN$19="",LN$20="",LN$21=""),"",SUM($C13:LN13))</f>
        <v/>
      </c>
      <c r="LO80" s="114" t="str">
        <f>IF(OR(LO$13="",LO$17="",LO$14="",LO$15="",LO$16="",LO$18="",LO$19="",LO$20="",LO$21=""),"",SUM($C13:LO13))</f>
        <v/>
      </c>
      <c r="LP80" s="114" t="str">
        <f>IF(OR(LP$13="",LP$17="",LP$14="",LP$15="",LP$16="",LP$18="",LP$19="",LP$20="",LP$21=""),"",SUM($C13:LP13))</f>
        <v/>
      </c>
      <c r="LQ80" s="114" t="str">
        <f>IF(OR(LQ$13="",LQ$17="",LQ$14="",LQ$15="",LQ$16="",LQ$18="",LQ$19="",LQ$20="",LQ$21=""),"",SUM($C13:LQ13))</f>
        <v/>
      </c>
      <c r="LR80" s="114" t="str">
        <f>IF(OR(LR$13="",LR$17="",LR$14="",LR$15="",LR$16="",LR$18="",LR$19="",LR$20="",LR$21=""),"",SUM($C13:LR13))</f>
        <v/>
      </c>
      <c r="LS80" s="114" t="str">
        <f>IF(OR(LS$13="",LS$17="",LS$14="",LS$15="",LS$16="",LS$18="",LS$19="",LS$20="",LS$21=""),"",SUM($C13:LS13))</f>
        <v/>
      </c>
      <c r="LT80" s="114" t="str">
        <f>IF(OR(LT$13="",LT$17="",LT$14="",LT$15="",LT$16="",LT$18="",LT$19="",LT$20="",LT$21=""),"",SUM($C13:LT13))</f>
        <v/>
      </c>
      <c r="LU80" s="114" t="str">
        <f>IF(OR(LU$13="",LU$17="",LU$14="",LU$15="",LU$16="",LU$18="",LU$19="",LU$20="",LU$21=""),"",SUM($C13:LU13))</f>
        <v/>
      </c>
      <c r="LV80" s="114" t="str">
        <f>IF(OR(LV$13="",LV$17="",LV$14="",LV$15="",LV$16="",LV$18="",LV$19="",LV$20="",LV$21=""),"",SUM($C13:LV13))</f>
        <v/>
      </c>
      <c r="LW80" s="114" t="str">
        <f>IF(OR(LW$13="",LW$17="",LW$14="",LW$15="",LW$16="",LW$18="",LW$19="",LW$20="",LW$21=""),"",SUM($C13:LW13))</f>
        <v/>
      </c>
      <c r="LX80" s="114" t="str">
        <f>IF(OR(LX$13="",LX$17="",LX$14="",LX$15="",LX$16="",LX$18="",LX$19="",LX$20="",LX$21=""),"",SUM($C13:LX13))</f>
        <v/>
      </c>
      <c r="LY80" s="114" t="str">
        <f>IF(OR(LY$13="",LY$17="",LY$14="",LY$15="",LY$16="",LY$18="",LY$19="",LY$20="",LY$21=""),"",SUM($C13:LY13))</f>
        <v/>
      </c>
      <c r="LZ80" s="114" t="str">
        <f>IF(OR(LZ$13="",LZ$17="",LZ$14="",LZ$15="",LZ$16="",LZ$18="",LZ$19="",LZ$20="",LZ$21=""),"",SUM($C13:LZ13))</f>
        <v/>
      </c>
      <c r="MA80" s="114" t="str">
        <f>IF(OR(MA$13="",MA$17="",MA$14="",MA$15="",MA$16="",MA$18="",MA$19="",MA$20="",MA$21=""),"",SUM($C13:MA13))</f>
        <v/>
      </c>
      <c r="MB80" s="114" t="str">
        <f>IF(OR(MB$13="",MB$17="",MB$14="",MB$15="",MB$16="",MB$18="",MB$19="",MB$20="",MB$21=""),"",SUM($C13:MB13))</f>
        <v/>
      </c>
      <c r="MC80" s="114" t="str">
        <f>IF(OR(MC$13="",MC$17="",MC$14="",MC$15="",MC$16="",MC$18="",MC$19="",MC$20="",MC$21=""),"",SUM($C13:MC13))</f>
        <v/>
      </c>
      <c r="MD80" s="114" t="str">
        <f>IF(OR(MD$13="",MD$17="",MD$14="",MD$15="",MD$16="",MD$18="",MD$19="",MD$20="",MD$21=""),"",SUM($C13:MD13))</f>
        <v/>
      </c>
      <c r="ME80" s="114" t="str">
        <f>IF(OR(ME$13="",ME$17="",ME$14="",ME$15="",ME$16="",ME$18="",ME$19="",ME$20="",ME$21=""),"",SUM($C13:ME13))</f>
        <v/>
      </c>
      <c r="MF80" s="114" t="str">
        <f>IF(OR(MF$13="",MF$17="",MF$14="",MF$15="",MF$16="",MF$18="",MF$19="",MF$20="",MF$21=""),"",SUM($C13:MF13))</f>
        <v/>
      </c>
      <c r="MG80" s="114" t="str">
        <f>IF(OR(MG$13="",MG$17="",MG$14="",MG$15="",MG$16="",MG$18="",MG$19="",MG$20="",MG$21=""),"",SUM($C13:MG13))</f>
        <v/>
      </c>
      <c r="MH80" s="114" t="str">
        <f>IF(OR(MH$13="",MH$17="",MH$14="",MH$15="",MH$16="",MH$18="",MH$19="",MH$20="",MH$21=""),"",SUM($C13:MH13))</f>
        <v/>
      </c>
      <c r="MI80" s="114" t="str">
        <f>IF(OR(MI$13="",MI$17="",MI$14="",MI$15="",MI$16="",MI$18="",MI$19="",MI$20="",MI$21=""),"",SUM($C13:MI13))</f>
        <v/>
      </c>
      <c r="MJ80" s="114" t="str">
        <f>IF(OR(MJ$13="",MJ$17="",MJ$14="",MJ$15="",MJ$16="",MJ$18="",MJ$19="",MJ$20="",MJ$21=""),"",SUM($C13:MJ13))</f>
        <v/>
      </c>
      <c r="MK80" s="114" t="str">
        <f>IF(OR(MK$13="",MK$17="",MK$14="",MK$15="",MK$16="",MK$18="",MK$19="",MK$20="",MK$21=""),"",SUM($C13:MK13))</f>
        <v/>
      </c>
      <c r="ML80" s="114" t="str">
        <f>IF(OR(ML$13="",ML$17="",ML$14="",ML$15="",ML$16="",ML$18="",ML$19="",ML$20="",ML$21=""),"",SUM($C13:ML13))</f>
        <v/>
      </c>
      <c r="MM80" s="114" t="str">
        <f>IF(OR(MM$13="",MM$17="",MM$14="",MM$15="",MM$16="",MM$18="",MM$19="",MM$20="",MM$21=""),"",SUM($C13:MM13))</f>
        <v/>
      </c>
      <c r="MN80" s="114" t="str">
        <f>IF(OR(MN$13="",MN$17="",MN$14="",MN$15="",MN$16="",MN$18="",MN$19="",MN$20="",MN$21=""),"",SUM($C13:MN13))</f>
        <v/>
      </c>
      <c r="MO80" s="114" t="str">
        <f>IF(OR(MO$13="",MO$17="",MO$14="",MO$15="",MO$16="",MO$18="",MO$19="",MO$20="",MO$21=""),"",SUM($C13:MO13))</f>
        <v/>
      </c>
      <c r="MP80" s="114" t="str">
        <f>IF(OR(MP$13="",MP$17="",MP$14="",MP$15="",MP$16="",MP$18="",MP$19="",MP$20="",MP$21=""),"",SUM($C13:MP13))</f>
        <v/>
      </c>
      <c r="MQ80" s="114" t="str">
        <f>IF(OR(MQ$13="",MQ$17="",MQ$14="",MQ$15="",MQ$16="",MQ$18="",MQ$19="",MQ$20="",MQ$21=""),"",SUM($C13:MQ13))</f>
        <v/>
      </c>
      <c r="MR80" s="114" t="str">
        <f>IF(OR(MR$13="",MR$17="",MR$14="",MR$15="",MR$16="",MR$18="",MR$19="",MR$20="",MR$21=""),"",SUM($C13:MR13))</f>
        <v/>
      </c>
      <c r="MS80" s="114" t="str">
        <f>IF(OR(MS$13="",MS$17="",MS$14="",MS$15="",MS$16="",MS$18="",MS$19="",MS$20="",MS$21=""),"",SUM($C13:MS13))</f>
        <v/>
      </c>
      <c r="MT80" s="114" t="str">
        <f>IF(OR(MT$13="",MT$17="",MT$14="",MT$15="",MT$16="",MT$18="",MT$19="",MT$20="",MT$21=""),"",SUM($C13:MT13))</f>
        <v/>
      </c>
      <c r="MU80" s="114" t="str">
        <f>IF(OR(MU$13="",MU$17="",MU$14="",MU$15="",MU$16="",MU$18="",MU$19="",MU$20="",MU$21=""),"",SUM($C13:MU13))</f>
        <v/>
      </c>
      <c r="MV80" s="114" t="str">
        <f>IF(OR(MV$13="",MV$17="",MV$14="",MV$15="",MV$16="",MV$18="",MV$19="",MV$20="",MV$21=""),"",SUM($C13:MV13))</f>
        <v/>
      </c>
      <c r="MW80" s="114" t="str">
        <f>IF(OR(MW$13="",MW$17="",MW$14="",MW$15="",MW$16="",MW$18="",MW$19="",MW$20="",MW$21=""),"",SUM($C13:MW13))</f>
        <v/>
      </c>
      <c r="MX80" s="114" t="str">
        <f>IF(OR(MX$13="",MX$17="",MX$14="",MX$15="",MX$16="",MX$18="",MX$19="",MX$20="",MX$21=""),"",SUM($C13:MX13))</f>
        <v/>
      </c>
      <c r="MY80" s="114" t="str">
        <f>IF(OR(MY$13="",MY$17="",MY$14="",MY$15="",MY$16="",MY$18="",MY$19="",MY$20="",MY$21=""),"",SUM($C13:MY13))</f>
        <v/>
      </c>
      <c r="MZ80" s="114" t="str">
        <f>IF(OR(MZ$13="",MZ$17="",MZ$14="",MZ$15="",MZ$16="",MZ$18="",MZ$19="",MZ$20="",MZ$21=""),"",SUM($C13:MZ13))</f>
        <v/>
      </c>
      <c r="NA80" s="114" t="str">
        <f>IF(OR(NA$13="",NA$17="",NA$14="",NA$15="",NA$16="",NA$18="",NA$19="",NA$20="",NA$21=""),"",SUM($C13:NA13))</f>
        <v/>
      </c>
      <c r="NB80" s="114" t="str">
        <f>IF(OR(NB$13="",NB$17="",NB$14="",NB$15="",NB$16="",NB$18="",NB$19="",NB$20="",NB$21=""),"",SUM($C13:NB13))</f>
        <v/>
      </c>
      <c r="NC80" s="114" t="str">
        <f>IF(OR(NC$13="",NC$17="",NC$14="",NC$15="",NC$16="",NC$18="",NC$19="",NC$20="",NC$21=""),"",SUM($C13:NC13))</f>
        <v/>
      </c>
      <c r="ND80" s="114" t="str">
        <f>IF(OR(ND$13="",ND$17="",ND$14="",ND$15="",ND$16="",ND$18="",ND$19="",ND$20="",ND$21=""),"",SUM($C13:ND13))</f>
        <v/>
      </c>
      <c r="NE80" s="114" t="str">
        <f>IF(OR(NE$13="",NE$17="",NE$14="",NE$15="",NE$16="",NE$18="",NE$19="",NE$20="",NE$21=""),"",SUM($C13:NE13))</f>
        <v/>
      </c>
      <c r="NF80" s="114" t="str">
        <f>IF(OR(NF$13="",NF$17="",NF$14="",NF$15="",NF$16="",NF$18="",NF$19="",NF$20="",NF$21=""),"",SUM($C13:NF13))</f>
        <v/>
      </c>
      <c r="NG80" s="114" t="str">
        <f>IF(OR(NG$13="",NG$17="",NG$14="",NG$15="",NG$16="",NG$18="",NG$19="",NG$20="",NG$21=""),"",SUM($C13:NG13))</f>
        <v/>
      </c>
      <c r="NH80" s="114" t="str">
        <f>IF(OR(NH$13="",NH$17="",NH$14="",NH$15="",NH$16="",NH$18="",NH$19="",NH$20="",NH$21=""),"",SUM($C13:NH13))</f>
        <v/>
      </c>
      <c r="NI80" s="114" t="str">
        <f>IF(OR(NI$13="",NI$17="",NI$14="",NI$15="",NI$16="",NI$18="",NI$19="",NI$20="",NI$21=""),"",SUM($C13:NI13))</f>
        <v/>
      </c>
      <c r="NJ80" s="114" t="str">
        <f>IF(OR(NJ$13="",NJ$17="",NJ$14="",NJ$15="",NJ$16="",NJ$18="",NJ$19="",NJ$20="",NJ$21=""),"",SUM($C13:NJ13))</f>
        <v/>
      </c>
      <c r="NK80" s="114" t="str">
        <f>IF(OR(NK$13="",NK$17="",NK$14="",NK$15="",NK$16="",NK$18="",NK$19="",NK$20="",NK$21=""),"",SUM($C13:NK13))</f>
        <v/>
      </c>
      <c r="NL80" s="114" t="str">
        <f>IF(OR(NL$13="",NL$17="",NL$14="",NL$15="",NL$16="",NL$18="",NL$19="",NL$20="",NL$21=""),"",SUM($C13:NL13))</f>
        <v/>
      </c>
      <c r="NM80" s="114" t="str">
        <f>IF(OR(NM$13="",NM$17="",NM$14="",NM$15="",NM$16="",NM$18="",NM$19="",NM$20="",NM$21=""),"",SUM($C13:NM13))</f>
        <v/>
      </c>
      <c r="NN80" s="114" t="str">
        <f>IF(OR(NN$13="",NN$17="",NN$14="",NN$15="",NN$16="",NN$18="",NN$19="",NN$20="",NN$21=""),"",SUM($C13:NN13))</f>
        <v/>
      </c>
      <c r="NO80" s="114" t="str">
        <f>IF(OR(NO$13="",NO$17="",NO$14="",NO$15="",NO$16="",NO$18="",NO$19="",NO$20="",NO$21=""),"",SUM($C13:NO13))</f>
        <v/>
      </c>
      <c r="NP80" s="114" t="str">
        <f>IF(OR(NP$13="",NP$17="",NP$14="",NP$15="",NP$16="",NP$18="",NP$19="",NP$20="",NP$21=""),"",SUM($C13:NP13))</f>
        <v/>
      </c>
      <c r="NQ80" s="114" t="str">
        <f>IF(OR(NQ$13="",NQ$17="",NQ$14="",NQ$15="",NQ$16="",NQ$18="",NQ$19="",NQ$20="",NQ$21=""),"",SUM($C13:NQ13))</f>
        <v/>
      </c>
      <c r="NR80" s="114" t="str">
        <f>IF(OR(NR$13="",NR$17="",NR$14="",NR$15="",NR$16="",NR$18="",NR$19="",NR$20="",NR$21=""),"",SUM($C13:NR13))</f>
        <v/>
      </c>
      <c r="NS80" s="114" t="str">
        <f>IF(OR(NS$13="",NS$17="",NS$14="",NS$15="",NS$16="",NS$18="",NS$19="",NS$20="",NS$21=""),"",SUM($C13:NS13))</f>
        <v/>
      </c>
      <c r="NT80" s="114" t="str">
        <f>IF(OR(NT$13="",NT$17="",NT$14="",NT$15="",NT$16="",NT$18="",NT$19="",NT$20="",NT$21=""),"",SUM($C13:NT13))</f>
        <v/>
      </c>
      <c r="NU80" s="114" t="str">
        <f>IF(OR(NU$13="",NU$17="",NU$14="",NU$15="",NU$16="",NU$18="",NU$19="",NU$20="",NU$21=""),"",SUM($C13:NU13))</f>
        <v/>
      </c>
      <c r="NV80" s="114" t="str">
        <f>IF(OR(NV$13="",NV$17="",NV$14="",NV$15="",NV$16="",NV$18="",NV$19="",NV$20="",NV$21=""),"",SUM($C13:NV13))</f>
        <v/>
      </c>
      <c r="NW80" s="114" t="str">
        <f>IF(OR(NW$13="",NW$17="",NW$14="",NW$15="",NW$16="",NW$18="",NW$19="",NW$20="",NW$21=""),"",SUM($C13:NW13))</f>
        <v/>
      </c>
      <c r="NX80" s="114" t="str">
        <f>IF(OR(NX$13="",NX$17="",NX$14="",NX$15="",NX$16="",NX$18="",NX$19="",NX$20="",NX$21=""),"",SUM($C13:NX13))</f>
        <v/>
      </c>
      <c r="NY80" s="114" t="str">
        <f>IF(OR(NY$13="",NY$17="",NY$14="",NY$15="",NY$16="",NY$18="",NY$19="",NY$20="",NY$21=""),"",SUM($C13:NY13))</f>
        <v/>
      </c>
      <c r="NZ80" s="114" t="str">
        <f>IF(OR(NZ$13="",NZ$17="",NZ$14="",NZ$15="",NZ$16="",NZ$18="",NZ$19="",NZ$20="",NZ$21=""),"",SUM($C13:NZ13))</f>
        <v/>
      </c>
      <c r="OA80" s="114" t="str">
        <f>IF(OR(OA$13="",OA$17="",OA$14="",OA$15="",OA$16="",OA$18="",OA$19="",OA$20="",OA$21=""),"",SUM($C13:OA13))</f>
        <v/>
      </c>
      <c r="OB80" s="114" t="str">
        <f>IF(OR(OB$13="",OB$17="",OB$14="",OB$15="",OB$16="",OB$18="",OB$19="",OB$20="",OB$21=""),"",SUM($C13:OB13))</f>
        <v/>
      </c>
      <c r="OC80" s="114" t="str">
        <f>IF(OR(OC$13="",OC$17="",OC$14="",OC$15="",OC$16="",OC$18="",OC$19="",OC$20="",OC$21=""),"",SUM($C13:OC13))</f>
        <v/>
      </c>
      <c r="OD80" s="114" t="str">
        <f>IF(OR(OD$13="",OD$17="",OD$14="",OD$15="",OD$16="",OD$18="",OD$19="",OD$20="",OD$21=""),"",SUM($C13:OD13))</f>
        <v/>
      </c>
      <c r="OE80" s="114" t="str">
        <f>IF(OR(OE$13="",OE$17="",OE$14="",OE$15="",OE$16="",OE$18="",OE$19="",OE$20="",OE$21=""),"",SUM($C13:OE13))</f>
        <v/>
      </c>
      <c r="OF80" s="114" t="str">
        <f>IF(OR(OF$13="",OF$17="",OF$14="",OF$15="",OF$16="",OF$18="",OF$19="",OF$20="",OF$21=""),"",SUM($C13:OF13))</f>
        <v/>
      </c>
      <c r="OG80" s="114" t="str">
        <f>IF(OR(OG$13="",OG$17="",OG$14="",OG$15="",OG$16="",OG$18="",OG$19="",OG$20="",OG$21=""),"",SUM($C13:OG13))</f>
        <v/>
      </c>
      <c r="OH80" s="114" t="str">
        <f>IF(OR(OH$13="",OH$17="",OH$14="",OH$15="",OH$16="",OH$18="",OH$19="",OH$20="",OH$21=""),"",SUM($C13:OH13))</f>
        <v/>
      </c>
      <c r="OI80" s="114" t="str">
        <f>IF(OR(OI$13="",OI$17="",OI$14="",OI$15="",OI$16="",OI$18="",OI$19="",OI$20="",OI$21=""),"",SUM($C13:OI13))</f>
        <v/>
      </c>
      <c r="OJ80" s="114" t="str">
        <f>IF(OR(OJ$13="",OJ$17="",OJ$14="",OJ$15="",OJ$16="",OJ$18="",OJ$19="",OJ$20="",OJ$21=""),"",SUM($C13:OJ13))</f>
        <v/>
      </c>
      <c r="OK80" s="114" t="str">
        <f>IF(OR(OK$13="",OK$17="",OK$14="",OK$15="",OK$16="",OK$18="",OK$19="",OK$20="",OK$21=""),"",SUM($C13:OK13))</f>
        <v/>
      </c>
      <c r="OL80" s="114" t="str">
        <f>IF(OR(OL$13="",OL$17="",OL$14="",OL$15="",OL$16="",OL$18="",OL$19="",OL$20="",OL$21=""),"",SUM($C13:OL13))</f>
        <v/>
      </c>
      <c r="OM80" s="114" t="str">
        <f>IF(OR(OM$13="",OM$17="",OM$14="",OM$15="",OM$16="",OM$18="",OM$19="",OM$20="",OM$21=""),"",SUM($C13:OM13))</f>
        <v/>
      </c>
      <c r="ON80" s="114" t="str">
        <f>IF(OR(ON$13="",ON$17="",ON$14="",ON$15="",ON$16="",ON$18="",ON$19="",ON$20="",ON$21=""),"",SUM($C13:ON13))</f>
        <v/>
      </c>
      <c r="OO80" s="114" t="str">
        <f>IF(OR(OO$13="",OO$17="",OO$14="",OO$15="",OO$16="",OO$18="",OO$19="",OO$20="",OO$21=""),"",SUM($C13:OO13))</f>
        <v/>
      </c>
      <c r="OP80" s="114" t="str">
        <f>IF(OR(OP$13="",OP$17="",OP$14="",OP$15="",OP$16="",OP$18="",OP$19="",OP$20="",OP$21=""),"",SUM($C13:OP13))</f>
        <v/>
      </c>
      <c r="OQ80" s="114" t="str">
        <f>IF(OR(OQ$13="",OQ$17="",OQ$14="",OQ$15="",OQ$16="",OQ$18="",OQ$19="",OQ$20="",OQ$21=""),"",SUM($C13:OQ13))</f>
        <v/>
      </c>
      <c r="OR80" s="114" t="str">
        <f>IF(OR(OR$13="",OR$17="",OR$14="",OR$15="",OR$16="",OR$18="",OR$19="",OR$20="",OR$21=""),"",SUM($C13:OR13))</f>
        <v/>
      </c>
      <c r="OS80" s="114" t="str">
        <f>IF(OR(OS$13="",OS$17="",OS$14="",OS$15="",OS$16="",OS$18="",OS$19="",OS$20="",OS$21=""),"",SUM($C13:OS13))</f>
        <v/>
      </c>
      <c r="OT80" s="114" t="str">
        <f>IF(OR(OT$13="",OT$17="",OT$14="",OT$15="",OT$16="",OT$18="",OT$19="",OT$20="",OT$21=""),"",SUM($C13:OT13))</f>
        <v/>
      </c>
      <c r="OU80" s="114" t="str">
        <f>IF(OR(OU$13="",OU$17="",OU$14="",OU$15="",OU$16="",OU$18="",OU$19="",OU$20="",OU$21=""),"",SUM($C13:OU13))</f>
        <v/>
      </c>
      <c r="OV80" s="114" t="str">
        <f>IF(OR(OV$13="",OV$17="",OV$14="",OV$15="",OV$16="",OV$18="",OV$19="",OV$20="",OV$21=""),"",SUM($C13:OV13))</f>
        <v/>
      </c>
      <c r="OW80" s="114" t="str">
        <f>IF(OR(OW$13="",OW$17="",OW$14="",OW$15="",OW$16="",OW$18="",OW$19="",OW$20="",OW$21=""),"",SUM($C13:OW13))</f>
        <v/>
      </c>
      <c r="OX80" s="114" t="str">
        <f>IF(OR(OX$13="",OX$17="",OX$14="",OX$15="",OX$16="",OX$18="",OX$19="",OX$20="",OX$21=""),"",SUM($C13:OX13))</f>
        <v/>
      </c>
      <c r="OY80" s="114" t="str">
        <f>IF(OR(OY$13="",OY$17="",OY$14="",OY$15="",OY$16="",OY$18="",OY$19="",OY$20="",OY$21=""),"",SUM($C13:OY13))</f>
        <v/>
      </c>
      <c r="OZ80" s="114" t="str">
        <f>IF(OR(OZ$13="",OZ$17="",OZ$14="",OZ$15="",OZ$16="",OZ$18="",OZ$19="",OZ$20="",OZ$21=""),"",SUM($C13:OZ13))</f>
        <v/>
      </c>
      <c r="PA80" s="114" t="str">
        <f>IF(OR(PA$13="",PA$17="",PA$14="",PA$15="",PA$16="",PA$18="",PA$19="",PA$20="",PA$21=""),"",SUM($C13:PA13))</f>
        <v/>
      </c>
      <c r="PB80" s="114" t="str">
        <f>IF(OR(PB$13="",PB$17="",PB$14="",PB$15="",PB$16="",PB$18="",PB$19="",PB$20="",PB$21=""),"",SUM($C13:PB13))</f>
        <v/>
      </c>
      <c r="PC80" s="114" t="str">
        <f>IF(OR(PC$13="",PC$17="",PC$14="",PC$15="",PC$16="",PC$18="",PC$19="",PC$20="",PC$21=""),"",SUM($C13:PC13))</f>
        <v/>
      </c>
      <c r="PD80" s="114" t="str">
        <f>IF(OR(PD$13="",PD$17="",PD$14="",PD$15="",PD$16="",PD$18="",PD$19="",PD$20="",PD$21=""),"",SUM($C13:PD13))</f>
        <v/>
      </c>
      <c r="PE80" s="114" t="str">
        <f>IF(OR(PE$13="",PE$17="",PE$14="",PE$15="",PE$16="",PE$18="",PE$19="",PE$20="",PE$21=""),"",SUM($C13:PE13))</f>
        <v/>
      </c>
      <c r="PF80" s="114" t="str">
        <f>IF(OR(PF$13="",PF$17="",PF$14="",PF$15="",PF$16="",PF$18="",PF$19="",PF$20="",PF$21=""),"",SUM($C13:PF13))</f>
        <v/>
      </c>
      <c r="PG80" s="114" t="str">
        <f>IF(OR(PG$13="",PG$17="",PG$14="",PG$15="",PG$16="",PG$18="",PG$19="",PG$20="",PG$21=""),"",SUM($C13:PG13))</f>
        <v/>
      </c>
      <c r="PH80" s="114" t="str">
        <f>IF(OR(PH$13="",PH$17="",PH$14="",PH$15="",PH$16="",PH$18="",PH$19="",PH$20="",PH$21=""),"",SUM($C13:PH13))</f>
        <v/>
      </c>
      <c r="PI80" s="114" t="str">
        <f>IF(OR(PI$13="",PI$17="",PI$14="",PI$15="",PI$16="",PI$18="",PI$19="",PI$20="",PI$21=""),"",SUM($C13:PI13))</f>
        <v/>
      </c>
      <c r="PJ80" s="114" t="str">
        <f>IF(OR(PJ$13="",PJ$17="",PJ$14="",PJ$15="",PJ$16="",PJ$18="",PJ$19="",PJ$20="",PJ$21=""),"",SUM($C13:PJ13))</f>
        <v/>
      </c>
      <c r="PK80" s="114" t="str">
        <f>IF(OR(PK$13="",PK$17="",PK$14="",PK$15="",PK$16="",PK$18="",PK$19="",PK$20="",PK$21=""),"",SUM($C13:PK13))</f>
        <v/>
      </c>
      <c r="PL80" s="114" t="str">
        <f>IF(OR(PL$13="",PL$17="",PL$14="",PL$15="",PL$16="",PL$18="",PL$19="",PL$20="",PL$21=""),"",SUM($C13:PL13))</f>
        <v/>
      </c>
      <c r="PM80" s="114" t="str">
        <f>IF(OR(PM$13="",PM$17="",PM$14="",PM$15="",PM$16="",PM$18="",PM$19="",PM$20="",PM$21=""),"",SUM($C13:PM13))</f>
        <v/>
      </c>
      <c r="PN80" s="114" t="str">
        <f>IF(OR(PN$13="",PN$17="",PN$14="",PN$15="",PN$16="",PN$18="",PN$19="",PN$20="",PN$21=""),"",SUM($C13:PN13))</f>
        <v/>
      </c>
      <c r="PO80" s="114" t="str">
        <f>IF(OR(PO$13="",PO$17="",PO$14="",PO$15="",PO$16="",PO$18="",PO$19="",PO$20="",PO$21=""),"",SUM($C13:PO13))</f>
        <v/>
      </c>
      <c r="PP80" s="114" t="str">
        <f>IF(OR(PP$13="",PP$17="",PP$14="",PP$15="",PP$16="",PP$18="",PP$19="",PP$20="",PP$21=""),"",SUM($C13:PP13))</f>
        <v/>
      </c>
      <c r="PQ80" s="114" t="str">
        <f>IF(OR(PQ$13="",PQ$17="",PQ$14="",PQ$15="",PQ$16="",PQ$18="",PQ$19="",PQ$20="",PQ$21=""),"",SUM($C13:PQ13))</f>
        <v/>
      </c>
      <c r="PR80" s="114" t="str">
        <f>IF(OR(PR$13="",PR$17="",PR$14="",PR$15="",PR$16="",PR$18="",PR$19="",PR$20="",PR$21=""),"",SUM($C13:PR13))</f>
        <v/>
      </c>
      <c r="PS80" s="114" t="str">
        <f>IF(OR(PS$13="",PS$17="",PS$14="",PS$15="",PS$16="",PS$18="",PS$19="",PS$20="",PS$21=""),"",SUM($C13:PS13))</f>
        <v/>
      </c>
      <c r="PT80" s="114" t="str">
        <f>IF(OR(PT$13="",PT$17="",PT$14="",PT$15="",PT$16="",PT$18="",PT$19="",PT$20="",PT$21=""),"",SUM($C13:PT13))</f>
        <v/>
      </c>
      <c r="PU80" s="114" t="str">
        <f>IF(OR(PU$13="",PU$17="",PU$14="",PU$15="",PU$16="",PU$18="",PU$19="",PU$20="",PU$21=""),"",SUM($C13:PU13))</f>
        <v/>
      </c>
      <c r="PV80" s="114" t="str">
        <f>IF(OR(PV$13="",PV$17="",PV$14="",PV$15="",PV$16="",PV$18="",PV$19="",PV$20="",PV$21=""),"",SUM($C13:PV13))</f>
        <v/>
      </c>
      <c r="PW80" s="114" t="str">
        <f>IF(OR(PW$13="",PW$17="",PW$14="",PW$15="",PW$16="",PW$18="",PW$19="",PW$20="",PW$21=""),"",SUM($C13:PW13))</f>
        <v/>
      </c>
      <c r="PX80" s="114" t="str">
        <f>IF(OR(PX$13="",PX$17="",PX$14="",PX$15="",PX$16="",PX$18="",PX$19="",PX$20="",PX$21=""),"",SUM($C13:PX13))</f>
        <v/>
      </c>
      <c r="PY80" s="114" t="str">
        <f>IF(OR(PY$13="",PY$17="",PY$14="",PY$15="",PY$16="",PY$18="",PY$19="",PY$20="",PY$21=""),"",SUM($C13:PY13))</f>
        <v/>
      </c>
      <c r="PZ80" s="114" t="str">
        <f>IF(OR(PZ$13="",PZ$17="",PZ$14="",PZ$15="",PZ$16="",PZ$18="",PZ$19="",PZ$20="",PZ$21=""),"",SUM($C13:PZ13))</f>
        <v/>
      </c>
      <c r="QA80" s="114" t="str">
        <f>IF(OR(QA$13="",QA$17="",QA$14="",QA$15="",QA$16="",QA$18="",QA$19="",QA$20="",QA$21=""),"",SUM($C13:QA13))</f>
        <v/>
      </c>
      <c r="QB80" s="114" t="str">
        <f>IF(OR(QB$13="",QB$17="",QB$14="",QB$15="",QB$16="",QB$18="",QB$19="",QB$20="",QB$21=""),"",SUM($C13:QB13))</f>
        <v/>
      </c>
      <c r="QC80" s="114" t="str">
        <f>IF(OR(QC$13="",QC$17="",QC$14="",QC$15="",QC$16="",QC$18="",QC$19="",QC$20="",QC$21=""),"",SUM($C13:QC13))</f>
        <v/>
      </c>
      <c r="QD80" s="114" t="str">
        <f>IF(OR(QD$13="",QD$17="",QD$14="",QD$15="",QD$16="",QD$18="",QD$19="",QD$20="",QD$21=""),"",SUM($C13:QD13))</f>
        <v/>
      </c>
      <c r="QE80" s="114" t="str">
        <f>IF(OR(QE$13="",QE$17="",QE$14="",QE$15="",QE$16="",QE$18="",QE$19="",QE$20="",QE$21=""),"",SUM($C13:QE13))</f>
        <v/>
      </c>
      <c r="QF80" s="114" t="str">
        <f>IF(OR(QF$13="",QF$17="",QF$14="",QF$15="",QF$16="",QF$18="",QF$19="",QF$20="",QF$21=""),"",SUM($C13:QF13))</f>
        <v/>
      </c>
      <c r="QG80" s="114" t="str">
        <f>IF(OR(QG$13="",QG$17="",QG$14="",QG$15="",QG$16="",QG$18="",QG$19="",QG$20="",QG$21=""),"",SUM($C13:QG13))</f>
        <v/>
      </c>
      <c r="QH80" s="114" t="str">
        <f>IF(OR(QH$13="",QH$17="",QH$14="",QH$15="",QH$16="",QH$18="",QH$19="",QH$20="",QH$21=""),"",SUM($C13:QH13))</f>
        <v/>
      </c>
      <c r="QI80" s="114" t="str">
        <f>IF(OR(QI$13="",QI$17="",QI$14="",QI$15="",QI$16="",QI$18="",QI$19="",QI$20="",QI$21=""),"",SUM($C13:QI13))</f>
        <v/>
      </c>
      <c r="QJ80" s="114" t="str">
        <f>IF(OR(QJ$13="",QJ$17="",QJ$14="",QJ$15="",QJ$16="",QJ$18="",QJ$19="",QJ$20="",QJ$21=""),"",SUM($C13:QJ13))</f>
        <v/>
      </c>
      <c r="QK80" s="114" t="str">
        <f>IF(OR(QK$13="",QK$17="",QK$14="",QK$15="",QK$16="",QK$18="",QK$19="",QK$20="",QK$21=""),"",SUM($C13:QK13))</f>
        <v/>
      </c>
      <c r="QL80" s="114" t="str">
        <f>IF(OR(QL$13="",QL$17="",QL$14="",QL$15="",QL$16="",QL$18="",QL$19="",QL$20="",QL$21=""),"",SUM($C13:QL13))</f>
        <v/>
      </c>
      <c r="QM80" s="114" t="str">
        <f>IF(OR(QM$13="",QM$17="",QM$14="",QM$15="",QM$16="",QM$18="",QM$19="",QM$20="",QM$21=""),"",SUM($C13:QM13))</f>
        <v/>
      </c>
      <c r="QN80" s="114" t="str">
        <f>IF(OR(QN$13="",QN$17="",QN$14="",QN$15="",QN$16="",QN$18="",QN$19="",QN$20="",QN$21=""),"",SUM($C13:QN13))</f>
        <v/>
      </c>
      <c r="QO80" s="114" t="str">
        <f>IF(OR(QO$13="",QO$17="",QO$14="",QO$15="",QO$16="",QO$18="",QO$19="",QO$20="",QO$21=""),"",SUM($C13:QO13))</f>
        <v/>
      </c>
      <c r="QP80" s="114" t="str">
        <f>IF(OR(QP$13="",QP$17="",QP$14="",QP$15="",QP$16="",QP$18="",QP$19="",QP$20="",QP$21=""),"",SUM($C13:QP13))</f>
        <v/>
      </c>
      <c r="QQ80" s="114" t="str">
        <f>IF(OR(QQ$13="",QQ$17="",QQ$14="",QQ$15="",QQ$16="",QQ$18="",QQ$19="",QQ$20="",QQ$21=""),"",SUM($C13:QQ13))</f>
        <v/>
      </c>
      <c r="QR80" s="114" t="str">
        <f>IF(OR(QR$13="",QR$17="",QR$14="",QR$15="",QR$16="",QR$18="",QR$19="",QR$20="",QR$21=""),"",SUM($C13:QR13))</f>
        <v/>
      </c>
      <c r="QS80" s="114" t="str">
        <f>IF(OR(QS$13="",QS$17="",QS$14="",QS$15="",QS$16="",QS$18="",QS$19="",QS$20="",QS$21=""),"",SUM($C13:QS13))</f>
        <v/>
      </c>
      <c r="QT80" s="114" t="str">
        <f>IF(OR(QT$13="",QT$17="",QT$14="",QT$15="",QT$16="",QT$18="",QT$19="",QT$20="",QT$21=""),"",SUM($C13:QT13))</f>
        <v/>
      </c>
      <c r="QU80" s="114" t="str">
        <f>IF(OR(QU$13="",QU$17="",QU$14="",QU$15="",QU$16="",QU$18="",QU$19="",QU$20="",QU$21=""),"",SUM($C13:QU13))</f>
        <v/>
      </c>
      <c r="QV80" s="114" t="str">
        <f>IF(OR(QV$13="",QV$17="",QV$14="",QV$15="",QV$16="",QV$18="",QV$19="",QV$20="",QV$21=""),"",SUM($C13:QV13))</f>
        <v/>
      </c>
      <c r="QW80" s="114" t="str">
        <f>IF(OR(QW$13="",QW$17="",QW$14="",QW$15="",QW$16="",QW$18="",QW$19="",QW$20="",QW$21=""),"",SUM($C13:QW13))</f>
        <v/>
      </c>
      <c r="QX80" s="114" t="str">
        <f>IF(OR(QX$13="",QX$17="",QX$14="",QX$15="",QX$16="",QX$18="",QX$19="",QX$20="",QX$21=""),"",SUM($C13:QX13))</f>
        <v/>
      </c>
      <c r="QY80" s="114" t="str">
        <f>IF(OR(QY$13="",QY$17="",QY$14="",QY$15="",QY$16="",QY$18="",QY$19="",QY$20="",QY$21=""),"",SUM($C13:QY13))</f>
        <v/>
      </c>
      <c r="QZ80" s="114" t="str">
        <f>IF(OR(QZ$13="",QZ$17="",QZ$14="",QZ$15="",QZ$16="",QZ$18="",QZ$19="",QZ$20="",QZ$21=""),"",SUM($C13:QZ13))</f>
        <v/>
      </c>
      <c r="RA80" s="114" t="str">
        <f>IF(OR(RA$13="",RA$17="",RA$14="",RA$15="",RA$16="",RA$18="",RA$19="",RA$20="",RA$21=""),"",SUM($C13:RA13))</f>
        <v/>
      </c>
      <c r="RB80" s="114" t="str">
        <f>IF(OR(RB$13="",RB$17="",RB$14="",RB$15="",RB$16="",RB$18="",RB$19="",RB$20="",RB$21=""),"",SUM($C13:RB13))</f>
        <v/>
      </c>
      <c r="RC80" s="114" t="str">
        <f>IF(OR(RC$13="",RC$17="",RC$14="",RC$15="",RC$16="",RC$18="",RC$19="",RC$20="",RC$21=""),"",SUM($C13:RC13))</f>
        <v/>
      </c>
      <c r="RD80" s="114" t="str">
        <f>IF(OR(RD$13="",RD$17="",RD$14="",RD$15="",RD$16="",RD$18="",RD$19="",RD$20="",RD$21=""),"",SUM($C13:RD13))</f>
        <v/>
      </c>
      <c r="RE80" s="114" t="str">
        <f>IF(OR(RE$13="",RE$17="",RE$14="",RE$15="",RE$16="",RE$18="",RE$19="",RE$20="",RE$21=""),"",SUM($C13:RE13))</f>
        <v/>
      </c>
      <c r="RF80" s="114" t="str">
        <f>IF(OR(RF$13="",RF$17="",RF$14="",RF$15="",RF$16="",RF$18="",RF$19="",RF$20="",RF$21=""),"",SUM($C13:RF13))</f>
        <v/>
      </c>
      <c r="RG80" s="114" t="str">
        <f>IF(OR(RG$13="",RG$17="",RG$14="",RG$15="",RG$16="",RG$18="",RG$19="",RG$20="",RG$21=""),"",SUM($C13:RG13))</f>
        <v/>
      </c>
      <c r="RH80" s="114" t="str">
        <f>IF(OR(RH$13="",RH$17="",RH$14="",RH$15="",RH$16="",RH$18="",RH$19="",RH$20="",RH$21=""),"",SUM($C13:RH13))</f>
        <v/>
      </c>
      <c r="RI80" s="114" t="str">
        <f>IF(OR(RI$13="",RI$17="",RI$14="",RI$15="",RI$16="",RI$18="",RI$19="",RI$20="",RI$21=""),"",SUM($C13:RI13))</f>
        <v/>
      </c>
      <c r="RJ80" s="114" t="str">
        <f>IF(OR(RJ$13="",RJ$17="",RJ$14="",RJ$15="",RJ$16="",RJ$18="",RJ$19="",RJ$20="",RJ$21=""),"",SUM($C13:RJ13))</f>
        <v/>
      </c>
      <c r="RK80" s="114" t="str">
        <f>IF(OR(RK$13="",RK$17="",RK$14="",RK$15="",RK$16="",RK$18="",RK$19="",RK$20="",RK$21=""),"",SUM($C13:RK13))</f>
        <v/>
      </c>
      <c r="RL80" s="114" t="str">
        <f>IF(OR(RL$13="",RL$17="",RL$14="",RL$15="",RL$16="",RL$18="",RL$19="",RL$20="",RL$21=""),"",SUM($C13:RL13))</f>
        <v/>
      </c>
      <c r="RM80" s="114" t="str">
        <f>IF(OR(RM$13="",RM$17="",RM$14="",RM$15="",RM$16="",RM$18="",RM$19="",RM$20="",RM$21=""),"",SUM($C13:RM13))</f>
        <v/>
      </c>
      <c r="RN80" s="114" t="str">
        <f>IF(OR(RN$13="",RN$17="",RN$14="",RN$15="",RN$16="",RN$18="",RN$19="",RN$20="",RN$21=""),"",SUM($C13:RN13))</f>
        <v/>
      </c>
      <c r="RO80" s="114" t="str">
        <f>IF(OR(RO$13="",RO$17="",RO$14="",RO$15="",RO$16="",RO$18="",RO$19="",RO$20="",RO$21=""),"",SUM($C13:RO13))</f>
        <v/>
      </c>
      <c r="RP80" s="114" t="str">
        <f>IF(OR(RP$13="",RP$17="",RP$14="",RP$15="",RP$16="",RP$18="",RP$19="",RP$20="",RP$21=""),"",SUM($C13:RP13))</f>
        <v/>
      </c>
      <c r="RQ80" s="114" t="str">
        <f>IF(OR(RQ$13="",RQ$17="",RQ$14="",RQ$15="",RQ$16="",RQ$18="",RQ$19="",RQ$20="",RQ$21=""),"",SUM($C13:RQ13))</f>
        <v/>
      </c>
      <c r="RR80" s="114" t="str">
        <f>IF(OR(RR$13="",RR$17="",RR$14="",RR$15="",RR$16="",RR$18="",RR$19="",RR$20="",RR$21=""),"",SUM($C13:RR13))</f>
        <v/>
      </c>
      <c r="RS80" s="114" t="str">
        <f>IF(OR(RS$13="",RS$17="",RS$14="",RS$15="",RS$16="",RS$18="",RS$19="",RS$20="",RS$21=""),"",SUM($C13:RS13))</f>
        <v/>
      </c>
      <c r="RT80" s="114" t="str">
        <f>IF(OR(RT$13="",RT$17="",RT$14="",RT$15="",RT$16="",RT$18="",RT$19="",RT$20="",RT$21=""),"",SUM($C13:RT13))</f>
        <v/>
      </c>
      <c r="RU80" s="114" t="str">
        <f>IF(OR(RU$13="",RU$17="",RU$14="",RU$15="",RU$16="",RU$18="",RU$19="",RU$20="",RU$21=""),"",SUM($C13:RU13))</f>
        <v/>
      </c>
      <c r="RV80" s="114" t="str">
        <f>IF(OR(RV$13="",RV$17="",RV$14="",RV$15="",RV$16="",RV$18="",RV$19="",RV$20="",RV$21=""),"",SUM($C13:RV13))</f>
        <v/>
      </c>
      <c r="RW80" s="114" t="str">
        <f>IF(OR(RW$13="",RW$17="",RW$14="",RW$15="",RW$16="",RW$18="",RW$19="",RW$20="",RW$21=""),"",SUM($C13:RW13))</f>
        <v/>
      </c>
      <c r="RX80" s="114" t="str">
        <f>IF(OR(RX$13="",RX$17="",RX$14="",RX$15="",RX$16="",RX$18="",RX$19="",RX$20="",RX$21=""),"",SUM($C13:RX13))</f>
        <v/>
      </c>
      <c r="RY80" s="114" t="str">
        <f>IF(OR(RY$13="",RY$17="",RY$14="",RY$15="",RY$16="",RY$18="",RY$19="",RY$20="",RY$21=""),"",SUM($C13:RY13))</f>
        <v/>
      </c>
      <c r="RZ80" s="114" t="str">
        <f>IF(OR(RZ$13="",RZ$17="",RZ$14="",RZ$15="",RZ$16="",RZ$18="",RZ$19="",RZ$20="",RZ$21=""),"",SUM($C13:RZ13))</f>
        <v/>
      </c>
      <c r="SA80" s="114" t="str">
        <f>IF(OR(SA$13="",SA$17="",SA$14="",SA$15="",SA$16="",SA$18="",SA$19="",SA$20="",SA$21=""),"",SUM($C13:SA13))</f>
        <v/>
      </c>
      <c r="SB80" s="114" t="str">
        <f>IF(OR(SB$13="",SB$17="",SB$14="",SB$15="",SB$16="",SB$18="",SB$19="",SB$20="",SB$21=""),"",SUM($C13:SB13))</f>
        <v/>
      </c>
      <c r="SC80" s="114" t="str">
        <f>IF(OR(SC$13="",SC$17="",SC$14="",SC$15="",SC$16="",SC$18="",SC$19="",SC$20="",SC$21=""),"",SUM($C13:SC13))</f>
        <v/>
      </c>
      <c r="SD80" s="114" t="str">
        <f>IF(OR(SD$13="",SD$17="",SD$14="",SD$15="",SD$16="",SD$18="",SD$19="",SD$20="",SD$21=""),"",SUM($C13:SD13))</f>
        <v/>
      </c>
      <c r="SE80" s="114" t="str">
        <f>IF(OR(SE$13="",SE$17="",SE$14="",SE$15="",SE$16="",SE$18="",SE$19="",SE$20="",SE$21=""),"",SUM($C13:SE13))</f>
        <v/>
      </c>
      <c r="SF80" s="114" t="str">
        <f>IF(OR(SF$13="",SF$17="",SF$14="",SF$15="",SF$16="",SF$18="",SF$19="",SF$20="",SF$21=""),"",SUM($C13:SF13))</f>
        <v/>
      </c>
      <c r="SG80" s="114" t="str">
        <f>IF(OR(SG$13="",SG$17="",SG$14="",SG$15="",SG$16="",SG$18="",SG$19="",SG$20="",SG$21=""),"",SUM($C13:SG13))</f>
        <v/>
      </c>
      <c r="SH80" s="114" t="str">
        <f>IF(OR(SH$13="",SH$17="",SH$14="",SH$15="",SH$16="",SH$18="",SH$19="",SH$20="",SH$21=""),"",SUM($C13:SH13))</f>
        <v/>
      </c>
      <c r="SI80" s="114" t="str">
        <f>IF(OR(SI$13="",SI$17="",SI$14="",SI$15="",SI$16="",SI$18="",SI$19="",SI$20="",SI$21=""),"",SUM($C13:SI13))</f>
        <v/>
      </c>
      <c r="SJ80" s="114" t="str">
        <f>IF(OR(SJ$13="",SJ$17="",SJ$14="",SJ$15="",SJ$16="",SJ$18="",SJ$19="",SJ$20="",SJ$21=""),"",SUM($C13:SJ13))</f>
        <v/>
      </c>
      <c r="SK80" s="114" t="str">
        <f>IF(OR(SK$13="",SK$17="",SK$14="",SK$15="",SK$16="",SK$18="",SK$19="",SK$20="",SK$21=""),"",SUM($C13:SK13))</f>
        <v/>
      </c>
      <c r="SL80" s="114" t="str">
        <f>IF(OR(SL$13="",SL$17="",SL$14="",SL$15="",SL$16="",SL$18="",SL$19="",SL$20="",SL$21=""),"",SUM($C13:SL13))</f>
        <v/>
      </c>
      <c r="SM80" s="114" t="str">
        <f>IF(OR(SM$13="",SM$17="",SM$14="",SM$15="",SM$16="",SM$18="",SM$19="",SM$20="",SM$21=""),"",SUM($C13:SM13))</f>
        <v/>
      </c>
      <c r="SN80" s="114" t="str">
        <f>IF(OR(SN$13="",SN$17="",SN$14="",SN$15="",SN$16="",SN$18="",SN$19="",SN$20="",SN$21=""),"",SUM($C13:SN13))</f>
        <v/>
      </c>
      <c r="SO80" s="114" t="str">
        <f>IF(OR(SO$13="",SO$17="",SO$14="",SO$15="",SO$16="",SO$18="",SO$19="",SO$20="",SO$21=""),"",SUM($C13:SO13))</f>
        <v/>
      </c>
      <c r="SP80" s="114" t="str">
        <f>IF(OR(SP$13="",SP$17="",SP$14="",SP$15="",SP$16="",SP$18="",SP$19="",SP$20="",SP$21=""),"",SUM($C13:SP13))</f>
        <v/>
      </c>
      <c r="SQ80" s="114" t="str">
        <f>IF(OR(SQ$13="",SQ$17="",SQ$14="",SQ$15="",SQ$16="",SQ$18="",SQ$19="",SQ$20="",SQ$21=""),"",SUM($C13:SQ13))</f>
        <v/>
      </c>
      <c r="SR80" s="114" t="str">
        <f>IF(OR(SR$13="",SR$17="",SR$14="",SR$15="",SR$16="",SR$18="",SR$19="",SR$20="",SR$21=""),"",SUM($C13:SR13))</f>
        <v/>
      </c>
      <c r="SS80" s="114" t="str">
        <f>IF(OR(SS$13="",SS$17="",SS$14="",SS$15="",SS$16="",SS$18="",SS$19="",SS$20="",SS$21=""),"",SUM($C13:SS13))</f>
        <v/>
      </c>
      <c r="ST80" s="114" t="str">
        <f>IF(OR(ST$13="",ST$17="",ST$14="",ST$15="",ST$16="",ST$18="",ST$19="",ST$20="",ST$21=""),"",SUM($C13:ST13))</f>
        <v/>
      </c>
      <c r="SU80" s="114" t="str">
        <f>IF(OR(SU$13="",SU$17="",SU$14="",SU$15="",SU$16="",SU$18="",SU$19="",SU$20="",SU$21=""),"",SUM($C13:SU13))</f>
        <v/>
      </c>
      <c r="SV80" s="114" t="str">
        <f>IF(OR(SV$13="",SV$17="",SV$14="",SV$15="",SV$16="",SV$18="",SV$19="",SV$20="",SV$21=""),"",SUM($C13:SV13))</f>
        <v/>
      </c>
      <c r="SW80" s="114" t="str">
        <f>IF(OR(SW$13="",SW$17="",SW$14="",SW$15="",SW$16="",SW$18="",SW$19="",SW$20="",SW$21=""),"",SUM($C13:SW13))</f>
        <v/>
      </c>
    </row>
    <row r="81" spans="1:517" ht="24.6" customHeight="1" x14ac:dyDescent="0.2">
      <c r="A81" s="94" t="s">
        <v>86</v>
      </c>
      <c r="B81" s="119" t="s">
        <v>78</v>
      </c>
      <c r="C81" s="114">
        <f>IF(OR(C$13="",C$17="",C$14="",C$15="",C$16="",C$18="",C$19="",C$20="",C$21=""),"",SUM($C14:C14))</f>
        <v>0</v>
      </c>
      <c r="D81" s="114">
        <f>IF(OR(D$13="",D$17="",D$14="",D$15="",D$16="",D$18="",D$19="",D$20="",D$21=""),"",SUM($C14:D14))</f>
        <v>0</v>
      </c>
      <c r="E81" s="114">
        <f>IF(OR(E$13="",E$17="",E$14="",E$15="",E$16="",E$18="",E$19="",E$20="",E$21=""),"",SUM($C14:E14))</f>
        <v>0</v>
      </c>
      <c r="F81" s="114">
        <f>IF(OR(F$13="",F$17="",F$14="",F$15="",F$16="",F$18="",F$19="",F$20="",F$21=""),"",SUM($C14:F14))</f>
        <v>0</v>
      </c>
      <c r="G81" s="114">
        <f>IF(OR(G$13="",G$17="",G$14="",G$15="",G$16="",G$18="",G$19="",G$20="",G$21=""),"",SUM($C14:G14))</f>
        <v>0</v>
      </c>
      <c r="H81" s="114">
        <f>IF(OR(H$13="",H$17="",H$14="",H$15="",H$16="",H$18="",H$19="",H$20="",H$21=""),"",SUM($C14:H14))</f>
        <v>0</v>
      </c>
      <c r="I81" s="114">
        <f>IF(OR(I$13="",I$17="",I$14="",I$15="",I$16="",I$18="",I$19="",I$20="",I$21=""),"",SUM($C14:I14))</f>
        <v>0</v>
      </c>
      <c r="J81" s="114">
        <f>IF(OR(J$13="",J$17="",J$14="",J$15="",J$16="",J$18="",J$19="",J$20="",J$21=""),"",SUM($C14:J14))</f>
        <v>0</v>
      </c>
      <c r="K81" s="114">
        <f>IF(OR(K$13="",K$17="",K$14="",K$15="",K$16="",K$18="",K$19="",K$20="",K$21=""),"",SUM($C14:K14))</f>
        <v>0</v>
      </c>
      <c r="L81" s="114">
        <f>IF(OR(L$13="",L$17="",L$14="",L$15="",L$16="",L$18="",L$19="",L$20="",L$21=""),"",SUM($C14:L14))</f>
        <v>0</v>
      </c>
      <c r="M81" s="114">
        <f>IF(OR(M$13="",M$17="",M$14="",M$15="",M$16="",M$18="",M$19="",M$20="",M$21=""),"",SUM($C14:M14))</f>
        <v>0</v>
      </c>
      <c r="N81" s="114">
        <f>IF(OR(N$13="",N$17="",N$14="",N$15="",N$16="",N$18="",N$19="",N$20="",N$21=""),"",SUM($C14:N14))</f>
        <v>0</v>
      </c>
      <c r="O81" s="114">
        <f>IF(OR(O$13="",O$17="",O$14="",O$15="",O$16="",O$18="",O$19="",O$20="",O$21=""),"",SUM($C14:O14))</f>
        <v>0</v>
      </c>
      <c r="P81" s="114">
        <f>IF(OR(P$13="",P$17="",P$14="",P$15="",P$16="",P$18="",P$19="",P$20="",P$21=""),"",SUM($C14:P14))</f>
        <v>0</v>
      </c>
      <c r="Q81" s="114">
        <f>IF(OR(Q$13="",Q$17="",Q$14="",Q$15="",Q$16="",Q$18="",Q$19="",Q$20="",Q$21=""),"",SUM($C14:Q14))</f>
        <v>0</v>
      </c>
      <c r="R81" s="114">
        <f>IF(OR(R$13="",R$17="",R$14="",R$15="",R$16="",R$18="",R$19="",R$20="",R$21=""),"",SUM($C14:R14))</f>
        <v>0</v>
      </c>
      <c r="S81" s="114">
        <f>IF(OR(S$13="",S$17="",S$14="",S$15="",S$16="",S$18="",S$19="",S$20="",S$21=""),"",SUM($C14:S14))</f>
        <v>0</v>
      </c>
      <c r="T81" s="114">
        <f>IF(OR(T$13="",T$17="",T$14="",T$15="",T$16="",T$18="",T$19="",T$20="",T$21=""),"",SUM($C14:T14))</f>
        <v>0</v>
      </c>
      <c r="U81" s="114">
        <f>IF(OR(U$13="",U$17="",U$14="",U$15="",U$16="",U$18="",U$19="",U$20="",U$21=""),"",SUM($C14:U14))</f>
        <v>0</v>
      </c>
      <c r="V81" s="114">
        <f>IF(OR(V$13="",V$17="",V$14="",V$15="",V$16="",V$18="",V$19="",V$20="",V$21=""),"",SUM($C14:V14))</f>
        <v>0</v>
      </c>
      <c r="W81" s="114">
        <f>IF(OR(W$13="",W$17="",W$14="",W$15="",W$16="",W$18="",W$19="",W$20="",W$21=""),"",SUM($C14:W14))</f>
        <v>0</v>
      </c>
      <c r="X81" s="114">
        <f>IF(OR(X$13="",X$17="",X$14="",X$15="",X$16="",X$18="",X$19="",X$20="",X$21=""),"",SUM($C14:X14))</f>
        <v>0</v>
      </c>
      <c r="Y81" s="114">
        <f>IF(OR(Y$13="",Y$17="",Y$14="",Y$15="",Y$16="",Y$18="",Y$19="",Y$20="",Y$21=""),"",SUM($C14:Y14))</f>
        <v>0</v>
      </c>
      <c r="Z81" s="114">
        <f>IF(OR(Z$13="",Z$17="",Z$14="",Z$15="",Z$16="",Z$18="",Z$19="",Z$20="",Z$21=""),"",SUM($C14:Z14))</f>
        <v>0</v>
      </c>
      <c r="AA81" s="114">
        <f>IF(OR(AA$13="",AA$17="",AA$14="",AA$15="",AA$16="",AA$18="",AA$19="",AA$20="",AA$21=""),"",SUM($C14:AA14))</f>
        <v>0</v>
      </c>
      <c r="AB81" s="114">
        <f>IF(OR(AB$13="",AB$17="",AB$14="",AB$15="",AB$16="",AB$18="",AB$19="",AB$20="",AB$21=""),"",SUM($C14:AB14))</f>
        <v>0</v>
      </c>
      <c r="AC81" s="114">
        <f>IF(OR(AC$13="",AC$17="",AC$14="",AC$15="",AC$16="",AC$18="",AC$19="",AC$20="",AC$21=""),"",SUM($C14:AC14))</f>
        <v>0</v>
      </c>
      <c r="AD81" s="114">
        <f>IF(OR(AD$13="",AD$17="",AD$14="",AD$15="",AD$16="",AD$18="",AD$19="",AD$20="",AD$21=""),"",SUM($C14:AD14))</f>
        <v>0</v>
      </c>
      <c r="AE81" s="114">
        <f>IF(OR(AE$13="",AE$17="",AE$14="",AE$15="",AE$16="",AE$18="",AE$19="",AE$20="",AE$21=""),"",SUM($C14:AE14))</f>
        <v>0</v>
      </c>
      <c r="AF81" s="114">
        <f>IF(OR(AF$13="",AF$17="",AF$14="",AF$15="",AF$16="",AF$18="",AF$19="",AF$20="",AF$21=""),"",SUM($C14:AF14))</f>
        <v>0</v>
      </c>
      <c r="AG81" s="114">
        <f>IF(OR(AG$13="",AG$17="",AG$14="",AG$15="",AG$16="",AG$18="",AG$19="",AG$20="",AG$21=""),"",SUM($C14:AG14))</f>
        <v>0</v>
      </c>
      <c r="AH81" s="114">
        <f>IF(OR(AH$13="",AH$17="",AH$14="",AH$15="",AH$16="",AH$18="",AH$19="",AH$20="",AH$21=""),"",SUM($C14:AH14))</f>
        <v>0</v>
      </c>
      <c r="AI81" s="114">
        <f>IF(OR(AI$13="",AI$17="",AI$14="",AI$15="",AI$16="",AI$18="",AI$19="",AI$20="",AI$21=""),"",SUM($C14:AI14))</f>
        <v>4.08</v>
      </c>
      <c r="AJ81" s="114">
        <f>IF(OR(AJ$13="",AJ$17="",AJ$14="",AJ$15="",AJ$16="",AJ$18="",AJ$19="",AJ$20="",AJ$21=""),"",SUM($C14:AJ14))</f>
        <v>10.100000000000001</v>
      </c>
      <c r="AK81" s="114">
        <f>IF(OR(AK$13="",AK$17="",AK$14="",AK$15="",AK$16="",AK$18="",AK$19="",AK$20="",AK$21=""),"",SUM($C14:AK14))</f>
        <v>14.270000000000001</v>
      </c>
      <c r="AL81" s="114">
        <f>IF(OR(AL$13="",AL$17="",AL$14="",AL$15="",AL$16="",AL$18="",AL$19="",AL$20="",AL$21=""),"",SUM($C14:AL14))</f>
        <v>14.270000000000001</v>
      </c>
      <c r="AM81" s="114">
        <f>IF(OR(AM$13="",AM$17="",AM$14="",AM$15="",AM$16="",AM$18="",AM$19="",AM$20="",AM$21=""),"",SUM($C14:AM14))</f>
        <v>21.3</v>
      </c>
      <c r="AN81" s="114">
        <f>IF(OR(AN$13="",AN$17="",AN$14="",AN$15="",AN$16="",AN$18="",AN$19="",AN$20="",AN$21=""),"",SUM($C14:AN14))</f>
        <v>21.3</v>
      </c>
      <c r="AO81" s="114">
        <f>IF(OR(AO$13="",AO$17="",AO$14="",AO$15="",AO$16="",AO$18="",AO$19="",AO$20="",AO$21=""),"",SUM($C14:AO14))</f>
        <v>21.3</v>
      </c>
      <c r="AP81" s="114">
        <f>IF(OR(AP$13="",AP$17="",AP$14="",AP$15="",AP$16="",AP$18="",AP$19="",AP$20="",AP$21=""),"",SUM($C14:AP14))</f>
        <v>30.85</v>
      </c>
      <c r="AQ81" s="114">
        <f>IF(OR(AQ$13="",AQ$17="",AQ$14="",AQ$15="",AQ$16="",AQ$18="",AQ$19="",AQ$20="",AQ$21=""),"",SUM($C14:AQ14))</f>
        <v>30.85</v>
      </c>
      <c r="AR81" s="114">
        <f>IF(OR(AR$13="",AR$17="",AR$14="",AR$15="",AR$16="",AR$18="",AR$19="",AR$20="",AR$21=""),"",SUM($C14:AR14))</f>
        <v>34.07</v>
      </c>
      <c r="AS81" s="114">
        <f>IF(OR(AS$13="",AS$17="",AS$14="",AS$15="",AS$16="",AS$18="",AS$19="",AS$20="",AS$21=""),"",SUM($C14:AS14))</f>
        <v>34.07</v>
      </c>
      <c r="AT81" s="114">
        <f>IF(OR(AT$13="",AT$17="",AT$14="",AT$15="",AT$16="",AT$18="",AT$19="",AT$20="",AT$21=""),"",SUM($C14:AT14))</f>
        <v>34.07</v>
      </c>
      <c r="AU81" s="114">
        <f>IF(OR(AU$13="",AU$17="",AU$14="",AU$15="",AU$16="",AU$18="",AU$19="",AU$20="",AU$21=""),"",SUM($C14:AU14))</f>
        <v>34.07</v>
      </c>
      <c r="AV81" s="114">
        <f>IF(OR(AV$13="",AV$17="",AV$14="",AV$15="",AV$16="",AV$18="",AV$19="",AV$20="",AV$21=""),"",SUM($C14:AV14))</f>
        <v>39.89</v>
      </c>
      <c r="AW81" s="114">
        <f>IF(OR(AW$13="",AW$17="",AW$14="",AW$15="",AW$16="",AW$18="",AW$19="",AW$20="",AW$21=""),"",SUM($C14:AW14))</f>
        <v>40.49</v>
      </c>
      <c r="AX81" s="114">
        <f>IF(OR(AX$13="",AX$17="",AX$14="",AX$15="",AX$16="",AX$18="",AX$19="",AX$20="",AX$21=""),"",SUM($C14:AX14))</f>
        <v>42.36</v>
      </c>
      <c r="AY81" s="114">
        <f>IF(OR(AY$13="",AY$17="",AY$14="",AY$15="",AY$16="",AY$18="",AY$19="",AY$20="",AY$21=""),"",SUM($C14:AY14))</f>
        <v>45.69</v>
      </c>
      <c r="AZ81" s="114">
        <f>IF(OR(AZ$13="",AZ$17="",AZ$14="",AZ$15="",AZ$16="",AZ$18="",AZ$19="",AZ$20="",AZ$21=""),"",SUM($C14:AZ14))</f>
        <v>57.54</v>
      </c>
      <c r="BA81" s="114">
        <f>IF(OR(BA$13="",BA$17="",BA$14="",BA$15="",BA$16="",BA$18="",BA$19="",BA$20="",BA$21=""),"",SUM($C14:BA14))</f>
        <v>72.069999999999993</v>
      </c>
      <c r="BB81" s="114">
        <f>IF(OR(BB$13="",BB$17="",BB$14="",BB$15="",BB$16="",BB$18="",BB$19="",BB$20="",BB$21=""),"",SUM($C14:BB14))</f>
        <v>72.069999999999993</v>
      </c>
      <c r="BC81" s="114">
        <f>IF(OR(BC$13="",BC$17="",BC$14="",BC$15="",BC$16="",BC$18="",BC$19="",BC$20="",BC$21=""),"",SUM($C14:BC14))</f>
        <v>78.3</v>
      </c>
      <c r="BD81" s="114">
        <f>IF(OR(BD$13="",BD$17="",BD$14="",BD$15="",BD$16="",BD$18="",BD$19="",BD$20="",BD$21=""),"",SUM($C14:BD14))</f>
        <v>78.3</v>
      </c>
      <c r="BE81" s="114">
        <f>IF(OR(BE$13="",BE$17="",BE$14="",BE$15="",BE$16="",BE$18="",BE$19="",BE$20="",BE$21=""),"",SUM($C14:BE14))</f>
        <v>78.3</v>
      </c>
      <c r="BF81" s="114">
        <f>IF(OR(BF$13="",BF$17="",BF$14="",BF$15="",BF$16="",BF$18="",BF$19="",BF$20="",BF$21=""),"",SUM($C14:BF14))</f>
        <v>78.3</v>
      </c>
      <c r="BG81" s="114">
        <f>IF(OR(BG$13="",BG$17="",BG$14="",BG$15="",BG$16="",BG$18="",BG$19="",BG$20="",BG$21=""),"",SUM($C14:BG14))</f>
        <v>78.3</v>
      </c>
      <c r="BH81" s="114">
        <f>IF(OR(BH$13="",BH$17="",BH$14="",BH$15="",BH$16="",BH$18="",BH$19="",BH$20="",BH$21=""),"",SUM($C14:BH14))</f>
        <v>78.3</v>
      </c>
      <c r="BI81" s="114">
        <f>IF(OR(BI$13="",BI$17="",BI$14="",BI$15="",BI$16="",BI$18="",BI$19="",BI$20="",BI$21=""),"",SUM($C14:BI14))</f>
        <v>86.05</v>
      </c>
      <c r="BJ81" s="114">
        <f>IF(OR(BJ$13="",BJ$17="",BJ$14="",BJ$15="",BJ$16="",BJ$18="",BJ$19="",BJ$20="",BJ$21=""),"",SUM($C14:BJ14))</f>
        <v>86.05</v>
      </c>
      <c r="BK81" s="114">
        <f>IF(OR(BK$13="",BK$17="",BK$14="",BK$15="",BK$16="",BK$18="",BK$19="",BK$20="",BK$21=""),"",SUM($C14:BK14))</f>
        <v>86.05</v>
      </c>
      <c r="BL81" s="114">
        <f>IF(OR(BL$13="",BL$17="",BL$14="",BL$15="",BL$16="",BL$18="",BL$19="",BL$20="",BL$21=""),"",SUM($C14:BL14))</f>
        <v>87.179999999999993</v>
      </c>
      <c r="BM81" s="114">
        <f>IF(OR(BM$13="",BM$17="",BM$14="",BM$15="",BM$16="",BM$18="",BM$19="",BM$20="",BM$21=""),"",SUM($C14:BM14))</f>
        <v>87.179999999999993</v>
      </c>
      <c r="BN81" s="114">
        <f>IF(OR(BN$13="",BN$17="",BN$14="",BN$15="",BN$16="",BN$18="",BN$19="",BN$20="",BN$21=""),"",SUM($C14:BN14))</f>
        <v>87.179999999999993</v>
      </c>
      <c r="BO81" s="114">
        <f>IF(OR(BO$13="",BO$17="",BO$14="",BO$15="",BO$16="",BO$18="",BO$19="",BO$20="",BO$21=""),"",SUM($C14:BO14))</f>
        <v>94.109999999999985</v>
      </c>
      <c r="BP81" s="114">
        <f>IF(OR(BP$13="",BP$17="",BP$14="",BP$15="",BP$16="",BP$18="",BP$19="",BP$20="",BP$21=""),"",SUM($C14:BP14))</f>
        <v>95.829999999999984</v>
      </c>
      <c r="BQ81" s="114">
        <f>IF(OR(BQ$13="",BQ$17="",BQ$14="",BQ$15="",BQ$16="",BQ$18="",BQ$19="",BQ$20="",BQ$21=""),"",SUM($C14:BQ14))</f>
        <v>95.829999999999984</v>
      </c>
      <c r="BR81" s="114">
        <f>IF(OR(BR$13="",BR$17="",BR$14="",BR$15="",BR$16="",BR$18="",BR$19="",BR$20="",BR$21=""),"",SUM($C14:BR14))</f>
        <v>99.47999999999999</v>
      </c>
      <c r="BS81" s="114">
        <f>IF(OR(BS$13="",BS$17="",BS$14="",BS$15="",BS$16="",BS$18="",BS$19="",BS$20="",BS$21=""),"",SUM($C14:BS14))</f>
        <v>99.47999999999999</v>
      </c>
      <c r="BT81" s="114">
        <f>IF(OR(BT$13="",BT$17="",BT$14="",BT$15="",BT$16="",BT$18="",BT$19="",BT$20="",BT$21=""),"",SUM($C14:BT14))</f>
        <v>101.49999999999999</v>
      </c>
      <c r="BU81" s="114">
        <f>IF(OR(BU$13="",BU$17="",BU$14="",BU$15="",BU$16="",BU$18="",BU$19="",BU$20="",BU$21=""),"",SUM($C14:BU14))</f>
        <v>102.48999999999998</v>
      </c>
      <c r="BV81" s="114">
        <f>IF(OR(BV$13="",BV$17="",BV$14="",BV$15="",BV$16="",BV$18="",BV$19="",BV$20="",BV$21=""),"",SUM($C14:BV14))</f>
        <v>102.48999999999998</v>
      </c>
      <c r="BW81" s="114">
        <f>IF(OR(BW$13="",BW$17="",BW$14="",BW$15="",BW$16="",BW$18="",BW$19="",BW$20="",BW$21=""),"",SUM($C14:BW14))</f>
        <v>102.48999999999998</v>
      </c>
      <c r="BX81" s="114">
        <f>IF(OR(BX$13="",BX$17="",BX$14="",BX$15="",BX$16="",BX$18="",BX$19="",BX$20="",BX$21=""),"",SUM($C14:BX14))</f>
        <v>105.00999999999998</v>
      </c>
      <c r="BY81" s="114">
        <f>IF(OR(BY$13="",BY$17="",BY$14="",BY$15="",BY$16="",BY$18="",BY$19="",BY$20="",BY$21=""),"",SUM($C14:BY14))</f>
        <v>105.00999999999998</v>
      </c>
      <c r="BZ81" s="114">
        <f>IF(OR(BZ$13="",BZ$17="",BZ$14="",BZ$15="",BZ$16="",BZ$18="",BZ$19="",BZ$20="",BZ$21=""),"",SUM($C14:BZ14))</f>
        <v>105.00999999999998</v>
      </c>
      <c r="CA81" s="114">
        <f>IF(OR(CA$13="",CA$17="",CA$14="",CA$15="",CA$16="",CA$18="",CA$19="",CA$20="",CA$21=""),"",SUM($C14:CA14))</f>
        <v>105.00999999999998</v>
      </c>
      <c r="CB81" s="114">
        <f>IF(OR(CB$13="",CB$17="",CB$14="",CB$15="",CB$16="",CB$18="",CB$19="",CB$20="",CB$21=""),"",SUM($C14:CB14))</f>
        <v>105.00999999999998</v>
      </c>
      <c r="CC81" s="114">
        <f>IF(OR(CC$13="",CC$17="",CC$14="",CC$15="",CC$16="",CC$18="",CC$19="",CC$20="",CC$21=""),"",SUM($C14:CC14))</f>
        <v>120.30999999999997</v>
      </c>
      <c r="CD81" s="114">
        <f>IF(OR(CD$13="",CD$17="",CD$14="",CD$15="",CD$16="",CD$18="",CD$19="",CD$20="",CD$21=""),"",SUM($C14:CD14))</f>
        <v>120.30999999999997</v>
      </c>
      <c r="CE81" s="114">
        <f>IF(OR(CE$13="",CE$17="",CE$14="",CE$15="",CE$16="",CE$18="",CE$19="",CE$20="",CE$21=""),"",SUM($C14:CE14))</f>
        <v>120.30999999999997</v>
      </c>
      <c r="CF81" s="114">
        <f>IF(OR(CF$13="",CF$17="",CF$14="",CF$15="",CF$16="",CF$18="",CF$19="",CF$20="",CF$21=""),"",SUM($C14:CF14))</f>
        <v>120.30999999999997</v>
      </c>
      <c r="CG81" s="114">
        <f>IF(OR(CG$13="",CG$17="",CG$14="",CG$15="",CG$16="",CG$18="",CG$19="",CG$20="",CG$21=""),"",SUM($C14:CG14))</f>
        <v>120.30999999999997</v>
      </c>
      <c r="CH81" s="114">
        <f>IF(OR(CH$13="",CH$17="",CH$14="",CH$15="",CH$16="",CH$18="",CH$19="",CH$20="",CH$21=""),"",SUM($C14:CH14))</f>
        <v>120.30999999999997</v>
      </c>
      <c r="CI81" s="114">
        <f>IF(OR(CI$13="",CI$17="",CI$14="",CI$15="",CI$16="",CI$18="",CI$19="",CI$20="",CI$21=""),"",SUM($C14:CI14))</f>
        <v>120.85999999999997</v>
      </c>
      <c r="CJ81" s="114">
        <f>IF(OR(CJ$13="",CJ$17="",CJ$14="",CJ$15="",CJ$16="",CJ$18="",CJ$19="",CJ$20="",CJ$21=""),"",SUM($C14:CJ14))</f>
        <v>122.05999999999997</v>
      </c>
      <c r="CK81" s="114">
        <f>IF(OR(CK$13="",CK$17="",CK$14="",CK$15="",CK$16="",CK$18="",CK$19="",CK$20="",CK$21=""),"",SUM($C14:CK14))</f>
        <v>122.05999999999997</v>
      </c>
      <c r="CL81" s="114">
        <f>IF(OR(CL$13="",CL$17="",CL$14="",CL$15="",CL$16="",CL$18="",CL$19="",CL$20="",CL$21=""),"",SUM($C14:CL14))</f>
        <v>122.05999999999997</v>
      </c>
      <c r="CM81" s="114">
        <f>IF(OR(CM$13="",CM$17="",CM$14="",CM$15="",CM$16="",CM$18="",CM$19="",CM$20="",CM$21=""),"",SUM($C14:CM14))</f>
        <v>122.05999999999997</v>
      </c>
      <c r="CN81" s="114">
        <f>IF(OR(CN$13="",CN$17="",CN$14="",CN$15="",CN$16="",CN$18="",CN$19="",CN$20="",CN$21=""),"",SUM($C14:CN14))</f>
        <v>122.05999999999997</v>
      </c>
      <c r="CO81" s="114">
        <f>IF(OR(CO$13="",CO$17="",CO$14="",CO$15="",CO$16="",CO$18="",CO$19="",CO$20="",CO$21=""),"",SUM($C14:CO14))</f>
        <v>125.08999999999997</v>
      </c>
      <c r="CP81" s="114">
        <f>IF(OR(CP$13="",CP$17="",CP$14="",CP$15="",CP$16="",CP$18="",CP$19="",CP$20="",CP$21=""),"",SUM($C14:CP14))</f>
        <v>125.08999999999997</v>
      </c>
      <c r="CQ81" s="114">
        <f>IF(OR(CQ$13="",CQ$17="",CQ$14="",CQ$15="",CQ$16="",CQ$18="",CQ$19="",CQ$20="",CQ$21=""),"",SUM($C14:CQ14))</f>
        <v>126.25999999999998</v>
      </c>
      <c r="CR81" s="114">
        <f>IF(OR(CR$13="",CR$17="",CR$14="",CR$15="",CR$16="",CR$18="",CR$19="",CR$20="",CR$21=""),"",SUM($C14:CR14))</f>
        <v>126.25999999999998</v>
      </c>
      <c r="CS81" s="114">
        <f>IF(OR(CS$13="",CS$17="",CS$14="",CS$15="",CS$16="",CS$18="",CS$19="",CS$20="",CS$21=""),"",SUM($C14:CS14))</f>
        <v>126.25999999999998</v>
      </c>
      <c r="CT81" s="114">
        <f>IF(OR(CT$13="",CT$17="",CT$14="",CT$15="",CT$16="",CT$18="",CT$19="",CT$20="",CT$21=""),"",SUM($C14:CT14))</f>
        <v>126.25999999999998</v>
      </c>
      <c r="CU81" s="114">
        <f>IF(OR(CU$13="",CU$17="",CU$14="",CU$15="",CU$16="",CU$18="",CU$19="",CU$20="",CU$21=""),"",SUM($C14:CU14))</f>
        <v>126.25999999999998</v>
      </c>
      <c r="CV81" s="114">
        <f>IF(OR(CV$13="",CV$17="",CV$14="",CV$15="",CV$16="",CV$18="",CV$19="",CV$20="",CV$21=""),"",SUM($C14:CV14))</f>
        <v>126.25999999999998</v>
      </c>
      <c r="CW81" s="114">
        <f>IF(OR(CW$13="",CW$17="",CW$14="",CW$15="",CW$16="",CW$18="",CW$19="",CW$20="",CW$21=""),"",SUM($C14:CW14))</f>
        <v>126.25999999999998</v>
      </c>
      <c r="CX81" s="114">
        <f>IF(OR(CX$13="",CX$17="",CX$14="",CX$15="",CX$16="",CX$18="",CX$19="",CX$20="",CX$21=""),"",SUM($C14:CX14))</f>
        <v>126.25999999999998</v>
      </c>
      <c r="CY81" s="114">
        <f>IF(OR(CY$13="",CY$17="",CY$14="",CY$15="",CY$16="",CY$18="",CY$19="",CY$20="",CY$21=""),"",SUM($C14:CY14))</f>
        <v>134.83999999999997</v>
      </c>
      <c r="CZ81" s="114">
        <f>IF(OR(CZ$13="",CZ$17="",CZ$14="",CZ$15="",CZ$16="",CZ$18="",CZ$19="",CZ$20="",CZ$21=""),"",SUM($C14:CZ14))</f>
        <v>134.83999999999997</v>
      </c>
      <c r="DA81" s="114">
        <f>IF(OR(DA$13="",DA$17="",DA$14="",DA$15="",DA$16="",DA$18="",DA$19="",DA$20="",DA$21=""),"",SUM($C14:DA14))</f>
        <v>134.83999999999997</v>
      </c>
      <c r="DB81" s="114">
        <f>IF(OR(DB$13="",DB$17="",DB$14="",DB$15="",DB$16="",DB$18="",DB$19="",DB$20="",DB$21=""),"",SUM($C14:DB14))</f>
        <v>134.83999999999997</v>
      </c>
      <c r="DC81" s="114">
        <f>IF(OR(DC$13="",DC$17="",DC$14="",DC$15="",DC$16="",DC$18="",DC$19="",DC$20="",DC$21=""),"",SUM($C14:DC14))</f>
        <v>134.83999999999997</v>
      </c>
      <c r="DD81" s="114">
        <f>IF(OR(DD$13="",DD$17="",DD$14="",DD$15="",DD$16="",DD$18="",DD$19="",DD$20="",DD$21=""),"",SUM($C14:DD14))</f>
        <v>135.68999999999997</v>
      </c>
      <c r="DE81" s="114">
        <f>IF(OR(DE$13="",DE$17="",DE$14="",DE$15="",DE$16="",DE$18="",DE$19="",DE$20="",DE$21=""),"",SUM($C14:DE14))</f>
        <v>137.61999999999998</v>
      </c>
      <c r="DF81" s="114">
        <f>IF(OR(DF$13="",DF$17="",DF$14="",DF$15="",DF$16="",DF$18="",DF$19="",DF$20="",DF$21=""),"",SUM($C14:DF14))</f>
        <v>139.61999999999998</v>
      </c>
      <c r="DG81" s="114">
        <f>IF(OR(DG$13="",DG$17="",DG$14="",DG$15="",DG$16="",DG$18="",DG$19="",DG$20="",DG$21=""),"",SUM($C14:DG14))</f>
        <v>151.43999999999997</v>
      </c>
      <c r="DH81" s="114">
        <f>IF(OR(DH$13="",DH$17="",DH$14="",DH$15="",DH$16="",DH$18="",DH$19="",DH$20="",DH$21=""),"",SUM($C14:DH14))</f>
        <v>151.43999999999997</v>
      </c>
      <c r="DI81" s="114">
        <f>IF(OR(DI$13="",DI$17="",DI$14="",DI$15="",DI$16="",DI$18="",DI$19="",DI$20="",DI$21=""),"",SUM($C14:DI14))</f>
        <v>151.43999999999997</v>
      </c>
      <c r="DJ81" s="114">
        <f>IF(OR(DJ$13="",DJ$17="",DJ$14="",DJ$15="",DJ$16="",DJ$18="",DJ$19="",DJ$20="",DJ$21=""),"",SUM($C14:DJ14))</f>
        <v>153.68999999999997</v>
      </c>
      <c r="DK81" s="114">
        <f>IF(OR(DK$13="",DK$17="",DK$14="",DK$15="",DK$16="",DK$18="",DK$19="",DK$20="",DK$21=""),"",SUM($C14:DK14))</f>
        <v>153.68999999999997</v>
      </c>
      <c r="DL81" s="114">
        <f>IF(OR(DL$13="",DL$17="",DL$14="",DL$15="",DL$16="",DL$18="",DL$19="",DL$20="",DL$21=""),"",SUM($C14:DL14))</f>
        <v>153.68999999999997</v>
      </c>
      <c r="DM81" s="114">
        <f>IF(OR(DM$13="",DM$17="",DM$14="",DM$15="",DM$16="",DM$18="",DM$19="",DM$20="",DM$21=""),"",SUM($C14:DM14))</f>
        <v>153.68999999999997</v>
      </c>
      <c r="DN81" s="114">
        <f>IF(OR(DN$13="",DN$17="",DN$14="",DN$15="",DN$16="",DN$18="",DN$19="",DN$20="",DN$21=""),"",SUM($C14:DN14))</f>
        <v>153.68999999999997</v>
      </c>
      <c r="DO81" s="114">
        <f>IF(OR(DO$13="",DO$17="",DO$14="",DO$15="",DO$16="",DO$18="",DO$19="",DO$20="",DO$21=""),"",SUM($C14:DO14))</f>
        <v>157.95999999999998</v>
      </c>
      <c r="DP81" s="114">
        <f>IF(OR(DP$13="",DP$17="",DP$14="",DP$15="",DP$16="",DP$18="",DP$19="",DP$20="",DP$21=""),"",SUM($C14:DP14))</f>
        <v>157.95999999999998</v>
      </c>
      <c r="DQ81" s="114">
        <f>IF(OR(DQ$13="",DQ$17="",DQ$14="",DQ$15="",DQ$16="",DQ$18="",DQ$19="",DQ$20="",DQ$21=""),"",SUM($C14:DQ14))</f>
        <v>159.08999999999997</v>
      </c>
      <c r="DR81" s="114">
        <f>IF(OR(DR$13="",DR$17="",DR$14="",DR$15="",DR$16="",DR$18="",DR$19="",DR$20="",DR$21=""),"",SUM($C14:DR14))</f>
        <v>195.10999999999996</v>
      </c>
      <c r="DS81" s="114">
        <f>IF(OR(DS$13="",DS$17="",DS$14="",DS$15="",DS$16="",DS$18="",DS$19="",DS$20="",DS$21=""),"",SUM($C14:DS14))</f>
        <v>208.65999999999997</v>
      </c>
      <c r="DT81" s="114">
        <f>IF(OR(DT$13="",DT$17="",DT$14="",DT$15="",DT$16="",DT$18="",DT$19="",DT$20="",DT$21=""),"",SUM($C14:DT14))</f>
        <v>208.65999999999997</v>
      </c>
      <c r="DU81" s="114">
        <f>IF(OR(DU$13="",DU$17="",DU$14="",DU$15="",DU$16="",DU$18="",DU$19="",DU$20="",DU$21=""),"",SUM($C14:DU14))</f>
        <v>215.85999999999996</v>
      </c>
      <c r="DV81" s="114">
        <f>IF(OR(DV$13="",DV$17="",DV$14="",DV$15="",DV$16="",DV$18="",DV$19="",DV$20="",DV$21=""),"",SUM($C14:DV14))</f>
        <v>215.85999999999996</v>
      </c>
      <c r="DW81" s="114">
        <f>IF(OR(DW$13="",DW$17="",DW$14="",DW$15="",DW$16="",DW$18="",DW$19="",DW$20="",DW$21=""),"",SUM($C14:DW14))</f>
        <v>215.85999999999996</v>
      </c>
      <c r="DX81" s="114">
        <f>IF(OR(DX$13="",DX$17="",DX$14="",DX$15="",DX$16="",DX$18="",DX$19="",DX$20="",DX$21=""),"",SUM($C14:DX14))</f>
        <v>215.85999999999996</v>
      </c>
      <c r="DY81" s="114">
        <f>IF(OR(DY$13="",DY$17="",DY$14="",DY$15="",DY$16="",DY$18="",DY$19="",DY$20="",DY$21=""),"",SUM($C14:DY14))</f>
        <v>215.85999999999996</v>
      </c>
      <c r="DZ81" s="114">
        <f>IF(OR(DZ$13="",DZ$17="",DZ$14="",DZ$15="",DZ$16="",DZ$18="",DZ$19="",DZ$20="",DZ$21=""),"",SUM($C14:DZ14))</f>
        <v>217.34999999999997</v>
      </c>
      <c r="EA81" s="114">
        <f>IF(OR(EA$13="",EA$17="",EA$14="",EA$15="",EA$16="",EA$18="",EA$19="",EA$20="",EA$21=""),"",SUM($C14:EA14))</f>
        <v>217.34999999999997</v>
      </c>
      <c r="EB81" s="114">
        <f>IF(OR(EB$13="",EB$17="",EB$14="",EB$15="",EB$16="",EB$18="",EB$19="",EB$20="",EB$21=""),"",SUM($C14:EB14))</f>
        <v>222.96999999999997</v>
      </c>
      <c r="EC81" s="114">
        <f>IF(OR(EC$13="",EC$17="",EC$14="",EC$15="",EC$16="",EC$18="",EC$19="",EC$20="",EC$21=""),"",SUM($C14:EC14))</f>
        <v>248.60999999999996</v>
      </c>
      <c r="ED81" s="114">
        <f>IF(OR(ED$13="",ED$17="",ED$14="",ED$15="",ED$16="",ED$18="",ED$19="",ED$20="",ED$21=""),"",SUM($C14:ED14))</f>
        <v>252.30999999999995</v>
      </c>
      <c r="EE81" s="114">
        <f>IF(OR(EE$13="",EE$17="",EE$14="",EE$15="",EE$16="",EE$18="",EE$19="",EE$20="",EE$21=""),"",SUM($C14:EE14))</f>
        <v>289.23999999999995</v>
      </c>
      <c r="EF81" s="114">
        <f>IF(OR(EF$13="",EF$17="",EF$14="",EF$15="",EF$16="",EF$18="",EF$19="",EF$20="",EF$21=""),"",SUM($C14:EF14))</f>
        <v>289.23999999999995</v>
      </c>
      <c r="EG81" s="114">
        <f>IF(OR(EG$13="",EG$17="",EG$14="",EG$15="",EG$16="",EG$18="",EG$19="",EG$20="",EG$21=""),"",SUM($C14:EG14))</f>
        <v>289.23999999999995</v>
      </c>
      <c r="EH81" s="114">
        <f>IF(OR(EH$13="",EH$17="",EH$14="",EH$15="",EH$16="",EH$18="",EH$19="",EH$20="",EH$21=""),"",SUM($C14:EH14))</f>
        <v>289.23999999999995</v>
      </c>
      <c r="EI81" s="114">
        <f>IF(OR(EI$13="",EI$17="",EI$14="",EI$15="",EI$16="",EI$18="",EI$19="",EI$20="",EI$21=""),"",SUM($C14:EI14))</f>
        <v>289.23999999999995</v>
      </c>
      <c r="EJ81" s="114">
        <f>IF(OR(EJ$13="",EJ$17="",EJ$14="",EJ$15="",EJ$16="",EJ$18="",EJ$19="",EJ$20="",EJ$21=""),"",SUM($C14:EJ14))</f>
        <v>289.23999999999995</v>
      </c>
      <c r="EK81" s="114">
        <f>IF(OR(EK$13="",EK$17="",EK$14="",EK$15="",EK$16="",EK$18="",EK$19="",EK$20="",EK$21=""),"",SUM($C14:EK14))</f>
        <v>297.13999999999993</v>
      </c>
      <c r="EL81" s="114">
        <f>IF(OR(EL$13="",EL$17="",EL$14="",EL$15="",EL$16="",EL$18="",EL$19="",EL$20="",EL$21=""),"",SUM($C14:EL14))</f>
        <v>297.13999999999993</v>
      </c>
      <c r="EM81" s="114">
        <f>IF(OR(EM$13="",EM$17="",EM$14="",EM$15="",EM$16="",EM$18="",EM$19="",EM$20="",EM$21=""),"",SUM($C14:EM14))</f>
        <v>297.13999999999993</v>
      </c>
      <c r="EN81" s="114">
        <f>IF(OR(EN$13="",EN$17="",EN$14="",EN$15="",EN$16="",EN$18="",EN$19="",EN$20="",EN$21=""),"",SUM($C14:EN14))</f>
        <v>297.13999999999993</v>
      </c>
      <c r="EO81" s="114">
        <f>IF(OR(EO$13="",EO$17="",EO$14="",EO$15="",EO$16="",EO$18="",EO$19="",EO$20="",EO$21=""),"",SUM($C14:EO14))</f>
        <v>297.13999999999993</v>
      </c>
      <c r="EP81" s="114">
        <f>IF(OR(EP$13="",EP$17="",EP$14="",EP$15="",EP$16="",EP$18="",EP$19="",EP$20="",EP$21=""),"",SUM($C14:EP14))</f>
        <v>297.13999999999993</v>
      </c>
      <c r="EQ81" s="114">
        <f>IF(OR(EQ$13="",EQ$17="",EQ$14="",EQ$15="",EQ$16="",EQ$18="",EQ$19="",EQ$20="",EQ$21=""),"",SUM($C14:EQ14))</f>
        <v>297.13999999999993</v>
      </c>
      <c r="ER81" s="114">
        <f>IF(OR(ER$13="",ER$17="",ER$14="",ER$15="",ER$16="",ER$18="",ER$19="",ER$20="",ER$21=""),"",SUM($C14:ER14))</f>
        <v>297.13999999999993</v>
      </c>
      <c r="ES81" s="114">
        <f>IF(OR(ES$13="",ES$17="",ES$14="",ES$15="",ES$16="",ES$18="",ES$19="",ES$20="",ES$21=""),"",SUM($C14:ES14))</f>
        <v>297.13999999999993</v>
      </c>
      <c r="ET81" s="114">
        <f>IF(OR(ET$13="",ET$17="",ET$14="",ET$15="",ET$16="",ET$18="",ET$19="",ET$20="",ET$21=""),"",SUM($C14:ET14))</f>
        <v>297.13999999999993</v>
      </c>
      <c r="EU81" s="114">
        <f>IF(OR(EU$13="",EU$17="",EU$14="",EU$15="",EU$16="",EU$18="",EU$19="",EU$20="",EU$21=""),"",SUM($C14:EU14))</f>
        <v>297.13999999999993</v>
      </c>
      <c r="EV81" s="114">
        <f>IF(OR(EV$13="",EV$17="",EV$14="",EV$15="",EV$16="",EV$18="",EV$19="",EV$20="",EV$21=""),"",SUM($C14:EV14))</f>
        <v>297.13999999999993</v>
      </c>
      <c r="EW81" s="114">
        <f>IF(OR(EW$13="",EW$17="",EW$14="",EW$15="",EW$16="",EW$18="",EW$19="",EW$20="",EW$21=""),"",SUM($C14:EW14))</f>
        <v>297.13999999999993</v>
      </c>
      <c r="EX81" s="114">
        <f>IF(OR(EX$13="",EX$17="",EX$14="",EX$15="",EX$16="",EX$18="",EX$19="",EX$20="",EX$21=""),"",SUM($C14:EX14))</f>
        <v>297.13999999999993</v>
      </c>
      <c r="EY81" s="114">
        <f>IF(OR(EY$13="",EY$17="",EY$14="",EY$15="",EY$16="",EY$18="",EY$19="",EY$20="",EY$21=""),"",SUM($C14:EY14))</f>
        <v>297.13999999999993</v>
      </c>
      <c r="EZ81" s="114">
        <f>IF(OR(EZ$13="",EZ$17="",EZ$14="",EZ$15="",EZ$16="",EZ$18="",EZ$19="",EZ$20="",EZ$21=""),"",SUM($C14:EZ14))</f>
        <v>297.13999999999993</v>
      </c>
      <c r="FA81" s="114">
        <f>IF(OR(FA$13="",FA$17="",FA$14="",FA$15="",FA$16="",FA$18="",FA$19="",FA$20="",FA$21=""),"",SUM($C14:FA14))</f>
        <v>297.13999999999993</v>
      </c>
      <c r="FB81" s="114">
        <f>IF(OR(FB$13="",FB$17="",FB$14="",FB$15="",FB$16="",FB$18="",FB$19="",FB$20="",FB$21=""),"",SUM($C14:FB14))</f>
        <v>297.13999999999993</v>
      </c>
      <c r="FC81" s="114">
        <f>IF(OR(FC$13="",FC$17="",FC$14="",FC$15="",FC$16="",FC$18="",FC$19="",FC$20="",FC$21=""),"",SUM($C14:FC14))</f>
        <v>297.13999999999993</v>
      </c>
      <c r="FD81" s="114">
        <f>IF(OR(FD$13="",FD$17="",FD$14="",FD$15="",FD$16="",FD$18="",FD$19="",FD$20="",FD$21=""),"",SUM($C14:FD14))</f>
        <v>297.13999999999993</v>
      </c>
      <c r="FE81" s="114">
        <f>IF(OR(FE$13="",FE$17="",FE$14="",FE$15="",FE$16="",FE$18="",FE$19="",FE$20="",FE$21=""),"",SUM($C14:FE14))</f>
        <v>298.6699999999999</v>
      </c>
      <c r="FF81" s="114">
        <f>IF(OR(FF$13="",FF$17="",FF$14="",FF$15="",FF$16="",FF$18="",FF$19="",FF$20="",FF$21=""),"",SUM($C14:FF14))</f>
        <v>305.93999999999988</v>
      </c>
      <c r="FG81" s="114">
        <f>IF(OR(FG$13="",FG$17="",FG$14="",FG$15="",FG$16="",FG$18="",FG$19="",FG$20="",FG$21=""),"",SUM($C14:FG14))</f>
        <v>317.2399999999999</v>
      </c>
      <c r="FH81" s="114">
        <f>IF(OR(FH$13="",FH$17="",FH$14="",FH$15="",FH$16="",FH$18="",FH$19="",FH$20="",FH$21=""),"",SUM($C14:FH14))</f>
        <v>318.53999999999991</v>
      </c>
      <c r="FI81" s="114">
        <f>IF(OR(FI$13="",FI$17="",FI$14="",FI$15="",FI$16="",FI$18="",FI$19="",FI$20="",FI$21=""),"",SUM($C14:FI14))</f>
        <v>319.31999999999988</v>
      </c>
      <c r="FJ81" s="114">
        <f>IF(OR(FJ$13="",FJ$17="",FJ$14="",FJ$15="",FJ$16="",FJ$18="",FJ$19="",FJ$20="",FJ$21=""),"",SUM($C14:FJ14))</f>
        <v>326.2999999999999</v>
      </c>
      <c r="FK81" s="114">
        <f>IF(OR(FK$13="",FK$17="",FK$14="",FK$15="",FK$16="",FK$18="",FK$19="",FK$20="",FK$21=""),"",SUM($C14:FK14))</f>
        <v>326.2999999999999</v>
      </c>
      <c r="FL81" s="114">
        <f>IF(OR(FL$13="",FL$17="",FL$14="",FL$15="",FL$16="",FL$18="",FL$19="",FL$20="",FL$21=""),"",SUM($C14:FL14))</f>
        <v>326.2999999999999</v>
      </c>
      <c r="FM81" s="114">
        <f>IF(OR(FM$13="",FM$17="",FM$14="",FM$15="",FM$16="",FM$18="",FM$19="",FM$20="",FM$21=""),"",SUM($C14:FM14))</f>
        <v>326.2999999999999</v>
      </c>
      <c r="FN81" s="114">
        <f>IF(OR(FN$13="",FN$17="",FN$14="",FN$15="",FN$16="",FN$18="",FN$19="",FN$20="",FN$21=""),"",SUM($C14:FN14))</f>
        <v>326.2999999999999</v>
      </c>
      <c r="FO81" s="114">
        <f>IF(OR(FO$13="",FO$17="",FO$14="",FO$15="",FO$16="",FO$18="",FO$19="",FO$20="",FO$21=""),"",SUM($C14:FO14))</f>
        <v>340.43999999999988</v>
      </c>
      <c r="FP81" s="114">
        <f>IF(OR(FP$13="",FP$17="",FP$14="",FP$15="",FP$16="",FP$18="",FP$19="",FP$20="",FP$21=""),"",SUM($C14:FP14))</f>
        <v>404.67999999999989</v>
      </c>
      <c r="FQ81" s="114">
        <f>IF(OR(FQ$13="",FQ$17="",FQ$14="",FQ$15="",FQ$16="",FQ$18="",FQ$19="",FQ$20="",FQ$21=""),"",SUM($C14:FQ14))</f>
        <v>404.67999999999989</v>
      </c>
      <c r="FR81" s="114">
        <f>IF(OR(FR$13="",FR$17="",FR$14="",FR$15="",FR$16="",FR$18="",FR$19="",FR$20="",FR$21=""),"",SUM($C14:FR14))</f>
        <v>404.67999999999989</v>
      </c>
      <c r="FS81" s="114">
        <f>IF(OR(FS$13="",FS$17="",FS$14="",FS$15="",FS$16="",FS$18="",FS$19="",FS$20="",FS$21=""),"",SUM($C14:FS14))</f>
        <v>417.24999999999989</v>
      </c>
      <c r="FT81" s="114">
        <f>IF(OR(FT$13="",FT$17="",FT$14="",FT$15="",FT$16="",FT$18="",FT$19="",FT$20="",FT$21=""),"",SUM($C14:FT14))</f>
        <v>444.02999999999986</v>
      </c>
      <c r="FU81" s="114">
        <f>IF(OR(FU$13="",FU$17="",FU$14="",FU$15="",FU$16="",FU$18="",FU$19="",FU$20="",FU$21=""),"",SUM($C14:FU14))</f>
        <v>444.02999999999986</v>
      </c>
      <c r="FV81" s="114">
        <f>IF(OR(FV$13="",FV$17="",FV$14="",FV$15="",FV$16="",FV$18="",FV$19="",FV$20="",FV$21=""),"",SUM($C14:FV14))</f>
        <v>446.45999999999987</v>
      </c>
      <c r="FW81" s="114">
        <f>IF(OR(FW$13="",FW$17="",FW$14="",FW$15="",FW$16="",FW$18="",FW$19="",FW$20="",FW$21=""),"",SUM($C14:FW14))</f>
        <v>447.92999999999989</v>
      </c>
      <c r="FX81" s="114">
        <f>IF(OR(FX$13="",FX$17="",FX$14="",FX$15="",FX$16="",FX$18="",FX$19="",FX$20="",FX$21=""),"",SUM($C14:FX14))</f>
        <v>466.43999999999988</v>
      </c>
      <c r="FY81" s="114">
        <f>IF(OR(FY$13="",FY$17="",FY$14="",FY$15="",FY$16="",FY$18="",FY$19="",FY$20="",FY$21=""),"",SUM($C14:FY14))</f>
        <v>741.01999999999987</v>
      </c>
      <c r="FZ81" s="114">
        <f>IF(OR(FZ$13="",FZ$17="",FZ$14="",FZ$15="",FZ$16="",FZ$18="",FZ$19="",FZ$20="",FZ$21=""),"",SUM($C14:FZ14))</f>
        <v>741.01999999999987</v>
      </c>
      <c r="GA81" s="114">
        <f>IF(OR(GA$13="",GA$17="",GA$14="",GA$15="",GA$16="",GA$18="",GA$19="",GA$20="",GA$21=""),"",SUM($C14:GA14))</f>
        <v>741.01999999999987</v>
      </c>
      <c r="GB81" s="114">
        <f>IF(OR(GB$13="",GB$17="",GB$14="",GB$15="",GB$16="",GB$18="",GB$19="",GB$20="",GB$21=""),"",SUM($C14:GB14))</f>
        <v>805.16999999999985</v>
      </c>
      <c r="GC81" s="114">
        <f>IF(OR(GC$13="",GC$17="",GC$14="",GC$15="",GC$16="",GC$18="",GC$19="",GC$20="",GC$21=""),"",SUM($C14:GC14))</f>
        <v>805.16999999999985</v>
      </c>
      <c r="GD81" s="114">
        <f>IF(OR(GD$13="",GD$17="",GD$14="",GD$15="",GD$16="",GD$18="",GD$19="",GD$20="",GD$21=""),"",SUM($C14:GD14))</f>
        <v>829.41999999999985</v>
      </c>
      <c r="GE81" s="114">
        <f>IF(OR(GE$13="",GE$17="",GE$14="",GE$15="",GE$16="",GE$18="",GE$19="",GE$20="",GE$21=""),"",SUM($C14:GE14))</f>
        <v>864.93999999999983</v>
      </c>
      <c r="GF81" s="114">
        <f>IF(OR(GF$13="",GF$17="",GF$14="",GF$15="",GF$16="",GF$18="",GF$19="",GF$20="",GF$21=""),"",SUM($C14:GF14))</f>
        <v>864.93999999999983</v>
      </c>
      <c r="GG81" s="114">
        <f>IF(OR(GG$13="",GG$17="",GG$14="",GG$15="",GG$16="",GG$18="",GG$19="",GG$20="",GG$21=""),"",SUM($C14:GG14))</f>
        <v>944.43999999999983</v>
      </c>
      <c r="GH81" s="114">
        <f>IF(OR(GH$13="",GH$17="",GH$14="",GH$15="",GH$16="",GH$18="",GH$19="",GH$20="",GH$21=""),"",SUM($C14:GH14))</f>
        <v>944.43999999999983</v>
      </c>
      <c r="GI81" s="114">
        <f>IF(OR(GI$13="",GI$17="",GI$14="",GI$15="",GI$16="",GI$18="",GI$19="",GI$20="",GI$21=""),"",SUM($C14:GI14))</f>
        <v>944.43999999999983</v>
      </c>
      <c r="GJ81" s="114">
        <f>IF(OR(GJ$13="",GJ$17="",GJ$14="",GJ$15="",GJ$16="",GJ$18="",GJ$19="",GJ$20="",GJ$21=""),"",SUM($C14:GJ14))</f>
        <v>944.43999999999983</v>
      </c>
      <c r="GK81" s="114">
        <f>IF(OR(GK$13="",GK$17="",GK$14="",GK$15="",GK$16="",GK$18="",GK$19="",GK$20="",GK$21=""),"",SUM($C14:GK14))</f>
        <v>944.43999999999983</v>
      </c>
      <c r="GL81" s="114">
        <f>IF(OR(GL$13="",GL$17="",GL$14="",GL$15="",GL$16="",GL$18="",GL$19="",GL$20="",GL$21=""),"",SUM($C14:GL14))</f>
        <v>944.43999999999983</v>
      </c>
      <c r="GM81" s="114">
        <f>IF(OR(GM$13="",GM$17="",GM$14="",GM$15="",GM$16="",GM$18="",GM$19="",GM$20="",GM$21=""),"",SUM($C14:GM14))</f>
        <v>944.43999999999983</v>
      </c>
      <c r="GN81" s="114">
        <f>IF(OR(GN$13="",GN$17="",GN$14="",GN$15="",GN$16="",GN$18="",GN$19="",GN$20="",GN$21=""),"",SUM($C14:GN14))</f>
        <v>944.43999999999983</v>
      </c>
      <c r="GO81" s="114">
        <f>IF(OR(GO$13="",GO$17="",GO$14="",GO$15="",GO$16="",GO$18="",GO$19="",GO$20="",GO$21=""),"",SUM($C14:GO14))</f>
        <v>944.43999999999983</v>
      </c>
      <c r="GP81" s="114">
        <f>IF(OR(GP$13="",GP$17="",GP$14="",GP$15="",GP$16="",GP$18="",GP$19="",GP$20="",GP$21=""),"",SUM($C14:GP14))</f>
        <v>944.43999999999983</v>
      </c>
      <c r="GQ81" s="114">
        <f>IF(OR(GQ$13="",GQ$17="",GQ$14="",GQ$15="",GQ$16="",GQ$18="",GQ$19="",GQ$20="",GQ$21=""),"",SUM($C14:GQ14))</f>
        <v>944.43999999999983</v>
      </c>
      <c r="GR81" s="114">
        <f>IF(OR(GR$13="",GR$17="",GR$14="",GR$15="",GR$16="",GR$18="",GR$19="",GR$20="",GR$21=""),"",SUM($C14:GR14))</f>
        <v>944.43999999999983</v>
      </c>
      <c r="GS81" s="114">
        <f>IF(OR(GS$13="",GS$17="",GS$14="",GS$15="",GS$16="",GS$18="",GS$19="",GS$20="",GS$21=""),"",SUM($C14:GS14))</f>
        <v>944.43999999999983</v>
      </c>
      <c r="GT81" s="114">
        <f>IF(OR(GT$13="",GT$17="",GT$14="",GT$15="",GT$16="",GT$18="",GT$19="",GT$20="",GT$21=""),"",SUM($C14:GT14))</f>
        <v>944.43999999999983</v>
      </c>
      <c r="GU81" s="114">
        <f>IF(OR(GU$13="",GU$17="",GU$14="",GU$15="",GU$16="",GU$18="",GU$19="",GU$20="",GU$21=""),"",SUM($C14:GU14))</f>
        <v>944.43999999999983</v>
      </c>
      <c r="GV81" s="114">
        <f>IF(OR(GV$13="",GV$17="",GV$14="",GV$15="",GV$16="",GV$18="",GV$19="",GV$20="",GV$21=""),"",SUM($C14:GV14))</f>
        <v>944.43999999999983</v>
      </c>
      <c r="GW81" s="114">
        <f>IF(OR(GW$13="",GW$17="",GW$14="",GW$15="",GW$16="",GW$18="",GW$19="",GW$20="",GW$21=""),"",SUM($C14:GW14))</f>
        <v>945.16999999999985</v>
      </c>
      <c r="GX81" s="114">
        <f>IF(OR(GX$13="",GX$17="",GX$14="",GX$15="",GX$16="",GX$18="",GX$19="",GX$20="",GX$21=""),"",SUM($C14:GX14))</f>
        <v>945.16999999999985</v>
      </c>
      <c r="GY81" s="114">
        <f>IF(OR(GY$13="",GY$17="",GY$14="",GY$15="",GY$16="",GY$18="",GY$19="",GY$20="",GY$21=""),"",SUM($C14:GY14))</f>
        <v>945.16999999999985</v>
      </c>
      <c r="GZ81" s="114">
        <f>IF(OR(GZ$13="",GZ$17="",GZ$14="",GZ$15="",GZ$16="",GZ$18="",GZ$19="",GZ$20="",GZ$21=""),"",SUM($C14:GZ14))</f>
        <v>945.16999999999985</v>
      </c>
      <c r="HA81" s="114">
        <f>IF(OR(HA$13="",HA$17="",HA$14="",HA$15="",HA$16="",HA$18="",HA$19="",HA$20="",HA$21=""),"",SUM($C14:HA14))</f>
        <v>945.16999999999985</v>
      </c>
      <c r="HB81" s="114">
        <f>IF(OR(HB$13="",HB$17="",HB$14="",HB$15="",HB$16="",HB$18="",HB$19="",HB$20="",HB$21=""),"",SUM($C14:HB14))</f>
        <v>947.8399999999998</v>
      </c>
      <c r="HC81" s="114">
        <f>IF(OR(HC$13="",HC$17="",HC$14="",HC$15="",HC$16="",HC$18="",HC$19="",HC$20="",HC$21=""),"",SUM($C14:HC14))</f>
        <v>967.78999999999985</v>
      </c>
      <c r="HD81" s="114">
        <f>IF(OR(HD$13="",HD$17="",HD$14="",HD$15="",HD$16="",HD$18="",HD$19="",HD$20="",HD$21=""),"",SUM($C14:HD14))</f>
        <v>967.78999999999985</v>
      </c>
      <c r="HE81" s="114">
        <f>IF(OR(HE$13="",HE$17="",HE$14="",HE$15="",HE$16="",HE$18="",HE$19="",HE$20="",HE$21=""),"",SUM($C14:HE14))</f>
        <v>967.78999999999985</v>
      </c>
      <c r="HF81" s="114">
        <f>IF(OR(HF$13="",HF$17="",HF$14="",HF$15="",HF$16="",HF$18="",HF$19="",HF$20="",HF$21=""),"",SUM($C14:HF14))</f>
        <v>967.91999999999985</v>
      </c>
      <c r="HG81" s="114">
        <f>IF(OR(HG$13="",HG$17="",HG$14="",HG$15="",HG$16="",HG$18="",HG$19="",HG$20="",HG$21=""),"",SUM($C14:HG14))</f>
        <v>982.72249999999985</v>
      </c>
      <c r="HH81" s="114">
        <f>IF(OR(HH$13="",HH$17="",HH$14="",HH$15="",HH$16="",HH$18="",HH$19="",HH$20="",HH$21=""),"",SUM($C14:HH14))</f>
        <v>988.22138888888878</v>
      </c>
      <c r="HI81" s="114">
        <f>IF(OR(HI$13="",HI$17="",HI$14="",HI$15="",HI$16="",HI$18="",HI$19="",HI$20="",HI$21=""),"",SUM($C14:HI14))</f>
        <v>1004.3563888888888</v>
      </c>
      <c r="HJ81" s="114">
        <f>IF(OR(HJ$13="",HJ$17="",HJ$14="",HJ$15="",HJ$16="",HJ$18="",HJ$19="",HJ$20="",HJ$21=""),"",SUM($C14:HJ14))</f>
        <v>1004.3563888888888</v>
      </c>
      <c r="HK81" s="114">
        <f>IF(OR(HK$13="",HK$17="",HK$14="",HK$15="",HK$16="",HK$18="",HK$19="",HK$20="",HK$21=""),"",SUM($C14:HK14))</f>
        <v>1005.1730555555555</v>
      </c>
      <c r="HL81" s="114">
        <f>IF(OR(HL$13="",HL$17="",HL$14="",HL$15="",HL$16="",HL$18="",HL$19="",HL$20="",HL$21=""),"",SUM($C14:HL14))</f>
        <v>1025.3841666666667</v>
      </c>
      <c r="HM81" s="114">
        <f>IF(OR(HM$13="",HM$17="",HM$14="",HM$15="",HM$16="",HM$18="",HM$19="",HM$20="",HM$21=""),"",SUM($C14:HM14))</f>
        <v>1046.0511111111111</v>
      </c>
      <c r="HN81" s="114">
        <f>IF(OR(HN$13="",HN$17="",HN$14="",HN$15="",HN$16="",HN$18="",HN$19="",HN$20="",HN$21=""),"",SUM($C14:HN14))</f>
        <v>1053.9686111111112</v>
      </c>
      <c r="HO81" s="114">
        <f>IF(OR(HO$13="",HO$17="",HO$14="",HO$15="",HO$16="",HO$18="",HO$19="",HO$20="",HO$21=""),"",SUM($C14:HO14))</f>
        <v>1054.3330555555556</v>
      </c>
      <c r="HP81" s="114">
        <f>IF(OR(HP$13="",HP$17="",HP$14="",HP$15="",HP$16="",HP$18="",HP$19="",HP$20="",HP$21=""),"",SUM($C14:HP14))</f>
        <v>1065.6163888888889</v>
      </c>
      <c r="HQ81" s="114">
        <f>IF(OR(HQ$13="",HQ$17="",HQ$14="",HQ$15="",HQ$16="",HQ$18="",HQ$19="",HQ$20="",HQ$21=""),"",SUM($C14:HQ14))</f>
        <v>1065.6163888888889</v>
      </c>
      <c r="HR81" s="114">
        <f>IF(OR(HR$13="",HR$17="",HR$14="",HR$15="",HR$16="",HR$18="",HR$19="",HR$20="",HR$21=""),"",SUM($C14:HR14))</f>
        <v>1065.6163888888889</v>
      </c>
      <c r="HS81" s="114">
        <f>IF(OR(HS$13="",HS$17="",HS$14="",HS$15="",HS$16="",HS$18="",HS$19="",HS$20="",HS$21=""),"",SUM($C14:HS14))</f>
        <v>1065.6163888888889</v>
      </c>
      <c r="HT81" s="114">
        <f>IF(OR(HT$13="",HT$17="",HT$14="",HT$15="",HT$16="",HT$18="",HT$19="",HT$20="",HT$21=""),"",SUM($C14:HT14))</f>
        <v>1065.6163888888889</v>
      </c>
      <c r="HU81" s="114">
        <f>IF(OR(HU$13="",HU$17="",HU$14="",HU$15="",HU$16="",HU$18="",HU$19="",HU$20="",HU$21=""),"",SUM($C14:HU14))</f>
        <v>1065.6163888888889</v>
      </c>
      <c r="HV81" s="114">
        <f>IF(OR(HV$13="",HV$17="",HV$14="",HV$15="",HV$16="",HV$18="",HV$19="",HV$20="",HV$21=""),"",SUM($C14:HV14))</f>
        <v>1065.6163888888889</v>
      </c>
      <c r="HW81" s="114">
        <f>IF(OR(HW$13="",HW$17="",HW$14="",HW$15="",HW$16="",HW$18="",HW$19="",HW$20="",HW$21=""),"",SUM($C14:HW14))</f>
        <v>1067.1991666666665</v>
      </c>
      <c r="HX81" s="114">
        <f>IF(OR(HX$13="",HX$17="",HX$14="",HX$15="",HX$16="",HX$18="",HX$19="",HX$20="",HX$21=""),"",SUM($C14:HX14))</f>
        <v>1070.2586111111109</v>
      </c>
      <c r="HY81" s="114">
        <f>IF(OR(HY$13="",HY$17="",HY$14="",HY$15="",HY$16="",HY$18="",HY$19="",HY$20="",HY$21=""),"",SUM($C14:HY14))</f>
        <v>1076.7605555555554</v>
      </c>
      <c r="HZ81" s="114">
        <f>IF(OR(HZ$13="",HZ$17="",HZ$14="",HZ$15="",HZ$16="",HZ$18="",HZ$19="",HZ$20="",HZ$21=""),"",SUM($C14:HZ14))</f>
        <v>1084.4597222222221</v>
      </c>
      <c r="IA81" s="114">
        <f>IF(OR(IA$13="",IA$17="",IA$14="",IA$15="",IA$16="",IA$18="",IA$19="",IA$20="",IA$21=""),"",SUM($C14:IA14))</f>
        <v>1084.4597222222221</v>
      </c>
      <c r="IB81" s="114">
        <f>IF(OR(IB$13="",IB$17="",IB$14="",IB$15="",IB$16="",IB$18="",IB$19="",IB$20="",IB$21=""),"",SUM($C14:IB14))</f>
        <v>1084.4597222222221</v>
      </c>
      <c r="IC81" s="114">
        <f>IF(OR(IC$13="",IC$17="",IC$14="",IC$15="",IC$16="",IC$18="",IC$19="",IC$20="",IC$21=""),"",SUM($C14:IC14))</f>
        <v>1084.4597222222221</v>
      </c>
      <c r="ID81" s="114">
        <f>IF(OR(ID$13="",ID$17="",ID$14="",ID$15="",ID$16="",ID$18="",ID$19="",ID$20="",ID$21=""),"",SUM($C14:ID14))</f>
        <v>1084.4597222222221</v>
      </c>
      <c r="IE81" s="114">
        <f>IF(OR(IE$13="",IE$17="",IE$14="",IE$15="",IE$16="",IE$18="",IE$19="",IE$20="",IE$21=""),"",SUM($C14:IE14))</f>
        <v>1096.9797222222221</v>
      </c>
      <c r="IF81" s="114">
        <f>IF(OR(IF$13="",IF$17="",IF$14="",IF$15="",IF$16="",IF$18="",IF$19="",IF$20="",IF$21=""),"",SUM($C14:IF14))</f>
        <v>1096.9797222222221</v>
      </c>
      <c r="IG81" s="114">
        <f>IF(OR(IG$13="",IG$17="",IG$14="",IG$15="",IG$16="",IG$18="",IG$19="",IG$20="",IG$21=""),"",SUM($C14:IG14))</f>
        <v>1096.9797222222221</v>
      </c>
      <c r="IH81" s="114">
        <f>IF(OR(IH$13="",IH$17="",IH$14="",IH$15="",IH$16="",IH$18="",IH$19="",IH$20="",IH$21=""),"",SUM($C14:IH14))</f>
        <v>1099.5297222222221</v>
      </c>
      <c r="II81" s="114">
        <f>IF(OR(II$13="",II$17="",II$14="",II$15="",II$16="",II$18="",II$19="",II$20="",II$21=""),"",SUM($C14:II14))</f>
        <v>1099.5297222222221</v>
      </c>
      <c r="IJ81" s="114">
        <f>IF(OR(IJ$13="",IJ$17="",IJ$14="",IJ$15="",IJ$16="",IJ$18="",IJ$19="",IJ$20="",IJ$21=""),"",SUM($C14:IJ14))</f>
        <v>1099.5297222222221</v>
      </c>
      <c r="IK81" s="114">
        <f>IF(OR(IK$13="",IK$17="",IK$14="",IK$15="",IK$16="",IK$18="",IK$19="",IK$20="",IK$21=""),"",SUM($C14:IK14))</f>
        <v>1099.5297222222221</v>
      </c>
      <c r="IL81" s="114">
        <f>IF(OR(IL$13="",IL$17="",IL$14="",IL$15="",IL$16="",IL$18="",IL$19="",IL$20="",IL$21=""),"",SUM($C14:IL14))</f>
        <v>1099.5297222222221</v>
      </c>
      <c r="IM81" s="114">
        <f>IF(OR(IM$13="",IM$17="",IM$14="",IM$15="",IM$16="",IM$18="",IM$19="",IM$20="",IM$21=""),"",SUM($C14:IM14))</f>
        <v>1110.6508333333331</v>
      </c>
      <c r="IN81" s="114">
        <f>IF(OR(IN$13="",IN$17="",IN$14="",IN$15="",IN$16="",IN$18="",IN$19="",IN$20="",IN$21=""),"",SUM($C14:IN14))</f>
        <v>1130.2191666666665</v>
      </c>
      <c r="IO81" s="114">
        <f>IF(OR(IO$13="",IO$17="",IO$14="",IO$15="",IO$16="",IO$18="",IO$19="",IO$20="",IO$21=""),"",SUM($C14:IO14))</f>
        <v>1130.7519444444442</v>
      </c>
      <c r="IP81" s="114">
        <f>IF(OR(IP$13="",IP$17="",IP$14="",IP$15="",IP$16="",IP$18="",IP$19="",IP$20="",IP$21=""),"",SUM($C14:IP14))</f>
        <v>1132.2658333333331</v>
      </c>
      <c r="IQ81" s="114">
        <f>IF(OR(IQ$13="",IQ$17="",IQ$14="",IQ$15="",IQ$16="",IQ$18="",IQ$19="",IQ$20="",IQ$21=""),"",SUM($C14:IQ14))</f>
        <v>1132.2658333333331</v>
      </c>
      <c r="IR81" s="114">
        <f>IF(OR(IR$13="",IR$17="",IR$14="",IR$15="",IR$16="",IR$18="",IR$19="",IR$20="",IR$21=""),"",SUM($C14:IR14))</f>
        <v>1133.118611111111</v>
      </c>
      <c r="IS81" s="114">
        <f>IF(OR(IS$13="",IS$17="",IS$14="",IS$15="",IS$16="",IS$18="",IS$19="",IS$20="",IS$21=""),"",SUM($C14:IS14))</f>
        <v>1133.118611111111</v>
      </c>
      <c r="IT81" s="114">
        <f>IF(OR(IT$13="",IT$17="",IT$14="",IT$15="",IT$16="",IT$18="",IT$19="",IT$20="",IT$21=""),"",SUM($C14:IT14))</f>
        <v>1133.118611111111</v>
      </c>
      <c r="IU81" s="114">
        <f>IF(OR(IU$13="",IU$17="",IU$14="",IU$15="",IU$16="",IU$18="",IU$19="",IU$20="",IU$21=""),"",SUM($C14:IU14))</f>
        <v>1139.5991666666666</v>
      </c>
      <c r="IV81" s="114">
        <f>IF(OR(IV$13="",IV$17="",IV$14="",IV$15="",IV$16="",IV$18="",IV$19="",IV$20="",IV$21=""),"",SUM($C14:IV14))</f>
        <v>1139.5991666666666</v>
      </c>
      <c r="IW81" s="114">
        <f>IF(OR(IW$13="",IW$17="",IW$14="",IW$15="",IW$16="",IW$18="",IW$19="",IW$20="",IW$21=""),"",SUM($C14:IW14))</f>
        <v>1139.5991666666666</v>
      </c>
      <c r="IX81" s="114">
        <f>IF(OR(IX$13="",IX$17="",IX$14="",IX$15="",IX$16="",IX$18="",IX$19="",IX$20="",IX$21=""),"",SUM($C14:IX14))</f>
        <v>1141.0483333333334</v>
      </c>
      <c r="IY81" s="114">
        <f>IF(OR(IY$13="",IY$17="",IY$14="",IY$15="",IY$16="",IY$18="",IY$19="",IY$20="",IY$21=""),"",SUM($C14:IY14))</f>
        <v>1141.0483333333334</v>
      </c>
      <c r="IZ81" s="114">
        <f>IF(OR(IZ$13="",IZ$17="",IZ$14="",IZ$15="",IZ$16="",IZ$18="",IZ$19="",IZ$20="",IZ$21=""),"",SUM($C14:IZ14))</f>
        <v>1141.0483333333334</v>
      </c>
      <c r="JA81" s="114">
        <f>IF(OR(JA$13="",JA$17="",JA$14="",JA$15="",JA$16="",JA$18="",JA$19="",JA$20="",JA$21=""),"",SUM($C14:JA14))</f>
        <v>1150.748888888889</v>
      </c>
      <c r="JB81" s="114">
        <f>IF(OR(JB$13="",JB$17="",JB$14="",JB$15="",JB$16="",JB$18="",JB$19="",JB$20="",JB$21=""),"",SUM($C14:JB14))</f>
        <v>1151.901388888889</v>
      </c>
      <c r="JC81" s="114">
        <f>IF(OR(JC$13="",JC$17="",JC$14="",JC$15="",JC$16="",JC$18="",JC$19="",JC$20="",JC$21=""),"",SUM($C14:JC14))</f>
        <v>1151.901388888889</v>
      </c>
      <c r="JD81" s="114">
        <f>IF(OR(JD$13="",JD$17="",JD$14="",JD$15="",JD$16="",JD$18="",JD$19="",JD$20="",JD$21=""),"",SUM($C14:JD14))</f>
        <v>1155.8136111111112</v>
      </c>
      <c r="JE81" s="114">
        <f>IF(OR(JE$13="",JE$17="",JE$14="",JE$15="",JE$16="",JE$18="",JE$19="",JE$20="",JE$21=""),"",SUM($C14:JE14))</f>
        <v>1155.8136111111112</v>
      </c>
      <c r="JF81" s="114">
        <f>IF(OR(JF$13="",JF$17="",JF$14="",JF$15="",JF$16="",JF$18="",JF$19="",JF$20="",JF$21=""),"",SUM($C14:JF14))</f>
        <v>1155.8136111111112</v>
      </c>
      <c r="JG81" s="114">
        <f>IF(OR(JG$13="",JG$17="",JG$14="",JG$15="",JG$16="",JG$18="",JG$19="",JG$20="",JG$21=""),"",SUM($C14:JG14))</f>
        <v>1155.8136111111112</v>
      </c>
      <c r="JH81" s="114">
        <f>IF(OR(JH$13="",JH$17="",JH$14="",JH$15="",JH$16="",JH$18="",JH$19="",JH$20="",JH$21=""),"",SUM($C14:JH14))</f>
        <v>1165.7313888888889</v>
      </c>
      <c r="JI81" s="114">
        <f>IF(OR(JI$13="",JI$17="",JI$14="",JI$15="",JI$16="",JI$18="",JI$19="",JI$20="",JI$21=""),"",SUM($C14:JI14))</f>
        <v>1171.2119444444445</v>
      </c>
      <c r="JJ81" s="114">
        <f>IF(OR(JJ$13="",JJ$17="",JJ$14="",JJ$15="",JJ$16="",JJ$18="",JJ$19="",JJ$20="",JJ$21=""),"",SUM($C14:JJ14))</f>
        <v>1176.0030555555556</v>
      </c>
      <c r="JK81" s="114">
        <f>IF(OR(JK$13="",JK$17="",JK$14="",JK$15="",JK$16="",JK$18="",JK$19="",JK$20="",JK$21=""),"",SUM($C14:JK14))</f>
        <v>1178.8530555555556</v>
      </c>
      <c r="JL81" s="114">
        <f>IF(OR(JL$13="",JL$17="",JL$14="",JL$15="",JL$16="",JL$18="",JL$19="",JL$20="",JL$21=""),"",SUM($C14:JL14))</f>
        <v>1180.4733333333334</v>
      </c>
      <c r="JM81" s="114">
        <f>IF(OR(JM$13="",JM$17="",JM$14="",JM$15="",JM$16="",JM$18="",JM$19="",JM$20="",JM$21=""),"",SUM($C14:JM14))</f>
        <v>1180.4733333333334</v>
      </c>
      <c r="JN81" s="114">
        <f>IF(OR(JN$13="",JN$17="",JN$14="",JN$15="",JN$16="",JN$18="",JN$19="",JN$20="",JN$21=""),"",SUM($C14:JN14))</f>
        <v>1181.4733333333334</v>
      </c>
      <c r="JO81" s="114">
        <f>IF(OR(JO$13="",JO$17="",JO$14="",JO$15="",JO$16="",JO$18="",JO$19="",JO$20="",JO$21=""),"",SUM($C14:JO14))</f>
        <v>1182.4733333333334</v>
      </c>
      <c r="JP81" s="114">
        <f>IF(OR(JP$13="",JP$17="",JP$14="",JP$15="",JP$16="",JP$18="",JP$19="",JP$20="",JP$21=""),"",SUM($C14:JP14))</f>
        <v>1183.4733333333334</v>
      </c>
      <c r="JQ81" s="114">
        <f>IF(OR(JQ$13="",JQ$17="",JQ$14="",JQ$15="",JQ$16="",JQ$18="",JQ$19="",JQ$20="",JQ$21=""),"",SUM($C14:JQ14))</f>
        <v>1187.4733333333334</v>
      </c>
      <c r="JR81" s="114">
        <f>IF(OR(JR$13="",JR$17="",JR$14="",JR$15="",JR$16="",JR$18="",JR$19="",JR$20="",JR$21=""),"",SUM($C14:JR14))</f>
        <v>1210.5633333333333</v>
      </c>
      <c r="JS81" s="114">
        <f>IF(OR(JS$13="",JS$17="",JS$14="",JS$15="",JS$16="",JS$18="",JS$19="",JS$20="",JS$21=""),"",SUM($C14:JS14))</f>
        <v>1213.5633333333333</v>
      </c>
      <c r="JT81" s="114">
        <f>IF(OR(JT$13="",JT$17="",JT$14="",JT$15="",JT$16="",JT$18="",JT$19="",JT$20="",JT$21=""),"",SUM($C14:JT14))</f>
        <v>1213.5633333333333</v>
      </c>
      <c r="JU81" s="114">
        <f>IF(OR(JU$13="",JU$17="",JU$14="",JU$15="",JU$16="",JU$18="",JU$19="",JU$20="",JU$21=""),"",SUM($C14:JU14))</f>
        <v>1213.5633333333333</v>
      </c>
      <c r="JV81" s="114">
        <f>IF(OR(JV$13="",JV$17="",JV$14="",JV$15="",JV$16="",JV$18="",JV$19="",JV$20="",JV$21=""),"",SUM($C14:JV14))</f>
        <v>1214.5633333333333</v>
      </c>
      <c r="JW81" s="114">
        <f>IF(OR(JW$13="",JW$17="",JW$14="",JW$15="",JW$16="",JW$18="",JW$19="",JW$20="",JW$21=""),"",SUM($C14:JW14))</f>
        <v>1214.5633333333333</v>
      </c>
      <c r="JX81" s="114">
        <f>IF(OR(JX$13="",JX$17="",JX$14="",JX$15="",JX$16="",JX$18="",JX$19="",JX$20="",JX$21=""),"",SUM($C14:JX14))</f>
        <v>1214.5633333333333</v>
      </c>
      <c r="JY81" s="114">
        <f>IF(OR(JY$13="",JY$17="",JY$14="",JY$15="",JY$16="",JY$18="",JY$19="",JY$20="",JY$21=""),"",SUM($C14:JY14))</f>
        <v>1214.5633333333333</v>
      </c>
      <c r="JZ81" s="114">
        <f>IF(OR(JZ$13="",JZ$17="",JZ$14="",JZ$15="",JZ$16="",JZ$18="",JZ$19="",JZ$20="",JZ$21=""),"",SUM($C14:JZ14))</f>
        <v>1214.5633333333333</v>
      </c>
      <c r="KA81" s="114">
        <f>IF(OR(KA$13="",KA$17="",KA$14="",KA$15="",KA$16="",KA$18="",KA$19="",KA$20="",KA$21=""),"",SUM($C14:KA14))</f>
        <v>1214.5633333333333</v>
      </c>
      <c r="KB81" s="114">
        <f>IF(OR(KB$13="",KB$17="",KB$14="",KB$15="",KB$16="",KB$18="",KB$19="",KB$20="",KB$21=""),"",SUM($C14:KB14))</f>
        <v>1214.5633333333333</v>
      </c>
      <c r="KC81" s="114">
        <f>IF(OR(KC$13="",KC$17="",KC$14="",KC$15="",KC$16="",KC$18="",KC$19="",KC$20="",KC$21=""),"",SUM($C14:KC14))</f>
        <v>1238.5633333333333</v>
      </c>
      <c r="KD81" s="114">
        <f>IF(OR(KD$13="",KD$17="",KD$14="",KD$15="",KD$16="",KD$18="",KD$19="",KD$20="",KD$21=""),"",SUM($C14:KD14))</f>
        <v>1244.5633333333333</v>
      </c>
      <c r="KE81" s="114">
        <f>IF(OR(KE$13="",KE$17="",KE$14="",KE$15="",KE$16="",KE$18="",KE$19="",KE$20="",KE$21=""),"",SUM($C14:KE14))</f>
        <v>1244.5633333333333</v>
      </c>
      <c r="KF81" s="114">
        <f>IF(OR(KF$13="",KF$17="",KF$14="",KF$15="",KF$16="",KF$18="",KF$19="",KF$20="",KF$21=""),"",SUM($C14:KF14))</f>
        <v>1244.5633333333333</v>
      </c>
      <c r="KG81" s="114">
        <f>IF(OR(KG$13="",KG$17="",KG$14="",KG$15="",KG$16="",KG$18="",KG$19="",KG$20="",KG$21=""),"",SUM($C14:KG14))</f>
        <v>1244.5633333333333</v>
      </c>
      <c r="KH81" s="114">
        <f>IF(OR(KH$13="",KH$17="",KH$14="",KH$15="",KH$16="",KH$18="",KH$19="",KH$20="",KH$21=""),"",SUM($C14:KH14))</f>
        <v>1244.5633333333333</v>
      </c>
      <c r="KI81" s="114">
        <f>IF(OR(KI$13="",KI$17="",KI$14="",KI$15="",KI$16="",KI$18="",KI$19="",KI$20="",KI$21=""),"",SUM($C14:KI14))</f>
        <v>1244.5633333333333</v>
      </c>
      <c r="KJ81" s="114">
        <f>IF(OR(KJ$13="",KJ$17="",KJ$14="",KJ$15="",KJ$16="",KJ$18="",KJ$19="",KJ$20="",KJ$21=""),"",SUM($C14:KJ14))</f>
        <v>1244.5633333333333</v>
      </c>
      <c r="KK81" s="114">
        <f>IF(OR(KK$13="",KK$17="",KK$14="",KK$15="",KK$16="",KK$18="",KK$19="",KK$20="",KK$21=""),"",SUM($C14:KK14))</f>
        <v>1244.5633333333333</v>
      </c>
      <c r="KL81" s="114">
        <f>IF(OR(KL$13="",KL$17="",KL$14="",KL$15="",KL$16="",KL$18="",KL$19="",KL$20="",KL$21=""),"",SUM($C14:KL14))</f>
        <v>1244.5633333333333</v>
      </c>
      <c r="KM81" s="114">
        <f>IF(OR(KM$13="",KM$17="",KM$14="",KM$15="",KM$16="",KM$18="",KM$19="",KM$20="",KM$21=""),"",SUM($C14:KM14))</f>
        <v>1244.5633333333333</v>
      </c>
      <c r="KN81" s="114">
        <f>IF(OR(KN$13="",KN$17="",KN$14="",KN$15="",KN$16="",KN$18="",KN$19="",KN$20="",KN$21=""),"",SUM($C14:KN14))</f>
        <v>1244.5633333333333</v>
      </c>
      <c r="KO81" s="114">
        <f>IF(OR(KO$13="",KO$17="",KO$14="",KO$15="",KO$16="",KO$18="",KO$19="",KO$20="",KO$21=""),"",SUM($C14:KO14))</f>
        <v>1244.5633333333333</v>
      </c>
      <c r="KP81" s="114">
        <f>IF(OR(KP$13="",KP$17="",KP$14="",KP$15="",KP$16="",KP$18="",KP$19="",KP$20="",KP$21=""),"",SUM($C14:KP14))</f>
        <v>1244.5633333333333</v>
      </c>
      <c r="KQ81" s="114">
        <f>IF(OR(KQ$13="",KQ$17="",KQ$14="",KQ$15="",KQ$16="",KQ$18="",KQ$19="",KQ$20="",KQ$21=""),"",SUM($C14:KQ14))</f>
        <v>1244.5633333333333</v>
      </c>
      <c r="KR81" s="114">
        <f>IF(OR(KR$13="",KR$17="",KR$14="",KR$15="",KR$16="",KR$18="",KR$19="",KR$20="",KR$21=""),"",SUM($C14:KR14))</f>
        <v>1244.5633333333333</v>
      </c>
      <c r="KS81" s="114">
        <f>IF(OR(KS$13="",KS$17="",KS$14="",KS$15="",KS$16="",KS$18="",KS$19="",KS$20="",KS$21=""),"",SUM($C14:KS14))</f>
        <v>1244.5633333333333</v>
      </c>
      <c r="KT81" s="114">
        <f>IF(OR(KT$13="",KT$17="",KT$14="",KT$15="",KT$16="",KT$18="",KT$19="",KT$20="",KT$21=""),"",SUM($C14:KT14))</f>
        <v>1244.5633333333333</v>
      </c>
      <c r="KU81" s="114" t="str">
        <f>IF(OR(KU$13="",KU$17="",KU$14="",KU$15="",KU$16="",KU$18="",KU$19="",KU$20="",KU$21=""),"",SUM($C14:KU14))</f>
        <v/>
      </c>
      <c r="KV81" s="114" t="str">
        <f>IF(OR(KV$13="",KV$17="",KV$14="",KV$15="",KV$16="",KV$18="",KV$19="",KV$20="",KV$21=""),"",SUM($C14:KV14))</f>
        <v/>
      </c>
      <c r="KW81" s="114" t="str">
        <f>IF(OR(KW$13="",KW$17="",KW$14="",KW$15="",KW$16="",KW$18="",KW$19="",KW$20="",KW$21=""),"",SUM($C14:KW14))</f>
        <v/>
      </c>
      <c r="KX81" s="114" t="str">
        <f>IF(OR(KX$13="",KX$17="",KX$14="",KX$15="",KX$16="",KX$18="",KX$19="",KX$20="",KX$21=""),"",SUM($C14:KX14))</f>
        <v/>
      </c>
      <c r="KY81" s="114" t="str">
        <f>IF(OR(KY$13="",KY$17="",KY$14="",KY$15="",KY$16="",KY$18="",KY$19="",KY$20="",KY$21=""),"",SUM($C14:KY14))</f>
        <v/>
      </c>
      <c r="KZ81" s="114" t="str">
        <f>IF(OR(KZ$13="",KZ$17="",KZ$14="",KZ$15="",KZ$16="",KZ$18="",KZ$19="",KZ$20="",KZ$21=""),"",SUM($C14:KZ14))</f>
        <v/>
      </c>
      <c r="LA81" s="114" t="str">
        <f>IF(OR(LA$13="",LA$17="",LA$14="",LA$15="",LA$16="",LA$18="",LA$19="",LA$20="",LA$21=""),"",SUM($C14:LA14))</f>
        <v/>
      </c>
      <c r="LB81" s="114" t="str">
        <f>IF(OR(LB$13="",LB$17="",LB$14="",LB$15="",LB$16="",LB$18="",LB$19="",LB$20="",LB$21=""),"",SUM($C14:LB14))</f>
        <v/>
      </c>
      <c r="LC81" s="114" t="str">
        <f>IF(OR(LC$13="",LC$17="",LC$14="",LC$15="",LC$16="",LC$18="",LC$19="",LC$20="",LC$21=""),"",SUM($C14:LC14))</f>
        <v/>
      </c>
      <c r="LD81" s="114" t="str">
        <f>IF(OR(LD$13="",LD$17="",LD$14="",LD$15="",LD$16="",LD$18="",LD$19="",LD$20="",LD$21=""),"",SUM($C14:LD14))</f>
        <v/>
      </c>
      <c r="LE81" s="114" t="str">
        <f>IF(OR(LE$13="",LE$17="",LE$14="",LE$15="",LE$16="",LE$18="",LE$19="",LE$20="",LE$21=""),"",SUM($C14:LE14))</f>
        <v/>
      </c>
      <c r="LF81" s="114" t="str">
        <f>IF(OR(LF$13="",LF$17="",LF$14="",LF$15="",LF$16="",LF$18="",LF$19="",LF$20="",LF$21=""),"",SUM($C14:LF14))</f>
        <v/>
      </c>
      <c r="LG81" s="114" t="str">
        <f>IF(OR(LG$13="",LG$17="",LG$14="",LG$15="",LG$16="",LG$18="",LG$19="",LG$20="",LG$21=""),"",SUM($C14:LG14))</f>
        <v/>
      </c>
      <c r="LH81" s="114" t="str">
        <f>IF(OR(LH$13="",LH$17="",LH$14="",LH$15="",LH$16="",LH$18="",LH$19="",LH$20="",LH$21=""),"",SUM($C14:LH14))</f>
        <v/>
      </c>
      <c r="LI81" s="114" t="str">
        <f>IF(OR(LI$13="",LI$17="",LI$14="",LI$15="",LI$16="",LI$18="",LI$19="",LI$20="",LI$21=""),"",SUM($C14:LI14))</f>
        <v/>
      </c>
      <c r="LJ81" s="114" t="str">
        <f>IF(OR(LJ$13="",LJ$17="",LJ$14="",LJ$15="",LJ$16="",LJ$18="",LJ$19="",LJ$20="",LJ$21=""),"",SUM($C14:LJ14))</f>
        <v/>
      </c>
      <c r="LK81" s="114" t="str">
        <f>IF(OR(LK$13="",LK$17="",LK$14="",LK$15="",LK$16="",LK$18="",LK$19="",LK$20="",LK$21=""),"",SUM($C14:LK14))</f>
        <v/>
      </c>
      <c r="LL81" s="114" t="str">
        <f>IF(OR(LL$13="",LL$17="",LL$14="",LL$15="",LL$16="",LL$18="",LL$19="",LL$20="",LL$21=""),"",SUM($C14:LL14))</f>
        <v/>
      </c>
      <c r="LM81" s="114" t="str">
        <f>IF(OR(LM$13="",LM$17="",LM$14="",LM$15="",LM$16="",LM$18="",LM$19="",LM$20="",LM$21=""),"",SUM($C14:LM14))</f>
        <v/>
      </c>
      <c r="LN81" s="114" t="str">
        <f>IF(OR(LN$13="",LN$17="",LN$14="",LN$15="",LN$16="",LN$18="",LN$19="",LN$20="",LN$21=""),"",SUM($C14:LN14))</f>
        <v/>
      </c>
      <c r="LO81" s="114" t="str">
        <f>IF(OR(LO$13="",LO$17="",LO$14="",LO$15="",LO$16="",LO$18="",LO$19="",LO$20="",LO$21=""),"",SUM($C14:LO14))</f>
        <v/>
      </c>
      <c r="LP81" s="114" t="str">
        <f>IF(OR(LP$13="",LP$17="",LP$14="",LP$15="",LP$16="",LP$18="",LP$19="",LP$20="",LP$21=""),"",SUM($C14:LP14))</f>
        <v/>
      </c>
      <c r="LQ81" s="114" t="str">
        <f>IF(OR(LQ$13="",LQ$17="",LQ$14="",LQ$15="",LQ$16="",LQ$18="",LQ$19="",LQ$20="",LQ$21=""),"",SUM($C14:LQ14))</f>
        <v/>
      </c>
      <c r="LR81" s="114" t="str">
        <f>IF(OR(LR$13="",LR$17="",LR$14="",LR$15="",LR$16="",LR$18="",LR$19="",LR$20="",LR$21=""),"",SUM($C14:LR14))</f>
        <v/>
      </c>
      <c r="LS81" s="114" t="str">
        <f>IF(OR(LS$13="",LS$17="",LS$14="",LS$15="",LS$16="",LS$18="",LS$19="",LS$20="",LS$21=""),"",SUM($C14:LS14))</f>
        <v/>
      </c>
      <c r="LT81" s="114" t="str">
        <f>IF(OR(LT$13="",LT$17="",LT$14="",LT$15="",LT$16="",LT$18="",LT$19="",LT$20="",LT$21=""),"",SUM($C14:LT14))</f>
        <v/>
      </c>
      <c r="LU81" s="114" t="str">
        <f>IF(OR(LU$13="",LU$17="",LU$14="",LU$15="",LU$16="",LU$18="",LU$19="",LU$20="",LU$21=""),"",SUM($C14:LU14))</f>
        <v/>
      </c>
      <c r="LV81" s="114" t="str">
        <f>IF(OR(LV$13="",LV$17="",LV$14="",LV$15="",LV$16="",LV$18="",LV$19="",LV$20="",LV$21=""),"",SUM($C14:LV14))</f>
        <v/>
      </c>
      <c r="LW81" s="114" t="str">
        <f>IF(OR(LW$13="",LW$17="",LW$14="",LW$15="",LW$16="",LW$18="",LW$19="",LW$20="",LW$21=""),"",SUM($C14:LW14))</f>
        <v/>
      </c>
      <c r="LX81" s="114" t="str">
        <f>IF(OR(LX$13="",LX$17="",LX$14="",LX$15="",LX$16="",LX$18="",LX$19="",LX$20="",LX$21=""),"",SUM($C14:LX14))</f>
        <v/>
      </c>
      <c r="LY81" s="114" t="str">
        <f>IF(OR(LY$13="",LY$17="",LY$14="",LY$15="",LY$16="",LY$18="",LY$19="",LY$20="",LY$21=""),"",SUM($C14:LY14))</f>
        <v/>
      </c>
      <c r="LZ81" s="114" t="str">
        <f>IF(OR(LZ$13="",LZ$17="",LZ$14="",LZ$15="",LZ$16="",LZ$18="",LZ$19="",LZ$20="",LZ$21=""),"",SUM($C14:LZ14))</f>
        <v/>
      </c>
      <c r="MA81" s="114" t="str">
        <f>IF(OR(MA$13="",MA$17="",MA$14="",MA$15="",MA$16="",MA$18="",MA$19="",MA$20="",MA$21=""),"",SUM($C14:MA14))</f>
        <v/>
      </c>
      <c r="MB81" s="114" t="str">
        <f>IF(OR(MB$13="",MB$17="",MB$14="",MB$15="",MB$16="",MB$18="",MB$19="",MB$20="",MB$21=""),"",SUM($C14:MB14))</f>
        <v/>
      </c>
      <c r="MC81" s="114" t="str">
        <f>IF(OR(MC$13="",MC$17="",MC$14="",MC$15="",MC$16="",MC$18="",MC$19="",MC$20="",MC$21=""),"",SUM($C14:MC14))</f>
        <v/>
      </c>
      <c r="MD81" s="114" t="str">
        <f>IF(OR(MD$13="",MD$17="",MD$14="",MD$15="",MD$16="",MD$18="",MD$19="",MD$20="",MD$21=""),"",SUM($C14:MD14))</f>
        <v/>
      </c>
      <c r="ME81" s="114" t="str">
        <f>IF(OR(ME$13="",ME$17="",ME$14="",ME$15="",ME$16="",ME$18="",ME$19="",ME$20="",ME$21=""),"",SUM($C14:ME14))</f>
        <v/>
      </c>
      <c r="MF81" s="114" t="str">
        <f>IF(OR(MF$13="",MF$17="",MF$14="",MF$15="",MF$16="",MF$18="",MF$19="",MF$20="",MF$21=""),"",SUM($C14:MF14))</f>
        <v/>
      </c>
      <c r="MG81" s="114" t="str">
        <f>IF(OR(MG$13="",MG$17="",MG$14="",MG$15="",MG$16="",MG$18="",MG$19="",MG$20="",MG$21=""),"",SUM($C14:MG14))</f>
        <v/>
      </c>
      <c r="MH81" s="114" t="str">
        <f>IF(OR(MH$13="",MH$17="",MH$14="",MH$15="",MH$16="",MH$18="",MH$19="",MH$20="",MH$21=""),"",SUM($C14:MH14))</f>
        <v/>
      </c>
      <c r="MI81" s="114" t="str">
        <f>IF(OR(MI$13="",MI$17="",MI$14="",MI$15="",MI$16="",MI$18="",MI$19="",MI$20="",MI$21=""),"",SUM($C14:MI14))</f>
        <v/>
      </c>
      <c r="MJ81" s="114" t="str">
        <f>IF(OR(MJ$13="",MJ$17="",MJ$14="",MJ$15="",MJ$16="",MJ$18="",MJ$19="",MJ$20="",MJ$21=""),"",SUM($C14:MJ14))</f>
        <v/>
      </c>
      <c r="MK81" s="114" t="str">
        <f>IF(OR(MK$13="",MK$17="",MK$14="",MK$15="",MK$16="",MK$18="",MK$19="",MK$20="",MK$21=""),"",SUM($C14:MK14))</f>
        <v/>
      </c>
      <c r="ML81" s="114" t="str">
        <f>IF(OR(ML$13="",ML$17="",ML$14="",ML$15="",ML$16="",ML$18="",ML$19="",ML$20="",ML$21=""),"",SUM($C14:ML14))</f>
        <v/>
      </c>
      <c r="MM81" s="114" t="str">
        <f>IF(OR(MM$13="",MM$17="",MM$14="",MM$15="",MM$16="",MM$18="",MM$19="",MM$20="",MM$21=""),"",SUM($C14:MM14))</f>
        <v/>
      </c>
      <c r="MN81" s="114" t="str">
        <f>IF(OR(MN$13="",MN$17="",MN$14="",MN$15="",MN$16="",MN$18="",MN$19="",MN$20="",MN$21=""),"",SUM($C14:MN14))</f>
        <v/>
      </c>
      <c r="MO81" s="114" t="str">
        <f>IF(OR(MO$13="",MO$17="",MO$14="",MO$15="",MO$16="",MO$18="",MO$19="",MO$20="",MO$21=""),"",SUM($C14:MO14))</f>
        <v/>
      </c>
      <c r="MP81" s="114" t="str">
        <f>IF(OR(MP$13="",MP$17="",MP$14="",MP$15="",MP$16="",MP$18="",MP$19="",MP$20="",MP$21=""),"",SUM($C14:MP14))</f>
        <v/>
      </c>
      <c r="MQ81" s="114" t="str">
        <f>IF(OR(MQ$13="",MQ$17="",MQ$14="",MQ$15="",MQ$16="",MQ$18="",MQ$19="",MQ$20="",MQ$21=""),"",SUM($C14:MQ14))</f>
        <v/>
      </c>
      <c r="MR81" s="114" t="str">
        <f>IF(OR(MR$13="",MR$17="",MR$14="",MR$15="",MR$16="",MR$18="",MR$19="",MR$20="",MR$21=""),"",SUM($C14:MR14))</f>
        <v/>
      </c>
      <c r="MS81" s="114" t="str">
        <f>IF(OR(MS$13="",MS$17="",MS$14="",MS$15="",MS$16="",MS$18="",MS$19="",MS$20="",MS$21=""),"",SUM($C14:MS14))</f>
        <v/>
      </c>
      <c r="MT81" s="114" t="str">
        <f>IF(OR(MT$13="",MT$17="",MT$14="",MT$15="",MT$16="",MT$18="",MT$19="",MT$20="",MT$21=""),"",SUM($C14:MT14))</f>
        <v/>
      </c>
      <c r="MU81" s="114" t="str">
        <f>IF(OR(MU$13="",MU$17="",MU$14="",MU$15="",MU$16="",MU$18="",MU$19="",MU$20="",MU$21=""),"",SUM($C14:MU14))</f>
        <v/>
      </c>
      <c r="MV81" s="114" t="str">
        <f>IF(OR(MV$13="",MV$17="",MV$14="",MV$15="",MV$16="",MV$18="",MV$19="",MV$20="",MV$21=""),"",SUM($C14:MV14))</f>
        <v/>
      </c>
      <c r="MW81" s="114" t="str">
        <f>IF(OR(MW$13="",MW$17="",MW$14="",MW$15="",MW$16="",MW$18="",MW$19="",MW$20="",MW$21=""),"",SUM($C14:MW14))</f>
        <v/>
      </c>
      <c r="MX81" s="114" t="str">
        <f>IF(OR(MX$13="",MX$17="",MX$14="",MX$15="",MX$16="",MX$18="",MX$19="",MX$20="",MX$21=""),"",SUM($C14:MX14))</f>
        <v/>
      </c>
      <c r="MY81" s="114" t="str">
        <f>IF(OR(MY$13="",MY$17="",MY$14="",MY$15="",MY$16="",MY$18="",MY$19="",MY$20="",MY$21=""),"",SUM($C14:MY14))</f>
        <v/>
      </c>
      <c r="MZ81" s="114" t="str">
        <f>IF(OR(MZ$13="",MZ$17="",MZ$14="",MZ$15="",MZ$16="",MZ$18="",MZ$19="",MZ$20="",MZ$21=""),"",SUM($C14:MZ14))</f>
        <v/>
      </c>
      <c r="NA81" s="114" t="str">
        <f>IF(OR(NA$13="",NA$17="",NA$14="",NA$15="",NA$16="",NA$18="",NA$19="",NA$20="",NA$21=""),"",SUM($C14:NA14))</f>
        <v/>
      </c>
      <c r="NB81" s="114" t="str">
        <f>IF(OR(NB$13="",NB$17="",NB$14="",NB$15="",NB$16="",NB$18="",NB$19="",NB$20="",NB$21=""),"",SUM($C14:NB14))</f>
        <v/>
      </c>
      <c r="NC81" s="114" t="str">
        <f>IF(OR(NC$13="",NC$17="",NC$14="",NC$15="",NC$16="",NC$18="",NC$19="",NC$20="",NC$21=""),"",SUM($C14:NC14))</f>
        <v/>
      </c>
      <c r="ND81" s="114" t="str">
        <f>IF(OR(ND$13="",ND$17="",ND$14="",ND$15="",ND$16="",ND$18="",ND$19="",ND$20="",ND$21=""),"",SUM($C14:ND14))</f>
        <v/>
      </c>
      <c r="NE81" s="114" t="str">
        <f>IF(OR(NE$13="",NE$17="",NE$14="",NE$15="",NE$16="",NE$18="",NE$19="",NE$20="",NE$21=""),"",SUM($C14:NE14))</f>
        <v/>
      </c>
      <c r="NF81" s="114" t="str">
        <f>IF(OR(NF$13="",NF$17="",NF$14="",NF$15="",NF$16="",NF$18="",NF$19="",NF$20="",NF$21=""),"",SUM($C14:NF14))</f>
        <v/>
      </c>
      <c r="NG81" s="114" t="str">
        <f>IF(OR(NG$13="",NG$17="",NG$14="",NG$15="",NG$16="",NG$18="",NG$19="",NG$20="",NG$21=""),"",SUM($C14:NG14))</f>
        <v/>
      </c>
      <c r="NH81" s="114" t="str">
        <f>IF(OR(NH$13="",NH$17="",NH$14="",NH$15="",NH$16="",NH$18="",NH$19="",NH$20="",NH$21=""),"",SUM($C14:NH14))</f>
        <v/>
      </c>
      <c r="NI81" s="114" t="str">
        <f>IF(OR(NI$13="",NI$17="",NI$14="",NI$15="",NI$16="",NI$18="",NI$19="",NI$20="",NI$21=""),"",SUM($C14:NI14))</f>
        <v/>
      </c>
      <c r="NJ81" s="114" t="str">
        <f>IF(OR(NJ$13="",NJ$17="",NJ$14="",NJ$15="",NJ$16="",NJ$18="",NJ$19="",NJ$20="",NJ$21=""),"",SUM($C14:NJ14))</f>
        <v/>
      </c>
      <c r="NK81" s="114" t="str">
        <f>IF(OR(NK$13="",NK$17="",NK$14="",NK$15="",NK$16="",NK$18="",NK$19="",NK$20="",NK$21=""),"",SUM($C14:NK14))</f>
        <v/>
      </c>
      <c r="NL81" s="114" t="str">
        <f>IF(OR(NL$13="",NL$17="",NL$14="",NL$15="",NL$16="",NL$18="",NL$19="",NL$20="",NL$21=""),"",SUM($C14:NL14))</f>
        <v/>
      </c>
      <c r="NM81" s="114" t="str">
        <f>IF(OR(NM$13="",NM$17="",NM$14="",NM$15="",NM$16="",NM$18="",NM$19="",NM$20="",NM$21=""),"",SUM($C14:NM14))</f>
        <v/>
      </c>
      <c r="NN81" s="114" t="str">
        <f>IF(OR(NN$13="",NN$17="",NN$14="",NN$15="",NN$16="",NN$18="",NN$19="",NN$20="",NN$21=""),"",SUM($C14:NN14))</f>
        <v/>
      </c>
      <c r="NO81" s="114" t="str">
        <f>IF(OR(NO$13="",NO$17="",NO$14="",NO$15="",NO$16="",NO$18="",NO$19="",NO$20="",NO$21=""),"",SUM($C14:NO14))</f>
        <v/>
      </c>
      <c r="NP81" s="114" t="str">
        <f>IF(OR(NP$13="",NP$17="",NP$14="",NP$15="",NP$16="",NP$18="",NP$19="",NP$20="",NP$21=""),"",SUM($C14:NP14))</f>
        <v/>
      </c>
      <c r="NQ81" s="114" t="str">
        <f>IF(OR(NQ$13="",NQ$17="",NQ$14="",NQ$15="",NQ$16="",NQ$18="",NQ$19="",NQ$20="",NQ$21=""),"",SUM($C14:NQ14))</f>
        <v/>
      </c>
      <c r="NR81" s="114" t="str">
        <f>IF(OR(NR$13="",NR$17="",NR$14="",NR$15="",NR$16="",NR$18="",NR$19="",NR$20="",NR$21=""),"",SUM($C14:NR14))</f>
        <v/>
      </c>
      <c r="NS81" s="114" t="str">
        <f>IF(OR(NS$13="",NS$17="",NS$14="",NS$15="",NS$16="",NS$18="",NS$19="",NS$20="",NS$21=""),"",SUM($C14:NS14))</f>
        <v/>
      </c>
      <c r="NT81" s="114" t="str">
        <f>IF(OR(NT$13="",NT$17="",NT$14="",NT$15="",NT$16="",NT$18="",NT$19="",NT$20="",NT$21=""),"",SUM($C14:NT14))</f>
        <v/>
      </c>
      <c r="NU81" s="114" t="str">
        <f>IF(OR(NU$13="",NU$17="",NU$14="",NU$15="",NU$16="",NU$18="",NU$19="",NU$20="",NU$21=""),"",SUM($C14:NU14))</f>
        <v/>
      </c>
      <c r="NV81" s="114" t="str">
        <f>IF(OR(NV$13="",NV$17="",NV$14="",NV$15="",NV$16="",NV$18="",NV$19="",NV$20="",NV$21=""),"",SUM($C14:NV14))</f>
        <v/>
      </c>
      <c r="NW81" s="114" t="str">
        <f>IF(OR(NW$13="",NW$17="",NW$14="",NW$15="",NW$16="",NW$18="",NW$19="",NW$20="",NW$21=""),"",SUM($C14:NW14))</f>
        <v/>
      </c>
      <c r="NX81" s="114" t="str">
        <f>IF(OR(NX$13="",NX$17="",NX$14="",NX$15="",NX$16="",NX$18="",NX$19="",NX$20="",NX$21=""),"",SUM($C14:NX14))</f>
        <v/>
      </c>
      <c r="NY81" s="114" t="str">
        <f>IF(OR(NY$13="",NY$17="",NY$14="",NY$15="",NY$16="",NY$18="",NY$19="",NY$20="",NY$21=""),"",SUM($C14:NY14))</f>
        <v/>
      </c>
      <c r="NZ81" s="114" t="str">
        <f>IF(OR(NZ$13="",NZ$17="",NZ$14="",NZ$15="",NZ$16="",NZ$18="",NZ$19="",NZ$20="",NZ$21=""),"",SUM($C14:NZ14))</f>
        <v/>
      </c>
      <c r="OA81" s="114" t="str">
        <f>IF(OR(OA$13="",OA$17="",OA$14="",OA$15="",OA$16="",OA$18="",OA$19="",OA$20="",OA$21=""),"",SUM($C14:OA14))</f>
        <v/>
      </c>
      <c r="OB81" s="114" t="str">
        <f>IF(OR(OB$13="",OB$17="",OB$14="",OB$15="",OB$16="",OB$18="",OB$19="",OB$20="",OB$21=""),"",SUM($C14:OB14))</f>
        <v/>
      </c>
      <c r="OC81" s="114" t="str">
        <f>IF(OR(OC$13="",OC$17="",OC$14="",OC$15="",OC$16="",OC$18="",OC$19="",OC$20="",OC$21=""),"",SUM($C14:OC14))</f>
        <v/>
      </c>
      <c r="OD81" s="114" t="str">
        <f>IF(OR(OD$13="",OD$17="",OD$14="",OD$15="",OD$16="",OD$18="",OD$19="",OD$20="",OD$21=""),"",SUM($C14:OD14))</f>
        <v/>
      </c>
      <c r="OE81" s="114" t="str">
        <f>IF(OR(OE$13="",OE$17="",OE$14="",OE$15="",OE$16="",OE$18="",OE$19="",OE$20="",OE$21=""),"",SUM($C14:OE14))</f>
        <v/>
      </c>
      <c r="OF81" s="114" t="str">
        <f>IF(OR(OF$13="",OF$17="",OF$14="",OF$15="",OF$16="",OF$18="",OF$19="",OF$20="",OF$21=""),"",SUM($C14:OF14))</f>
        <v/>
      </c>
      <c r="OG81" s="114" t="str">
        <f>IF(OR(OG$13="",OG$17="",OG$14="",OG$15="",OG$16="",OG$18="",OG$19="",OG$20="",OG$21=""),"",SUM($C14:OG14))</f>
        <v/>
      </c>
      <c r="OH81" s="114" t="str">
        <f>IF(OR(OH$13="",OH$17="",OH$14="",OH$15="",OH$16="",OH$18="",OH$19="",OH$20="",OH$21=""),"",SUM($C14:OH14))</f>
        <v/>
      </c>
      <c r="OI81" s="114" t="str">
        <f>IF(OR(OI$13="",OI$17="",OI$14="",OI$15="",OI$16="",OI$18="",OI$19="",OI$20="",OI$21=""),"",SUM($C14:OI14))</f>
        <v/>
      </c>
      <c r="OJ81" s="114" t="str">
        <f>IF(OR(OJ$13="",OJ$17="",OJ$14="",OJ$15="",OJ$16="",OJ$18="",OJ$19="",OJ$20="",OJ$21=""),"",SUM($C14:OJ14))</f>
        <v/>
      </c>
      <c r="OK81" s="114" t="str">
        <f>IF(OR(OK$13="",OK$17="",OK$14="",OK$15="",OK$16="",OK$18="",OK$19="",OK$20="",OK$21=""),"",SUM($C14:OK14))</f>
        <v/>
      </c>
      <c r="OL81" s="114" t="str">
        <f>IF(OR(OL$13="",OL$17="",OL$14="",OL$15="",OL$16="",OL$18="",OL$19="",OL$20="",OL$21=""),"",SUM($C14:OL14))</f>
        <v/>
      </c>
      <c r="OM81" s="114" t="str">
        <f>IF(OR(OM$13="",OM$17="",OM$14="",OM$15="",OM$16="",OM$18="",OM$19="",OM$20="",OM$21=""),"",SUM($C14:OM14))</f>
        <v/>
      </c>
      <c r="ON81" s="114" t="str">
        <f>IF(OR(ON$13="",ON$17="",ON$14="",ON$15="",ON$16="",ON$18="",ON$19="",ON$20="",ON$21=""),"",SUM($C14:ON14))</f>
        <v/>
      </c>
      <c r="OO81" s="114" t="str">
        <f>IF(OR(OO$13="",OO$17="",OO$14="",OO$15="",OO$16="",OO$18="",OO$19="",OO$20="",OO$21=""),"",SUM($C14:OO14))</f>
        <v/>
      </c>
      <c r="OP81" s="114" t="str">
        <f>IF(OR(OP$13="",OP$17="",OP$14="",OP$15="",OP$16="",OP$18="",OP$19="",OP$20="",OP$21=""),"",SUM($C14:OP14))</f>
        <v/>
      </c>
      <c r="OQ81" s="114" t="str">
        <f>IF(OR(OQ$13="",OQ$17="",OQ$14="",OQ$15="",OQ$16="",OQ$18="",OQ$19="",OQ$20="",OQ$21=""),"",SUM($C14:OQ14))</f>
        <v/>
      </c>
      <c r="OR81" s="114" t="str">
        <f>IF(OR(OR$13="",OR$17="",OR$14="",OR$15="",OR$16="",OR$18="",OR$19="",OR$20="",OR$21=""),"",SUM($C14:OR14))</f>
        <v/>
      </c>
      <c r="OS81" s="114" t="str">
        <f>IF(OR(OS$13="",OS$17="",OS$14="",OS$15="",OS$16="",OS$18="",OS$19="",OS$20="",OS$21=""),"",SUM($C14:OS14))</f>
        <v/>
      </c>
      <c r="OT81" s="114" t="str">
        <f>IF(OR(OT$13="",OT$17="",OT$14="",OT$15="",OT$16="",OT$18="",OT$19="",OT$20="",OT$21=""),"",SUM($C14:OT14))</f>
        <v/>
      </c>
      <c r="OU81" s="114" t="str">
        <f>IF(OR(OU$13="",OU$17="",OU$14="",OU$15="",OU$16="",OU$18="",OU$19="",OU$20="",OU$21=""),"",SUM($C14:OU14))</f>
        <v/>
      </c>
      <c r="OV81" s="114" t="str">
        <f>IF(OR(OV$13="",OV$17="",OV$14="",OV$15="",OV$16="",OV$18="",OV$19="",OV$20="",OV$21=""),"",SUM($C14:OV14))</f>
        <v/>
      </c>
      <c r="OW81" s="114" t="str">
        <f>IF(OR(OW$13="",OW$17="",OW$14="",OW$15="",OW$16="",OW$18="",OW$19="",OW$20="",OW$21=""),"",SUM($C14:OW14))</f>
        <v/>
      </c>
      <c r="OX81" s="114" t="str">
        <f>IF(OR(OX$13="",OX$17="",OX$14="",OX$15="",OX$16="",OX$18="",OX$19="",OX$20="",OX$21=""),"",SUM($C14:OX14))</f>
        <v/>
      </c>
      <c r="OY81" s="114" t="str">
        <f>IF(OR(OY$13="",OY$17="",OY$14="",OY$15="",OY$16="",OY$18="",OY$19="",OY$20="",OY$21=""),"",SUM($C14:OY14))</f>
        <v/>
      </c>
      <c r="OZ81" s="114" t="str">
        <f>IF(OR(OZ$13="",OZ$17="",OZ$14="",OZ$15="",OZ$16="",OZ$18="",OZ$19="",OZ$20="",OZ$21=""),"",SUM($C14:OZ14))</f>
        <v/>
      </c>
      <c r="PA81" s="114" t="str">
        <f>IF(OR(PA$13="",PA$17="",PA$14="",PA$15="",PA$16="",PA$18="",PA$19="",PA$20="",PA$21=""),"",SUM($C14:PA14))</f>
        <v/>
      </c>
      <c r="PB81" s="114" t="str">
        <f>IF(OR(PB$13="",PB$17="",PB$14="",PB$15="",PB$16="",PB$18="",PB$19="",PB$20="",PB$21=""),"",SUM($C14:PB14))</f>
        <v/>
      </c>
      <c r="PC81" s="114" t="str">
        <f>IF(OR(PC$13="",PC$17="",PC$14="",PC$15="",PC$16="",PC$18="",PC$19="",PC$20="",PC$21=""),"",SUM($C14:PC14))</f>
        <v/>
      </c>
      <c r="PD81" s="114" t="str">
        <f>IF(OR(PD$13="",PD$17="",PD$14="",PD$15="",PD$16="",PD$18="",PD$19="",PD$20="",PD$21=""),"",SUM($C14:PD14))</f>
        <v/>
      </c>
      <c r="PE81" s="114" t="str">
        <f>IF(OR(PE$13="",PE$17="",PE$14="",PE$15="",PE$16="",PE$18="",PE$19="",PE$20="",PE$21=""),"",SUM($C14:PE14))</f>
        <v/>
      </c>
      <c r="PF81" s="114" t="str">
        <f>IF(OR(PF$13="",PF$17="",PF$14="",PF$15="",PF$16="",PF$18="",PF$19="",PF$20="",PF$21=""),"",SUM($C14:PF14))</f>
        <v/>
      </c>
      <c r="PG81" s="114" t="str">
        <f>IF(OR(PG$13="",PG$17="",PG$14="",PG$15="",PG$16="",PG$18="",PG$19="",PG$20="",PG$21=""),"",SUM($C14:PG14))</f>
        <v/>
      </c>
      <c r="PH81" s="114" t="str">
        <f>IF(OR(PH$13="",PH$17="",PH$14="",PH$15="",PH$16="",PH$18="",PH$19="",PH$20="",PH$21=""),"",SUM($C14:PH14))</f>
        <v/>
      </c>
      <c r="PI81" s="114" t="str">
        <f>IF(OR(PI$13="",PI$17="",PI$14="",PI$15="",PI$16="",PI$18="",PI$19="",PI$20="",PI$21=""),"",SUM($C14:PI14))</f>
        <v/>
      </c>
      <c r="PJ81" s="114" t="str">
        <f>IF(OR(PJ$13="",PJ$17="",PJ$14="",PJ$15="",PJ$16="",PJ$18="",PJ$19="",PJ$20="",PJ$21=""),"",SUM($C14:PJ14))</f>
        <v/>
      </c>
      <c r="PK81" s="114" t="str">
        <f>IF(OR(PK$13="",PK$17="",PK$14="",PK$15="",PK$16="",PK$18="",PK$19="",PK$20="",PK$21=""),"",SUM($C14:PK14))</f>
        <v/>
      </c>
      <c r="PL81" s="114" t="str">
        <f>IF(OR(PL$13="",PL$17="",PL$14="",PL$15="",PL$16="",PL$18="",PL$19="",PL$20="",PL$21=""),"",SUM($C14:PL14))</f>
        <v/>
      </c>
      <c r="PM81" s="114" t="str">
        <f>IF(OR(PM$13="",PM$17="",PM$14="",PM$15="",PM$16="",PM$18="",PM$19="",PM$20="",PM$21=""),"",SUM($C14:PM14))</f>
        <v/>
      </c>
      <c r="PN81" s="114" t="str">
        <f>IF(OR(PN$13="",PN$17="",PN$14="",PN$15="",PN$16="",PN$18="",PN$19="",PN$20="",PN$21=""),"",SUM($C14:PN14))</f>
        <v/>
      </c>
      <c r="PO81" s="114" t="str">
        <f>IF(OR(PO$13="",PO$17="",PO$14="",PO$15="",PO$16="",PO$18="",PO$19="",PO$20="",PO$21=""),"",SUM($C14:PO14))</f>
        <v/>
      </c>
      <c r="PP81" s="114" t="str">
        <f>IF(OR(PP$13="",PP$17="",PP$14="",PP$15="",PP$16="",PP$18="",PP$19="",PP$20="",PP$21=""),"",SUM($C14:PP14))</f>
        <v/>
      </c>
      <c r="PQ81" s="114" t="str">
        <f>IF(OR(PQ$13="",PQ$17="",PQ$14="",PQ$15="",PQ$16="",PQ$18="",PQ$19="",PQ$20="",PQ$21=""),"",SUM($C14:PQ14))</f>
        <v/>
      </c>
      <c r="PR81" s="114" t="str">
        <f>IF(OR(PR$13="",PR$17="",PR$14="",PR$15="",PR$16="",PR$18="",PR$19="",PR$20="",PR$21=""),"",SUM($C14:PR14))</f>
        <v/>
      </c>
      <c r="PS81" s="114" t="str">
        <f>IF(OR(PS$13="",PS$17="",PS$14="",PS$15="",PS$16="",PS$18="",PS$19="",PS$20="",PS$21=""),"",SUM($C14:PS14))</f>
        <v/>
      </c>
      <c r="PT81" s="114" t="str">
        <f>IF(OR(PT$13="",PT$17="",PT$14="",PT$15="",PT$16="",PT$18="",PT$19="",PT$20="",PT$21=""),"",SUM($C14:PT14))</f>
        <v/>
      </c>
      <c r="PU81" s="114" t="str">
        <f>IF(OR(PU$13="",PU$17="",PU$14="",PU$15="",PU$16="",PU$18="",PU$19="",PU$20="",PU$21=""),"",SUM($C14:PU14))</f>
        <v/>
      </c>
      <c r="PV81" s="114" t="str">
        <f>IF(OR(PV$13="",PV$17="",PV$14="",PV$15="",PV$16="",PV$18="",PV$19="",PV$20="",PV$21=""),"",SUM($C14:PV14))</f>
        <v/>
      </c>
      <c r="PW81" s="114" t="str">
        <f>IF(OR(PW$13="",PW$17="",PW$14="",PW$15="",PW$16="",PW$18="",PW$19="",PW$20="",PW$21=""),"",SUM($C14:PW14))</f>
        <v/>
      </c>
      <c r="PX81" s="114" t="str">
        <f>IF(OR(PX$13="",PX$17="",PX$14="",PX$15="",PX$16="",PX$18="",PX$19="",PX$20="",PX$21=""),"",SUM($C14:PX14))</f>
        <v/>
      </c>
      <c r="PY81" s="114" t="str">
        <f>IF(OR(PY$13="",PY$17="",PY$14="",PY$15="",PY$16="",PY$18="",PY$19="",PY$20="",PY$21=""),"",SUM($C14:PY14))</f>
        <v/>
      </c>
      <c r="PZ81" s="114" t="str">
        <f>IF(OR(PZ$13="",PZ$17="",PZ$14="",PZ$15="",PZ$16="",PZ$18="",PZ$19="",PZ$20="",PZ$21=""),"",SUM($C14:PZ14))</f>
        <v/>
      </c>
      <c r="QA81" s="114" t="str">
        <f>IF(OR(QA$13="",QA$17="",QA$14="",QA$15="",QA$16="",QA$18="",QA$19="",QA$20="",QA$21=""),"",SUM($C14:QA14))</f>
        <v/>
      </c>
      <c r="QB81" s="114" t="str">
        <f>IF(OR(QB$13="",QB$17="",QB$14="",QB$15="",QB$16="",QB$18="",QB$19="",QB$20="",QB$21=""),"",SUM($C14:QB14))</f>
        <v/>
      </c>
      <c r="QC81" s="114" t="str">
        <f>IF(OR(QC$13="",QC$17="",QC$14="",QC$15="",QC$16="",QC$18="",QC$19="",QC$20="",QC$21=""),"",SUM($C14:QC14))</f>
        <v/>
      </c>
      <c r="QD81" s="114" t="str">
        <f>IF(OR(QD$13="",QD$17="",QD$14="",QD$15="",QD$16="",QD$18="",QD$19="",QD$20="",QD$21=""),"",SUM($C14:QD14))</f>
        <v/>
      </c>
      <c r="QE81" s="114" t="str">
        <f>IF(OR(QE$13="",QE$17="",QE$14="",QE$15="",QE$16="",QE$18="",QE$19="",QE$20="",QE$21=""),"",SUM($C14:QE14))</f>
        <v/>
      </c>
      <c r="QF81" s="114" t="str">
        <f>IF(OR(QF$13="",QF$17="",QF$14="",QF$15="",QF$16="",QF$18="",QF$19="",QF$20="",QF$21=""),"",SUM($C14:QF14))</f>
        <v/>
      </c>
      <c r="QG81" s="114" t="str">
        <f>IF(OR(QG$13="",QG$17="",QG$14="",QG$15="",QG$16="",QG$18="",QG$19="",QG$20="",QG$21=""),"",SUM($C14:QG14))</f>
        <v/>
      </c>
      <c r="QH81" s="114" t="str">
        <f>IF(OR(QH$13="",QH$17="",QH$14="",QH$15="",QH$16="",QH$18="",QH$19="",QH$20="",QH$21=""),"",SUM($C14:QH14))</f>
        <v/>
      </c>
      <c r="QI81" s="114" t="str">
        <f>IF(OR(QI$13="",QI$17="",QI$14="",QI$15="",QI$16="",QI$18="",QI$19="",QI$20="",QI$21=""),"",SUM($C14:QI14))</f>
        <v/>
      </c>
      <c r="QJ81" s="114" t="str">
        <f>IF(OR(QJ$13="",QJ$17="",QJ$14="",QJ$15="",QJ$16="",QJ$18="",QJ$19="",QJ$20="",QJ$21=""),"",SUM($C14:QJ14))</f>
        <v/>
      </c>
      <c r="QK81" s="114" t="str">
        <f>IF(OR(QK$13="",QK$17="",QK$14="",QK$15="",QK$16="",QK$18="",QK$19="",QK$20="",QK$21=""),"",SUM($C14:QK14))</f>
        <v/>
      </c>
      <c r="QL81" s="114" t="str">
        <f>IF(OR(QL$13="",QL$17="",QL$14="",QL$15="",QL$16="",QL$18="",QL$19="",QL$20="",QL$21=""),"",SUM($C14:QL14))</f>
        <v/>
      </c>
      <c r="QM81" s="114" t="str">
        <f>IF(OR(QM$13="",QM$17="",QM$14="",QM$15="",QM$16="",QM$18="",QM$19="",QM$20="",QM$21=""),"",SUM($C14:QM14))</f>
        <v/>
      </c>
      <c r="QN81" s="114" t="str">
        <f>IF(OR(QN$13="",QN$17="",QN$14="",QN$15="",QN$16="",QN$18="",QN$19="",QN$20="",QN$21=""),"",SUM($C14:QN14))</f>
        <v/>
      </c>
      <c r="QO81" s="114" t="str">
        <f>IF(OR(QO$13="",QO$17="",QO$14="",QO$15="",QO$16="",QO$18="",QO$19="",QO$20="",QO$21=""),"",SUM($C14:QO14))</f>
        <v/>
      </c>
      <c r="QP81" s="114" t="str">
        <f>IF(OR(QP$13="",QP$17="",QP$14="",QP$15="",QP$16="",QP$18="",QP$19="",QP$20="",QP$21=""),"",SUM($C14:QP14))</f>
        <v/>
      </c>
      <c r="QQ81" s="114" t="str">
        <f>IF(OR(QQ$13="",QQ$17="",QQ$14="",QQ$15="",QQ$16="",QQ$18="",QQ$19="",QQ$20="",QQ$21=""),"",SUM($C14:QQ14))</f>
        <v/>
      </c>
      <c r="QR81" s="114" t="str">
        <f>IF(OR(QR$13="",QR$17="",QR$14="",QR$15="",QR$16="",QR$18="",QR$19="",QR$20="",QR$21=""),"",SUM($C14:QR14))</f>
        <v/>
      </c>
      <c r="QS81" s="114" t="str">
        <f>IF(OR(QS$13="",QS$17="",QS$14="",QS$15="",QS$16="",QS$18="",QS$19="",QS$20="",QS$21=""),"",SUM($C14:QS14))</f>
        <v/>
      </c>
      <c r="QT81" s="114" t="str">
        <f>IF(OR(QT$13="",QT$17="",QT$14="",QT$15="",QT$16="",QT$18="",QT$19="",QT$20="",QT$21=""),"",SUM($C14:QT14))</f>
        <v/>
      </c>
      <c r="QU81" s="114" t="str">
        <f>IF(OR(QU$13="",QU$17="",QU$14="",QU$15="",QU$16="",QU$18="",QU$19="",QU$20="",QU$21=""),"",SUM($C14:QU14))</f>
        <v/>
      </c>
      <c r="QV81" s="114" t="str">
        <f>IF(OR(QV$13="",QV$17="",QV$14="",QV$15="",QV$16="",QV$18="",QV$19="",QV$20="",QV$21=""),"",SUM($C14:QV14))</f>
        <v/>
      </c>
      <c r="QW81" s="114" t="str">
        <f>IF(OR(QW$13="",QW$17="",QW$14="",QW$15="",QW$16="",QW$18="",QW$19="",QW$20="",QW$21=""),"",SUM($C14:QW14))</f>
        <v/>
      </c>
      <c r="QX81" s="114" t="str">
        <f>IF(OR(QX$13="",QX$17="",QX$14="",QX$15="",QX$16="",QX$18="",QX$19="",QX$20="",QX$21=""),"",SUM($C14:QX14))</f>
        <v/>
      </c>
      <c r="QY81" s="114" t="str">
        <f>IF(OR(QY$13="",QY$17="",QY$14="",QY$15="",QY$16="",QY$18="",QY$19="",QY$20="",QY$21=""),"",SUM($C14:QY14))</f>
        <v/>
      </c>
      <c r="QZ81" s="114" t="str">
        <f>IF(OR(QZ$13="",QZ$17="",QZ$14="",QZ$15="",QZ$16="",QZ$18="",QZ$19="",QZ$20="",QZ$21=""),"",SUM($C14:QZ14))</f>
        <v/>
      </c>
      <c r="RA81" s="114" t="str">
        <f>IF(OR(RA$13="",RA$17="",RA$14="",RA$15="",RA$16="",RA$18="",RA$19="",RA$20="",RA$21=""),"",SUM($C14:RA14))</f>
        <v/>
      </c>
      <c r="RB81" s="114" t="str">
        <f>IF(OR(RB$13="",RB$17="",RB$14="",RB$15="",RB$16="",RB$18="",RB$19="",RB$20="",RB$21=""),"",SUM($C14:RB14))</f>
        <v/>
      </c>
      <c r="RC81" s="114" t="str">
        <f>IF(OR(RC$13="",RC$17="",RC$14="",RC$15="",RC$16="",RC$18="",RC$19="",RC$20="",RC$21=""),"",SUM($C14:RC14))</f>
        <v/>
      </c>
      <c r="RD81" s="114" t="str">
        <f>IF(OR(RD$13="",RD$17="",RD$14="",RD$15="",RD$16="",RD$18="",RD$19="",RD$20="",RD$21=""),"",SUM($C14:RD14))</f>
        <v/>
      </c>
      <c r="RE81" s="114" t="str">
        <f>IF(OR(RE$13="",RE$17="",RE$14="",RE$15="",RE$16="",RE$18="",RE$19="",RE$20="",RE$21=""),"",SUM($C14:RE14))</f>
        <v/>
      </c>
      <c r="RF81" s="114" t="str">
        <f>IF(OR(RF$13="",RF$17="",RF$14="",RF$15="",RF$16="",RF$18="",RF$19="",RF$20="",RF$21=""),"",SUM($C14:RF14))</f>
        <v/>
      </c>
      <c r="RG81" s="114" t="str">
        <f>IF(OR(RG$13="",RG$17="",RG$14="",RG$15="",RG$16="",RG$18="",RG$19="",RG$20="",RG$21=""),"",SUM($C14:RG14))</f>
        <v/>
      </c>
      <c r="RH81" s="114" t="str">
        <f>IF(OR(RH$13="",RH$17="",RH$14="",RH$15="",RH$16="",RH$18="",RH$19="",RH$20="",RH$21=""),"",SUM($C14:RH14))</f>
        <v/>
      </c>
      <c r="RI81" s="114" t="str">
        <f>IF(OR(RI$13="",RI$17="",RI$14="",RI$15="",RI$16="",RI$18="",RI$19="",RI$20="",RI$21=""),"",SUM($C14:RI14))</f>
        <v/>
      </c>
      <c r="RJ81" s="114" t="str">
        <f>IF(OR(RJ$13="",RJ$17="",RJ$14="",RJ$15="",RJ$16="",RJ$18="",RJ$19="",RJ$20="",RJ$21=""),"",SUM($C14:RJ14))</f>
        <v/>
      </c>
      <c r="RK81" s="114" t="str">
        <f>IF(OR(RK$13="",RK$17="",RK$14="",RK$15="",RK$16="",RK$18="",RK$19="",RK$20="",RK$21=""),"",SUM($C14:RK14))</f>
        <v/>
      </c>
      <c r="RL81" s="114" t="str">
        <f>IF(OR(RL$13="",RL$17="",RL$14="",RL$15="",RL$16="",RL$18="",RL$19="",RL$20="",RL$21=""),"",SUM($C14:RL14))</f>
        <v/>
      </c>
      <c r="RM81" s="114" t="str">
        <f>IF(OR(RM$13="",RM$17="",RM$14="",RM$15="",RM$16="",RM$18="",RM$19="",RM$20="",RM$21=""),"",SUM($C14:RM14))</f>
        <v/>
      </c>
      <c r="RN81" s="114" t="str">
        <f>IF(OR(RN$13="",RN$17="",RN$14="",RN$15="",RN$16="",RN$18="",RN$19="",RN$20="",RN$21=""),"",SUM($C14:RN14))</f>
        <v/>
      </c>
      <c r="RO81" s="114" t="str">
        <f>IF(OR(RO$13="",RO$17="",RO$14="",RO$15="",RO$16="",RO$18="",RO$19="",RO$20="",RO$21=""),"",SUM($C14:RO14))</f>
        <v/>
      </c>
      <c r="RP81" s="114" t="str">
        <f>IF(OR(RP$13="",RP$17="",RP$14="",RP$15="",RP$16="",RP$18="",RP$19="",RP$20="",RP$21=""),"",SUM($C14:RP14))</f>
        <v/>
      </c>
      <c r="RQ81" s="114" t="str">
        <f>IF(OR(RQ$13="",RQ$17="",RQ$14="",RQ$15="",RQ$16="",RQ$18="",RQ$19="",RQ$20="",RQ$21=""),"",SUM($C14:RQ14))</f>
        <v/>
      </c>
      <c r="RR81" s="114" t="str">
        <f>IF(OR(RR$13="",RR$17="",RR$14="",RR$15="",RR$16="",RR$18="",RR$19="",RR$20="",RR$21=""),"",SUM($C14:RR14))</f>
        <v/>
      </c>
      <c r="RS81" s="114" t="str">
        <f>IF(OR(RS$13="",RS$17="",RS$14="",RS$15="",RS$16="",RS$18="",RS$19="",RS$20="",RS$21=""),"",SUM($C14:RS14))</f>
        <v/>
      </c>
      <c r="RT81" s="114" t="str">
        <f>IF(OR(RT$13="",RT$17="",RT$14="",RT$15="",RT$16="",RT$18="",RT$19="",RT$20="",RT$21=""),"",SUM($C14:RT14))</f>
        <v/>
      </c>
      <c r="RU81" s="114" t="str">
        <f>IF(OR(RU$13="",RU$17="",RU$14="",RU$15="",RU$16="",RU$18="",RU$19="",RU$20="",RU$21=""),"",SUM($C14:RU14))</f>
        <v/>
      </c>
      <c r="RV81" s="114" t="str">
        <f>IF(OR(RV$13="",RV$17="",RV$14="",RV$15="",RV$16="",RV$18="",RV$19="",RV$20="",RV$21=""),"",SUM($C14:RV14))</f>
        <v/>
      </c>
      <c r="RW81" s="114" t="str">
        <f>IF(OR(RW$13="",RW$17="",RW$14="",RW$15="",RW$16="",RW$18="",RW$19="",RW$20="",RW$21=""),"",SUM($C14:RW14))</f>
        <v/>
      </c>
      <c r="RX81" s="114" t="str">
        <f>IF(OR(RX$13="",RX$17="",RX$14="",RX$15="",RX$16="",RX$18="",RX$19="",RX$20="",RX$21=""),"",SUM($C14:RX14))</f>
        <v/>
      </c>
      <c r="RY81" s="114" t="str">
        <f>IF(OR(RY$13="",RY$17="",RY$14="",RY$15="",RY$16="",RY$18="",RY$19="",RY$20="",RY$21=""),"",SUM($C14:RY14))</f>
        <v/>
      </c>
      <c r="RZ81" s="114" t="str">
        <f>IF(OR(RZ$13="",RZ$17="",RZ$14="",RZ$15="",RZ$16="",RZ$18="",RZ$19="",RZ$20="",RZ$21=""),"",SUM($C14:RZ14))</f>
        <v/>
      </c>
      <c r="SA81" s="114" t="str">
        <f>IF(OR(SA$13="",SA$17="",SA$14="",SA$15="",SA$16="",SA$18="",SA$19="",SA$20="",SA$21=""),"",SUM($C14:SA14))</f>
        <v/>
      </c>
      <c r="SB81" s="114" t="str">
        <f>IF(OR(SB$13="",SB$17="",SB$14="",SB$15="",SB$16="",SB$18="",SB$19="",SB$20="",SB$21=""),"",SUM($C14:SB14))</f>
        <v/>
      </c>
      <c r="SC81" s="114" t="str">
        <f>IF(OR(SC$13="",SC$17="",SC$14="",SC$15="",SC$16="",SC$18="",SC$19="",SC$20="",SC$21=""),"",SUM($C14:SC14))</f>
        <v/>
      </c>
      <c r="SD81" s="114" t="str">
        <f>IF(OR(SD$13="",SD$17="",SD$14="",SD$15="",SD$16="",SD$18="",SD$19="",SD$20="",SD$21=""),"",SUM($C14:SD14))</f>
        <v/>
      </c>
      <c r="SE81" s="114" t="str">
        <f>IF(OR(SE$13="",SE$17="",SE$14="",SE$15="",SE$16="",SE$18="",SE$19="",SE$20="",SE$21=""),"",SUM($C14:SE14))</f>
        <v/>
      </c>
      <c r="SF81" s="114" t="str">
        <f>IF(OR(SF$13="",SF$17="",SF$14="",SF$15="",SF$16="",SF$18="",SF$19="",SF$20="",SF$21=""),"",SUM($C14:SF14))</f>
        <v/>
      </c>
      <c r="SG81" s="114" t="str">
        <f>IF(OR(SG$13="",SG$17="",SG$14="",SG$15="",SG$16="",SG$18="",SG$19="",SG$20="",SG$21=""),"",SUM($C14:SG14))</f>
        <v/>
      </c>
      <c r="SH81" s="114" t="str">
        <f>IF(OR(SH$13="",SH$17="",SH$14="",SH$15="",SH$16="",SH$18="",SH$19="",SH$20="",SH$21=""),"",SUM($C14:SH14))</f>
        <v/>
      </c>
      <c r="SI81" s="114" t="str">
        <f>IF(OR(SI$13="",SI$17="",SI$14="",SI$15="",SI$16="",SI$18="",SI$19="",SI$20="",SI$21=""),"",SUM($C14:SI14))</f>
        <v/>
      </c>
      <c r="SJ81" s="114" t="str">
        <f>IF(OR(SJ$13="",SJ$17="",SJ$14="",SJ$15="",SJ$16="",SJ$18="",SJ$19="",SJ$20="",SJ$21=""),"",SUM($C14:SJ14))</f>
        <v/>
      </c>
      <c r="SK81" s="114" t="str">
        <f>IF(OR(SK$13="",SK$17="",SK$14="",SK$15="",SK$16="",SK$18="",SK$19="",SK$20="",SK$21=""),"",SUM($C14:SK14))</f>
        <v/>
      </c>
      <c r="SL81" s="114" t="str">
        <f>IF(OR(SL$13="",SL$17="",SL$14="",SL$15="",SL$16="",SL$18="",SL$19="",SL$20="",SL$21=""),"",SUM($C14:SL14))</f>
        <v/>
      </c>
      <c r="SM81" s="114" t="str">
        <f>IF(OR(SM$13="",SM$17="",SM$14="",SM$15="",SM$16="",SM$18="",SM$19="",SM$20="",SM$21=""),"",SUM($C14:SM14))</f>
        <v/>
      </c>
      <c r="SN81" s="114" t="str">
        <f>IF(OR(SN$13="",SN$17="",SN$14="",SN$15="",SN$16="",SN$18="",SN$19="",SN$20="",SN$21=""),"",SUM($C14:SN14))</f>
        <v/>
      </c>
      <c r="SO81" s="114" t="str">
        <f>IF(OR(SO$13="",SO$17="",SO$14="",SO$15="",SO$16="",SO$18="",SO$19="",SO$20="",SO$21=""),"",SUM($C14:SO14))</f>
        <v/>
      </c>
      <c r="SP81" s="114" t="str">
        <f>IF(OR(SP$13="",SP$17="",SP$14="",SP$15="",SP$16="",SP$18="",SP$19="",SP$20="",SP$21=""),"",SUM($C14:SP14))</f>
        <v/>
      </c>
      <c r="SQ81" s="114" t="str">
        <f>IF(OR(SQ$13="",SQ$17="",SQ$14="",SQ$15="",SQ$16="",SQ$18="",SQ$19="",SQ$20="",SQ$21=""),"",SUM($C14:SQ14))</f>
        <v/>
      </c>
      <c r="SR81" s="114" t="str">
        <f>IF(OR(SR$13="",SR$17="",SR$14="",SR$15="",SR$16="",SR$18="",SR$19="",SR$20="",SR$21=""),"",SUM($C14:SR14))</f>
        <v/>
      </c>
      <c r="SS81" s="114" t="str">
        <f>IF(OR(SS$13="",SS$17="",SS$14="",SS$15="",SS$16="",SS$18="",SS$19="",SS$20="",SS$21=""),"",SUM($C14:SS14))</f>
        <v/>
      </c>
      <c r="ST81" s="114" t="str">
        <f>IF(OR(ST$13="",ST$17="",ST$14="",ST$15="",ST$16="",ST$18="",ST$19="",ST$20="",ST$21=""),"",SUM($C14:ST14))</f>
        <v/>
      </c>
      <c r="SU81" s="114" t="str">
        <f>IF(OR(SU$13="",SU$17="",SU$14="",SU$15="",SU$16="",SU$18="",SU$19="",SU$20="",SU$21=""),"",SUM($C14:SU14))</f>
        <v/>
      </c>
      <c r="SV81" s="114" t="str">
        <f>IF(OR(SV$13="",SV$17="",SV$14="",SV$15="",SV$16="",SV$18="",SV$19="",SV$20="",SV$21=""),"",SUM($C14:SV14))</f>
        <v/>
      </c>
      <c r="SW81" s="114" t="str">
        <f>IF(OR(SW$13="",SW$17="",SW$14="",SW$15="",SW$16="",SW$18="",SW$19="",SW$20="",SW$21=""),"",SUM($C14:SW14))</f>
        <v/>
      </c>
    </row>
    <row r="82" spans="1:517" ht="24.6" customHeight="1" x14ac:dyDescent="0.2">
      <c r="A82" s="94" t="s">
        <v>86</v>
      </c>
      <c r="B82" s="119" t="s">
        <v>79</v>
      </c>
      <c r="C82" s="114">
        <f>IF(OR(C$13="",C$17="",C$14="",C$15="",C$16="",C$18="",C$19="",C$20="",C$21=""),"",SUM($C15:C15))</f>
        <v>0</v>
      </c>
      <c r="D82" s="114">
        <f>IF(OR(D$13="",D$17="",D$14="",D$15="",D$16="",D$18="",D$19="",D$20="",D$21=""),"",SUM($C15:D15))</f>
        <v>0</v>
      </c>
      <c r="E82" s="114">
        <f>IF(OR(E$13="",E$17="",E$14="",E$15="",E$16="",E$18="",E$19="",E$20="",E$21=""),"",SUM($C15:E15))</f>
        <v>0</v>
      </c>
      <c r="F82" s="114">
        <f>IF(OR(F$13="",F$17="",F$14="",F$15="",F$16="",F$18="",F$19="",F$20="",F$21=""),"",SUM($C15:F15))</f>
        <v>0</v>
      </c>
      <c r="G82" s="114">
        <f>IF(OR(G$13="",G$17="",G$14="",G$15="",G$16="",G$18="",G$19="",G$20="",G$21=""),"",SUM($C15:G15))</f>
        <v>0</v>
      </c>
      <c r="H82" s="114">
        <f>IF(OR(H$13="",H$17="",H$14="",H$15="",H$16="",H$18="",H$19="",H$20="",H$21=""),"",SUM($C15:H15))</f>
        <v>0</v>
      </c>
      <c r="I82" s="114">
        <f>IF(OR(I$13="",I$17="",I$14="",I$15="",I$16="",I$18="",I$19="",I$20="",I$21=""),"",SUM($C15:I15))</f>
        <v>0</v>
      </c>
      <c r="J82" s="114">
        <f>IF(OR(J$13="",J$17="",J$14="",J$15="",J$16="",J$18="",J$19="",J$20="",J$21=""),"",SUM($C15:J15))</f>
        <v>0</v>
      </c>
      <c r="K82" s="114">
        <f>IF(OR(K$13="",K$17="",K$14="",K$15="",K$16="",K$18="",K$19="",K$20="",K$21=""),"",SUM($C15:K15))</f>
        <v>0</v>
      </c>
      <c r="L82" s="114">
        <f>IF(OR(L$13="",L$17="",L$14="",L$15="",L$16="",L$18="",L$19="",L$20="",L$21=""),"",SUM($C15:L15))</f>
        <v>0</v>
      </c>
      <c r="M82" s="114">
        <f>IF(OR(M$13="",M$17="",M$14="",M$15="",M$16="",M$18="",M$19="",M$20="",M$21=""),"",SUM($C15:M15))</f>
        <v>0</v>
      </c>
      <c r="N82" s="114">
        <f>IF(OR(N$13="",N$17="",N$14="",N$15="",N$16="",N$18="",N$19="",N$20="",N$21=""),"",SUM($C15:N15))</f>
        <v>0</v>
      </c>
      <c r="O82" s="114">
        <f>IF(OR(O$13="",O$17="",O$14="",O$15="",O$16="",O$18="",O$19="",O$20="",O$21=""),"",SUM($C15:O15))</f>
        <v>0</v>
      </c>
      <c r="P82" s="114">
        <f>IF(OR(P$13="",P$17="",P$14="",P$15="",P$16="",P$18="",P$19="",P$20="",P$21=""),"",SUM($C15:P15))</f>
        <v>0</v>
      </c>
      <c r="Q82" s="114">
        <f>IF(OR(Q$13="",Q$17="",Q$14="",Q$15="",Q$16="",Q$18="",Q$19="",Q$20="",Q$21=""),"",SUM($C15:Q15))</f>
        <v>0</v>
      </c>
      <c r="R82" s="114">
        <f>IF(OR(R$13="",R$17="",R$14="",R$15="",R$16="",R$18="",R$19="",R$20="",R$21=""),"",SUM($C15:R15))</f>
        <v>0</v>
      </c>
      <c r="S82" s="114">
        <f>IF(OR(S$13="",S$17="",S$14="",S$15="",S$16="",S$18="",S$19="",S$20="",S$21=""),"",SUM($C15:S15))</f>
        <v>0</v>
      </c>
      <c r="T82" s="114">
        <f>IF(OR(T$13="",T$17="",T$14="",T$15="",T$16="",T$18="",T$19="",T$20="",T$21=""),"",SUM($C15:T15))</f>
        <v>0</v>
      </c>
      <c r="U82" s="114">
        <f>IF(OR(U$13="",U$17="",U$14="",U$15="",U$16="",U$18="",U$19="",U$20="",U$21=""),"",SUM($C15:U15))</f>
        <v>0</v>
      </c>
      <c r="V82" s="114">
        <f>IF(OR(V$13="",V$17="",V$14="",V$15="",V$16="",V$18="",V$19="",V$20="",V$21=""),"",SUM($C15:V15))</f>
        <v>0</v>
      </c>
      <c r="W82" s="114">
        <f>IF(OR(W$13="",W$17="",W$14="",W$15="",W$16="",W$18="",W$19="",W$20="",W$21=""),"",SUM($C15:W15))</f>
        <v>0</v>
      </c>
      <c r="X82" s="114">
        <f>IF(OR(X$13="",X$17="",X$14="",X$15="",X$16="",X$18="",X$19="",X$20="",X$21=""),"",SUM($C15:X15))</f>
        <v>24.99</v>
      </c>
      <c r="Y82" s="114">
        <f>IF(OR(Y$13="",Y$17="",Y$14="",Y$15="",Y$16="",Y$18="",Y$19="",Y$20="",Y$21=""),"",SUM($C15:Y15))</f>
        <v>24.99</v>
      </c>
      <c r="Z82" s="114">
        <f>IF(OR(Z$13="",Z$17="",Z$14="",Z$15="",Z$16="",Z$18="",Z$19="",Z$20="",Z$21=""),"",SUM($C15:Z15))</f>
        <v>25.669999999999998</v>
      </c>
      <c r="AA82" s="114">
        <f>IF(OR(AA$13="",AA$17="",AA$14="",AA$15="",AA$16="",AA$18="",AA$19="",AA$20="",AA$21=""),"",SUM($C15:AA15))</f>
        <v>25.669999999999998</v>
      </c>
      <c r="AB82" s="114">
        <f>IF(OR(AB$13="",AB$17="",AB$14="",AB$15="",AB$16="",AB$18="",AB$19="",AB$20="",AB$21=""),"",SUM($C15:AB15))</f>
        <v>25.669999999999998</v>
      </c>
      <c r="AC82" s="114">
        <f>IF(OR(AC$13="",AC$17="",AC$14="",AC$15="",AC$16="",AC$18="",AC$19="",AC$20="",AC$21=""),"",SUM($C15:AC15))</f>
        <v>25.669999999999998</v>
      </c>
      <c r="AD82" s="114">
        <f>IF(OR(AD$13="",AD$17="",AD$14="",AD$15="",AD$16="",AD$18="",AD$19="",AD$20="",AD$21=""),"",SUM($C15:AD15))</f>
        <v>25.669999999999998</v>
      </c>
      <c r="AE82" s="114">
        <f>IF(OR(AE$13="",AE$17="",AE$14="",AE$15="",AE$16="",AE$18="",AE$19="",AE$20="",AE$21=""),"",SUM($C15:AE15))</f>
        <v>25.669999999999998</v>
      </c>
      <c r="AF82" s="114">
        <f>IF(OR(AF$13="",AF$17="",AF$14="",AF$15="",AF$16="",AF$18="",AF$19="",AF$20="",AF$21=""),"",SUM($C15:AF15))</f>
        <v>25.669999999999998</v>
      </c>
      <c r="AG82" s="114">
        <f>IF(OR(AG$13="",AG$17="",AG$14="",AG$15="",AG$16="",AG$18="",AG$19="",AG$20="",AG$21=""),"",SUM($C15:AG15))</f>
        <v>25.669999999999998</v>
      </c>
      <c r="AH82" s="114">
        <f>IF(OR(AH$13="",AH$17="",AH$14="",AH$15="",AH$16="",AH$18="",AH$19="",AH$20="",AH$21=""),"",SUM($C15:AH15))</f>
        <v>25.669999999999998</v>
      </c>
      <c r="AI82" s="114">
        <f>IF(OR(AI$13="",AI$17="",AI$14="",AI$15="",AI$16="",AI$18="",AI$19="",AI$20="",AI$21=""),"",SUM($C15:AI15))</f>
        <v>30.919999999999998</v>
      </c>
      <c r="AJ82" s="114">
        <f>IF(OR(AJ$13="",AJ$17="",AJ$14="",AJ$15="",AJ$16="",AJ$18="",AJ$19="",AJ$20="",AJ$21=""),"",SUM($C15:AJ15))</f>
        <v>30.919999999999998</v>
      </c>
      <c r="AK82" s="114">
        <f>IF(OR(AK$13="",AK$17="",AK$14="",AK$15="",AK$16="",AK$18="",AK$19="",AK$20="",AK$21=""),"",SUM($C15:AK15))</f>
        <v>33.67</v>
      </c>
      <c r="AL82" s="114">
        <f>IF(OR(AL$13="",AL$17="",AL$14="",AL$15="",AL$16="",AL$18="",AL$19="",AL$20="",AL$21=""),"",SUM($C15:AL15))</f>
        <v>38.82</v>
      </c>
      <c r="AM82" s="114">
        <f>IF(OR(AM$13="",AM$17="",AM$14="",AM$15="",AM$16="",AM$18="",AM$19="",AM$20="",AM$21=""),"",SUM($C15:AM15))</f>
        <v>50.4</v>
      </c>
      <c r="AN82" s="114">
        <f>IF(OR(AN$13="",AN$17="",AN$14="",AN$15="",AN$16="",AN$18="",AN$19="",AN$20="",AN$21=""),"",SUM($C15:AN15))</f>
        <v>53.42</v>
      </c>
      <c r="AO82" s="114">
        <f>IF(OR(AO$13="",AO$17="",AO$14="",AO$15="",AO$16="",AO$18="",AO$19="",AO$20="",AO$21=""),"",SUM($C15:AO15))</f>
        <v>53.42</v>
      </c>
      <c r="AP82" s="114">
        <f>IF(OR(AP$13="",AP$17="",AP$14="",AP$15="",AP$16="",AP$18="",AP$19="",AP$20="",AP$21=""),"",SUM($C15:AP15))</f>
        <v>57.980000000000004</v>
      </c>
      <c r="AQ82" s="114">
        <f>IF(OR(AQ$13="",AQ$17="",AQ$14="",AQ$15="",AQ$16="",AQ$18="",AQ$19="",AQ$20="",AQ$21=""),"",SUM($C15:AQ15))</f>
        <v>66.72</v>
      </c>
      <c r="AR82" s="114">
        <f>IF(OR(AR$13="",AR$17="",AR$14="",AR$15="",AR$16="",AR$18="",AR$19="",AR$20="",AR$21=""),"",SUM($C15:AR15))</f>
        <v>80.11</v>
      </c>
      <c r="AS82" s="114">
        <f>IF(OR(AS$13="",AS$17="",AS$14="",AS$15="",AS$16="",AS$18="",AS$19="",AS$20="",AS$21=""),"",SUM($C15:AS15))</f>
        <v>80.11</v>
      </c>
      <c r="AT82" s="114">
        <f>IF(OR(AT$13="",AT$17="",AT$14="",AT$15="",AT$16="",AT$18="",AT$19="",AT$20="",AT$21=""),"",SUM($C15:AT15))</f>
        <v>80.11</v>
      </c>
      <c r="AU82" s="114">
        <f>IF(OR(AU$13="",AU$17="",AU$14="",AU$15="",AU$16="",AU$18="",AU$19="",AU$20="",AU$21=""),"",SUM($C15:AU15))</f>
        <v>80.11</v>
      </c>
      <c r="AV82" s="114">
        <f>IF(OR(AV$13="",AV$17="",AV$14="",AV$15="",AV$16="",AV$18="",AV$19="",AV$20="",AV$21=""),"",SUM($C15:AV15))</f>
        <v>80.11</v>
      </c>
      <c r="AW82" s="114">
        <f>IF(OR(AW$13="",AW$17="",AW$14="",AW$15="",AW$16="",AW$18="",AW$19="",AW$20="",AW$21=""),"",SUM($C15:AW15))</f>
        <v>83.09</v>
      </c>
      <c r="AX82" s="114">
        <f>IF(OR(AX$13="",AX$17="",AX$14="",AX$15="",AX$16="",AX$18="",AX$19="",AX$20="",AX$21=""),"",SUM($C15:AX15))</f>
        <v>84.41</v>
      </c>
      <c r="AY82" s="114">
        <f>IF(OR(AY$13="",AY$17="",AY$14="",AY$15="",AY$16="",AY$18="",AY$19="",AY$20="",AY$21=""),"",SUM($C15:AY15))</f>
        <v>93.22999999999999</v>
      </c>
      <c r="AZ82" s="114">
        <f>IF(OR(AZ$13="",AZ$17="",AZ$14="",AZ$15="",AZ$16="",AZ$18="",AZ$19="",AZ$20="",AZ$21=""),"",SUM($C15:AZ15))</f>
        <v>93.22999999999999</v>
      </c>
      <c r="BA82" s="114">
        <f>IF(OR(BA$13="",BA$17="",BA$14="",BA$15="",BA$16="",BA$18="",BA$19="",BA$20="",BA$21=""),"",SUM($C15:BA15))</f>
        <v>98.11999999999999</v>
      </c>
      <c r="BB82" s="114">
        <f>IF(OR(BB$13="",BB$17="",BB$14="",BB$15="",BB$16="",BB$18="",BB$19="",BB$20="",BB$21=""),"",SUM($C15:BB15))</f>
        <v>99.61999999999999</v>
      </c>
      <c r="BC82" s="114">
        <f>IF(OR(BC$13="",BC$17="",BC$14="",BC$15="",BC$16="",BC$18="",BC$19="",BC$20="",BC$21=""),"",SUM($C15:BC15))</f>
        <v>99.61999999999999</v>
      </c>
      <c r="BD82" s="114">
        <f>IF(OR(BD$13="",BD$17="",BD$14="",BD$15="",BD$16="",BD$18="",BD$19="",BD$20="",BD$21=""),"",SUM($C15:BD15))</f>
        <v>99.61999999999999</v>
      </c>
      <c r="BE82" s="114">
        <f>IF(OR(BE$13="",BE$17="",BE$14="",BE$15="",BE$16="",BE$18="",BE$19="",BE$20="",BE$21=""),"",SUM($C15:BE15))</f>
        <v>101.6</v>
      </c>
      <c r="BF82" s="114">
        <f>IF(OR(BF$13="",BF$17="",BF$14="",BF$15="",BF$16="",BF$18="",BF$19="",BF$20="",BF$21=""),"",SUM($C15:BF15))</f>
        <v>105.52</v>
      </c>
      <c r="BG82" s="114">
        <f>IF(OR(BG$13="",BG$17="",BG$14="",BG$15="",BG$16="",BG$18="",BG$19="",BG$20="",BG$21=""),"",SUM($C15:BG15))</f>
        <v>105.52</v>
      </c>
      <c r="BH82" s="114">
        <f>IF(OR(BH$13="",BH$17="",BH$14="",BH$15="",BH$16="",BH$18="",BH$19="",BH$20="",BH$21=""),"",SUM($C15:BH15))</f>
        <v>105.52</v>
      </c>
      <c r="BI82" s="114">
        <f>IF(OR(BI$13="",BI$17="",BI$14="",BI$15="",BI$16="",BI$18="",BI$19="",BI$20="",BI$21=""),"",SUM($C15:BI15))</f>
        <v>106.3</v>
      </c>
      <c r="BJ82" s="114">
        <f>IF(OR(BJ$13="",BJ$17="",BJ$14="",BJ$15="",BJ$16="",BJ$18="",BJ$19="",BJ$20="",BJ$21=""),"",SUM($C15:BJ15))</f>
        <v>111.07</v>
      </c>
      <c r="BK82" s="114">
        <f>IF(OR(BK$13="",BK$17="",BK$14="",BK$15="",BK$16="",BK$18="",BK$19="",BK$20="",BK$21=""),"",SUM($C15:BK15))</f>
        <v>123.5</v>
      </c>
      <c r="BL82" s="114">
        <f>IF(OR(BL$13="",BL$17="",BL$14="",BL$15="",BL$16="",BL$18="",BL$19="",BL$20="",BL$21=""),"",SUM($C15:BL15))</f>
        <v>147.16999999999999</v>
      </c>
      <c r="BM82" s="114">
        <f>IF(OR(BM$13="",BM$17="",BM$14="",BM$15="",BM$16="",BM$18="",BM$19="",BM$20="",BM$21=""),"",SUM($C15:BM15))</f>
        <v>147.16999999999999</v>
      </c>
      <c r="BN82" s="114">
        <f>IF(OR(BN$13="",BN$17="",BN$14="",BN$15="",BN$16="",BN$18="",BN$19="",BN$20="",BN$21=""),"",SUM($C15:BN15))</f>
        <v>147.16999999999999</v>
      </c>
      <c r="BO82" s="114">
        <f>IF(OR(BO$13="",BO$17="",BO$14="",BO$15="",BO$16="",BO$18="",BO$19="",BO$20="",BO$21=""),"",SUM($C15:BO15))</f>
        <v>148.32</v>
      </c>
      <c r="BP82" s="114">
        <f>IF(OR(BP$13="",BP$17="",BP$14="",BP$15="",BP$16="",BP$18="",BP$19="",BP$20="",BP$21=""),"",SUM($C15:BP15))</f>
        <v>150.63999999999999</v>
      </c>
      <c r="BQ82" s="114">
        <f>IF(OR(BQ$13="",BQ$17="",BQ$14="",BQ$15="",BQ$16="",BQ$18="",BQ$19="",BQ$20="",BQ$21=""),"",SUM($C15:BQ15))</f>
        <v>153.91</v>
      </c>
      <c r="BR82" s="114">
        <f>IF(OR(BR$13="",BR$17="",BR$14="",BR$15="",BR$16="",BR$18="",BR$19="",BR$20="",BR$21=""),"",SUM($C15:BR15))</f>
        <v>165.14</v>
      </c>
      <c r="BS82" s="114">
        <f>IF(OR(BS$13="",BS$17="",BS$14="",BS$15="",BS$16="",BS$18="",BS$19="",BS$20="",BS$21=""),"",SUM($C15:BS15))</f>
        <v>170.85</v>
      </c>
      <c r="BT82" s="114">
        <f>IF(OR(BT$13="",BT$17="",BT$14="",BT$15="",BT$16="",BT$18="",BT$19="",BT$20="",BT$21=""),"",SUM($C15:BT15))</f>
        <v>175</v>
      </c>
      <c r="BU82" s="114">
        <f>IF(OR(BU$13="",BU$17="",BU$14="",BU$15="",BU$16="",BU$18="",BU$19="",BU$20="",BU$21=""),"",SUM($C15:BU15))</f>
        <v>178.82</v>
      </c>
      <c r="BV82" s="114">
        <f>IF(OR(BV$13="",BV$17="",BV$14="",BV$15="",BV$16="",BV$18="",BV$19="",BV$20="",BV$21=""),"",SUM($C15:BV15))</f>
        <v>187.23</v>
      </c>
      <c r="BW82" s="114">
        <f>IF(OR(BW$13="",BW$17="",BW$14="",BW$15="",BW$16="",BW$18="",BW$19="",BW$20="",BW$21=""),"",SUM($C15:BW15))</f>
        <v>198.26</v>
      </c>
      <c r="BX82" s="114">
        <f>IF(OR(BX$13="",BX$17="",BX$14="",BX$15="",BX$16="",BX$18="",BX$19="",BX$20="",BX$21=""),"",SUM($C15:BX15))</f>
        <v>198.26</v>
      </c>
      <c r="BY82" s="114">
        <f>IF(OR(BY$13="",BY$17="",BY$14="",BY$15="",BY$16="",BY$18="",BY$19="",BY$20="",BY$21=""),"",SUM($C15:BY15))</f>
        <v>198.26</v>
      </c>
      <c r="BZ82" s="114">
        <f>IF(OR(BZ$13="",BZ$17="",BZ$14="",BZ$15="",BZ$16="",BZ$18="",BZ$19="",BZ$20="",BZ$21=""),"",SUM($C15:BZ15))</f>
        <v>198.26</v>
      </c>
      <c r="CA82" s="114">
        <f>IF(OR(CA$13="",CA$17="",CA$14="",CA$15="",CA$16="",CA$18="",CA$19="",CA$20="",CA$21=""),"",SUM($C15:CA15))</f>
        <v>211.14</v>
      </c>
      <c r="CB82" s="114">
        <f>IF(OR(CB$13="",CB$17="",CB$14="",CB$15="",CB$16="",CB$18="",CB$19="",CB$20="",CB$21=""),"",SUM($C15:CB15))</f>
        <v>217.01</v>
      </c>
      <c r="CC82" s="114">
        <f>IF(OR(CC$13="",CC$17="",CC$14="",CC$15="",CC$16="",CC$18="",CC$19="",CC$20="",CC$21=""),"",SUM($C15:CC15))</f>
        <v>240.94</v>
      </c>
      <c r="CD82" s="114">
        <f>IF(OR(CD$13="",CD$17="",CD$14="",CD$15="",CD$16="",CD$18="",CD$19="",CD$20="",CD$21=""),"",SUM($C15:CD15))</f>
        <v>240.94</v>
      </c>
      <c r="CE82" s="114">
        <f>IF(OR(CE$13="",CE$17="",CE$14="",CE$15="",CE$16="",CE$18="",CE$19="",CE$20="",CE$21=""),"",SUM($C15:CE15))</f>
        <v>240.94</v>
      </c>
      <c r="CF82" s="114">
        <f>IF(OR(CF$13="",CF$17="",CF$14="",CF$15="",CF$16="",CF$18="",CF$19="",CF$20="",CF$21=""),"",SUM($C15:CF15))</f>
        <v>244</v>
      </c>
      <c r="CG82" s="114">
        <f>IF(OR(CG$13="",CG$17="",CG$14="",CG$15="",CG$16="",CG$18="",CG$19="",CG$20="",CG$21=""),"",SUM($C15:CG15))</f>
        <v>244</v>
      </c>
      <c r="CH82" s="114">
        <f>IF(OR(CH$13="",CH$17="",CH$14="",CH$15="",CH$16="",CH$18="",CH$19="",CH$20="",CH$21=""),"",SUM($C15:CH15))</f>
        <v>244</v>
      </c>
      <c r="CI82" s="114">
        <f>IF(OR(CI$13="",CI$17="",CI$14="",CI$15="",CI$16="",CI$18="",CI$19="",CI$20="",CI$21=""),"",SUM($C15:CI15))</f>
        <v>245.02</v>
      </c>
      <c r="CJ82" s="114">
        <f>IF(OR(CJ$13="",CJ$17="",CJ$14="",CJ$15="",CJ$16="",CJ$18="",CJ$19="",CJ$20="",CJ$21=""),"",SUM($C15:CJ15))</f>
        <v>254.08</v>
      </c>
      <c r="CK82" s="114">
        <f>IF(OR(CK$13="",CK$17="",CK$14="",CK$15="",CK$16="",CK$18="",CK$19="",CK$20="",CK$21=""),"",SUM($C15:CK15))</f>
        <v>254.08</v>
      </c>
      <c r="CL82" s="114">
        <f>IF(OR(CL$13="",CL$17="",CL$14="",CL$15="",CL$16="",CL$18="",CL$19="",CL$20="",CL$21=""),"",SUM($C15:CL15))</f>
        <v>254.08</v>
      </c>
      <c r="CM82" s="114">
        <f>IF(OR(CM$13="",CM$17="",CM$14="",CM$15="",CM$16="",CM$18="",CM$19="",CM$20="",CM$21=""),"",SUM($C15:CM15))</f>
        <v>261.90000000000003</v>
      </c>
      <c r="CN82" s="114">
        <f>IF(OR(CN$13="",CN$17="",CN$14="",CN$15="",CN$16="",CN$18="",CN$19="",CN$20="",CN$21=""),"",SUM($C15:CN15))</f>
        <v>261.90000000000003</v>
      </c>
      <c r="CO82" s="114">
        <f>IF(OR(CO$13="",CO$17="",CO$14="",CO$15="",CO$16="",CO$18="",CO$19="",CO$20="",CO$21=""),"",SUM($C15:CO15))</f>
        <v>267.93</v>
      </c>
      <c r="CP82" s="114">
        <f>IF(OR(CP$13="",CP$17="",CP$14="",CP$15="",CP$16="",CP$18="",CP$19="",CP$20="",CP$21=""),"",SUM($C15:CP15))</f>
        <v>272.67</v>
      </c>
      <c r="CQ82" s="114">
        <f>IF(OR(CQ$13="",CQ$17="",CQ$14="",CQ$15="",CQ$16="",CQ$18="",CQ$19="",CQ$20="",CQ$21=""),"",SUM($C15:CQ15))</f>
        <v>289.22000000000003</v>
      </c>
      <c r="CR82" s="114">
        <f>IF(OR(CR$13="",CR$17="",CR$14="",CR$15="",CR$16="",CR$18="",CR$19="",CR$20="",CR$21=""),"",SUM($C15:CR15))</f>
        <v>322.20000000000005</v>
      </c>
      <c r="CS82" s="114">
        <f>IF(OR(CS$13="",CS$17="",CS$14="",CS$15="",CS$16="",CS$18="",CS$19="",CS$20="",CS$21=""),"",SUM($C15:CS15))</f>
        <v>322.20000000000005</v>
      </c>
      <c r="CT82" s="114">
        <f>IF(OR(CT$13="",CT$17="",CT$14="",CT$15="",CT$16="",CT$18="",CT$19="",CT$20="",CT$21=""),"",SUM($C15:CT15))</f>
        <v>322.20000000000005</v>
      </c>
      <c r="CU82" s="114">
        <f>IF(OR(CU$13="",CU$17="",CU$14="",CU$15="",CU$16="",CU$18="",CU$19="",CU$20="",CU$21=""),"",SUM($C15:CU15))</f>
        <v>324.35000000000002</v>
      </c>
      <c r="CV82" s="114">
        <f>IF(OR(CV$13="",CV$17="",CV$14="",CV$15="",CV$16="",CV$18="",CV$19="",CV$20="",CV$21=""),"",SUM($C15:CV15))</f>
        <v>324.35000000000002</v>
      </c>
      <c r="CW82" s="114">
        <f>IF(OR(CW$13="",CW$17="",CW$14="",CW$15="",CW$16="",CW$18="",CW$19="",CW$20="",CW$21=""),"",SUM($C15:CW15))</f>
        <v>324.35000000000002</v>
      </c>
      <c r="CX82" s="114">
        <f>IF(OR(CX$13="",CX$17="",CX$14="",CX$15="",CX$16="",CX$18="",CX$19="",CX$20="",CX$21=""),"",SUM($C15:CX15))</f>
        <v>324.35000000000002</v>
      </c>
      <c r="CY82" s="114">
        <f>IF(OR(CY$13="",CY$17="",CY$14="",CY$15="",CY$16="",CY$18="",CY$19="",CY$20="",CY$21=""),"",SUM($C15:CY15))</f>
        <v>325.22000000000003</v>
      </c>
      <c r="CZ82" s="114">
        <f>IF(OR(CZ$13="",CZ$17="",CZ$14="",CZ$15="",CZ$16="",CZ$18="",CZ$19="",CZ$20="",CZ$21=""),"",SUM($C15:CZ15))</f>
        <v>325.22000000000003</v>
      </c>
      <c r="DA82" s="114">
        <f>IF(OR(DA$13="",DA$17="",DA$14="",DA$15="",DA$16="",DA$18="",DA$19="",DA$20="",DA$21=""),"",SUM($C15:DA15))</f>
        <v>330.42</v>
      </c>
      <c r="DB82" s="114">
        <f>IF(OR(DB$13="",DB$17="",DB$14="",DB$15="",DB$16="",DB$18="",DB$19="",DB$20="",DB$21=""),"",SUM($C15:DB15))</f>
        <v>332.6</v>
      </c>
      <c r="DC82" s="114">
        <f>IF(OR(DC$13="",DC$17="",DC$14="",DC$15="",DC$16="",DC$18="",DC$19="",DC$20="",DC$21=""),"",SUM($C15:DC15))</f>
        <v>332.6</v>
      </c>
      <c r="DD82" s="114">
        <f>IF(OR(DD$13="",DD$17="",DD$14="",DD$15="",DD$16="",DD$18="",DD$19="",DD$20="",DD$21=""),"",SUM($C15:DD15))</f>
        <v>344.48</v>
      </c>
      <c r="DE82" s="114">
        <f>IF(OR(DE$13="",DE$17="",DE$14="",DE$15="",DE$16="",DE$18="",DE$19="",DE$20="",DE$21=""),"",SUM($C15:DE15))</f>
        <v>347.12</v>
      </c>
      <c r="DF82" s="114">
        <f>IF(OR(DF$13="",DF$17="",DF$14="",DF$15="",DF$16="",DF$18="",DF$19="",DF$20="",DF$21=""),"",SUM($C15:DF15))</f>
        <v>347.12</v>
      </c>
      <c r="DG82" s="114">
        <f>IF(OR(DG$13="",DG$17="",DG$14="",DG$15="",DG$16="",DG$18="",DG$19="",DG$20="",DG$21=""),"",SUM($C15:DG15))</f>
        <v>350.55</v>
      </c>
      <c r="DH82" s="114">
        <f>IF(OR(DH$13="",DH$17="",DH$14="",DH$15="",DH$16="",DH$18="",DH$19="",DH$20="",DH$21=""),"",SUM($C15:DH15))</f>
        <v>364.15000000000003</v>
      </c>
      <c r="DI82" s="114">
        <f>IF(OR(DI$13="",DI$17="",DI$14="",DI$15="",DI$16="",DI$18="",DI$19="",DI$20="",DI$21=""),"",SUM($C15:DI15))</f>
        <v>364.15000000000003</v>
      </c>
      <c r="DJ82" s="114">
        <f>IF(OR(DJ$13="",DJ$17="",DJ$14="",DJ$15="",DJ$16="",DJ$18="",DJ$19="",DJ$20="",DJ$21=""),"",SUM($C15:DJ15))</f>
        <v>364.15000000000003</v>
      </c>
      <c r="DK82" s="114">
        <f>IF(OR(DK$13="",DK$17="",DK$14="",DK$15="",DK$16="",DK$18="",DK$19="",DK$20="",DK$21=""),"",SUM($C15:DK15))</f>
        <v>364.15000000000003</v>
      </c>
      <c r="DL82" s="114">
        <f>IF(OR(DL$13="",DL$17="",DL$14="",DL$15="",DL$16="",DL$18="",DL$19="",DL$20="",DL$21=""),"",SUM($C15:DL15))</f>
        <v>364.15000000000003</v>
      </c>
      <c r="DM82" s="114">
        <f>IF(OR(DM$13="",DM$17="",DM$14="",DM$15="",DM$16="",DM$18="",DM$19="",DM$20="",DM$21=""),"",SUM($C15:DM15))</f>
        <v>364.15000000000003</v>
      </c>
      <c r="DN82" s="114">
        <f>IF(OR(DN$13="",DN$17="",DN$14="",DN$15="",DN$16="",DN$18="",DN$19="",DN$20="",DN$21=""),"",SUM($C15:DN15))</f>
        <v>364.15000000000003</v>
      </c>
      <c r="DO82" s="114">
        <f>IF(OR(DO$13="",DO$17="",DO$14="",DO$15="",DO$16="",DO$18="",DO$19="",DO$20="",DO$21=""),"",SUM($C15:DO15))</f>
        <v>364.15000000000003</v>
      </c>
      <c r="DP82" s="114">
        <f>IF(OR(DP$13="",DP$17="",DP$14="",DP$15="",DP$16="",DP$18="",DP$19="",DP$20="",DP$21=""),"",SUM($C15:DP15))</f>
        <v>364.15000000000003</v>
      </c>
      <c r="DQ82" s="114">
        <f>IF(OR(DQ$13="",DQ$17="",DQ$14="",DQ$15="",DQ$16="",DQ$18="",DQ$19="",DQ$20="",DQ$21=""),"",SUM($C15:DQ15))</f>
        <v>364.15000000000003</v>
      </c>
      <c r="DR82" s="114">
        <f>IF(OR(DR$13="",DR$17="",DR$14="",DR$15="",DR$16="",DR$18="",DR$19="",DR$20="",DR$21=""),"",SUM($C15:DR15))</f>
        <v>364.15000000000003</v>
      </c>
      <c r="DS82" s="114">
        <f>IF(OR(DS$13="",DS$17="",DS$14="",DS$15="",DS$16="",DS$18="",DS$19="",DS$20="",DS$21=""),"",SUM($C15:DS15))</f>
        <v>364.15000000000003</v>
      </c>
      <c r="DT82" s="114">
        <f>IF(OR(DT$13="",DT$17="",DT$14="",DT$15="",DT$16="",DT$18="",DT$19="",DT$20="",DT$21=""),"",SUM($C15:DT15))</f>
        <v>364.15000000000003</v>
      </c>
      <c r="DU82" s="114">
        <f>IF(OR(DU$13="",DU$17="",DU$14="",DU$15="",DU$16="",DU$18="",DU$19="",DU$20="",DU$21=""),"",SUM($C15:DU15))</f>
        <v>373.37000000000006</v>
      </c>
      <c r="DV82" s="114">
        <f>IF(OR(DV$13="",DV$17="",DV$14="",DV$15="",DV$16="",DV$18="",DV$19="",DV$20="",DV$21=""),"",SUM($C15:DV15))</f>
        <v>373.37000000000006</v>
      </c>
      <c r="DW82" s="114">
        <f>IF(OR(DW$13="",DW$17="",DW$14="",DW$15="",DW$16="",DW$18="",DW$19="",DW$20="",DW$21=""),"",SUM($C15:DW15))</f>
        <v>373.37000000000006</v>
      </c>
      <c r="DX82" s="114">
        <f>IF(OR(DX$13="",DX$17="",DX$14="",DX$15="",DX$16="",DX$18="",DX$19="",DX$20="",DX$21=""),"",SUM($C15:DX15))</f>
        <v>373.37000000000006</v>
      </c>
      <c r="DY82" s="114">
        <f>IF(OR(DY$13="",DY$17="",DY$14="",DY$15="",DY$16="",DY$18="",DY$19="",DY$20="",DY$21=""),"",SUM($C15:DY15))</f>
        <v>373.37000000000006</v>
      </c>
      <c r="DZ82" s="114">
        <f>IF(OR(DZ$13="",DZ$17="",DZ$14="",DZ$15="",DZ$16="",DZ$18="",DZ$19="",DZ$20="",DZ$21=""),"",SUM($C15:DZ15))</f>
        <v>373.37000000000006</v>
      </c>
      <c r="EA82" s="114">
        <f>IF(OR(EA$13="",EA$17="",EA$14="",EA$15="",EA$16="",EA$18="",EA$19="",EA$20="",EA$21=""),"",SUM($C15:EA15))</f>
        <v>373.37000000000006</v>
      </c>
      <c r="EB82" s="114">
        <f>IF(OR(EB$13="",EB$17="",EB$14="",EB$15="",EB$16="",EB$18="",EB$19="",EB$20="",EB$21=""),"",SUM($C15:EB15))</f>
        <v>373.37000000000006</v>
      </c>
      <c r="EC82" s="114">
        <f>IF(OR(EC$13="",EC$17="",EC$14="",EC$15="",EC$16="",EC$18="",EC$19="",EC$20="",EC$21=""),"",SUM($C15:EC15))</f>
        <v>373.37000000000006</v>
      </c>
      <c r="ED82" s="114">
        <f>IF(OR(ED$13="",ED$17="",ED$14="",ED$15="",ED$16="",ED$18="",ED$19="",ED$20="",ED$21=""),"",SUM($C15:ED15))</f>
        <v>373.37000000000006</v>
      </c>
      <c r="EE82" s="114">
        <f>IF(OR(EE$13="",EE$17="",EE$14="",EE$15="",EE$16="",EE$18="",EE$19="",EE$20="",EE$21=""),"",SUM($C15:EE15))</f>
        <v>373.37000000000006</v>
      </c>
      <c r="EF82" s="114">
        <f>IF(OR(EF$13="",EF$17="",EF$14="",EF$15="",EF$16="",EF$18="",EF$19="",EF$20="",EF$21=""),"",SUM($C15:EF15))</f>
        <v>373.37000000000006</v>
      </c>
      <c r="EG82" s="114">
        <f>IF(OR(EG$13="",EG$17="",EG$14="",EG$15="",EG$16="",EG$18="",EG$19="",EG$20="",EG$21=""),"",SUM($C15:EG15))</f>
        <v>405.19000000000005</v>
      </c>
      <c r="EH82" s="114">
        <f>IF(OR(EH$13="",EH$17="",EH$14="",EH$15="",EH$16="",EH$18="",EH$19="",EH$20="",EH$21=""),"",SUM($C15:EH15))</f>
        <v>405.19000000000005</v>
      </c>
      <c r="EI82" s="114">
        <f>IF(OR(EI$13="",EI$17="",EI$14="",EI$15="",EI$16="",EI$18="",EI$19="",EI$20="",EI$21=""),"",SUM($C15:EI15))</f>
        <v>405.19000000000005</v>
      </c>
      <c r="EJ82" s="114">
        <f>IF(OR(EJ$13="",EJ$17="",EJ$14="",EJ$15="",EJ$16="",EJ$18="",EJ$19="",EJ$20="",EJ$21=""),"",SUM($C15:EJ15))</f>
        <v>405.19000000000005</v>
      </c>
      <c r="EK82" s="114">
        <f>IF(OR(EK$13="",EK$17="",EK$14="",EK$15="",EK$16="",EK$18="",EK$19="",EK$20="",EK$21=""),"",SUM($C15:EK15))</f>
        <v>405.19000000000005</v>
      </c>
      <c r="EL82" s="114">
        <f>IF(OR(EL$13="",EL$17="",EL$14="",EL$15="",EL$16="",EL$18="",EL$19="",EL$20="",EL$21=""),"",SUM($C15:EL15))</f>
        <v>411.36000000000007</v>
      </c>
      <c r="EM82" s="114">
        <f>IF(OR(EM$13="",EM$17="",EM$14="",EM$15="",EM$16="",EM$18="",EM$19="",EM$20="",EM$21=""),"",SUM($C15:EM15))</f>
        <v>411.36000000000007</v>
      </c>
      <c r="EN82" s="114">
        <f>IF(OR(EN$13="",EN$17="",EN$14="",EN$15="",EN$16="",EN$18="",EN$19="",EN$20="",EN$21=""),"",SUM($C15:EN15))</f>
        <v>413.46000000000009</v>
      </c>
      <c r="EO82" s="114">
        <f>IF(OR(EO$13="",EO$17="",EO$14="",EO$15="",EO$16="",EO$18="",EO$19="",EO$20="",EO$21=""),"",SUM($C15:EO15))</f>
        <v>437.46000000000009</v>
      </c>
      <c r="EP82" s="114">
        <f>IF(OR(EP$13="",EP$17="",EP$14="",EP$15="",EP$16="",EP$18="",EP$19="",EP$20="",EP$21=""),"",SUM($C15:EP15))</f>
        <v>457.46000000000009</v>
      </c>
      <c r="EQ82" s="114">
        <f>IF(OR(EQ$13="",EQ$17="",EQ$14="",EQ$15="",EQ$16="",EQ$18="",EQ$19="",EQ$20="",EQ$21=""),"",SUM($C15:EQ15))</f>
        <v>457.46000000000009</v>
      </c>
      <c r="ER82" s="114">
        <f>IF(OR(ER$13="",ER$17="",ER$14="",ER$15="",ER$16="",ER$18="",ER$19="",ER$20="",ER$21=""),"",SUM($C15:ER15))</f>
        <v>457.46000000000009</v>
      </c>
      <c r="ES82" s="114">
        <f>IF(OR(ES$13="",ES$17="",ES$14="",ES$15="",ES$16="",ES$18="",ES$19="",ES$20="",ES$21=""),"",SUM($C15:ES15))</f>
        <v>462.7600000000001</v>
      </c>
      <c r="ET82" s="114">
        <f>IF(OR(ET$13="",ET$17="",ET$14="",ET$15="",ET$16="",ET$18="",ET$19="",ET$20="",ET$21=""),"",SUM($C15:ET15))</f>
        <v>464.2600000000001</v>
      </c>
      <c r="EU82" s="114">
        <f>IF(OR(EU$13="",EU$17="",EU$14="",EU$15="",EU$16="",EU$18="",EU$19="",EU$20="",EU$21=""),"",SUM($C15:EU15))</f>
        <v>464.2600000000001</v>
      </c>
      <c r="EV82" s="114">
        <f>IF(OR(EV$13="",EV$17="",EV$14="",EV$15="",EV$16="",EV$18="",EV$19="",EV$20="",EV$21=""),"",SUM($C15:EV15))</f>
        <v>464.2600000000001</v>
      </c>
      <c r="EW82" s="114">
        <f>IF(OR(EW$13="",EW$17="",EW$14="",EW$15="",EW$16="",EW$18="",EW$19="",EW$20="",EW$21=""),"",SUM($C15:EW15))</f>
        <v>464.2600000000001</v>
      </c>
      <c r="EX82" s="114">
        <f>IF(OR(EX$13="",EX$17="",EX$14="",EX$15="",EX$16="",EX$18="",EX$19="",EX$20="",EX$21=""),"",SUM($C15:EX15))</f>
        <v>464.2600000000001</v>
      </c>
      <c r="EY82" s="114">
        <f>IF(OR(EY$13="",EY$17="",EY$14="",EY$15="",EY$16="",EY$18="",EY$19="",EY$20="",EY$21=""),"",SUM($C15:EY15))</f>
        <v>464.2600000000001</v>
      </c>
      <c r="EZ82" s="114">
        <f>IF(OR(EZ$13="",EZ$17="",EZ$14="",EZ$15="",EZ$16="",EZ$18="",EZ$19="",EZ$20="",EZ$21=""),"",SUM($C15:EZ15))</f>
        <v>464.2600000000001</v>
      </c>
      <c r="FA82" s="114">
        <f>IF(OR(FA$13="",FA$17="",FA$14="",FA$15="",FA$16="",FA$18="",FA$19="",FA$20="",FA$21=""),"",SUM($C15:FA15))</f>
        <v>464.2600000000001</v>
      </c>
      <c r="FB82" s="114">
        <f>IF(OR(FB$13="",FB$17="",FB$14="",FB$15="",FB$16="",FB$18="",FB$19="",FB$20="",FB$21=""),"",SUM($C15:FB15))</f>
        <v>464.2600000000001</v>
      </c>
      <c r="FC82" s="114">
        <f>IF(OR(FC$13="",FC$17="",FC$14="",FC$15="",FC$16="",FC$18="",FC$19="",FC$20="",FC$21=""),"",SUM($C15:FC15))</f>
        <v>464.2600000000001</v>
      </c>
      <c r="FD82" s="114">
        <f>IF(OR(FD$13="",FD$17="",FD$14="",FD$15="",FD$16="",FD$18="",FD$19="",FD$20="",FD$21=""),"",SUM($C15:FD15))</f>
        <v>464.2600000000001</v>
      </c>
      <c r="FE82" s="114">
        <f>IF(OR(FE$13="",FE$17="",FE$14="",FE$15="",FE$16="",FE$18="",FE$19="",FE$20="",FE$21=""),"",SUM($C15:FE15))</f>
        <v>464.29000000000008</v>
      </c>
      <c r="FF82" s="114">
        <f>IF(OR(FF$13="",FF$17="",FF$14="",FF$15="",FF$16="",FF$18="",FF$19="",FF$20="",FF$21=""),"",SUM($C15:FF15))</f>
        <v>464.29000000000008</v>
      </c>
      <c r="FG82" s="114">
        <f>IF(OR(FG$13="",FG$17="",FG$14="",FG$15="",FG$16="",FG$18="",FG$19="",FG$20="",FG$21=""),"",SUM($C15:FG15))</f>
        <v>477.37000000000006</v>
      </c>
      <c r="FH82" s="114">
        <f>IF(OR(FH$13="",FH$17="",FH$14="",FH$15="",FH$16="",FH$18="",FH$19="",FH$20="",FH$21=""),"",SUM($C15:FH15))</f>
        <v>477.37000000000006</v>
      </c>
      <c r="FI82" s="114">
        <f>IF(OR(FI$13="",FI$17="",FI$14="",FI$15="",FI$16="",FI$18="",FI$19="",FI$20="",FI$21=""),"",SUM($C15:FI15))</f>
        <v>477.64000000000004</v>
      </c>
      <c r="FJ82" s="114">
        <f>IF(OR(FJ$13="",FJ$17="",FJ$14="",FJ$15="",FJ$16="",FJ$18="",FJ$19="",FJ$20="",FJ$21=""),"",SUM($C15:FJ15))</f>
        <v>477.64000000000004</v>
      </c>
      <c r="FK82" s="114">
        <f>IF(OR(FK$13="",FK$17="",FK$14="",FK$15="",FK$16="",FK$18="",FK$19="",FK$20="",FK$21=""),"",SUM($C15:FK15))</f>
        <v>477.64000000000004</v>
      </c>
      <c r="FL82" s="114">
        <f>IF(OR(FL$13="",FL$17="",FL$14="",FL$15="",FL$16="",FL$18="",FL$19="",FL$20="",FL$21=""),"",SUM($C15:FL15))</f>
        <v>480.84000000000003</v>
      </c>
      <c r="FM82" s="114">
        <f>IF(OR(FM$13="",FM$17="",FM$14="",FM$15="",FM$16="",FM$18="",FM$19="",FM$20="",FM$21=""),"",SUM($C15:FM15))</f>
        <v>480.84000000000003</v>
      </c>
      <c r="FN82" s="114">
        <f>IF(OR(FN$13="",FN$17="",FN$14="",FN$15="",FN$16="",FN$18="",FN$19="",FN$20="",FN$21=""),"",SUM($C15:FN15))</f>
        <v>480.84000000000003</v>
      </c>
      <c r="FO82" s="114">
        <f>IF(OR(FO$13="",FO$17="",FO$14="",FO$15="",FO$16="",FO$18="",FO$19="",FO$20="",FO$21=""),"",SUM($C15:FO15))</f>
        <v>480.84000000000003</v>
      </c>
      <c r="FP82" s="114">
        <f>IF(OR(FP$13="",FP$17="",FP$14="",FP$15="",FP$16="",FP$18="",FP$19="",FP$20="",FP$21=""),"",SUM($C15:FP15))</f>
        <v>480.84000000000003</v>
      </c>
      <c r="FQ82" s="114">
        <f>IF(OR(FQ$13="",FQ$17="",FQ$14="",FQ$15="",FQ$16="",FQ$18="",FQ$19="",FQ$20="",FQ$21=""),"",SUM($C15:FQ15))</f>
        <v>480.84000000000003</v>
      </c>
      <c r="FR82" s="114">
        <f>IF(OR(FR$13="",FR$17="",FR$14="",FR$15="",FR$16="",FR$18="",FR$19="",FR$20="",FR$21=""),"",SUM($C15:FR15))</f>
        <v>482.96000000000004</v>
      </c>
      <c r="FS82" s="114">
        <f>IF(OR(FS$13="",FS$17="",FS$14="",FS$15="",FS$16="",FS$18="",FS$19="",FS$20="",FS$21=""),"",SUM($C15:FS15))</f>
        <v>482.96000000000004</v>
      </c>
      <c r="FT82" s="114">
        <f>IF(OR(FT$13="",FT$17="",FT$14="",FT$15="",FT$16="",FT$18="",FT$19="",FT$20="",FT$21=""),"",SUM($C15:FT15))</f>
        <v>482.96000000000004</v>
      </c>
      <c r="FU82" s="114">
        <f>IF(OR(FU$13="",FU$17="",FU$14="",FU$15="",FU$16="",FU$18="",FU$19="",FU$20="",FU$21=""),"",SUM($C15:FU15))</f>
        <v>490.13000000000005</v>
      </c>
      <c r="FV82" s="114">
        <f>IF(OR(FV$13="",FV$17="",FV$14="",FV$15="",FV$16="",FV$18="",FV$19="",FV$20="",FV$21=""),"",SUM($C15:FV15))</f>
        <v>499.71000000000004</v>
      </c>
      <c r="FW82" s="114">
        <f>IF(OR(FW$13="",FW$17="",FW$14="",FW$15="",FW$16="",FW$18="",FW$19="",FW$20="",FW$21=""),"",SUM($C15:FW15))</f>
        <v>505.59000000000003</v>
      </c>
      <c r="FX82" s="114">
        <f>IF(OR(FX$13="",FX$17="",FX$14="",FX$15="",FX$16="",FX$18="",FX$19="",FX$20="",FX$21=""),"",SUM($C15:FX15))</f>
        <v>505.59000000000003</v>
      </c>
      <c r="FY82" s="114">
        <f>IF(OR(FY$13="",FY$17="",FY$14="",FY$15="",FY$16="",FY$18="",FY$19="",FY$20="",FY$21=""),"",SUM($C15:FY15))</f>
        <v>505.59000000000003</v>
      </c>
      <c r="FZ82" s="114">
        <f>IF(OR(FZ$13="",FZ$17="",FZ$14="",FZ$15="",FZ$16="",FZ$18="",FZ$19="",FZ$20="",FZ$21=""),"",SUM($C15:FZ15))</f>
        <v>505.59000000000003</v>
      </c>
      <c r="GA82" s="114">
        <f>IF(OR(GA$13="",GA$17="",GA$14="",GA$15="",GA$16="",GA$18="",GA$19="",GA$20="",GA$21=""),"",SUM($C15:GA15))</f>
        <v>506.89000000000004</v>
      </c>
      <c r="GB82" s="114">
        <f>IF(OR(GB$13="",GB$17="",GB$14="",GB$15="",GB$16="",GB$18="",GB$19="",GB$20="",GB$21=""),"",SUM($C15:GB15))</f>
        <v>506.89000000000004</v>
      </c>
      <c r="GC82" s="114">
        <f>IF(OR(GC$13="",GC$17="",GC$14="",GC$15="",GC$16="",GC$18="",GC$19="",GC$20="",GC$21=""),"",SUM($C15:GC15))</f>
        <v>506.89000000000004</v>
      </c>
      <c r="GD82" s="114">
        <f>IF(OR(GD$13="",GD$17="",GD$14="",GD$15="",GD$16="",GD$18="",GD$19="",GD$20="",GD$21=""),"",SUM($C15:GD15))</f>
        <v>506.89000000000004</v>
      </c>
      <c r="GE82" s="114">
        <f>IF(OR(GE$13="",GE$17="",GE$14="",GE$15="",GE$16="",GE$18="",GE$19="",GE$20="",GE$21=""),"",SUM($C15:GE15))</f>
        <v>506.89000000000004</v>
      </c>
      <c r="GF82" s="114">
        <f>IF(OR(GF$13="",GF$17="",GF$14="",GF$15="",GF$16="",GF$18="",GF$19="",GF$20="",GF$21=""),"",SUM($C15:GF15))</f>
        <v>509.91</v>
      </c>
      <c r="GG82" s="114">
        <f>IF(OR(GG$13="",GG$17="",GG$14="",GG$15="",GG$16="",GG$18="",GG$19="",GG$20="",GG$21=""),"",SUM($C15:GG15))</f>
        <v>509.91</v>
      </c>
      <c r="GH82" s="114">
        <f>IF(OR(GH$13="",GH$17="",GH$14="",GH$15="",GH$16="",GH$18="",GH$19="",GH$20="",GH$21=""),"",SUM($C15:GH15))</f>
        <v>509.91</v>
      </c>
      <c r="GI82" s="114">
        <f>IF(OR(GI$13="",GI$17="",GI$14="",GI$15="",GI$16="",GI$18="",GI$19="",GI$20="",GI$21=""),"",SUM($C15:GI15))</f>
        <v>516.33000000000004</v>
      </c>
      <c r="GJ82" s="114">
        <f>IF(OR(GJ$13="",GJ$17="",GJ$14="",GJ$15="",GJ$16="",GJ$18="",GJ$19="",GJ$20="",GJ$21=""),"",SUM($C15:GJ15))</f>
        <v>522.35</v>
      </c>
      <c r="GK82" s="114">
        <f>IF(OR(GK$13="",GK$17="",GK$14="",GK$15="",GK$16="",GK$18="",GK$19="",GK$20="",GK$21=""),"",SUM($C15:GK15))</f>
        <v>522.35</v>
      </c>
      <c r="GL82" s="114">
        <f>IF(OR(GL$13="",GL$17="",GL$14="",GL$15="",GL$16="",GL$18="",GL$19="",GL$20="",GL$21=""),"",SUM($C15:GL15))</f>
        <v>713.23</v>
      </c>
      <c r="GM82" s="114">
        <f>IF(OR(GM$13="",GM$17="",GM$14="",GM$15="",GM$16="",GM$18="",GM$19="",GM$20="",GM$21=""),"",SUM($C15:GM15))</f>
        <v>713.23</v>
      </c>
      <c r="GN82" s="114">
        <f>IF(OR(GN$13="",GN$17="",GN$14="",GN$15="",GN$16="",GN$18="",GN$19="",GN$20="",GN$21=""),"",SUM($C15:GN15))</f>
        <v>713.23</v>
      </c>
      <c r="GO82" s="114">
        <f>IF(OR(GO$13="",GO$17="",GO$14="",GO$15="",GO$16="",GO$18="",GO$19="",GO$20="",GO$21=""),"",SUM($C15:GO15))</f>
        <v>713.23</v>
      </c>
      <c r="GP82" s="114">
        <f>IF(OR(GP$13="",GP$17="",GP$14="",GP$15="",GP$16="",GP$18="",GP$19="",GP$20="",GP$21=""),"",SUM($C15:GP15))</f>
        <v>713.23</v>
      </c>
      <c r="GQ82" s="114">
        <f>IF(OR(GQ$13="",GQ$17="",GQ$14="",GQ$15="",GQ$16="",GQ$18="",GQ$19="",GQ$20="",GQ$21=""),"",SUM($C15:GQ15))</f>
        <v>713.23</v>
      </c>
      <c r="GR82" s="114">
        <f>IF(OR(GR$13="",GR$17="",GR$14="",GR$15="",GR$16="",GR$18="",GR$19="",GR$20="",GR$21=""),"",SUM($C15:GR15))</f>
        <v>713.23</v>
      </c>
      <c r="GS82" s="114">
        <f>IF(OR(GS$13="",GS$17="",GS$14="",GS$15="",GS$16="",GS$18="",GS$19="",GS$20="",GS$21=""),"",SUM($C15:GS15))</f>
        <v>713.23</v>
      </c>
      <c r="GT82" s="114">
        <f>IF(OR(GT$13="",GT$17="",GT$14="",GT$15="",GT$16="",GT$18="",GT$19="",GT$20="",GT$21=""),"",SUM($C15:GT15))</f>
        <v>713.23</v>
      </c>
      <c r="GU82" s="114">
        <f>IF(OR(GU$13="",GU$17="",GU$14="",GU$15="",GU$16="",GU$18="",GU$19="",GU$20="",GU$21=""),"",SUM($C15:GU15))</f>
        <v>713.23</v>
      </c>
      <c r="GV82" s="114">
        <f>IF(OR(GV$13="",GV$17="",GV$14="",GV$15="",GV$16="",GV$18="",GV$19="",GV$20="",GV$21=""),"",SUM($C15:GV15))</f>
        <v>713.23</v>
      </c>
      <c r="GW82" s="114">
        <f>IF(OR(GW$13="",GW$17="",GW$14="",GW$15="",GW$16="",GW$18="",GW$19="",GW$20="",GW$21=""),"",SUM($C15:GW15))</f>
        <v>718.23</v>
      </c>
      <c r="GX82" s="114">
        <f>IF(OR(GX$13="",GX$17="",GX$14="",GX$15="",GX$16="",GX$18="",GX$19="",GX$20="",GX$21=""),"",SUM($C15:GX15))</f>
        <v>718.23</v>
      </c>
      <c r="GY82" s="114">
        <f>IF(OR(GY$13="",GY$17="",GY$14="",GY$15="",GY$16="",GY$18="",GY$19="",GY$20="",GY$21=""),"",SUM($C15:GY15))</f>
        <v>718.23</v>
      </c>
      <c r="GZ82" s="114">
        <f>IF(OR(GZ$13="",GZ$17="",GZ$14="",GZ$15="",GZ$16="",GZ$18="",GZ$19="",GZ$20="",GZ$21=""),"",SUM($C15:GZ15))</f>
        <v>718.23</v>
      </c>
      <c r="HA82" s="114">
        <f>IF(OR(HA$13="",HA$17="",HA$14="",HA$15="",HA$16="",HA$18="",HA$19="",HA$20="",HA$21=""),"",SUM($C15:HA15))</f>
        <v>718.23</v>
      </c>
      <c r="HB82" s="114">
        <f>IF(OR(HB$13="",HB$17="",HB$14="",HB$15="",HB$16="",HB$18="",HB$19="",HB$20="",HB$21=""),"",SUM($C15:HB15))</f>
        <v>718.23</v>
      </c>
      <c r="HC82" s="114">
        <f>IF(OR(HC$13="",HC$17="",HC$14="",HC$15="",HC$16="",HC$18="",HC$19="",HC$20="",HC$21=""),"",SUM($C15:HC15))</f>
        <v>718.23</v>
      </c>
      <c r="HD82" s="114">
        <f>IF(OR(HD$13="",HD$17="",HD$14="",HD$15="",HD$16="",HD$18="",HD$19="",HD$20="",HD$21=""),"",SUM($C15:HD15))</f>
        <v>718.23</v>
      </c>
      <c r="HE82" s="114">
        <f>IF(OR(HE$13="",HE$17="",HE$14="",HE$15="",HE$16="",HE$18="",HE$19="",HE$20="",HE$21=""),"",SUM($C15:HE15))</f>
        <v>718.23</v>
      </c>
      <c r="HF82" s="114">
        <f>IF(OR(HF$13="",HF$17="",HF$14="",HF$15="",HF$16="",HF$18="",HF$19="",HF$20="",HF$21=""),"",SUM($C15:HF15))</f>
        <v>733.4</v>
      </c>
      <c r="HG82" s="114">
        <f>IF(OR(HG$13="",HG$17="",HG$14="",HG$15="",HG$16="",HG$18="",HG$19="",HG$20="",HG$21=""),"",SUM($C15:HG15))</f>
        <v>733.4</v>
      </c>
      <c r="HH82" s="114">
        <f>IF(OR(HH$13="",HH$17="",HH$14="",HH$15="",HH$16="",HH$18="",HH$19="",HH$20="",HH$21=""),"",SUM($C15:HH15))</f>
        <v>733.4</v>
      </c>
      <c r="HI82" s="114">
        <f>IF(OR(HI$13="",HI$17="",HI$14="",HI$15="",HI$16="",HI$18="",HI$19="",HI$20="",HI$21=""),"",SUM($C15:HI15))</f>
        <v>733.4</v>
      </c>
      <c r="HJ82" s="114">
        <f>IF(OR(HJ$13="",HJ$17="",HJ$14="",HJ$15="",HJ$16="",HJ$18="",HJ$19="",HJ$20="",HJ$21=""),"",SUM($C15:HJ15))</f>
        <v>733.4</v>
      </c>
      <c r="HK82" s="114">
        <f>IF(OR(HK$13="",HK$17="",HK$14="",HK$15="",HK$16="",HK$18="",HK$19="",HK$20="",HK$21=""),"",SUM($C15:HK15))</f>
        <v>733.4</v>
      </c>
      <c r="HL82" s="114">
        <f>IF(OR(HL$13="",HL$17="",HL$14="",HL$15="",HL$16="",HL$18="",HL$19="",HL$20="",HL$21=""),"",SUM($C15:HL15))</f>
        <v>733.4</v>
      </c>
      <c r="HM82" s="114">
        <f>IF(OR(HM$13="",HM$17="",HM$14="",HM$15="",HM$16="",HM$18="",HM$19="",HM$20="",HM$21=""),"",SUM($C15:HM15))</f>
        <v>733.4</v>
      </c>
      <c r="HN82" s="114">
        <f>IF(OR(HN$13="",HN$17="",HN$14="",HN$15="",HN$16="",HN$18="",HN$19="",HN$20="",HN$21=""),"",SUM($C15:HN15))</f>
        <v>733.4</v>
      </c>
      <c r="HO82" s="114">
        <f>IF(OR(HO$13="",HO$17="",HO$14="",HO$15="",HO$16="",HO$18="",HO$19="",HO$20="",HO$21=""),"",SUM($C15:HO15))</f>
        <v>733.4</v>
      </c>
      <c r="HP82" s="114">
        <f>IF(OR(HP$13="",HP$17="",HP$14="",HP$15="",HP$16="",HP$18="",HP$19="",HP$20="",HP$21=""),"",SUM($C15:HP15))</f>
        <v>733.4</v>
      </c>
      <c r="HQ82" s="114">
        <f>IF(OR(HQ$13="",HQ$17="",HQ$14="",HQ$15="",HQ$16="",HQ$18="",HQ$19="",HQ$20="",HQ$21=""),"",SUM($C15:HQ15))</f>
        <v>733.4</v>
      </c>
      <c r="HR82" s="114">
        <f>IF(OR(HR$13="",HR$17="",HR$14="",HR$15="",HR$16="",HR$18="",HR$19="",HR$20="",HR$21=""),"",SUM($C15:HR15))</f>
        <v>733.4</v>
      </c>
      <c r="HS82" s="114">
        <f>IF(OR(HS$13="",HS$17="",HS$14="",HS$15="",HS$16="",HS$18="",HS$19="",HS$20="",HS$21=""),"",SUM($C15:HS15))</f>
        <v>733.4</v>
      </c>
      <c r="HT82" s="114">
        <f>IF(OR(HT$13="",HT$17="",HT$14="",HT$15="",HT$16="",HT$18="",HT$19="",HT$20="",HT$21=""),"",SUM($C15:HT15))</f>
        <v>733.4</v>
      </c>
      <c r="HU82" s="114">
        <f>IF(OR(HU$13="",HU$17="",HU$14="",HU$15="",HU$16="",HU$18="",HU$19="",HU$20="",HU$21=""),"",SUM($C15:HU15))</f>
        <v>733.4</v>
      </c>
      <c r="HV82" s="114">
        <f>IF(OR(HV$13="",HV$17="",HV$14="",HV$15="",HV$16="",HV$18="",HV$19="",HV$20="",HV$21=""),"",SUM($C15:HV15))</f>
        <v>733.4</v>
      </c>
      <c r="HW82" s="114">
        <f>IF(OR(HW$13="",HW$17="",HW$14="",HW$15="",HW$16="",HW$18="",HW$19="",HW$20="",HW$21=""),"",SUM($C15:HW15))</f>
        <v>743.46194444444438</v>
      </c>
      <c r="HX82" s="114">
        <f>IF(OR(HX$13="",HX$17="",HX$14="",HX$15="",HX$16="",HX$18="",HX$19="",HX$20="",HX$21=""),"",SUM($C15:HX15))</f>
        <v>743.46194444444438</v>
      </c>
      <c r="HY82" s="114">
        <f>IF(OR(HY$13="",HY$17="",HY$14="",HY$15="",HY$16="",HY$18="",HY$19="",HY$20="",HY$21=""),"",SUM($C15:HY15))</f>
        <v>743.57583333333332</v>
      </c>
      <c r="HZ82" s="114">
        <f>IF(OR(HZ$13="",HZ$17="",HZ$14="",HZ$15="",HZ$16="",HZ$18="",HZ$19="",HZ$20="",HZ$21=""),"",SUM($C15:HZ15))</f>
        <v>756.59749999999997</v>
      </c>
      <c r="IA82" s="114">
        <f>IF(OR(IA$13="",IA$17="",IA$14="",IA$15="",IA$16="",IA$18="",IA$19="",IA$20="",IA$21=""),"",SUM($C15:IA15))</f>
        <v>756.59749999999997</v>
      </c>
      <c r="IB82" s="114">
        <f>IF(OR(IB$13="",IB$17="",IB$14="",IB$15="",IB$16="",IB$18="",IB$19="",IB$20="",IB$21=""),"",SUM($C15:IB15))</f>
        <v>756.59749999999997</v>
      </c>
      <c r="IC82" s="114">
        <f>IF(OR(IC$13="",IC$17="",IC$14="",IC$15="",IC$16="",IC$18="",IC$19="",IC$20="",IC$21=""),"",SUM($C15:IC15))</f>
        <v>756.59749999999997</v>
      </c>
      <c r="ID82" s="114">
        <f>IF(OR(ID$13="",ID$17="",ID$14="",ID$15="",ID$16="",ID$18="",ID$19="",ID$20="",ID$21=""),"",SUM($C15:ID15))</f>
        <v>760.24749999999995</v>
      </c>
      <c r="IE82" s="114">
        <f>IF(OR(IE$13="",IE$17="",IE$14="",IE$15="",IE$16="",IE$18="",IE$19="",IE$20="",IE$21=""),"",SUM($C15:IE15))</f>
        <v>760.24749999999995</v>
      </c>
      <c r="IF82" s="114">
        <f>IF(OR(IF$13="",IF$17="",IF$14="",IF$15="",IF$16="",IF$18="",IF$19="",IF$20="",IF$21=""),"",SUM($C15:IF15))</f>
        <v>760.24749999999995</v>
      </c>
      <c r="IG82" s="114">
        <f>IF(OR(IG$13="",IG$17="",IG$14="",IG$15="",IG$16="",IG$18="",IG$19="",IG$20="",IG$21=""),"",SUM($C15:IG15))</f>
        <v>760.24749999999995</v>
      </c>
      <c r="IH82" s="114">
        <f>IF(OR(IH$13="",IH$17="",IH$14="",IH$15="",IH$16="",IH$18="",IH$19="",IH$20="",IH$21=""),"",SUM($C15:IH15))</f>
        <v>760.24749999999995</v>
      </c>
      <c r="II82" s="114">
        <f>IF(OR(II$13="",II$17="",II$14="",II$15="",II$16="",II$18="",II$19="",II$20="",II$21=""),"",SUM($C15:II15))</f>
        <v>760.24749999999995</v>
      </c>
      <c r="IJ82" s="114">
        <f>IF(OR(IJ$13="",IJ$17="",IJ$14="",IJ$15="",IJ$16="",IJ$18="",IJ$19="",IJ$20="",IJ$21=""),"",SUM($C15:IJ15))</f>
        <v>760.24749999999995</v>
      </c>
      <c r="IK82" s="114">
        <f>IF(OR(IK$13="",IK$17="",IK$14="",IK$15="",IK$16="",IK$18="",IK$19="",IK$20="",IK$21=""),"",SUM($C15:IK15))</f>
        <v>760.24749999999995</v>
      </c>
      <c r="IL82" s="114">
        <f>IF(OR(IL$13="",IL$17="",IL$14="",IL$15="",IL$16="",IL$18="",IL$19="",IL$20="",IL$21=""),"",SUM($C15:IL15))</f>
        <v>764.12611111111107</v>
      </c>
      <c r="IM82" s="114">
        <f>IF(OR(IM$13="",IM$17="",IM$14="",IM$15="",IM$16="",IM$18="",IM$19="",IM$20="",IM$21=""),"",SUM($C15:IM15))</f>
        <v>764.12611111111107</v>
      </c>
      <c r="IN82" s="114">
        <f>IF(OR(IN$13="",IN$17="",IN$14="",IN$15="",IN$16="",IN$18="",IN$19="",IN$20="",IN$21=""),"",SUM($C15:IN15))</f>
        <v>764.12611111111107</v>
      </c>
      <c r="IO82" s="114">
        <f>IF(OR(IO$13="",IO$17="",IO$14="",IO$15="",IO$16="",IO$18="",IO$19="",IO$20="",IO$21=""),"",SUM($C15:IO15))</f>
        <v>764.12611111111107</v>
      </c>
      <c r="IP82" s="114">
        <f>IF(OR(IP$13="",IP$17="",IP$14="",IP$15="",IP$16="",IP$18="",IP$19="",IP$20="",IP$21=""),"",SUM($C15:IP15))</f>
        <v>764.12611111111107</v>
      </c>
      <c r="IQ82" s="114">
        <f>IF(OR(IQ$13="",IQ$17="",IQ$14="",IQ$15="",IQ$16="",IQ$18="",IQ$19="",IQ$20="",IQ$21=""),"",SUM($C15:IQ15))</f>
        <v>764.12611111111107</v>
      </c>
      <c r="IR82" s="114">
        <f>IF(OR(IR$13="",IR$17="",IR$14="",IR$15="",IR$16="",IR$18="",IR$19="",IR$20="",IR$21=""),"",SUM($C15:IR15))</f>
        <v>765.4799999999999</v>
      </c>
      <c r="IS82" s="114">
        <f>IF(OR(IS$13="",IS$17="",IS$14="",IS$15="",IS$16="",IS$18="",IS$19="",IS$20="",IS$21=""),"",SUM($C15:IS15))</f>
        <v>769.5427777777777</v>
      </c>
      <c r="IT82" s="114">
        <f>IF(OR(IT$13="",IT$17="",IT$14="",IT$15="",IT$16="",IT$18="",IT$19="",IT$20="",IT$21=""),"",SUM($C15:IT15))</f>
        <v>788.88638888888886</v>
      </c>
      <c r="IU82" s="114">
        <f>IF(OR(IU$13="",IU$17="",IU$14="",IU$15="",IU$16="",IU$18="",IU$19="",IU$20="",IU$21=""),"",SUM($C15:IU15))</f>
        <v>812.75749999999994</v>
      </c>
      <c r="IV82" s="114">
        <f>IF(OR(IV$13="",IV$17="",IV$14="",IV$15="",IV$16="",IV$18="",IV$19="",IV$20="",IV$21=""),"",SUM($C15:IV15))</f>
        <v>836.75749999999994</v>
      </c>
      <c r="IW82" s="114">
        <f>IF(OR(IW$13="",IW$17="",IW$14="",IW$15="",IW$16="",IW$18="",IW$19="",IW$20="",IW$21=""),"",SUM($C15:IW15))</f>
        <v>860.75749999999994</v>
      </c>
      <c r="IX82" s="114">
        <f>IF(OR(IX$13="",IX$17="",IX$14="",IX$15="",IX$16="",IX$18="",IX$19="",IX$20="",IX$21=""),"",SUM($C15:IX15))</f>
        <v>884.75749999999994</v>
      </c>
      <c r="IY82" s="114">
        <f>IF(OR(IY$13="",IY$17="",IY$14="",IY$15="",IY$16="",IY$18="",IY$19="",IY$20="",IY$21=""),"",SUM($C15:IY15))</f>
        <v>899.96583333333331</v>
      </c>
      <c r="IZ82" s="114">
        <f>IF(OR(IZ$13="",IZ$17="",IZ$14="",IZ$15="",IZ$16="",IZ$18="",IZ$19="",IZ$20="",IZ$21=""),"",SUM($C15:IZ15))</f>
        <v>899.96583333333331</v>
      </c>
      <c r="JA82" s="114">
        <f>IF(OR(JA$13="",JA$17="",JA$14="",JA$15="",JA$16="",JA$18="",JA$19="",JA$20="",JA$21=""),"",SUM($C15:JA15))</f>
        <v>899.96583333333331</v>
      </c>
      <c r="JB82" s="114">
        <f>IF(OR(JB$13="",JB$17="",JB$14="",JB$15="",JB$16="",JB$18="",JB$19="",JB$20="",JB$21=""),"",SUM($C15:JB15))</f>
        <v>899.96583333333331</v>
      </c>
      <c r="JC82" s="114">
        <f>IF(OR(JC$13="",JC$17="",JC$14="",JC$15="",JC$16="",JC$18="",JC$19="",JC$20="",JC$21=""),"",SUM($C15:JC15))</f>
        <v>899.96583333333331</v>
      </c>
      <c r="JD82" s="114">
        <f>IF(OR(JD$13="",JD$17="",JD$14="",JD$15="",JD$16="",JD$18="",JD$19="",JD$20="",JD$21=""),"",SUM($C15:JD15))</f>
        <v>899.96583333333331</v>
      </c>
      <c r="JE82" s="114">
        <f>IF(OR(JE$13="",JE$17="",JE$14="",JE$15="",JE$16="",JE$18="",JE$19="",JE$20="",JE$21=""),"",SUM($C15:JE15))</f>
        <v>902.43027777777775</v>
      </c>
      <c r="JF82" s="114">
        <f>IF(OR(JF$13="",JF$17="",JF$14="",JF$15="",JF$16="",JF$18="",JF$19="",JF$20="",JF$21=""),"",SUM($C15:JF15))</f>
        <v>902.43027777777775</v>
      </c>
      <c r="JG82" s="114">
        <f>IF(OR(JG$13="",JG$17="",JG$14="",JG$15="",JG$16="",JG$18="",JG$19="",JG$20="",JG$21=""),"",SUM($C15:JG15))</f>
        <v>902.43027777777775</v>
      </c>
      <c r="JH82" s="114">
        <f>IF(OR(JH$13="",JH$17="",JH$14="",JH$15="",JH$16="",JH$18="",JH$19="",JH$20="",JH$21=""),"",SUM($C15:JH15))</f>
        <v>902.43027777777775</v>
      </c>
      <c r="JI82" s="114">
        <f>IF(OR(JI$13="",JI$17="",JI$14="",JI$15="",JI$16="",JI$18="",JI$19="",JI$20="",JI$21=""),"",SUM($C15:JI15))</f>
        <v>902.48222222222216</v>
      </c>
      <c r="JJ82" s="114">
        <f>IF(OR(JJ$13="",JJ$17="",JJ$14="",JJ$15="",JJ$16="",JJ$18="",JJ$19="",JJ$20="",JJ$21=""),"",SUM($C15:JJ15))</f>
        <v>902.92388888888888</v>
      </c>
      <c r="JK82" s="114">
        <f>IF(OR(JK$13="",JK$17="",JK$14="",JK$15="",JK$16="",JK$18="",JK$19="",JK$20="",JK$21=""),"",SUM($C15:JK15))</f>
        <v>903.12555555555559</v>
      </c>
      <c r="JL82" s="114">
        <f>IF(OR(JL$13="",JL$17="",JL$14="",JL$15="",JL$16="",JL$18="",JL$19="",JL$20="",JL$21=""),"",SUM($C15:JL15))</f>
        <v>903.12555555555559</v>
      </c>
      <c r="JM82" s="114">
        <f>IF(OR(JM$13="",JM$17="",JM$14="",JM$15="",JM$16="",JM$18="",JM$19="",JM$20="",JM$21=""),"",SUM($C15:JM15))</f>
        <v>903.12555555555559</v>
      </c>
      <c r="JN82" s="114">
        <f>IF(OR(JN$13="",JN$17="",JN$14="",JN$15="",JN$16="",JN$18="",JN$19="",JN$20="",JN$21=""),"",SUM($C15:JN15))</f>
        <v>912.23055555555561</v>
      </c>
      <c r="JO82" s="114">
        <f>IF(OR(JO$13="",JO$17="",JO$14="",JO$15="",JO$16="",JO$18="",JO$19="",JO$20="",JO$21=""),"",SUM($C15:JO15))</f>
        <v>913.23055555555561</v>
      </c>
      <c r="JP82" s="114">
        <f>IF(OR(JP$13="",JP$17="",JP$14="",JP$15="",JP$16="",JP$18="",JP$19="",JP$20="",JP$21=""),"",SUM($C15:JP15))</f>
        <v>915.6830555555556</v>
      </c>
      <c r="JQ82" s="114">
        <f>IF(OR(JQ$13="",JQ$17="",JQ$14="",JQ$15="",JQ$16="",JQ$18="",JQ$19="",JQ$20="",JQ$21=""),"",SUM($C15:JQ15))</f>
        <v>916.6830555555556</v>
      </c>
      <c r="JR82" s="114">
        <f>IF(OR(JR$13="",JR$17="",JR$14="",JR$15="",JR$16="",JR$18="",JR$19="",JR$20="",JR$21=""),"",SUM($C15:JR15))</f>
        <v>923.4330555555556</v>
      </c>
      <c r="JS82" s="114">
        <f>IF(OR(JS$13="",JS$17="",JS$14="",JS$15="",JS$16="",JS$18="",JS$19="",JS$20="",JS$21=""),"",SUM($C15:JS15))</f>
        <v>926.4330555555556</v>
      </c>
      <c r="JT82" s="114">
        <f>IF(OR(JT$13="",JT$17="",JT$14="",JT$15="",JT$16="",JT$18="",JT$19="",JT$20="",JT$21=""),"",SUM($C15:JT15))</f>
        <v>928.11305555555555</v>
      </c>
      <c r="JU82" s="114">
        <f>IF(OR(JU$13="",JU$17="",JU$14="",JU$15="",JU$16="",JU$18="",JU$19="",JU$20="",JU$21=""),"",SUM($C15:JU15))</f>
        <v>928.11305555555555</v>
      </c>
      <c r="JV82" s="114">
        <f>IF(OR(JV$13="",JV$17="",JV$14="",JV$15="",JV$16="",JV$18="",JV$19="",JV$20="",JV$21=""),"",SUM($C15:JV15))</f>
        <v>928.26305555555552</v>
      </c>
      <c r="JW82" s="114">
        <f>IF(OR(JW$13="",JW$17="",JW$14="",JW$15="",JW$16="",JW$18="",JW$19="",JW$20="",JW$21=""),"",SUM($C15:JW15))</f>
        <v>928.26305555555552</v>
      </c>
      <c r="JX82" s="114">
        <f>IF(OR(JX$13="",JX$17="",JX$14="",JX$15="",JX$16="",JX$18="",JX$19="",JX$20="",JX$21=""),"",SUM($C15:JX15))</f>
        <v>928.26305555555552</v>
      </c>
      <c r="JY82" s="114">
        <f>IF(OR(JY$13="",JY$17="",JY$14="",JY$15="",JY$16="",JY$18="",JY$19="",JY$20="",JY$21=""),"",SUM($C15:JY15))</f>
        <v>928.26305555555552</v>
      </c>
      <c r="JZ82" s="114">
        <f>IF(OR(JZ$13="",JZ$17="",JZ$14="",JZ$15="",JZ$16="",JZ$18="",JZ$19="",JZ$20="",JZ$21=""),"",SUM($C15:JZ15))</f>
        <v>928.26305555555552</v>
      </c>
      <c r="KA82" s="114">
        <f>IF(OR(KA$13="",KA$17="",KA$14="",KA$15="",KA$16="",KA$18="",KA$19="",KA$20="",KA$21=""),"",SUM($C15:KA15))</f>
        <v>928.26305555555552</v>
      </c>
      <c r="KB82" s="114">
        <f>IF(OR(KB$13="",KB$17="",KB$14="",KB$15="",KB$16="",KB$18="",KB$19="",KB$20="",KB$21=""),"",SUM($C15:KB15))</f>
        <v>928.26305555555552</v>
      </c>
      <c r="KC82" s="114">
        <f>IF(OR(KC$13="",KC$17="",KC$14="",KC$15="",KC$16="",KC$18="",KC$19="",KC$20="",KC$21=""),"",SUM($C15:KC15))</f>
        <v>928.26305555555552</v>
      </c>
      <c r="KD82" s="114">
        <f>IF(OR(KD$13="",KD$17="",KD$14="",KD$15="",KD$16="",KD$18="",KD$19="",KD$20="",KD$21=""),"",SUM($C15:KD15))</f>
        <v>928.26305555555552</v>
      </c>
      <c r="KE82" s="114">
        <f>IF(OR(KE$13="",KE$17="",KE$14="",KE$15="",KE$16="",KE$18="",KE$19="",KE$20="",KE$21=""),"",SUM($C15:KE15))</f>
        <v>928.26305555555552</v>
      </c>
      <c r="KF82" s="114">
        <f>IF(OR(KF$13="",KF$17="",KF$14="",KF$15="",KF$16="",KF$18="",KF$19="",KF$20="",KF$21=""),"",SUM($C15:KF15))</f>
        <v>928.26305555555552</v>
      </c>
      <c r="KG82" s="114">
        <f>IF(OR(KG$13="",KG$17="",KG$14="",KG$15="",KG$16="",KG$18="",KG$19="",KG$20="",KG$21=""),"",SUM($C15:KG15))</f>
        <v>928.26305555555552</v>
      </c>
      <c r="KH82" s="114">
        <f>IF(OR(KH$13="",KH$17="",KH$14="",KH$15="",KH$16="",KH$18="",KH$19="",KH$20="",KH$21=""),"",SUM($C15:KH15))</f>
        <v>928.26305555555552</v>
      </c>
      <c r="KI82" s="114">
        <f>IF(OR(KI$13="",KI$17="",KI$14="",KI$15="",KI$16="",KI$18="",KI$19="",KI$20="",KI$21=""),"",SUM($C15:KI15))</f>
        <v>928.26305555555552</v>
      </c>
      <c r="KJ82" s="114">
        <f>IF(OR(KJ$13="",KJ$17="",KJ$14="",KJ$15="",KJ$16="",KJ$18="",KJ$19="",KJ$20="",KJ$21=""),"",SUM($C15:KJ15))</f>
        <v>928.26305555555552</v>
      </c>
      <c r="KK82" s="114">
        <f>IF(OR(KK$13="",KK$17="",KK$14="",KK$15="",KK$16="",KK$18="",KK$19="",KK$20="",KK$21=""),"",SUM($C15:KK15))</f>
        <v>928.26305555555552</v>
      </c>
      <c r="KL82" s="114">
        <f>IF(OR(KL$13="",KL$17="",KL$14="",KL$15="",KL$16="",KL$18="",KL$19="",KL$20="",KL$21=""),"",SUM($C15:KL15))</f>
        <v>928.26305555555552</v>
      </c>
      <c r="KM82" s="114">
        <f>IF(OR(KM$13="",KM$17="",KM$14="",KM$15="",KM$16="",KM$18="",KM$19="",KM$20="",KM$21=""),"",SUM($C15:KM15))</f>
        <v>928.26305555555552</v>
      </c>
      <c r="KN82" s="114">
        <f>IF(OR(KN$13="",KN$17="",KN$14="",KN$15="",KN$16="",KN$18="",KN$19="",KN$20="",KN$21=""),"",SUM($C15:KN15))</f>
        <v>928.26305555555552</v>
      </c>
      <c r="KO82" s="114">
        <f>IF(OR(KO$13="",KO$17="",KO$14="",KO$15="",KO$16="",KO$18="",KO$19="",KO$20="",KO$21=""),"",SUM($C15:KO15))</f>
        <v>928.26305555555552</v>
      </c>
      <c r="KP82" s="114">
        <f>IF(OR(KP$13="",KP$17="",KP$14="",KP$15="",KP$16="",KP$18="",KP$19="",KP$20="",KP$21=""),"",SUM($C15:KP15))</f>
        <v>928.26305555555552</v>
      </c>
      <c r="KQ82" s="114">
        <f>IF(OR(KQ$13="",KQ$17="",KQ$14="",KQ$15="",KQ$16="",KQ$18="",KQ$19="",KQ$20="",KQ$21=""),"",SUM($C15:KQ15))</f>
        <v>928.26305555555552</v>
      </c>
      <c r="KR82" s="114">
        <f>IF(OR(KR$13="",KR$17="",KR$14="",KR$15="",KR$16="",KR$18="",KR$19="",KR$20="",KR$21=""),"",SUM($C15:KR15))</f>
        <v>928.26305555555552</v>
      </c>
      <c r="KS82" s="114">
        <f>IF(OR(KS$13="",KS$17="",KS$14="",KS$15="",KS$16="",KS$18="",KS$19="",KS$20="",KS$21=""),"",SUM($C15:KS15))</f>
        <v>928.26305555555552</v>
      </c>
      <c r="KT82" s="114">
        <f>IF(OR(KT$13="",KT$17="",KT$14="",KT$15="",KT$16="",KT$18="",KT$19="",KT$20="",KT$21=""),"",SUM($C15:KT15))</f>
        <v>928.26305555555552</v>
      </c>
      <c r="KU82" s="114" t="str">
        <f>IF(OR(KU$13="",KU$17="",KU$14="",KU$15="",KU$16="",KU$18="",KU$19="",KU$20="",KU$21=""),"",SUM($C15:KU15))</f>
        <v/>
      </c>
      <c r="KV82" s="114" t="str">
        <f>IF(OR(KV$13="",KV$17="",KV$14="",KV$15="",KV$16="",KV$18="",KV$19="",KV$20="",KV$21=""),"",SUM($C15:KV15))</f>
        <v/>
      </c>
      <c r="KW82" s="114" t="str">
        <f>IF(OR(KW$13="",KW$17="",KW$14="",KW$15="",KW$16="",KW$18="",KW$19="",KW$20="",KW$21=""),"",SUM($C15:KW15))</f>
        <v/>
      </c>
      <c r="KX82" s="114" t="str">
        <f>IF(OR(KX$13="",KX$17="",KX$14="",KX$15="",KX$16="",KX$18="",KX$19="",KX$20="",KX$21=""),"",SUM($C15:KX15))</f>
        <v/>
      </c>
      <c r="KY82" s="114" t="str">
        <f>IF(OR(KY$13="",KY$17="",KY$14="",KY$15="",KY$16="",KY$18="",KY$19="",KY$20="",KY$21=""),"",SUM($C15:KY15))</f>
        <v/>
      </c>
      <c r="KZ82" s="114" t="str">
        <f>IF(OR(KZ$13="",KZ$17="",KZ$14="",KZ$15="",KZ$16="",KZ$18="",KZ$19="",KZ$20="",KZ$21=""),"",SUM($C15:KZ15))</f>
        <v/>
      </c>
      <c r="LA82" s="114" t="str">
        <f>IF(OR(LA$13="",LA$17="",LA$14="",LA$15="",LA$16="",LA$18="",LA$19="",LA$20="",LA$21=""),"",SUM($C15:LA15))</f>
        <v/>
      </c>
      <c r="LB82" s="114" t="str">
        <f>IF(OR(LB$13="",LB$17="",LB$14="",LB$15="",LB$16="",LB$18="",LB$19="",LB$20="",LB$21=""),"",SUM($C15:LB15))</f>
        <v/>
      </c>
      <c r="LC82" s="114" t="str">
        <f>IF(OR(LC$13="",LC$17="",LC$14="",LC$15="",LC$16="",LC$18="",LC$19="",LC$20="",LC$21=""),"",SUM($C15:LC15))</f>
        <v/>
      </c>
      <c r="LD82" s="114" t="str">
        <f>IF(OR(LD$13="",LD$17="",LD$14="",LD$15="",LD$16="",LD$18="",LD$19="",LD$20="",LD$21=""),"",SUM($C15:LD15))</f>
        <v/>
      </c>
      <c r="LE82" s="114" t="str">
        <f>IF(OR(LE$13="",LE$17="",LE$14="",LE$15="",LE$16="",LE$18="",LE$19="",LE$20="",LE$21=""),"",SUM($C15:LE15))</f>
        <v/>
      </c>
      <c r="LF82" s="114" t="str">
        <f>IF(OR(LF$13="",LF$17="",LF$14="",LF$15="",LF$16="",LF$18="",LF$19="",LF$20="",LF$21=""),"",SUM($C15:LF15))</f>
        <v/>
      </c>
      <c r="LG82" s="114" t="str">
        <f>IF(OR(LG$13="",LG$17="",LG$14="",LG$15="",LG$16="",LG$18="",LG$19="",LG$20="",LG$21=""),"",SUM($C15:LG15))</f>
        <v/>
      </c>
      <c r="LH82" s="114" t="str">
        <f>IF(OR(LH$13="",LH$17="",LH$14="",LH$15="",LH$16="",LH$18="",LH$19="",LH$20="",LH$21=""),"",SUM($C15:LH15))</f>
        <v/>
      </c>
      <c r="LI82" s="114" t="str">
        <f>IF(OR(LI$13="",LI$17="",LI$14="",LI$15="",LI$16="",LI$18="",LI$19="",LI$20="",LI$21=""),"",SUM($C15:LI15))</f>
        <v/>
      </c>
      <c r="LJ82" s="114" t="str">
        <f>IF(OR(LJ$13="",LJ$17="",LJ$14="",LJ$15="",LJ$16="",LJ$18="",LJ$19="",LJ$20="",LJ$21=""),"",SUM($C15:LJ15))</f>
        <v/>
      </c>
      <c r="LK82" s="114" t="str">
        <f>IF(OR(LK$13="",LK$17="",LK$14="",LK$15="",LK$16="",LK$18="",LK$19="",LK$20="",LK$21=""),"",SUM($C15:LK15))</f>
        <v/>
      </c>
      <c r="LL82" s="114" t="str">
        <f>IF(OR(LL$13="",LL$17="",LL$14="",LL$15="",LL$16="",LL$18="",LL$19="",LL$20="",LL$21=""),"",SUM($C15:LL15))</f>
        <v/>
      </c>
      <c r="LM82" s="114" t="str">
        <f>IF(OR(LM$13="",LM$17="",LM$14="",LM$15="",LM$16="",LM$18="",LM$19="",LM$20="",LM$21=""),"",SUM($C15:LM15))</f>
        <v/>
      </c>
      <c r="LN82" s="114" t="str">
        <f>IF(OR(LN$13="",LN$17="",LN$14="",LN$15="",LN$16="",LN$18="",LN$19="",LN$20="",LN$21=""),"",SUM($C15:LN15))</f>
        <v/>
      </c>
      <c r="LO82" s="114" t="str">
        <f>IF(OR(LO$13="",LO$17="",LO$14="",LO$15="",LO$16="",LO$18="",LO$19="",LO$20="",LO$21=""),"",SUM($C15:LO15))</f>
        <v/>
      </c>
      <c r="LP82" s="114" t="str">
        <f>IF(OR(LP$13="",LP$17="",LP$14="",LP$15="",LP$16="",LP$18="",LP$19="",LP$20="",LP$21=""),"",SUM($C15:LP15))</f>
        <v/>
      </c>
      <c r="LQ82" s="114" t="str">
        <f>IF(OR(LQ$13="",LQ$17="",LQ$14="",LQ$15="",LQ$16="",LQ$18="",LQ$19="",LQ$20="",LQ$21=""),"",SUM($C15:LQ15))</f>
        <v/>
      </c>
      <c r="LR82" s="114" t="str">
        <f>IF(OR(LR$13="",LR$17="",LR$14="",LR$15="",LR$16="",LR$18="",LR$19="",LR$20="",LR$21=""),"",SUM($C15:LR15))</f>
        <v/>
      </c>
      <c r="LS82" s="114" t="str">
        <f>IF(OR(LS$13="",LS$17="",LS$14="",LS$15="",LS$16="",LS$18="",LS$19="",LS$20="",LS$21=""),"",SUM($C15:LS15))</f>
        <v/>
      </c>
      <c r="LT82" s="114" t="str">
        <f>IF(OR(LT$13="",LT$17="",LT$14="",LT$15="",LT$16="",LT$18="",LT$19="",LT$20="",LT$21=""),"",SUM($C15:LT15))</f>
        <v/>
      </c>
      <c r="LU82" s="114" t="str">
        <f>IF(OR(LU$13="",LU$17="",LU$14="",LU$15="",LU$16="",LU$18="",LU$19="",LU$20="",LU$21=""),"",SUM($C15:LU15))</f>
        <v/>
      </c>
      <c r="LV82" s="114" t="str">
        <f>IF(OR(LV$13="",LV$17="",LV$14="",LV$15="",LV$16="",LV$18="",LV$19="",LV$20="",LV$21=""),"",SUM($C15:LV15))</f>
        <v/>
      </c>
      <c r="LW82" s="114" t="str">
        <f>IF(OR(LW$13="",LW$17="",LW$14="",LW$15="",LW$16="",LW$18="",LW$19="",LW$20="",LW$21=""),"",SUM($C15:LW15))</f>
        <v/>
      </c>
      <c r="LX82" s="114" t="str">
        <f>IF(OR(LX$13="",LX$17="",LX$14="",LX$15="",LX$16="",LX$18="",LX$19="",LX$20="",LX$21=""),"",SUM($C15:LX15))</f>
        <v/>
      </c>
      <c r="LY82" s="114" t="str">
        <f>IF(OR(LY$13="",LY$17="",LY$14="",LY$15="",LY$16="",LY$18="",LY$19="",LY$20="",LY$21=""),"",SUM($C15:LY15))</f>
        <v/>
      </c>
      <c r="LZ82" s="114" t="str">
        <f>IF(OR(LZ$13="",LZ$17="",LZ$14="",LZ$15="",LZ$16="",LZ$18="",LZ$19="",LZ$20="",LZ$21=""),"",SUM($C15:LZ15))</f>
        <v/>
      </c>
      <c r="MA82" s="114" t="str">
        <f>IF(OR(MA$13="",MA$17="",MA$14="",MA$15="",MA$16="",MA$18="",MA$19="",MA$20="",MA$21=""),"",SUM($C15:MA15))</f>
        <v/>
      </c>
      <c r="MB82" s="114" t="str">
        <f>IF(OR(MB$13="",MB$17="",MB$14="",MB$15="",MB$16="",MB$18="",MB$19="",MB$20="",MB$21=""),"",SUM($C15:MB15))</f>
        <v/>
      </c>
      <c r="MC82" s="114" t="str">
        <f>IF(OR(MC$13="",MC$17="",MC$14="",MC$15="",MC$16="",MC$18="",MC$19="",MC$20="",MC$21=""),"",SUM($C15:MC15))</f>
        <v/>
      </c>
      <c r="MD82" s="114" t="str">
        <f>IF(OR(MD$13="",MD$17="",MD$14="",MD$15="",MD$16="",MD$18="",MD$19="",MD$20="",MD$21=""),"",SUM($C15:MD15))</f>
        <v/>
      </c>
      <c r="ME82" s="114" t="str">
        <f>IF(OR(ME$13="",ME$17="",ME$14="",ME$15="",ME$16="",ME$18="",ME$19="",ME$20="",ME$21=""),"",SUM($C15:ME15))</f>
        <v/>
      </c>
      <c r="MF82" s="114" t="str">
        <f>IF(OR(MF$13="",MF$17="",MF$14="",MF$15="",MF$16="",MF$18="",MF$19="",MF$20="",MF$21=""),"",SUM($C15:MF15))</f>
        <v/>
      </c>
      <c r="MG82" s="114" t="str">
        <f>IF(OR(MG$13="",MG$17="",MG$14="",MG$15="",MG$16="",MG$18="",MG$19="",MG$20="",MG$21=""),"",SUM($C15:MG15))</f>
        <v/>
      </c>
      <c r="MH82" s="114" t="str">
        <f>IF(OR(MH$13="",MH$17="",MH$14="",MH$15="",MH$16="",MH$18="",MH$19="",MH$20="",MH$21=""),"",SUM($C15:MH15))</f>
        <v/>
      </c>
      <c r="MI82" s="114" t="str">
        <f>IF(OR(MI$13="",MI$17="",MI$14="",MI$15="",MI$16="",MI$18="",MI$19="",MI$20="",MI$21=""),"",SUM($C15:MI15))</f>
        <v/>
      </c>
      <c r="MJ82" s="114" t="str">
        <f>IF(OR(MJ$13="",MJ$17="",MJ$14="",MJ$15="",MJ$16="",MJ$18="",MJ$19="",MJ$20="",MJ$21=""),"",SUM($C15:MJ15))</f>
        <v/>
      </c>
      <c r="MK82" s="114" t="str">
        <f>IF(OR(MK$13="",MK$17="",MK$14="",MK$15="",MK$16="",MK$18="",MK$19="",MK$20="",MK$21=""),"",SUM($C15:MK15))</f>
        <v/>
      </c>
      <c r="ML82" s="114" t="str">
        <f>IF(OR(ML$13="",ML$17="",ML$14="",ML$15="",ML$16="",ML$18="",ML$19="",ML$20="",ML$21=""),"",SUM($C15:ML15))</f>
        <v/>
      </c>
      <c r="MM82" s="114" t="str">
        <f>IF(OR(MM$13="",MM$17="",MM$14="",MM$15="",MM$16="",MM$18="",MM$19="",MM$20="",MM$21=""),"",SUM($C15:MM15))</f>
        <v/>
      </c>
      <c r="MN82" s="114" t="str">
        <f>IF(OR(MN$13="",MN$17="",MN$14="",MN$15="",MN$16="",MN$18="",MN$19="",MN$20="",MN$21=""),"",SUM($C15:MN15))</f>
        <v/>
      </c>
      <c r="MO82" s="114" t="str">
        <f>IF(OR(MO$13="",MO$17="",MO$14="",MO$15="",MO$16="",MO$18="",MO$19="",MO$20="",MO$21=""),"",SUM($C15:MO15))</f>
        <v/>
      </c>
      <c r="MP82" s="114" t="str">
        <f>IF(OR(MP$13="",MP$17="",MP$14="",MP$15="",MP$16="",MP$18="",MP$19="",MP$20="",MP$21=""),"",SUM($C15:MP15))</f>
        <v/>
      </c>
      <c r="MQ82" s="114" t="str">
        <f>IF(OR(MQ$13="",MQ$17="",MQ$14="",MQ$15="",MQ$16="",MQ$18="",MQ$19="",MQ$20="",MQ$21=""),"",SUM($C15:MQ15))</f>
        <v/>
      </c>
      <c r="MR82" s="114" t="str">
        <f>IF(OR(MR$13="",MR$17="",MR$14="",MR$15="",MR$16="",MR$18="",MR$19="",MR$20="",MR$21=""),"",SUM($C15:MR15))</f>
        <v/>
      </c>
      <c r="MS82" s="114" t="str">
        <f>IF(OR(MS$13="",MS$17="",MS$14="",MS$15="",MS$16="",MS$18="",MS$19="",MS$20="",MS$21=""),"",SUM($C15:MS15))</f>
        <v/>
      </c>
      <c r="MT82" s="114" t="str">
        <f>IF(OR(MT$13="",MT$17="",MT$14="",MT$15="",MT$16="",MT$18="",MT$19="",MT$20="",MT$21=""),"",SUM($C15:MT15))</f>
        <v/>
      </c>
      <c r="MU82" s="114" t="str">
        <f>IF(OR(MU$13="",MU$17="",MU$14="",MU$15="",MU$16="",MU$18="",MU$19="",MU$20="",MU$21=""),"",SUM($C15:MU15))</f>
        <v/>
      </c>
      <c r="MV82" s="114" t="str">
        <f>IF(OR(MV$13="",MV$17="",MV$14="",MV$15="",MV$16="",MV$18="",MV$19="",MV$20="",MV$21=""),"",SUM($C15:MV15))</f>
        <v/>
      </c>
      <c r="MW82" s="114" t="str">
        <f>IF(OR(MW$13="",MW$17="",MW$14="",MW$15="",MW$16="",MW$18="",MW$19="",MW$20="",MW$21=""),"",SUM($C15:MW15))</f>
        <v/>
      </c>
      <c r="MX82" s="114" t="str">
        <f>IF(OR(MX$13="",MX$17="",MX$14="",MX$15="",MX$16="",MX$18="",MX$19="",MX$20="",MX$21=""),"",SUM($C15:MX15))</f>
        <v/>
      </c>
      <c r="MY82" s="114" t="str">
        <f>IF(OR(MY$13="",MY$17="",MY$14="",MY$15="",MY$16="",MY$18="",MY$19="",MY$20="",MY$21=""),"",SUM($C15:MY15))</f>
        <v/>
      </c>
      <c r="MZ82" s="114" t="str">
        <f>IF(OR(MZ$13="",MZ$17="",MZ$14="",MZ$15="",MZ$16="",MZ$18="",MZ$19="",MZ$20="",MZ$21=""),"",SUM($C15:MZ15))</f>
        <v/>
      </c>
      <c r="NA82" s="114" t="str">
        <f>IF(OR(NA$13="",NA$17="",NA$14="",NA$15="",NA$16="",NA$18="",NA$19="",NA$20="",NA$21=""),"",SUM($C15:NA15))</f>
        <v/>
      </c>
      <c r="NB82" s="114" t="str">
        <f>IF(OR(NB$13="",NB$17="",NB$14="",NB$15="",NB$16="",NB$18="",NB$19="",NB$20="",NB$21=""),"",SUM($C15:NB15))</f>
        <v/>
      </c>
      <c r="NC82" s="114" t="str">
        <f>IF(OR(NC$13="",NC$17="",NC$14="",NC$15="",NC$16="",NC$18="",NC$19="",NC$20="",NC$21=""),"",SUM($C15:NC15))</f>
        <v/>
      </c>
      <c r="ND82" s="114" t="str">
        <f>IF(OR(ND$13="",ND$17="",ND$14="",ND$15="",ND$16="",ND$18="",ND$19="",ND$20="",ND$21=""),"",SUM($C15:ND15))</f>
        <v/>
      </c>
      <c r="NE82" s="114" t="str">
        <f>IF(OR(NE$13="",NE$17="",NE$14="",NE$15="",NE$16="",NE$18="",NE$19="",NE$20="",NE$21=""),"",SUM($C15:NE15))</f>
        <v/>
      </c>
      <c r="NF82" s="114" t="str">
        <f>IF(OR(NF$13="",NF$17="",NF$14="",NF$15="",NF$16="",NF$18="",NF$19="",NF$20="",NF$21=""),"",SUM($C15:NF15))</f>
        <v/>
      </c>
      <c r="NG82" s="114" t="str">
        <f>IF(OR(NG$13="",NG$17="",NG$14="",NG$15="",NG$16="",NG$18="",NG$19="",NG$20="",NG$21=""),"",SUM($C15:NG15))</f>
        <v/>
      </c>
      <c r="NH82" s="114" t="str">
        <f>IF(OR(NH$13="",NH$17="",NH$14="",NH$15="",NH$16="",NH$18="",NH$19="",NH$20="",NH$21=""),"",SUM($C15:NH15))</f>
        <v/>
      </c>
      <c r="NI82" s="114" t="str">
        <f>IF(OR(NI$13="",NI$17="",NI$14="",NI$15="",NI$16="",NI$18="",NI$19="",NI$20="",NI$21=""),"",SUM($C15:NI15))</f>
        <v/>
      </c>
      <c r="NJ82" s="114" t="str">
        <f>IF(OR(NJ$13="",NJ$17="",NJ$14="",NJ$15="",NJ$16="",NJ$18="",NJ$19="",NJ$20="",NJ$21=""),"",SUM($C15:NJ15))</f>
        <v/>
      </c>
      <c r="NK82" s="114" t="str">
        <f>IF(OR(NK$13="",NK$17="",NK$14="",NK$15="",NK$16="",NK$18="",NK$19="",NK$20="",NK$21=""),"",SUM($C15:NK15))</f>
        <v/>
      </c>
      <c r="NL82" s="114" t="str">
        <f>IF(OR(NL$13="",NL$17="",NL$14="",NL$15="",NL$16="",NL$18="",NL$19="",NL$20="",NL$21=""),"",SUM($C15:NL15))</f>
        <v/>
      </c>
      <c r="NM82" s="114" t="str">
        <f>IF(OR(NM$13="",NM$17="",NM$14="",NM$15="",NM$16="",NM$18="",NM$19="",NM$20="",NM$21=""),"",SUM($C15:NM15))</f>
        <v/>
      </c>
      <c r="NN82" s="114" t="str">
        <f>IF(OR(NN$13="",NN$17="",NN$14="",NN$15="",NN$16="",NN$18="",NN$19="",NN$20="",NN$21=""),"",SUM($C15:NN15))</f>
        <v/>
      </c>
      <c r="NO82" s="114" t="str">
        <f>IF(OR(NO$13="",NO$17="",NO$14="",NO$15="",NO$16="",NO$18="",NO$19="",NO$20="",NO$21=""),"",SUM($C15:NO15))</f>
        <v/>
      </c>
      <c r="NP82" s="114" t="str">
        <f>IF(OR(NP$13="",NP$17="",NP$14="",NP$15="",NP$16="",NP$18="",NP$19="",NP$20="",NP$21=""),"",SUM($C15:NP15))</f>
        <v/>
      </c>
      <c r="NQ82" s="114" t="str">
        <f>IF(OR(NQ$13="",NQ$17="",NQ$14="",NQ$15="",NQ$16="",NQ$18="",NQ$19="",NQ$20="",NQ$21=""),"",SUM($C15:NQ15))</f>
        <v/>
      </c>
      <c r="NR82" s="114" t="str">
        <f>IF(OR(NR$13="",NR$17="",NR$14="",NR$15="",NR$16="",NR$18="",NR$19="",NR$20="",NR$21=""),"",SUM($C15:NR15))</f>
        <v/>
      </c>
      <c r="NS82" s="114" t="str">
        <f>IF(OR(NS$13="",NS$17="",NS$14="",NS$15="",NS$16="",NS$18="",NS$19="",NS$20="",NS$21=""),"",SUM($C15:NS15))</f>
        <v/>
      </c>
      <c r="NT82" s="114" t="str">
        <f>IF(OR(NT$13="",NT$17="",NT$14="",NT$15="",NT$16="",NT$18="",NT$19="",NT$20="",NT$21=""),"",SUM($C15:NT15))</f>
        <v/>
      </c>
      <c r="NU82" s="114" t="str">
        <f>IF(OR(NU$13="",NU$17="",NU$14="",NU$15="",NU$16="",NU$18="",NU$19="",NU$20="",NU$21=""),"",SUM($C15:NU15))</f>
        <v/>
      </c>
      <c r="NV82" s="114" t="str">
        <f>IF(OR(NV$13="",NV$17="",NV$14="",NV$15="",NV$16="",NV$18="",NV$19="",NV$20="",NV$21=""),"",SUM($C15:NV15))</f>
        <v/>
      </c>
      <c r="NW82" s="114" t="str">
        <f>IF(OR(NW$13="",NW$17="",NW$14="",NW$15="",NW$16="",NW$18="",NW$19="",NW$20="",NW$21=""),"",SUM($C15:NW15))</f>
        <v/>
      </c>
      <c r="NX82" s="114" t="str">
        <f>IF(OR(NX$13="",NX$17="",NX$14="",NX$15="",NX$16="",NX$18="",NX$19="",NX$20="",NX$21=""),"",SUM($C15:NX15))</f>
        <v/>
      </c>
      <c r="NY82" s="114" t="str">
        <f>IF(OR(NY$13="",NY$17="",NY$14="",NY$15="",NY$16="",NY$18="",NY$19="",NY$20="",NY$21=""),"",SUM($C15:NY15))</f>
        <v/>
      </c>
      <c r="NZ82" s="114" t="str">
        <f>IF(OR(NZ$13="",NZ$17="",NZ$14="",NZ$15="",NZ$16="",NZ$18="",NZ$19="",NZ$20="",NZ$21=""),"",SUM($C15:NZ15))</f>
        <v/>
      </c>
      <c r="OA82" s="114" t="str">
        <f>IF(OR(OA$13="",OA$17="",OA$14="",OA$15="",OA$16="",OA$18="",OA$19="",OA$20="",OA$21=""),"",SUM($C15:OA15))</f>
        <v/>
      </c>
      <c r="OB82" s="114" t="str">
        <f>IF(OR(OB$13="",OB$17="",OB$14="",OB$15="",OB$16="",OB$18="",OB$19="",OB$20="",OB$21=""),"",SUM($C15:OB15))</f>
        <v/>
      </c>
      <c r="OC82" s="114" t="str">
        <f>IF(OR(OC$13="",OC$17="",OC$14="",OC$15="",OC$16="",OC$18="",OC$19="",OC$20="",OC$21=""),"",SUM($C15:OC15))</f>
        <v/>
      </c>
      <c r="OD82" s="114" t="str">
        <f>IF(OR(OD$13="",OD$17="",OD$14="",OD$15="",OD$16="",OD$18="",OD$19="",OD$20="",OD$21=""),"",SUM($C15:OD15))</f>
        <v/>
      </c>
      <c r="OE82" s="114" t="str">
        <f>IF(OR(OE$13="",OE$17="",OE$14="",OE$15="",OE$16="",OE$18="",OE$19="",OE$20="",OE$21=""),"",SUM($C15:OE15))</f>
        <v/>
      </c>
      <c r="OF82" s="114" t="str">
        <f>IF(OR(OF$13="",OF$17="",OF$14="",OF$15="",OF$16="",OF$18="",OF$19="",OF$20="",OF$21=""),"",SUM($C15:OF15))</f>
        <v/>
      </c>
      <c r="OG82" s="114" t="str">
        <f>IF(OR(OG$13="",OG$17="",OG$14="",OG$15="",OG$16="",OG$18="",OG$19="",OG$20="",OG$21=""),"",SUM($C15:OG15))</f>
        <v/>
      </c>
      <c r="OH82" s="114" t="str">
        <f>IF(OR(OH$13="",OH$17="",OH$14="",OH$15="",OH$16="",OH$18="",OH$19="",OH$20="",OH$21=""),"",SUM($C15:OH15))</f>
        <v/>
      </c>
      <c r="OI82" s="114" t="str">
        <f>IF(OR(OI$13="",OI$17="",OI$14="",OI$15="",OI$16="",OI$18="",OI$19="",OI$20="",OI$21=""),"",SUM($C15:OI15))</f>
        <v/>
      </c>
      <c r="OJ82" s="114" t="str">
        <f>IF(OR(OJ$13="",OJ$17="",OJ$14="",OJ$15="",OJ$16="",OJ$18="",OJ$19="",OJ$20="",OJ$21=""),"",SUM($C15:OJ15))</f>
        <v/>
      </c>
      <c r="OK82" s="114" t="str">
        <f>IF(OR(OK$13="",OK$17="",OK$14="",OK$15="",OK$16="",OK$18="",OK$19="",OK$20="",OK$21=""),"",SUM($C15:OK15))</f>
        <v/>
      </c>
      <c r="OL82" s="114" t="str">
        <f>IF(OR(OL$13="",OL$17="",OL$14="",OL$15="",OL$16="",OL$18="",OL$19="",OL$20="",OL$21=""),"",SUM($C15:OL15))</f>
        <v/>
      </c>
      <c r="OM82" s="114" t="str">
        <f>IF(OR(OM$13="",OM$17="",OM$14="",OM$15="",OM$16="",OM$18="",OM$19="",OM$20="",OM$21=""),"",SUM($C15:OM15))</f>
        <v/>
      </c>
      <c r="ON82" s="114" t="str">
        <f>IF(OR(ON$13="",ON$17="",ON$14="",ON$15="",ON$16="",ON$18="",ON$19="",ON$20="",ON$21=""),"",SUM($C15:ON15))</f>
        <v/>
      </c>
      <c r="OO82" s="114" t="str">
        <f>IF(OR(OO$13="",OO$17="",OO$14="",OO$15="",OO$16="",OO$18="",OO$19="",OO$20="",OO$21=""),"",SUM($C15:OO15))</f>
        <v/>
      </c>
      <c r="OP82" s="114" t="str">
        <f>IF(OR(OP$13="",OP$17="",OP$14="",OP$15="",OP$16="",OP$18="",OP$19="",OP$20="",OP$21=""),"",SUM($C15:OP15))</f>
        <v/>
      </c>
      <c r="OQ82" s="114" t="str">
        <f>IF(OR(OQ$13="",OQ$17="",OQ$14="",OQ$15="",OQ$16="",OQ$18="",OQ$19="",OQ$20="",OQ$21=""),"",SUM($C15:OQ15))</f>
        <v/>
      </c>
      <c r="OR82" s="114" t="str">
        <f>IF(OR(OR$13="",OR$17="",OR$14="",OR$15="",OR$16="",OR$18="",OR$19="",OR$20="",OR$21=""),"",SUM($C15:OR15))</f>
        <v/>
      </c>
      <c r="OS82" s="114" t="str">
        <f>IF(OR(OS$13="",OS$17="",OS$14="",OS$15="",OS$16="",OS$18="",OS$19="",OS$20="",OS$21=""),"",SUM($C15:OS15))</f>
        <v/>
      </c>
      <c r="OT82" s="114" t="str">
        <f>IF(OR(OT$13="",OT$17="",OT$14="",OT$15="",OT$16="",OT$18="",OT$19="",OT$20="",OT$21=""),"",SUM($C15:OT15))</f>
        <v/>
      </c>
      <c r="OU82" s="114" t="str">
        <f>IF(OR(OU$13="",OU$17="",OU$14="",OU$15="",OU$16="",OU$18="",OU$19="",OU$20="",OU$21=""),"",SUM($C15:OU15))</f>
        <v/>
      </c>
      <c r="OV82" s="114" t="str">
        <f>IF(OR(OV$13="",OV$17="",OV$14="",OV$15="",OV$16="",OV$18="",OV$19="",OV$20="",OV$21=""),"",SUM($C15:OV15))</f>
        <v/>
      </c>
      <c r="OW82" s="114" t="str">
        <f>IF(OR(OW$13="",OW$17="",OW$14="",OW$15="",OW$16="",OW$18="",OW$19="",OW$20="",OW$21=""),"",SUM($C15:OW15))</f>
        <v/>
      </c>
      <c r="OX82" s="114" t="str">
        <f>IF(OR(OX$13="",OX$17="",OX$14="",OX$15="",OX$16="",OX$18="",OX$19="",OX$20="",OX$21=""),"",SUM($C15:OX15))</f>
        <v/>
      </c>
      <c r="OY82" s="114" t="str">
        <f>IF(OR(OY$13="",OY$17="",OY$14="",OY$15="",OY$16="",OY$18="",OY$19="",OY$20="",OY$21=""),"",SUM($C15:OY15))</f>
        <v/>
      </c>
      <c r="OZ82" s="114" t="str">
        <f>IF(OR(OZ$13="",OZ$17="",OZ$14="",OZ$15="",OZ$16="",OZ$18="",OZ$19="",OZ$20="",OZ$21=""),"",SUM($C15:OZ15))</f>
        <v/>
      </c>
      <c r="PA82" s="114" t="str">
        <f>IF(OR(PA$13="",PA$17="",PA$14="",PA$15="",PA$16="",PA$18="",PA$19="",PA$20="",PA$21=""),"",SUM($C15:PA15))</f>
        <v/>
      </c>
      <c r="PB82" s="114" t="str">
        <f>IF(OR(PB$13="",PB$17="",PB$14="",PB$15="",PB$16="",PB$18="",PB$19="",PB$20="",PB$21=""),"",SUM($C15:PB15))</f>
        <v/>
      </c>
      <c r="PC82" s="114" t="str">
        <f>IF(OR(PC$13="",PC$17="",PC$14="",PC$15="",PC$16="",PC$18="",PC$19="",PC$20="",PC$21=""),"",SUM($C15:PC15))</f>
        <v/>
      </c>
      <c r="PD82" s="114" t="str">
        <f>IF(OR(PD$13="",PD$17="",PD$14="",PD$15="",PD$16="",PD$18="",PD$19="",PD$20="",PD$21=""),"",SUM($C15:PD15))</f>
        <v/>
      </c>
      <c r="PE82" s="114" t="str">
        <f>IF(OR(PE$13="",PE$17="",PE$14="",PE$15="",PE$16="",PE$18="",PE$19="",PE$20="",PE$21=""),"",SUM($C15:PE15))</f>
        <v/>
      </c>
      <c r="PF82" s="114" t="str">
        <f>IF(OR(PF$13="",PF$17="",PF$14="",PF$15="",PF$16="",PF$18="",PF$19="",PF$20="",PF$21=""),"",SUM($C15:PF15))</f>
        <v/>
      </c>
      <c r="PG82" s="114" t="str">
        <f>IF(OR(PG$13="",PG$17="",PG$14="",PG$15="",PG$16="",PG$18="",PG$19="",PG$20="",PG$21=""),"",SUM($C15:PG15))</f>
        <v/>
      </c>
      <c r="PH82" s="114" t="str">
        <f>IF(OR(PH$13="",PH$17="",PH$14="",PH$15="",PH$16="",PH$18="",PH$19="",PH$20="",PH$21=""),"",SUM($C15:PH15))</f>
        <v/>
      </c>
      <c r="PI82" s="114" t="str">
        <f>IF(OR(PI$13="",PI$17="",PI$14="",PI$15="",PI$16="",PI$18="",PI$19="",PI$20="",PI$21=""),"",SUM($C15:PI15))</f>
        <v/>
      </c>
      <c r="PJ82" s="114" t="str">
        <f>IF(OR(PJ$13="",PJ$17="",PJ$14="",PJ$15="",PJ$16="",PJ$18="",PJ$19="",PJ$20="",PJ$21=""),"",SUM($C15:PJ15))</f>
        <v/>
      </c>
      <c r="PK82" s="114" t="str">
        <f>IF(OR(PK$13="",PK$17="",PK$14="",PK$15="",PK$16="",PK$18="",PK$19="",PK$20="",PK$21=""),"",SUM($C15:PK15))</f>
        <v/>
      </c>
      <c r="PL82" s="114" t="str">
        <f>IF(OR(PL$13="",PL$17="",PL$14="",PL$15="",PL$16="",PL$18="",PL$19="",PL$20="",PL$21=""),"",SUM($C15:PL15))</f>
        <v/>
      </c>
      <c r="PM82" s="114" t="str">
        <f>IF(OR(PM$13="",PM$17="",PM$14="",PM$15="",PM$16="",PM$18="",PM$19="",PM$20="",PM$21=""),"",SUM($C15:PM15))</f>
        <v/>
      </c>
      <c r="PN82" s="114" t="str">
        <f>IF(OR(PN$13="",PN$17="",PN$14="",PN$15="",PN$16="",PN$18="",PN$19="",PN$20="",PN$21=""),"",SUM($C15:PN15))</f>
        <v/>
      </c>
      <c r="PO82" s="114" t="str">
        <f>IF(OR(PO$13="",PO$17="",PO$14="",PO$15="",PO$16="",PO$18="",PO$19="",PO$20="",PO$21=""),"",SUM($C15:PO15))</f>
        <v/>
      </c>
      <c r="PP82" s="114" t="str">
        <f>IF(OR(PP$13="",PP$17="",PP$14="",PP$15="",PP$16="",PP$18="",PP$19="",PP$20="",PP$21=""),"",SUM($C15:PP15))</f>
        <v/>
      </c>
      <c r="PQ82" s="114" t="str">
        <f>IF(OR(PQ$13="",PQ$17="",PQ$14="",PQ$15="",PQ$16="",PQ$18="",PQ$19="",PQ$20="",PQ$21=""),"",SUM($C15:PQ15))</f>
        <v/>
      </c>
      <c r="PR82" s="114" t="str">
        <f>IF(OR(PR$13="",PR$17="",PR$14="",PR$15="",PR$16="",PR$18="",PR$19="",PR$20="",PR$21=""),"",SUM($C15:PR15))</f>
        <v/>
      </c>
      <c r="PS82" s="114" t="str">
        <f>IF(OR(PS$13="",PS$17="",PS$14="",PS$15="",PS$16="",PS$18="",PS$19="",PS$20="",PS$21=""),"",SUM($C15:PS15))</f>
        <v/>
      </c>
      <c r="PT82" s="114" t="str">
        <f>IF(OR(PT$13="",PT$17="",PT$14="",PT$15="",PT$16="",PT$18="",PT$19="",PT$20="",PT$21=""),"",SUM($C15:PT15))</f>
        <v/>
      </c>
      <c r="PU82" s="114" t="str">
        <f>IF(OR(PU$13="",PU$17="",PU$14="",PU$15="",PU$16="",PU$18="",PU$19="",PU$20="",PU$21=""),"",SUM($C15:PU15))</f>
        <v/>
      </c>
      <c r="PV82" s="114" t="str">
        <f>IF(OR(PV$13="",PV$17="",PV$14="",PV$15="",PV$16="",PV$18="",PV$19="",PV$20="",PV$21=""),"",SUM($C15:PV15))</f>
        <v/>
      </c>
      <c r="PW82" s="114" t="str">
        <f>IF(OR(PW$13="",PW$17="",PW$14="",PW$15="",PW$16="",PW$18="",PW$19="",PW$20="",PW$21=""),"",SUM($C15:PW15))</f>
        <v/>
      </c>
      <c r="PX82" s="114" t="str">
        <f>IF(OR(PX$13="",PX$17="",PX$14="",PX$15="",PX$16="",PX$18="",PX$19="",PX$20="",PX$21=""),"",SUM($C15:PX15))</f>
        <v/>
      </c>
      <c r="PY82" s="114" t="str">
        <f>IF(OR(PY$13="",PY$17="",PY$14="",PY$15="",PY$16="",PY$18="",PY$19="",PY$20="",PY$21=""),"",SUM($C15:PY15))</f>
        <v/>
      </c>
      <c r="PZ82" s="114" t="str">
        <f>IF(OR(PZ$13="",PZ$17="",PZ$14="",PZ$15="",PZ$16="",PZ$18="",PZ$19="",PZ$20="",PZ$21=""),"",SUM($C15:PZ15))</f>
        <v/>
      </c>
      <c r="QA82" s="114" t="str">
        <f>IF(OR(QA$13="",QA$17="",QA$14="",QA$15="",QA$16="",QA$18="",QA$19="",QA$20="",QA$21=""),"",SUM($C15:QA15))</f>
        <v/>
      </c>
      <c r="QB82" s="114" t="str">
        <f>IF(OR(QB$13="",QB$17="",QB$14="",QB$15="",QB$16="",QB$18="",QB$19="",QB$20="",QB$21=""),"",SUM($C15:QB15))</f>
        <v/>
      </c>
      <c r="QC82" s="114" t="str">
        <f>IF(OR(QC$13="",QC$17="",QC$14="",QC$15="",QC$16="",QC$18="",QC$19="",QC$20="",QC$21=""),"",SUM($C15:QC15))</f>
        <v/>
      </c>
      <c r="QD82" s="114" t="str">
        <f>IF(OR(QD$13="",QD$17="",QD$14="",QD$15="",QD$16="",QD$18="",QD$19="",QD$20="",QD$21=""),"",SUM($C15:QD15))</f>
        <v/>
      </c>
      <c r="QE82" s="114" t="str">
        <f>IF(OR(QE$13="",QE$17="",QE$14="",QE$15="",QE$16="",QE$18="",QE$19="",QE$20="",QE$21=""),"",SUM($C15:QE15))</f>
        <v/>
      </c>
      <c r="QF82" s="114" t="str">
        <f>IF(OR(QF$13="",QF$17="",QF$14="",QF$15="",QF$16="",QF$18="",QF$19="",QF$20="",QF$21=""),"",SUM($C15:QF15))</f>
        <v/>
      </c>
      <c r="QG82" s="114" t="str">
        <f>IF(OR(QG$13="",QG$17="",QG$14="",QG$15="",QG$16="",QG$18="",QG$19="",QG$20="",QG$21=""),"",SUM($C15:QG15))</f>
        <v/>
      </c>
      <c r="QH82" s="114" t="str">
        <f>IF(OR(QH$13="",QH$17="",QH$14="",QH$15="",QH$16="",QH$18="",QH$19="",QH$20="",QH$21=""),"",SUM($C15:QH15))</f>
        <v/>
      </c>
      <c r="QI82" s="114" t="str">
        <f>IF(OR(QI$13="",QI$17="",QI$14="",QI$15="",QI$16="",QI$18="",QI$19="",QI$20="",QI$21=""),"",SUM($C15:QI15))</f>
        <v/>
      </c>
      <c r="QJ82" s="114" t="str">
        <f>IF(OR(QJ$13="",QJ$17="",QJ$14="",QJ$15="",QJ$16="",QJ$18="",QJ$19="",QJ$20="",QJ$21=""),"",SUM($C15:QJ15))</f>
        <v/>
      </c>
      <c r="QK82" s="114" t="str">
        <f>IF(OR(QK$13="",QK$17="",QK$14="",QK$15="",QK$16="",QK$18="",QK$19="",QK$20="",QK$21=""),"",SUM($C15:QK15))</f>
        <v/>
      </c>
      <c r="QL82" s="114" t="str">
        <f>IF(OR(QL$13="",QL$17="",QL$14="",QL$15="",QL$16="",QL$18="",QL$19="",QL$20="",QL$21=""),"",SUM($C15:QL15))</f>
        <v/>
      </c>
      <c r="QM82" s="114" t="str">
        <f>IF(OR(QM$13="",QM$17="",QM$14="",QM$15="",QM$16="",QM$18="",QM$19="",QM$20="",QM$21=""),"",SUM($C15:QM15))</f>
        <v/>
      </c>
      <c r="QN82" s="114" t="str">
        <f>IF(OR(QN$13="",QN$17="",QN$14="",QN$15="",QN$16="",QN$18="",QN$19="",QN$20="",QN$21=""),"",SUM($C15:QN15))</f>
        <v/>
      </c>
      <c r="QO82" s="114" t="str">
        <f>IF(OR(QO$13="",QO$17="",QO$14="",QO$15="",QO$16="",QO$18="",QO$19="",QO$20="",QO$21=""),"",SUM($C15:QO15))</f>
        <v/>
      </c>
      <c r="QP82" s="114" t="str">
        <f>IF(OR(QP$13="",QP$17="",QP$14="",QP$15="",QP$16="",QP$18="",QP$19="",QP$20="",QP$21=""),"",SUM($C15:QP15))</f>
        <v/>
      </c>
      <c r="QQ82" s="114" t="str">
        <f>IF(OR(QQ$13="",QQ$17="",QQ$14="",QQ$15="",QQ$16="",QQ$18="",QQ$19="",QQ$20="",QQ$21=""),"",SUM($C15:QQ15))</f>
        <v/>
      </c>
      <c r="QR82" s="114" t="str">
        <f>IF(OR(QR$13="",QR$17="",QR$14="",QR$15="",QR$16="",QR$18="",QR$19="",QR$20="",QR$21=""),"",SUM($C15:QR15))</f>
        <v/>
      </c>
      <c r="QS82" s="114" t="str">
        <f>IF(OR(QS$13="",QS$17="",QS$14="",QS$15="",QS$16="",QS$18="",QS$19="",QS$20="",QS$21=""),"",SUM($C15:QS15))</f>
        <v/>
      </c>
      <c r="QT82" s="114" t="str">
        <f>IF(OR(QT$13="",QT$17="",QT$14="",QT$15="",QT$16="",QT$18="",QT$19="",QT$20="",QT$21=""),"",SUM($C15:QT15))</f>
        <v/>
      </c>
      <c r="QU82" s="114" t="str">
        <f>IF(OR(QU$13="",QU$17="",QU$14="",QU$15="",QU$16="",QU$18="",QU$19="",QU$20="",QU$21=""),"",SUM($C15:QU15))</f>
        <v/>
      </c>
      <c r="QV82" s="114" t="str">
        <f>IF(OR(QV$13="",QV$17="",QV$14="",QV$15="",QV$16="",QV$18="",QV$19="",QV$20="",QV$21=""),"",SUM($C15:QV15))</f>
        <v/>
      </c>
      <c r="QW82" s="114" t="str">
        <f>IF(OR(QW$13="",QW$17="",QW$14="",QW$15="",QW$16="",QW$18="",QW$19="",QW$20="",QW$21=""),"",SUM($C15:QW15))</f>
        <v/>
      </c>
      <c r="QX82" s="114" t="str">
        <f>IF(OR(QX$13="",QX$17="",QX$14="",QX$15="",QX$16="",QX$18="",QX$19="",QX$20="",QX$21=""),"",SUM($C15:QX15))</f>
        <v/>
      </c>
      <c r="QY82" s="114" t="str">
        <f>IF(OR(QY$13="",QY$17="",QY$14="",QY$15="",QY$16="",QY$18="",QY$19="",QY$20="",QY$21=""),"",SUM($C15:QY15))</f>
        <v/>
      </c>
      <c r="QZ82" s="114" t="str">
        <f>IF(OR(QZ$13="",QZ$17="",QZ$14="",QZ$15="",QZ$16="",QZ$18="",QZ$19="",QZ$20="",QZ$21=""),"",SUM($C15:QZ15))</f>
        <v/>
      </c>
      <c r="RA82" s="114" t="str">
        <f>IF(OR(RA$13="",RA$17="",RA$14="",RA$15="",RA$16="",RA$18="",RA$19="",RA$20="",RA$21=""),"",SUM($C15:RA15))</f>
        <v/>
      </c>
      <c r="RB82" s="114" t="str">
        <f>IF(OR(RB$13="",RB$17="",RB$14="",RB$15="",RB$16="",RB$18="",RB$19="",RB$20="",RB$21=""),"",SUM($C15:RB15))</f>
        <v/>
      </c>
      <c r="RC82" s="114" t="str">
        <f>IF(OR(RC$13="",RC$17="",RC$14="",RC$15="",RC$16="",RC$18="",RC$19="",RC$20="",RC$21=""),"",SUM($C15:RC15))</f>
        <v/>
      </c>
      <c r="RD82" s="114" t="str">
        <f>IF(OR(RD$13="",RD$17="",RD$14="",RD$15="",RD$16="",RD$18="",RD$19="",RD$20="",RD$21=""),"",SUM($C15:RD15))</f>
        <v/>
      </c>
      <c r="RE82" s="114" t="str">
        <f>IF(OR(RE$13="",RE$17="",RE$14="",RE$15="",RE$16="",RE$18="",RE$19="",RE$20="",RE$21=""),"",SUM($C15:RE15))</f>
        <v/>
      </c>
      <c r="RF82" s="114" t="str">
        <f>IF(OR(RF$13="",RF$17="",RF$14="",RF$15="",RF$16="",RF$18="",RF$19="",RF$20="",RF$21=""),"",SUM($C15:RF15))</f>
        <v/>
      </c>
      <c r="RG82" s="114" t="str">
        <f>IF(OR(RG$13="",RG$17="",RG$14="",RG$15="",RG$16="",RG$18="",RG$19="",RG$20="",RG$21=""),"",SUM($C15:RG15))</f>
        <v/>
      </c>
      <c r="RH82" s="114" t="str">
        <f>IF(OR(RH$13="",RH$17="",RH$14="",RH$15="",RH$16="",RH$18="",RH$19="",RH$20="",RH$21=""),"",SUM($C15:RH15))</f>
        <v/>
      </c>
      <c r="RI82" s="114" t="str">
        <f>IF(OR(RI$13="",RI$17="",RI$14="",RI$15="",RI$16="",RI$18="",RI$19="",RI$20="",RI$21=""),"",SUM($C15:RI15))</f>
        <v/>
      </c>
      <c r="RJ82" s="114" t="str">
        <f>IF(OR(RJ$13="",RJ$17="",RJ$14="",RJ$15="",RJ$16="",RJ$18="",RJ$19="",RJ$20="",RJ$21=""),"",SUM($C15:RJ15))</f>
        <v/>
      </c>
      <c r="RK82" s="114" t="str">
        <f>IF(OR(RK$13="",RK$17="",RK$14="",RK$15="",RK$16="",RK$18="",RK$19="",RK$20="",RK$21=""),"",SUM($C15:RK15))</f>
        <v/>
      </c>
      <c r="RL82" s="114" t="str">
        <f>IF(OR(RL$13="",RL$17="",RL$14="",RL$15="",RL$16="",RL$18="",RL$19="",RL$20="",RL$21=""),"",SUM($C15:RL15))</f>
        <v/>
      </c>
      <c r="RM82" s="114" t="str">
        <f>IF(OR(RM$13="",RM$17="",RM$14="",RM$15="",RM$16="",RM$18="",RM$19="",RM$20="",RM$21=""),"",SUM($C15:RM15))</f>
        <v/>
      </c>
      <c r="RN82" s="114" t="str">
        <f>IF(OR(RN$13="",RN$17="",RN$14="",RN$15="",RN$16="",RN$18="",RN$19="",RN$20="",RN$21=""),"",SUM($C15:RN15))</f>
        <v/>
      </c>
      <c r="RO82" s="114" t="str">
        <f>IF(OR(RO$13="",RO$17="",RO$14="",RO$15="",RO$16="",RO$18="",RO$19="",RO$20="",RO$21=""),"",SUM($C15:RO15))</f>
        <v/>
      </c>
      <c r="RP82" s="114" t="str">
        <f>IF(OR(RP$13="",RP$17="",RP$14="",RP$15="",RP$16="",RP$18="",RP$19="",RP$20="",RP$21=""),"",SUM($C15:RP15))</f>
        <v/>
      </c>
      <c r="RQ82" s="114" t="str">
        <f>IF(OR(RQ$13="",RQ$17="",RQ$14="",RQ$15="",RQ$16="",RQ$18="",RQ$19="",RQ$20="",RQ$21=""),"",SUM($C15:RQ15))</f>
        <v/>
      </c>
      <c r="RR82" s="114" t="str">
        <f>IF(OR(RR$13="",RR$17="",RR$14="",RR$15="",RR$16="",RR$18="",RR$19="",RR$20="",RR$21=""),"",SUM($C15:RR15))</f>
        <v/>
      </c>
      <c r="RS82" s="114" t="str">
        <f>IF(OR(RS$13="",RS$17="",RS$14="",RS$15="",RS$16="",RS$18="",RS$19="",RS$20="",RS$21=""),"",SUM($C15:RS15))</f>
        <v/>
      </c>
      <c r="RT82" s="114" t="str">
        <f>IF(OR(RT$13="",RT$17="",RT$14="",RT$15="",RT$16="",RT$18="",RT$19="",RT$20="",RT$21=""),"",SUM($C15:RT15))</f>
        <v/>
      </c>
      <c r="RU82" s="114" t="str">
        <f>IF(OR(RU$13="",RU$17="",RU$14="",RU$15="",RU$16="",RU$18="",RU$19="",RU$20="",RU$21=""),"",SUM($C15:RU15))</f>
        <v/>
      </c>
      <c r="RV82" s="114" t="str">
        <f>IF(OR(RV$13="",RV$17="",RV$14="",RV$15="",RV$16="",RV$18="",RV$19="",RV$20="",RV$21=""),"",SUM($C15:RV15))</f>
        <v/>
      </c>
      <c r="RW82" s="114" t="str">
        <f>IF(OR(RW$13="",RW$17="",RW$14="",RW$15="",RW$16="",RW$18="",RW$19="",RW$20="",RW$21=""),"",SUM($C15:RW15))</f>
        <v/>
      </c>
      <c r="RX82" s="114" t="str">
        <f>IF(OR(RX$13="",RX$17="",RX$14="",RX$15="",RX$16="",RX$18="",RX$19="",RX$20="",RX$21=""),"",SUM($C15:RX15))</f>
        <v/>
      </c>
      <c r="RY82" s="114" t="str">
        <f>IF(OR(RY$13="",RY$17="",RY$14="",RY$15="",RY$16="",RY$18="",RY$19="",RY$20="",RY$21=""),"",SUM($C15:RY15))</f>
        <v/>
      </c>
      <c r="RZ82" s="114" t="str">
        <f>IF(OR(RZ$13="",RZ$17="",RZ$14="",RZ$15="",RZ$16="",RZ$18="",RZ$19="",RZ$20="",RZ$21=""),"",SUM($C15:RZ15))</f>
        <v/>
      </c>
      <c r="SA82" s="114" t="str">
        <f>IF(OR(SA$13="",SA$17="",SA$14="",SA$15="",SA$16="",SA$18="",SA$19="",SA$20="",SA$21=""),"",SUM($C15:SA15))</f>
        <v/>
      </c>
      <c r="SB82" s="114" t="str">
        <f>IF(OR(SB$13="",SB$17="",SB$14="",SB$15="",SB$16="",SB$18="",SB$19="",SB$20="",SB$21=""),"",SUM($C15:SB15))</f>
        <v/>
      </c>
      <c r="SC82" s="114" t="str">
        <f>IF(OR(SC$13="",SC$17="",SC$14="",SC$15="",SC$16="",SC$18="",SC$19="",SC$20="",SC$21=""),"",SUM($C15:SC15))</f>
        <v/>
      </c>
      <c r="SD82" s="114" t="str">
        <f>IF(OR(SD$13="",SD$17="",SD$14="",SD$15="",SD$16="",SD$18="",SD$19="",SD$20="",SD$21=""),"",SUM($C15:SD15))</f>
        <v/>
      </c>
      <c r="SE82" s="114" t="str">
        <f>IF(OR(SE$13="",SE$17="",SE$14="",SE$15="",SE$16="",SE$18="",SE$19="",SE$20="",SE$21=""),"",SUM($C15:SE15))</f>
        <v/>
      </c>
      <c r="SF82" s="114" t="str">
        <f>IF(OR(SF$13="",SF$17="",SF$14="",SF$15="",SF$16="",SF$18="",SF$19="",SF$20="",SF$21=""),"",SUM($C15:SF15))</f>
        <v/>
      </c>
      <c r="SG82" s="114" t="str">
        <f>IF(OR(SG$13="",SG$17="",SG$14="",SG$15="",SG$16="",SG$18="",SG$19="",SG$20="",SG$21=""),"",SUM($C15:SG15))</f>
        <v/>
      </c>
      <c r="SH82" s="114" t="str">
        <f>IF(OR(SH$13="",SH$17="",SH$14="",SH$15="",SH$16="",SH$18="",SH$19="",SH$20="",SH$21=""),"",SUM($C15:SH15))</f>
        <v/>
      </c>
      <c r="SI82" s="114" t="str">
        <f>IF(OR(SI$13="",SI$17="",SI$14="",SI$15="",SI$16="",SI$18="",SI$19="",SI$20="",SI$21=""),"",SUM($C15:SI15))</f>
        <v/>
      </c>
      <c r="SJ82" s="114" t="str">
        <f>IF(OR(SJ$13="",SJ$17="",SJ$14="",SJ$15="",SJ$16="",SJ$18="",SJ$19="",SJ$20="",SJ$21=""),"",SUM($C15:SJ15))</f>
        <v/>
      </c>
      <c r="SK82" s="114" t="str">
        <f>IF(OR(SK$13="",SK$17="",SK$14="",SK$15="",SK$16="",SK$18="",SK$19="",SK$20="",SK$21=""),"",SUM($C15:SK15))</f>
        <v/>
      </c>
      <c r="SL82" s="114" t="str">
        <f>IF(OR(SL$13="",SL$17="",SL$14="",SL$15="",SL$16="",SL$18="",SL$19="",SL$20="",SL$21=""),"",SUM($C15:SL15))</f>
        <v/>
      </c>
      <c r="SM82" s="114" t="str">
        <f>IF(OR(SM$13="",SM$17="",SM$14="",SM$15="",SM$16="",SM$18="",SM$19="",SM$20="",SM$21=""),"",SUM($C15:SM15))</f>
        <v/>
      </c>
      <c r="SN82" s="114" t="str">
        <f>IF(OR(SN$13="",SN$17="",SN$14="",SN$15="",SN$16="",SN$18="",SN$19="",SN$20="",SN$21=""),"",SUM($C15:SN15))</f>
        <v/>
      </c>
      <c r="SO82" s="114" t="str">
        <f>IF(OR(SO$13="",SO$17="",SO$14="",SO$15="",SO$16="",SO$18="",SO$19="",SO$20="",SO$21=""),"",SUM($C15:SO15))</f>
        <v/>
      </c>
      <c r="SP82" s="114" t="str">
        <f>IF(OR(SP$13="",SP$17="",SP$14="",SP$15="",SP$16="",SP$18="",SP$19="",SP$20="",SP$21=""),"",SUM($C15:SP15))</f>
        <v/>
      </c>
      <c r="SQ82" s="114" t="str">
        <f>IF(OR(SQ$13="",SQ$17="",SQ$14="",SQ$15="",SQ$16="",SQ$18="",SQ$19="",SQ$20="",SQ$21=""),"",SUM($C15:SQ15))</f>
        <v/>
      </c>
      <c r="SR82" s="114" t="str">
        <f>IF(OR(SR$13="",SR$17="",SR$14="",SR$15="",SR$16="",SR$18="",SR$19="",SR$20="",SR$21=""),"",SUM($C15:SR15))</f>
        <v/>
      </c>
      <c r="SS82" s="114" t="str">
        <f>IF(OR(SS$13="",SS$17="",SS$14="",SS$15="",SS$16="",SS$18="",SS$19="",SS$20="",SS$21=""),"",SUM($C15:SS15))</f>
        <v/>
      </c>
      <c r="ST82" s="114" t="str">
        <f>IF(OR(ST$13="",ST$17="",ST$14="",ST$15="",ST$16="",ST$18="",ST$19="",ST$20="",ST$21=""),"",SUM($C15:ST15))</f>
        <v/>
      </c>
      <c r="SU82" s="114" t="str">
        <f>IF(OR(SU$13="",SU$17="",SU$14="",SU$15="",SU$16="",SU$18="",SU$19="",SU$20="",SU$21=""),"",SUM($C15:SU15))</f>
        <v/>
      </c>
      <c r="SV82" s="114" t="str">
        <f>IF(OR(SV$13="",SV$17="",SV$14="",SV$15="",SV$16="",SV$18="",SV$19="",SV$20="",SV$21=""),"",SUM($C15:SV15))</f>
        <v/>
      </c>
      <c r="SW82" s="114" t="str">
        <f>IF(OR(SW$13="",SW$17="",SW$14="",SW$15="",SW$16="",SW$18="",SW$19="",SW$20="",SW$21=""),"",SUM($C15:SW15))</f>
        <v/>
      </c>
    </row>
    <row r="83" spans="1:517" ht="24.6" customHeight="1" x14ac:dyDescent="0.2">
      <c r="A83" s="94" t="s">
        <v>86</v>
      </c>
      <c r="B83" s="119" t="s">
        <v>80</v>
      </c>
      <c r="C83" s="114">
        <f>IF(OR(C$13="",C$17="",C$14="",C$15="",C$16="",C$18="",C$19="",C$20="",C$21=""),"",SUM($C16:C16))</f>
        <v>0</v>
      </c>
      <c r="D83" s="114">
        <f>IF(OR(D$13="",D$17="",D$14="",D$15="",D$16="",D$18="",D$19="",D$20="",D$21=""),"",SUM($C16:D16))</f>
        <v>0</v>
      </c>
      <c r="E83" s="114">
        <f>IF(OR(E$13="",E$17="",E$14="",E$15="",E$16="",E$18="",E$19="",E$20="",E$21=""),"",SUM($C16:E16))</f>
        <v>0</v>
      </c>
      <c r="F83" s="114">
        <f>IF(OR(F$13="",F$17="",F$14="",F$15="",F$16="",F$18="",F$19="",F$20="",F$21=""),"",SUM($C16:F16))</f>
        <v>0</v>
      </c>
      <c r="G83" s="114">
        <f>IF(OR(G$13="",G$17="",G$14="",G$15="",G$16="",G$18="",G$19="",G$20="",G$21=""),"",SUM($C16:G16))</f>
        <v>0</v>
      </c>
      <c r="H83" s="114">
        <f>IF(OR(H$13="",H$17="",H$14="",H$15="",H$16="",H$18="",H$19="",H$20="",H$21=""),"",SUM($C16:H16))</f>
        <v>0</v>
      </c>
      <c r="I83" s="114">
        <f>IF(OR(I$13="",I$17="",I$14="",I$15="",I$16="",I$18="",I$19="",I$20="",I$21=""),"",SUM($C16:I16))</f>
        <v>0</v>
      </c>
      <c r="J83" s="114">
        <f>IF(OR(J$13="",J$17="",J$14="",J$15="",J$16="",J$18="",J$19="",J$20="",J$21=""),"",SUM($C16:J16))</f>
        <v>0</v>
      </c>
      <c r="K83" s="114">
        <f>IF(OR(K$13="",K$17="",K$14="",K$15="",K$16="",K$18="",K$19="",K$20="",K$21=""),"",SUM($C16:K16))</f>
        <v>0</v>
      </c>
      <c r="L83" s="114">
        <f>IF(OR(L$13="",L$17="",L$14="",L$15="",L$16="",L$18="",L$19="",L$20="",L$21=""),"",SUM($C16:L16))</f>
        <v>0</v>
      </c>
      <c r="M83" s="114">
        <f>IF(OR(M$13="",M$17="",M$14="",M$15="",M$16="",M$18="",M$19="",M$20="",M$21=""),"",SUM($C16:M16))</f>
        <v>0</v>
      </c>
      <c r="N83" s="114">
        <f>IF(OR(N$13="",N$17="",N$14="",N$15="",N$16="",N$18="",N$19="",N$20="",N$21=""),"",SUM($C16:N16))</f>
        <v>0</v>
      </c>
      <c r="O83" s="114">
        <f>IF(OR(O$13="",O$17="",O$14="",O$15="",O$16="",O$18="",O$19="",O$20="",O$21=""),"",SUM($C16:O16))</f>
        <v>0</v>
      </c>
      <c r="P83" s="114">
        <f>IF(OR(P$13="",P$17="",P$14="",P$15="",P$16="",P$18="",P$19="",P$20="",P$21=""),"",SUM($C16:P16))</f>
        <v>0</v>
      </c>
      <c r="Q83" s="114">
        <f>IF(OR(Q$13="",Q$17="",Q$14="",Q$15="",Q$16="",Q$18="",Q$19="",Q$20="",Q$21=""),"",SUM($C16:Q16))</f>
        <v>0</v>
      </c>
      <c r="R83" s="114">
        <f>IF(OR(R$13="",R$17="",R$14="",R$15="",R$16="",R$18="",R$19="",R$20="",R$21=""),"",SUM($C16:R16))</f>
        <v>0</v>
      </c>
      <c r="S83" s="114">
        <f>IF(OR(S$13="",S$17="",S$14="",S$15="",S$16="",S$18="",S$19="",S$20="",S$21=""),"",SUM($C16:S16))</f>
        <v>0</v>
      </c>
      <c r="T83" s="114">
        <f>IF(OR(T$13="",T$17="",T$14="",T$15="",T$16="",T$18="",T$19="",T$20="",T$21=""),"",SUM($C16:T16))</f>
        <v>0</v>
      </c>
      <c r="U83" s="114">
        <f>IF(OR(U$13="",U$17="",U$14="",U$15="",U$16="",U$18="",U$19="",U$20="",U$21=""),"",SUM($C16:U16))</f>
        <v>0</v>
      </c>
      <c r="V83" s="114">
        <f>IF(OR(V$13="",V$17="",V$14="",V$15="",V$16="",V$18="",V$19="",V$20="",V$21=""),"",SUM($C16:V16))</f>
        <v>0</v>
      </c>
      <c r="W83" s="114">
        <f>IF(OR(W$13="",W$17="",W$14="",W$15="",W$16="",W$18="",W$19="",W$20="",W$21=""),"",SUM($C16:W16))</f>
        <v>0</v>
      </c>
      <c r="X83" s="114">
        <f>IF(OR(X$13="",X$17="",X$14="",X$15="",X$16="",X$18="",X$19="",X$20="",X$21=""),"",SUM($C16:X16))</f>
        <v>0</v>
      </c>
      <c r="Y83" s="114">
        <f>IF(OR(Y$13="",Y$17="",Y$14="",Y$15="",Y$16="",Y$18="",Y$19="",Y$20="",Y$21=""),"",SUM($C16:Y16))</f>
        <v>28.400000000000002</v>
      </c>
      <c r="Z83" s="114">
        <f>IF(OR(Z$13="",Z$17="",Z$14="",Z$15="",Z$16="",Z$18="",Z$19="",Z$20="",Z$21=""),"",SUM($C16:Z16))</f>
        <v>28.400000000000002</v>
      </c>
      <c r="AA83" s="114">
        <f>IF(OR(AA$13="",AA$17="",AA$14="",AA$15="",AA$16="",AA$18="",AA$19="",AA$20="",AA$21=""),"",SUM($C16:AA16))</f>
        <v>28.400000000000002</v>
      </c>
      <c r="AB83" s="114">
        <f>IF(OR(AB$13="",AB$17="",AB$14="",AB$15="",AB$16="",AB$18="",AB$19="",AB$20="",AB$21=""),"",SUM($C16:AB16))</f>
        <v>28.400000000000002</v>
      </c>
      <c r="AC83" s="114">
        <f>IF(OR(AC$13="",AC$17="",AC$14="",AC$15="",AC$16="",AC$18="",AC$19="",AC$20="",AC$21=""),"",SUM($C16:AC16))</f>
        <v>28.400000000000002</v>
      </c>
      <c r="AD83" s="114">
        <f>IF(OR(AD$13="",AD$17="",AD$14="",AD$15="",AD$16="",AD$18="",AD$19="",AD$20="",AD$21=""),"",SUM($C16:AD16))</f>
        <v>28.400000000000002</v>
      </c>
      <c r="AE83" s="114">
        <f>IF(OR(AE$13="",AE$17="",AE$14="",AE$15="",AE$16="",AE$18="",AE$19="",AE$20="",AE$21=""),"",SUM($C16:AE16))</f>
        <v>28.400000000000002</v>
      </c>
      <c r="AF83" s="114">
        <f>IF(OR(AF$13="",AF$17="",AF$14="",AF$15="",AF$16="",AF$18="",AF$19="",AF$20="",AF$21=""),"",SUM($C16:AF16))</f>
        <v>28.400000000000002</v>
      </c>
      <c r="AG83" s="114">
        <f>IF(OR(AG$13="",AG$17="",AG$14="",AG$15="",AG$16="",AG$18="",AG$19="",AG$20="",AG$21=""),"",SUM($C16:AG16))</f>
        <v>29.810000000000002</v>
      </c>
      <c r="AH83" s="114">
        <f>IF(OR(AH$13="",AH$17="",AH$14="",AH$15="",AH$16="",AH$18="",AH$19="",AH$20="",AH$21=""),"",SUM($C16:AH16))</f>
        <v>29.810000000000002</v>
      </c>
      <c r="AI83" s="114">
        <f>IF(OR(AI$13="",AI$17="",AI$14="",AI$15="",AI$16="",AI$18="",AI$19="",AI$20="",AI$21=""),"",SUM($C16:AI16))</f>
        <v>32.590000000000003</v>
      </c>
      <c r="AJ83" s="114">
        <f>IF(OR(AJ$13="",AJ$17="",AJ$14="",AJ$15="",AJ$16="",AJ$18="",AJ$19="",AJ$20="",AJ$21=""),"",SUM($C16:AJ16))</f>
        <v>32.590000000000003</v>
      </c>
      <c r="AK83" s="114">
        <f>IF(OR(AK$13="",AK$17="",AK$14="",AK$15="",AK$16="",AK$18="",AK$19="",AK$20="",AK$21=""),"",SUM($C16:AK16))</f>
        <v>33.540000000000006</v>
      </c>
      <c r="AL83" s="114">
        <f>IF(OR(AL$13="",AL$17="",AL$14="",AL$15="",AL$16="",AL$18="",AL$19="",AL$20="",AL$21=""),"",SUM($C16:AL16))</f>
        <v>34.940000000000005</v>
      </c>
      <c r="AM83" s="114">
        <f>IF(OR(AM$13="",AM$17="",AM$14="",AM$15="",AM$16="",AM$18="",AM$19="",AM$20="",AM$21=""),"",SUM($C16:AM16))</f>
        <v>34.940000000000005</v>
      </c>
      <c r="AN83" s="114">
        <f>IF(OR(AN$13="",AN$17="",AN$14="",AN$15="",AN$16="",AN$18="",AN$19="",AN$20="",AN$21=""),"",SUM($C16:AN16))</f>
        <v>36.880000000000003</v>
      </c>
      <c r="AO83" s="114">
        <f>IF(OR(AO$13="",AO$17="",AO$14="",AO$15="",AO$16="",AO$18="",AO$19="",AO$20="",AO$21=""),"",SUM($C16:AO16))</f>
        <v>39.85</v>
      </c>
      <c r="AP83" s="114">
        <f>IF(OR(AP$13="",AP$17="",AP$14="",AP$15="",AP$16="",AP$18="",AP$19="",AP$20="",AP$21=""),"",SUM($C16:AP16))</f>
        <v>39.85</v>
      </c>
      <c r="AQ83" s="114">
        <f>IF(OR(AQ$13="",AQ$17="",AQ$14="",AQ$15="",AQ$16="",AQ$18="",AQ$19="",AQ$20="",AQ$21=""),"",SUM($C16:AQ16))</f>
        <v>39.85</v>
      </c>
      <c r="AR83" s="114">
        <f>IF(OR(AR$13="",AR$17="",AR$14="",AR$15="",AR$16="",AR$18="",AR$19="",AR$20="",AR$21=""),"",SUM($C16:AR16))</f>
        <v>39.85</v>
      </c>
      <c r="AS83" s="114">
        <f>IF(OR(AS$13="",AS$17="",AS$14="",AS$15="",AS$16="",AS$18="",AS$19="",AS$20="",AS$21=""),"",SUM($C16:AS16))</f>
        <v>39.85</v>
      </c>
      <c r="AT83" s="114">
        <f>IF(OR(AT$13="",AT$17="",AT$14="",AT$15="",AT$16="",AT$18="",AT$19="",AT$20="",AT$21=""),"",SUM($C16:AT16))</f>
        <v>42.660000000000004</v>
      </c>
      <c r="AU83" s="114">
        <f>IF(OR(AU$13="",AU$17="",AU$14="",AU$15="",AU$16="",AU$18="",AU$19="",AU$20="",AU$21=""),"",SUM($C16:AU16))</f>
        <v>42.660000000000004</v>
      </c>
      <c r="AV83" s="114">
        <f>IF(OR(AV$13="",AV$17="",AV$14="",AV$15="",AV$16="",AV$18="",AV$19="",AV$20="",AV$21=""),"",SUM($C16:AV16))</f>
        <v>63.89</v>
      </c>
      <c r="AW83" s="114">
        <f>IF(OR(AW$13="",AW$17="",AW$14="",AW$15="",AW$16="",AW$18="",AW$19="",AW$20="",AW$21=""),"",SUM($C16:AW16))</f>
        <v>63.89</v>
      </c>
      <c r="AX83" s="114">
        <f>IF(OR(AX$13="",AX$17="",AX$14="",AX$15="",AX$16="",AX$18="",AX$19="",AX$20="",AX$21=""),"",SUM($C16:AX16))</f>
        <v>63.89</v>
      </c>
      <c r="AY83" s="114">
        <f>IF(OR(AY$13="",AY$17="",AY$14="",AY$15="",AY$16="",AY$18="",AY$19="",AY$20="",AY$21=""),"",SUM($C16:AY16))</f>
        <v>63.89</v>
      </c>
      <c r="AZ83" s="114">
        <f>IF(OR(AZ$13="",AZ$17="",AZ$14="",AZ$15="",AZ$16="",AZ$18="",AZ$19="",AZ$20="",AZ$21=""),"",SUM($C16:AZ16))</f>
        <v>67.459999999999994</v>
      </c>
      <c r="BA83" s="114">
        <f>IF(OR(BA$13="",BA$17="",BA$14="",BA$15="",BA$16="",BA$18="",BA$19="",BA$20="",BA$21=""),"",SUM($C16:BA16))</f>
        <v>67.459999999999994</v>
      </c>
      <c r="BB83" s="114">
        <f>IF(OR(BB$13="",BB$17="",BB$14="",BB$15="",BB$16="",BB$18="",BB$19="",BB$20="",BB$21=""),"",SUM($C16:BB16))</f>
        <v>67.459999999999994</v>
      </c>
      <c r="BC83" s="114">
        <f>IF(OR(BC$13="",BC$17="",BC$14="",BC$15="",BC$16="",BC$18="",BC$19="",BC$20="",BC$21=""),"",SUM($C16:BC16))</f>
        <v>67.459999999999994</v>
      </c>
      <c r="BD83" s="114">
        <f>IF(OR(BD$13="",BD$17="",BD$14="",BD$15="",BD$16="",BD$18="",BD$19="",BD$20="",BD$21=""),"",SUM($C16:BD16))</f>
        <v>67.459999999999994</v>
      </c>
      <c r="BE83" s="114">
        <f>IF(OR(BE$13="",BE$17="",BE$14="",BE$15="",BE$16="",BE$18="",BE$19="",BE$20="",BE$21=""),"",SUM($C16:BE16))</f>
        <v>67.459999999999994</v>
      </c>
      <c r="BF83" s="114">
        <f>IF(OR(BF$13="",BF$17="",BF$14="",BF$15="",BF$16="",BF$18="",BF$19="",BF$20="",BF$21=""),"",SUM($C16:BF16))</f>
        <v>67.459999999999994</v>
      </c>
      <c r="BG83" s="114">
        <f>IF(OR(BG$13="",BG$17="",BG$14="",BG$15="",BG$16="",BG$18="",BG$19="",BG$20="",BG$21=""),"",SUM($C16:BG16))</f>
        <v>72.289999999999992</v>
      </c>
      <c r="BH83" s="114">
        <f>IF(OR(BH$13="",BH$17="",BH$14="",BH$15="",BH$16="",BH$18="",BH$19="",BH$20="",BH$21=""),"",SUM($C16:BH16))</f>
        <v>72.289999999999992</v>
      </c>
      <c r="BI83" s="114">
        <f>IF(OR(BI$13="",BI$17="",BI$14="",BI$15="",BI$16="",BI$18="",BI$19="",BI$20="",BI$21=""),"",SUM($C16:BI16))</f>
        <v>72.289999999999992</v>
      </c>
      <c r="BJ83" s="114">
        <f>IF(OR(BJ$13="",BJ$17="",BJ$14="",BJ$15="",BJ$16="",BJ$18="",BJ$19="",BJ$20="",BJ$21=""),"",SUM($C16:BJ16))</f>
        <v>72.289999999999992</v>
      </c>
      <c r="BK83" s="114">
        <f>IF(OR(BK$13="",BK$17="",BK$14="",BK$15="",BK$16="",BK$18="",BK$19="",BK$20="",BK$21=""),"",SUM($C16:BK16))</f>
        <v>87.199999999999989</v>
      </c>
      <c r="BL83" s="114">
        <f>IF(OR(BL$13="",BL$17="",BL$14="",BL$15="",BL$16="",BL$18="",BL$19="",BL$20="",BL$21=""),"",SUM($C16:BL16))</f>
        <v>98.72999999999999</v>
      </c>
      <c r="BM83" s="114">
        <f>IF(OR(BM$13="",BM$17="",BM$14="",BM$15="",BM$16="",BM$18="",BM$19="",BM$20="",BM$21=""),"",SUM($C16:BM16))</f>
        <v>98.72999999999999</v>
      </c>
      <c r="BN83" s="114">
        <f>IF(OR(BN$13="",BN$17="",BN$14="",BN$15="",BN$16="",BN$18="",BN$19="",BN$20="",BN$21=""),"",SUM($C16:BN16))</f>
        <v>122.24999999999999</v>
      </c>
      <c r="BO83" s="114">
        <f>IF(OR(BO$13="",BO$17="",BO$14="",BO$15="",BO$16="",BO$18="",BO$19="",BO$20="",BO$21=""),"",SUM($C16:BO16))</f>
        <v>122.24999999999999</v>
      </c>
      <c r="BP83" s="114">
        <f>IF(OR(BP$13="",BP$17="",BP$14="",BP$15="",BP$16="",BP$18="",BP$19="",BP$20="",BP$21=""),"",SUM($C16:BP16))</f>
        <v>122.24999999999999</v>
      </c>
      <c r="BQ83" s="114">
        <f>IF(OR(BQ$13="",BQ$17="",BQ$14="",BQ$15="",BQ$16="",BQ$18="",BQ$19="",BQ$20="",BQ$21=""),"",SUM($C16:BQ16))</f>
        <v>122.24999999999999</v>
      </c>
      <c r="BR83" s="114">
        <f>IF(OR(BR$13="",BR$17="",BR$14="",BR$15="",BR$16="",BR$18="",BR$19="",BR$20="",BR$21=""),"",SUM($C16:BR16))</f>
        <v>122.24999999999999</v>
      </c>
      <c r="BS83" s="114">
        <f>IF(OR(BS$13="",BS$17="",BS$14="",BS$15="",BS$16="",BS$18="",BS$19="",BS$20="",BS$21=""),"",SUM($C16:BS16))</f>
        <v>122.24999999999999</v>
      </c>
      <c r="BT83" s="114">
        <f>IF(OR(BT$13="",BT$17="",BT$14="",BT$15="",BT$16="",BT$18="",BT$19="",BT$20="",BT$21=""),"",SUM($C16:BT16))</f>
        <v>122.24999999999999</v>
      </c>
      <c r="BU83" s="114">
        <f>IF(OR(BU$13="",BU$17="",BU$14="",BU$15="",BU$16="",BU$18="",BU$19="",BU$20="",BU$21=""),"",SUM($C16:BU16))</f>
        <v>123.21999999999998</v>
      </c>
      <c r="BV83" s="114">
        <f>IF(OR(BV$13="",BV$17="",BV$14="",BV$15="",BV$16="",BV$18="",BV$19="",BV$20="",BV$21=""),"",SUM($C16:BV16))</f>
        <v>123.21999999999998</v>
      </c>
      <c r="BW83" s="114">
        <f>IF(OR(BW$13="",BW$17="",BW$14="",BW$15="",BW$16="",BW$18="",BW$19="",BW$20="",BW$21=""),"",SUM($C16:BW16))</f>
        <v>123.21999999999998</v>
      </c>
      <c r="BX83" s="114">
        <f>IF(OR(BX$13="",BX$17="",BX$14="",BX$15="",BX$16="",BX$18="",BX$19="",BX$20="",BX$21=""),"",SUM($C16:BX16))</f>
        <v>123.21999999999998</v>
      </c>
      <c r="BY83" s="114">
        <f>IF(OR(BY$13="",BY$17="",BY$14="",BY$15="",BY$16="",BY$18="",BY$19="",BY$20="",BY$21=""),"",SUM($C16:BY16))</f>
        <v>123.21999999999998</v>
      </c>
      <c r="BZ83" s="114">
        <f>IF(OR(BZ$13="",BZ$17="",BZ$14="",BZ$15="",BZ$16="",BZ$18="",BZ$19="",BZ$20="",BZ$21=""),"",SUM($C16:BZ16))</f>
        <v>123.21999999999998</v>
      </c>
      <c r="CA83" s="114">
        <f>IF(OR(CA$13="",CA$17="",CA$14="",CA$15="",CA$16="",CA$18="",CA$19="",CA$20="",CA$21=""),"",SUM($C16:CA16))</f>
        <v>123.21999999999998</v>
      </c>
      <c r="CB83" s="114">
        <f>IF(OR(CB$13="",CB$17="",CB$14="",CB$15="",CB$16="",CB$18="",CB$19="",CB$20="",CB$21=""),"",SUM($C16:CB16))</f>
        <v>156.04999999999998</v>
      </c>
      <c r="CC83" s="114">
        <f>IF(OR(CC$13="",CC$17="",CC$14="",CC$15="",CC$16="",CC$18="",CC$19="",CC$20="",CC$21=""),"",SUM($C16:CC16))</f>
        <v>156.04999999999998</v>
      </c>
      <c r="CD83" s="114">
        <f>IF(OR(CD$13="",CD$17="",CD$14="",CD$15="",CD$16="",CD$18="",CD$19="",CD$20="",CD$21=""),"",SUM($C16:CD16))</f>
        <v>156.04999999999998</v>
      </c>
      <c r="CE83" s="114">
        <f>IF(OR(CE$13="",CE$17="",CE$14="",CE$15="",CE$16="",CE$18="",CE$19="",CE$20="",CE$21=""),"",SUM($C16:CE16))</f>
        <v>156.04999999999998</v>
      </c>
      <c r="CF83" s="114">
        <f>IF(OR(CF$13="",CF$17="",CF$14="",CF$15="",CF$16="",CF$18="",CF$19="",CF$20="",CF$21=""),"",SUM($C16:CF16))</f>
        <v>156.04999999999998</v>
      </c>
      <c r="CG83" s="114">
        <f>IF(OR(CG$13="",CG$17="",CG$14="",CG$15="",CG$16="",CG$18="",CG$19="",CG$20="",CG$21=""),"",SUM($C16:CG16))</f>
        <v>156.04999999999998</v>
      </c>
      <c r="CH83" s="114">
        <f>IF(OR(CH$13="",CH$17="",CH$14="",CH$15="",CH$16="",CH$18="",CH$19="",CH$20="",CH$21=""),"",SUM($C16:CH16))</f>
        <v>156.74999999999997</v>
      </c>
      <c r="CI83" s="114">
        <f>IF(OR(CI$13="",CI$17="",CI$14="",CI$15="",CI$16="",CI$18="",CI$19="",CI$20="",CI$21=""),"",SUM($C16:CI16))</f>
        <v>156.74999999999997</v>
      </c>
      <c r="CJ83" s="114">
        <f>IF(OR(CJ$13="",CJ$17="",CJ$14="",CJ$15="",CJ$16="",CJ$18="",CJ$19="",CJ$20="",CJ$21=""),"",SUM($C16:CJ16))</f>
        <v>156.74999999999997</v>
      </c>
      <c r="CK83" s="114">
        <f>IF(OR(CK$13="",CK$17="",CK$14="",CK$15="",CK$16="",CK$18="",CK$19="",CK$20="",CK$21=""),"",SUM($C16:CK16))</f>
        <v>156.74999999999997</v>
      </c>
      <c r="CL83" s="114">
        <f>IF(OR(CL$13="",CL$17="",CL$14="",CL$15="",CL$16="",CL$18="",CL$19="",CL$20="",CL$21=""),"",SUM($C16:CL16))</f>
        <v>156.74999999999997</v>
      </c>
      <c r="CM83" s="114">
        <f>IF(OR(CM$13="",CM$17="",CM$14="",CM$15="",CM$16="",CM$18="",CM$19="",CM$20="",CM$21=""),"",SUM($C16:CM16))</f>
        <v>156.74999999999997</v>
      </c>
      <c r="CN83" s="114">
        <f>IF(OR(CN$13="",CN$17="",CN$14="",CN$15="",CN$16="",CN$18="",CN$19="",CN$20="",CN$21=""),"",SUM($C16:CN16))</f>
        <v>156.74999999999997</v>
      </c>
      <c r="CO83" s="114">
        <f>IF(OR(CO$13="",CO$17="",CO$14="",CO$15="",CO$16="",CO$18="",CO$19="",CO$20="",CO$21=""),"",SUM($C16:CO16))</f>
        <v>179.41999999999996</v>
      </c>
      <c r="CP83" s="114">
        <f>IF(OR(CP$13="",CP$17="",CP$14="",CP$15="",CP$16="",CP$18="",CP$19="",CP$20="",CP$21=""),"",SUM($C16:CP16))</f>
        <v>179.41999999999996</v>
      </c>
      <c r="CQ83" s="114">
        <f>IF(OR(CQ$13="",CQ$17="",CQ$14="",CQ$15="",CQ$16="",CQ$18="",CQ$19="",CQ$20="",CQ$21=""),"",SUM($C16:CQ16))</f>
        <v>179.41999999999996</v>
      </c>
      <c r="CR83" s="114">
        <f>IF(OR(CR$13="",CR$17="",CR$14="",CR$15="",CR$16="",CR$18="",CR$19="",CR$20="",CR$21=""),"",SUM($C16:CR16))</f>
        <v>179.41999999999996</v>
      </c>
      <c r="CS83" s="114">
        <f>IF(OR(CS$13="",CS$17="",CS$14="",CS$15="",CS$16="",CS$18="",CS$19="",CS$20="",CS$21=""),"",SUM($C16:CS16))</f>
        <v>210.59999999999997</v>
      </c>
      <c r="CT83" s="114">
        <f>IF(OR(CT$13="",CT$17="",CT$14="",CT$15="",CT$16="",CT$18="",CT$19="",CT$20="",CT$21=""),"",SUM($C16:CT16))</f>
        <v>228.19999999999996</v>
      </c>
      <c r="CU83" s="114">
        <f>IF(OR(CU$13="",CU$17="",CU$14="",CU$15="",CU$16="",CU$18="",CU$19="",CU$20="",CU$21=""),"",SUM($C16:CU16))</f>
        <v>232.29999999999995</v>
      </c>
      <c r="CV83" s="114">
        <f>IF(OR(CV$13="",CV$17="",CV$14="",CV$15="",CV$16="",CV$18="",CV$19="",CV$20="",CV$21=""),"",SUM($C16:CV16))</f>
        <v>233.12999999999997</v>
      </c>
      <c r="CW83" s="114">
        <f>IF(OR(CW$13="",CW$17="",CW$14="",CW$15="",CW$16="",CW$18="",CW$19="",CW$20="",CW$21=""),"",SUM($C16:CW16))</f>
        <v>233.12999999999997</v>
      </c>
      <c r="CX83" s="114">
        <f>IF(OR(CX$13="",CX$17="",CX$14="",CX$15="",CX$16="",CX$18="",CX$19="",CX$20="",CX$21=""),"",SUM($C16:CX16))</f>
        <v>233.12999999999997</v>
      </c>
      <c r="CY83" s="114">
        <f>IF(OR(CY$13="",CY$17="",CY$14="",CY$15="",CY$16="",CY$18="",CY$19="",CY$20="",CY$21=""),"",SUM($C16:CY16))</f>
        <v>237.20999999999998</v>
      </c>
      <c r="CZ83" s="114">
        <f>IF(OR(CZ$13="",CZ$17="",CZ$14="",CZ$15="",CZ$16="",CZ$18="",CZ$19="",CZ$20="",CZ$21=""),"",SUM($C16:CZ16))</f>
        <v>237.20999999999998</v>
      </c>
      <c r="DA83" s="114">
        <f>IF(OR(DA$13="",DA$17="",DA$14="",DA$15="",DA$16="",DA$18="",DA$19="",DA$20="",DA$21=""),"",SUM($C16:DA16))</f>
        <v>237.20999999999998</v>
      </c>
      <c r="DB83" s="114">
        <f>IF(OR(DB$13="",DB$17="",DB$14="",DB$15="",DB$16="",DB$18="",DB$19="",DB$20="",DB$21=""),"",SUM($C16:DB16))</f>
        <v>239.40999999999997</v>
      </c>
      <c r="DC83" s="114">
        <f>IF(OR(DC$13="",DC$17="",DC$14="",DC$15="",DC$16="",DC$18="",DC$19="",DC$20="",DC$21=""),"",SUM($C16:DC16))</f>
        <v>239.40999999999997</v>
      </c>
      <c r="DD83" s="114">
        <f>IF(OR(DD$13="",DD$17="",DD$14="",DD$15="",DD$16="",DD$18="",DD$19="",DD$20="",DD$21=""),"",SUM($C16:DD16))</f>
        <v>239.40999999999997</v>
      </c>
      <c r="DE83" s="114">
        <f>IF(OR(DE$13="",DE$17="",DE$14="",DE$15="",DE$16="",DE$18="",DE$19="",DE$20="",DE$21=""),"",SUM($C16:DE16))</f>
        <v>244.52999999999997</v>
      </c>
      <c r="DF83" s="114">
        <f>IF(OR(DF$13="",DF$17="",DF$14="",DF$15="",DF$16="",DF$18="",DF$19="",DF$20="",DF$21=""),"",SUM($C16:DF16))</f>
        <v>244.52999999999997</v>
      </c>
      <c r="DG83" s="114">
        <f>IF(OR(DG$13="",DG$17="",DG$14="",DG$15="",DG$16="",DG$18="",DG$19="",DG$20="",DG$21=""),"",SUM($C16:DG16))</f>
        <v>244.52999999999997</v>
      </c>
      <c r="DH83" s="114">
        <f>IF(OR(DH$13="",DH$17="",DH$14="",DH$15="",DH$16="",DH$18="",DH$19="",DH$20="",DH$21=""),"",SUM($C16:DH16))</f>
        <v>244.52999999999997</v>
      </c>
      <c r="DI83" s="114">
        <f>IF(OR(DI$13="",DI$17="",DI$14="",DI$15="",DI$16="",DI$18="",DI$19="",DI$20="",DI$21=""),"",SUM($C16:DI16))</f>
        <v>246.36999999999998</v>
      </c>
      <c r="DJ83" s="114">
        <f>IF(OR(DJ$13="",DJ$17="",DJ$14="",DJ$15="",DJ$16="",DJ$18="",DJ$19="",DJ$20="",DJ$21=""),"",SUM($C16:DJ16))</f>
        <v>246.36999999999998</v>
      </c>
      <c r="DK83" s="114">
        <f>IF(OR(DK$13="",DK$17="",DK$14="",DK$15="",DK$16="",DK$18="",DK$19="",DK$20="",DK$21=""),"",SUM($C16:DK16))</f>
        <v>247.78999999999996</v>
      </c>
      <c r="DL83" s="114">
        <f>IF(OR(DL$13="",DL$17="",DL$14="",DL$15="",DL$16="",DL$18="",DL$19="",DL$20="",DL$21=""),"",SUM($C16:DL16))</f>
        <v>247.78999999999996</v>
      </c>
      <c r="DM83" s="114">
        <f>IF(OR(DM$13="",DM$17="",DM$14="",DM$15="",DM$16="",DM$18="",DM$19="",DM$20="",DM$21=""),"",SUM($C16:DM16))</f>
        <v>247.78999999999996</v>
      </c>
      <c r="DN83" s="114">
        <f>IF(OR(DN$13="",DN$17="",DN$14="",DN$15="",DN$16="",DN$18="",DN$19="",DN$20="",DN$21=""),"",SUM($C16:DN16))</f>
        <v>247.78999999999996</v>
      </c>
      <c r="DO83" s="114">
        <f>IF(OR(DO$13="",DO$17="",DO$14="",DO$15="",DO$16="",DO$18="",DO$19="",DO$20="",DO$21=""),"",SUM($C16:DO16))</f>
        <v>247.78999999999996</v>
      </c>
      <c r="DP83" s="114">
        <f>IF(OR(DP$13="",DP$17="",DP$14="",DP$15="",DP$16="",DP$18="",DP$19="",DP$20="",DP$21=""),"",SUM($C16:DP16))</f>
        <v>251.33999999999997</v>
      </c>
      <c r="DQ83" s="114">
        <f>IF(OR(DQ$13="",DQ$17="",DQ$14="",DQ$15="",DQ$16="",DQ$18="",DQ$19="",DQ$20="",DQ$21=""),"",SUM($C16:DQ16))</f>
        <v>251.33999999999997</v>
      </c>
      <c r="DR83" s="114">
        <f>IF(OR(DR$13="",DR$17="",DR$14="",DR$15="",DR$16="",DR$18="",DR$19="",DR$20="",DR$21=""),"",SUM($C16:DR16))</f>
        <v>251.33999999999997</v>
      </c>
      <c r="DS83" s="114">
        <f>IF(OR(DS$13="",DS$17="",DS$14="",DS$15="",DS$16="",DS$18="",DS$19="",DS$20="",DS$21=""),"",SUM($C16:DS16))</f>
        <v>254.17</v>
      </c>
      <c r="DT83" s="114">
        <f>IF(OR(DT$13="",DT$17="",DT$14="",DT$15="",DT$16="",DT$18="",DT$19="",DT$20="",DT$21=""),"",SUM($C16:DT16))</f>
        <v>256.08</v>
      </c>
      <c r="DU83" s="114">
        <f>IF(OR(DU$13="",DU$17="",DU$14="",DU$15="",DU$16="",DU$18="",DU$19="",DU$20="",DU$21=""),"",SUM($C16:DU16))</f>
        <v>261.13</v>
      </c>
      <c r="DV83" s="114">
        <f>IF(OR(DV$13="",DV$17="",DV$14="",DV$15="",DV$16="",DV$18="",DV$19="",DV$20="",DV$21=""),"",SUM($C16:DV16))</f>
        <v>261.13</v>
      </c>
      <c r="DW83" s="114">
        <f>IF(OR(DW$13="",DW$17="",DW$14="",DW$15="",DW$16="",DW$18="",DW$19="",DW$20="",DW$21=""),"",SUM($C16:DW16))</f>
        <v>261.13</v>
      </c>
      <c r="DX83" s="114">
        <f>IF(OR(DX$13="",DX$17="",DX$14="",DX$15="",DX$16="",DX$18="",DX$19="",DX$20="",DX$21=""),"",SUM($C16:DX16))</f>
        <v>264.27999999999997</v>
      </c>
      <c r="DY83" s="114">
        <f>IF(OR(DY$13="",DY$17="",DY$14="",DY$15="",DY$16="",DY$18="",DY$19="",DY$20="",DY$21=""),"",SUM($C16:DY16))</f>
        <v>268.86999999999995</v>
      </c>
      <c r="DZ83" s="114">
        <f>IF(OR(DZ$13="",DZ$17="",DZ$14="",DZ$15="",DZ$16="",DZ$18="",DZ$19="",DZ$20="",DZ$21=""),"",SUM($C16:DZ16))</f>
        <v>278.73999999999995</v>
      </c>
      <c r="EA83" s="114">
        <f>IF(OR(EA$13="",EA$17="",EA$14="",EA$15="",EA$16="",EA$18="",EA$19="",EA$20="",EA$21=""),"",SUM($C16:EA16))</f>
        <v>278.73999999999995</v>
      </c>
      <c r="EB83" s="114">
        <f>IF(OR(EB$13="",EB$17="",EB$14="",EB$15="",EB$16="",EB$18="",EB$19="",EB$20="",EB$21=""),"",SUM($C16:EB16))</f>
        <v>278.73999999999995</v>
      </c>
      <c r="EC83" s="114">
        <f>IF(OR(EC$13="",EC$17="",EC$14="",EC$15="",EC$16="",EC$18="",EC$19="",EC$20="",EC$21=""),"",SUM($C16:EC16))</f>
        <v>278.73999999999995</v>
      </c>
      <c r="ED83" s="114">
        <f>IF(OR(ED$13="",ED$17="",ED$14="",ED$15="",ED$16="",ED$18="",ED$19="",ED$20="",ED$21=""),"",SUM($C16:ED16))</f>
        <v>278.73999999999995</v>
      </c>
      <c r="EE83" s="114">
        <f>IF(OR(EE$13="",EE$17="",EE$14="",EE$15="",EE$16="",EE$18="",EE$19="",EE$20="",EE$21=""),"",SUM($C16:EE16))</f>
        <v>278.73999999999995</v>
      </c>
      <c r="EF83" s="114">
        <f>IF(OR(EF$13="",EF$17="",EF$14="",EF$15="",EF$16="",EF$18="",EF$19="",EF$20="",EF$21=""),"",SUM($C16:EF16))</f>
        <v>278.73999999999995</v>
      </c>
      <c r="EG83" s="114">
        <f>IF(OR(EG$13="",EG$17="",EG$14="",EG$15="",EG$16="",EG$18="",EG$19="",EG$20="",EG$21=""),"",SUM($C16:EG16))</f>
        <v>278.73999999999995</v>
      </c>
      <c r="EH83" s="114">
        <f>IF(OR(EH$13="",EH$17="",EH$14="",EH$15="",EH$16="",EH$18="",EH$19="",EH$20="",EH$21=""),"",SUM($C16:EH16))</f>
        <v>278.73999999999995</v>
      </c>
      <c r="EI83" s="114">
        <f>IF(OR(EI$13="",EI$17="",EI$14="",EI$15="",EI$16="",EI$18="",EI$19="",EI$20="",EI$21=""),"",SUM($C16:EI16))</f>
        <v>302.33999999999997</v>
      </c>
      <c r="EJ83" s="114">
        <f>IF(OR(EJ$13="",EJ$17="",EJ$14="",EJ$15="",EJ$16="",EJ$18="",EJ$19="",EJ$20="",EJ$21=""),"",SUM($C16:EJ16))</f>
        <v>302.33999999999997</v>
      </c>
      <c r="EK83" s="114">
        <f>IF(OR(EK$13="",EK$17="",EK$14="",EK$15="",EK$16="",EK$18="",EK$19="",EK$20="",EK$21=""),"",SUM($C16:EK16))</f>
        <v>302.33999999999997</v>
      </c>
      <c r="EL83" s="114">
        <f>IF(OR(EL$13="",EL$17="",EL$14="",EL$15="",EL$16="",EL$18="",EL$19="",EL$20="",EL$21=""),"",SUM($C16:EL16))</f>
        <v>321.32</v>
      </c>
      <c r="EM83" s="114">
        <f>IF(OR(EM$13="",EM$17="",EM$14="",EM$15="",EM$16="",EM$18="",EM$19="",EM$20="",EM$21=""),"",SUM($C16:EM16))</f>
        <v>321.94</v>
      </c>
      <c r="EN83" s="114">
        <f>IF(OR(EN$13="",EN$17="",EN$14="",EN$15="",EN$16="",EN$18="",EN$19="",EN$20="",EN$21=""),"",SUM($C16:EN16))</f>
        <v>321.94</v>
      </c>
      <c r="EO83" s="114">
        <f>IF(OR(EO$13="",EO$17="",EO$14="",EO$15="",EO$16="",EO$18="",EO$19="",EO$20="",EO$21=""),"",SUM($C16:EO16))</f>
        <v>325.87</v>
      </c>
      <c r="EP83" s="114">
        <f>IF(OR(EP$13="",EP$17="",EP$14="",EP$15="",EP$16="",EP$18="",EP$19="",EP$20="",EP$21=""),"",SUM($C16:EP16))</f>
        <v>325.87</v>
      </c>
      <c r="EQ83" s="114">
        <f>IF(OR(EQ$13="",EQ$17="",EQ$14="",EQ$15="",EQ$16="",EQ$18="",EQ$19="",EQ$20="",EQ$21=""),"",SUM($C16:EQ16))</f>
        <v>329.25</v>
      </c>
      <c r="ER83" s="114">
        <f>IF(OR(ER$13="",ER$17="",ER$14="",ER$15="",ER$16="",ER$18="",ER$19="",ER$20="",ER$21=""),"",SUM($C16:ER16))</f>
        <v>329.25</v>
      </c>
      <c r="ES83" s="114">
        <f>IF(OR(ES$13="",ES$17="",ES$14="",ES$15="",ES$16="",ES$18="",ES$19="",ES$20="",ES$21=""),"",SUM($C16:ES16))</f>
        <v>331.7</v>
      </c>
      <c r="ET83" s="114">
        <f>IF(OR(ET$13="",ET$17="",ET$14="",ET$15="",ET$16="",ET$18="",ET$19="",ET$20="",ET$21=""),"",SUM($C16:ET16))</f>
        <v>331.7</v>
      </c>
      <c r="EU83" s="114">
        <f>IF(OR(EU$13="",EU$17="",EU$14="",EU$15="",EU$16="",EU$18="",EU$19="",EU$20="",EU$21=""),"",SUM($C16:EU16))</f>
        <v>331.7</v>
      </c>
      <c r="EV83" s="114">
        <f>IF(OR(EV$13="",EV$17="",EV$14="",EV$15="",EV$16="",EV$18="",EV$19="",EV$20="",EV$21=""),"",SUM($C16:EV16))</f>
        <v>331.7</v>
      </c>
      <c r="EW83" s="114">
        <f>IF(OR(EW$13="",EW$17="",EW$14="",EW$15="",EW$16="",EW$18="",EW$19="",EW$20="",EW$21=""),"",SUM($C16:EW16))</f>
        <v>331.7</v>
      </c>
      <c r="EX83" s="114">
        <f>IF(OR(EX$13="",EX$17="",EX$14="",EX$15="",EX$16="",EX$18="",EX$19="",EX$20="",EX$21=""),"",SUM($C16:EX16))</f>
        <v>331.7</v>
      </c>
      <c r="EY83" s="114">
        <f>IF(OR(EY$13="",EY$17="",EY$14="",EY$15="",EY$16="",EY$18="",EY$19="",EY$20="",EY$21=""),"",SUM($C16:EY16))</f>
        <v>331.7</v>
      </c>
      <c r="EZ83" s="114">
        <f>IF(OR(EZ$13="",EZ$17="",EZ$14="",EZ$15="",EZ$16="",EZ$18="",EZ$19="",EZ$20="",EZ$21=""),"",SUM($C16:EZ16))</f>
        <v>331.7</v>
      </c>
      <c r="FA83" s="114">
        <f>IF(OR(FA$13="",FA$17="",FA$14="",FA$15="",FA$16="",FA$18="",FA$19="",FA$20="",FA$21=""),"",SUM($C16:FA16))</f>
        <v>331.7</v>
      </c>
      <c r="FB83" s="114">
        <f>IF(OR(FB$13="",FB$17="",FB$14="",FB$15="",FB$16="",FB$18="",FB$19="",FB$20="",FB$21=""),"",SUM($C16:FB16))</f>
        <v>331.7</v>
      </c>
      <c r="FC83" s="114">
        <f>IF(OR(FC$13="",FC$17="",FC$14="",FC$15="",FC$16="",FC$18="",FC$19="",FC$20="",FC$21=""),"",SUM($C16:FC16))</f>
        <v>331.7</v>
      </c>
      <c r="FD83" s="114">
        <f>IF(OR(FD$13="",FD$17="",FD$14="",FD$15="",FD$16="",FD$18="",FD$19="",FD$20="",FD$21=""),"",SUM($C16:FD16))</f>
        <v>331.7</v>
      </c>
      <c r="FE83" s="114">
        <f>IF(OR(FE$13="",FE$17="",FE$14="",FE$15="",FE$16="",FE$18="",FE$19="",FE$20="",FE$21=""),"",SUM($C16:FE16))</f>
        <v>331.7</v>
      </c>
      <c r="FF83" s="114">
        <f>IF(OR(FF$13="",FF$17="",FF$14="",FF$15="",FF$16="",FF$18="",FF$19="",FF$20="",FF$21=""),"",SUM($C16:FF16))</f>
        <v>331.7</v>
      </c>
      <c r="FG83" s="114">
        <f>IF(OR(FG$13="",FG$17="",FG$14="",FG$15="",FG$16="",FG$18="",FG$19="",FG$20="",FG$21=""),"",SUM($C16:FG16))</f>
        <v>331.7</v>
      </c>
      <c r="FH83" s="114">
        <f>IF(OR(FH$13="",FH$17="",FH$14="",FH$15="",FH$16="",FH$18="",FH$19="",FH$20="",FH$21=""),"",SUM($C16:FH16))</f>
        <v>331.7</v>
      </c>
      <c r="FI83" s="114">
        <f>IF(OR(FI$13="",FI$17="",FI$14="",FI$15="",FI$16="",FI$18="",FI$19="",FI$20="",FI$21=""),"",SUM($C16:FI16))</f>
        <v>344.18</v>
      </c>
      <c r="FJ83" s="114">
        <f>IF(OR(FJ$13="",FJ$17="",FJ$14="",FJ$15="",FJ$16="",FJ$18="",FJ$19="",FJ$20="",FJ$21=""),"",SUM($C16:FJ16))</f>
        <v>344.18</v>
      </c>
      <c r="FK83" s="114">
        <f>IF(OR(FK$13="",FK$17="",FK$14="",FK$15="",FK$16="",FK$18="",FK$19="",FK$20="",FK$21=""),"",SUM($C16:FK16))</f>
        <v>367.01</v>
      </c>
      <c r="FL83" s="114">
        <f>IF(OR(FL$13="",FL$17="",FL$14="",FL$15="",FL$16="",FL$18="",FL$19="",FL$20="",FL$21=""),"",SUM($C16:FL16))</f>
        <v>367.01</v>
      </c>
      <c r="FM83" s="114">
        <f>IF(OR(FM$13="",FM$17="",FM$14="",FM$15="",FM$16="",FM$18="",FM$19="",FM$20="",FM$21=""),"",SUM($C16:FM16))</f>
        <v>367.01</v>
      </c>
      <c r="FN83" s="114">
        <f>IF(OR(FN$13="",FN$17="",FN$14="",FN$15="",FN$16="",FN$18="",FN$19="",FN$20="",FN$21=""),"",SUM($C16:FN16))</f>
        <v>367.01</v>
      </c>
      <c r="FO83" s="114">
        <f>IF(OR(FO$13="",FO$17="",FO$14="",FO$15="",FO$16="",FO$18="",FO$19="",FO$20="",FO$21=""),"",SUM($C16:FO16))</f>
        <v>367.01</v>
      </c>
      <c r="FP83" s="114">
        <f>IF(OR(FP$13="",FP$17="",FP$14="",FP$15="",FP$16="",FP$18="",FP$19="",FP$20="",FP$21=""),"",SUM($C16:FP16))</f>
        <v>367.21</v>
      </c>
      <c r="FQ83" s="114">
        <f>IF(OR(FQ$13="",FQ$17="",FQ$14="",FQ$15="",FQ$16="",FQ$18="",FQ$19="",FQ$20="",FQ$21=""),"",SUM($C16:FQ16))</f>
        <v>376.44</v>
      </c>
      <c r="FR83" s="114">
        <f>IF(OR(FR$13="",FR$17="",FR$14="",FR$15="",FR$16="",FR$18="",FR$19="",FR$20="",FR$21=""),"",SUM($C16:FR16))</f>
        <v>384.39</v>
      </c>
      <c r="FS83" s="114">
        <f>IF(OR(FS$13="",FS$17="",FS$14="",FS$15="",FS$16="",FS$18="",FS$19="",FS$20="",FS$21=""),"",SUM($C16:FS16))</f>
        <v>386.28999999999996</v>
      </c>
      <c r="FT83" s="114">
        <f>IF(OR(FT$13="",FT$17="",FT$14="",FT$15="",FT$16="",FT$18="",FT$19="",FT$20="",FT$21=""),"",SUM($C16:FT16))</f>
        <v>386.28999999999996</v>
      </c>
      <c r="FU83" s="114">
        <f>IF(OR(FU$13="",FU$17="",FU$14="",FU$15="",FU$16="",FU$18="",FU$19="",FU$20="",FU$21=""),"",SUM($C16:FU16))</f>
        <v>400.93999999999994</v>
      </c>
      <c r="FV83" s="114">
        <f>IF(OR(FV$13="",FV$17="",FV$14="",FV$15="",FV$16="",FV$18="",FV$19="",FV$20="",FV$21=""),"",SUM($C16:FV16))</f>
        <v>400.93999999999994</v>
      </c>
      <c r="FW83" s="114">
        <f>IF(OR(FW$13="",FW$17="",FW$14="",FW$15="",FW$16="",FW$18="",FW$19="",FW$20="",FW$21=""),"",SUM($C16:FW16))</f>
        <v>410.81999999999994</v>
      </c>
      <c r="FX83" s="114">
        <f>IF(OR(FX$13="",FX$17="",FX$14="",FX$15="",FX$16="",FX$18="",FX$19="",FX$20="",FX$21=""),"",SUM($C16:FX16))</f>
        <v>410.81999999999994</v>
      </c>
      <c r="FY83" s="114">
        <f>IF(OR(FY$13="",FY$17="",FY$14="",FY$15="",FY$16="",FY$18="",FY$19="",FY$20="",FY$21=""),"",SUM($C16:FY16))</f>
        <v>413.59999999999991</v>
      </c>
      <c r="FZ83" s="114">
        <f>IF(OR(FZ$13="",FZ$17="",FZ$14="",FZ$15="",FZ$16="",FZ$18="",FZ$19="",FZ$20="",FZ$21=""),"",SUM($C16:FZ16))</f>
        <v>413.59999999999991</v>
      </c>
      <c r="GA83" s="114">
        <f>IF(OR(GA$13="",GA$17="",GA$14="",GA$15="",GA$16="",GA$18="",GA$19="",GA$20="",GA$21=""),"",SUM($C16:GA16))</f>
        <v>413.59999999999991</v>
      </c>
      <c r="GB83" s="114">
        <f>IF(OR(GB$13="",GB$17="",GB$14="",GB$15="",GB$16="",GB$18="",GB$19="",GB$20="",GB$21=""),"",SUM($C16:GB16))</f>
        <v>413.59999999999991</v>
      </c>
      <c r="GC83" s="114">
        <f>IF(OR(GC$13="",GC$17="",GC$14="",GC$15="",GC$16="",GC$18="",GC$19="",GC$20="",GC$21=""),"",SUM($C16:GC16))</f>
        <v>427.8599999999999</v>
      </c>
      <c r="GD83" s="114">
        <f>IF(OR(GD$13="",GD$17="",GD$14="",GD$15="",GD$16="",GD$18="",GD$19="",GD$20="",GD$21=""),"",SUM($C16:GD16))</f>
        <v>427.8599999999999</v>
      </c>
      <c r="GE83" s="114">
        <f>IF(OR(GE$13="",GE$17="",GE$14="",GE$15="",GE$16="",GE$18="",GE$19="",GE$20="",GE$21=""),"",SUM($C16:GE16))</f>
        <v>427.8599999999999</v>
      </c>
      <c r="GF83" s="114">
        <f>IF(OR(GF$13="",GF$17="",GF$14="",GF$15="",GF$16="",GF$18="",GF$19="",GF$20="",GF$21=""),"",SUM($C16:GF16))</f>
        <v>427.8599999999999</v>
      </c>
      <c r="GG83" s="114">
        <f>IF(OR(GG$13="",GG$17="",GG$14="",GG$15="",GG$16="",GG$18="",GG$19="",GG$20="",GG$21=""),"",SUM($C16:GG16))</f>
        <v>427.8599999999999</v>
      </c>
      <c r="GH83" s="114">
        <f>IF(OR(GH$13="",GH$17="",GH$14="",GH$15="",GH$16="",GH$18="",GH$19="",GH$20="",GH$21=""),"",SUM($C16:GH16))</f>
        <v>427.8599999999999</v>
      </c>
      <c r="GI83" s="114">
        <f>IF(OR(GI$13="",GI$17="",GI$14="",GI$15="",GI$16="",GI$18="",GI$19="",GI$20="",GI$21=""),"",SUM($C16:GI16))</f>
        <v>427.8599999999999</v>
      </c>
      <c r="GJ83" s="114">
        <f>IF(OR(GJ$13="",GJ$17="",GJ$14="",GJ$15="",GJ$16="",GJ$18="",GJ$19="",GJ$20="",GJ$21=""),"",SUM($C16:GJ16))</f>
        <v>427.8599999999999</v>
      </c>
      <c r="GK83" s="114">
        <f>IF(OR(GK$13="",GK$17="",GK$14="",GK$15="",GK$16="",GK$18="",GK$19="",GK$20="",GK$21=""),"",SUM($C16:GK16))</f>
        <v>427.8599999999999</v>
      </c>
      <c r="GL83" s="114">
        <f>IF(OR(GL$13="",GL$17="",GL$14="",GL$15="",GL$16="",GL$18="",GL$19="",GL$20="",GL$21=""),"",SUM($C16:GL16))</f>
        <v>427.8599999999999</v>
      </c>
      <c r="GM83" s="114">
        <f>IF(OR(GM$13="",GM$17="",GM$14="",GM$15="",GM$16="",GM$18="",GM$19="",GM$20="",GM$21=""),"",SUM($C16:GM16))</f>
        <v>438.12999999999988</v>
      </c>
      <c r="GN83" s="114">
        <f>IF(OR(GN$13="",GN$17="",GN$14="",GN$15="",GN$16="",GN$18="",GN$19="",GN$20="",GN$21=""),"",SUM($C16:GN16))</f>
        <v>438.12999999999988</v>
      </c>
      <c r="GO83" s="114">
        <f>IF(OR(GO$13="",GO$17="",GO$14="",GO$15="",GO$16="",GO$18="",GO$19="",GO$20="",GO$21=""),"",SUM($C16:GO16))</f>
        <v>438.12999999999988</v>
      </c>
      <c r="GP83" s="114">
        <f>IF(OR(GP$13="",GP$17="",GP$14="",GP$15="",GP$16="",GP$18="",GP$19="",GP$20="",GP$21=""),"",SUM($C16:GP16))</f>
        <v>438.12999999999988</v>
      </c>
      <c r="GQ83" s="114">
        <f>IF(OR(GQ$13="",GQ$17="",GQ$14="",GQ$15="",GQ$16="",GQ$18="",GQ$19="",GQ$20="",GQ$21=""),"",SUM($C16:GQ16))</f>
        <v>438.12999999999988</v>
      </c>
      <c r="GR83" s="114">
        <f>IF(OR(GR$13="",GR$17="",GR$14="",GR$15="",GR$16="",GR$18="",GR$19="",GR$20="",GR$21=""),"",SUM($C16:GR16))</f>
        <v>486.0499999999999</v>
      </c>
      <c r="GS83" s="114">
        <f>IF(OR(GS$13="",GS$17="",GS$14="",GS$15="",GS$16="",GS$18="",GS$19="",GS$20="",GS$21=""),"",SUM($C16:GS16))</f>
        <v>486.0499999999999</v>
      </c>
      <c r="GT83" s="114">
        <f>IF(OR(GT$13="",GT$17="",GT$14="",GT$15="",GT$16="",GT$18="",GT$19="",GT$20="",GT$21=""),"",SUM($C16:GT16))</f>
        <v>497.62999999999988</v>
      </c>
      <c r="GU83" s="114">
        <f>IF(OR(GU$13="",GU$17="",GU$14="",GU$15="",GU$16="",GU$18="",GU$19="",GU$20="",GU$21=""),"",SUM($C16:GU16))</f>
        <v>497.62999999999988</v>
      </c>
      <c r="GV83" s="114">
        <f>IF(OR(GV$13="",GV$17="",GV$14="",GV$15="",GV$16="",GV$18="",GV$19="",GV$20="",GV$21=""),"",SUM($C16:GV16))</f>
        <v>497.62999999999988</v>
      </c>
      <c r="GW83" s="114">
        <f>IF(OR(GW$13="",GW$17="",GW$14="",GW$15="",GW$16="",GW$18="",GW$19="",GW$20="",GW$21=""),"",SUM($C16:GW16))</f>
        <v>497.62999999999988</v>
      </c>
      <c r="GX83" s="114">
        <f>IF(OR(GX$13="",GX$17="",GX$14="",GX$15="",GX$16="",GX$18="",GX$19="",GX$20="",GX$21=""),"",SUM($C16:GX16))</f>
        <v>497.62999999999988</v>
      </c>
      <c r="GY83" s="114">
        <f>IF(OR(GY$13="",GY$17="",GY$14="",GY$15="",GY$16="",GY$18="",GY$19="",GY$20="",GY$21=""),"",SUM($C16:GY16))</f>
        <v>497.62999999999988</v>
      </c>
      <c r="GZ83" s="114">
        <f>IF(OR(GZ$13="",GZ$17="",GZ$14="",GZ$15="",GZ$16="",GZ$18="",GZ$19="",GZ$20="",GZ$21=""),"",SUM($C16:GZ16))</f>
        <v>497.62999999999988</v>
      </c>
      <c r="HA83" s="114">
        <f>IF(OR(HA$13="",HA$17="",HA$14="",HA$15="",HA$16="",HA$18="",HA$19="",HA$20="",HA$21=""),"",SUM($C16:HA16))</f>
        <v>497.62999999999988</v>
      </c>
      <c r="HB83" s="114">
        <f>IF(OR(HB$13="",HB$17="",HB$14="",HB$15="",HB$16="",HB$18="",HB$19="",HB$20="",HB$21=""),"",SUM($C16:HB16))</f>
        <v>497.62999999999988</v>
      </c>
      <c r="HC83" s="114">
        <f>IF(OR(HC$13="",HC$17="",HC$14="",HC$15="",HC$16="",HC$18="",HC$19="",HC$20="",HC$21=""),"",SUM($C16:HC16))</f>
        <v>497.62999999999988</v>
      </c>
      <c r="HD83" s="114">
        <f>IF(OR(HD$13="",HD$17="",HD$14="",HD$15="",HD$16="",HD$18="",HD$19="",HD$20="",HD$21=""),"",SUM($C16:HD16))</f>
        <v>497.62999999999988</v>
      </c>
      <c r="HE83" s="114">
        <f>IF(OR(HE$13="",HE$17="",HE$14="",HE$15="",HE$16="",HE$18="",HE$19="",HE$20="",HE$21=""),"",SUM($C16:HE16))</f>
        <v>497.62999999999988</v>
      </c>
      <c r="HF83" s="114">
        <f>IF(OR(HF$13="",HF$17="",HF$14="",HF$15="",HF$16="",HF$18="",HF$19="",HF$20="",HF$21=""),"",SUM($C16:HF16))</f>
        <v>497.62999999999988</v>
      </c>
      <c r="HG83" s="114">
        <f>IF(OR(HG$13="",HG$17="",HG$14="",HG$15="",HG$16="",HG$18="",HG$19="",HG$20="",HG$21=""),"",SUM($C16:HG16))</f>
        <v>497.62999999999988</v>
      </c>
      <c r="HH83" s="114">
        <f>IF(OR(HH$13="",HH$17="",HH$14="",HH$15="",HH$16="",HH$18="",HH$19="",HH$20="",HH$21=""),"",SUM($C16:HH16))</f>
        <v>497.62999999999988</v>
      </c>
      <c r="HI83" s="114">
        <f>IF(OR(HI$13="",HI$17="",HI$14="",HI$15="",HI$16="",HI$18="",HI$19="",HI$20="",HI$21=""),"",SUM($C16:HI16))</f>
        <v>497.62999999999988</v>
      </c>
      <c r="HJ83" s="114">
        <f>IF(OR(HJ$13="",HJ$17="",HJ$14="",HJ$15="",HJ$16="",HJ$18="",HJ$19="",HJ$20="",HJ$21=""),"",SUM($C16:HJ16))</f>
        <v>497.62999999999988</v>
      </c>
      <c r="HK83" s="114">
        <f>IF(OR(HK$13="",HK$17="",HK$14="",HK$15="",HK$16="",HK$18="",HK$19="",HK$20="",HK$21=""),"",SUM($C16:HK16))</f>
        <v>497.62999999999988</v>
      </c>
      <c r="HL83" s="114">
        <f>IF(OR(HL$13="",HL$17="",HL$14="",HL$15="",HL$16="",HL$18="",HL$19="",HL$20="",HL$21=""),"",SUM($C16:HL16))</f>
        <v>497.62999999999988</v>
      </c>
      <c r="HM83" s="114">
        <f>IF(OR(HM$13="",HM$17="",HM$14="",HM$15="",HM$16="",HM$18="",HM$19="",HM$20="",HM$21=""),"",SUM($C16:HM16))</f>
        <v>497.62999999999988</v>
      </c>
      <c r="HN83" s="114">
        <f>IF(OR(HN$13="",HN$17="",HN$14="",HN$15="",HN$16="",HN$18="",HN$19="",HN$20="",HN$21=""),"",SUM($C16:HN16))</f>
        <v>504.43333333333322</v>
      </c>
      <c r="HO83" s="114">
        <f>IF(OR(HO$13="",HO$17="",HO$14="",HO$15="",HO$16="",HO$18="",HO$19="",HO$20="",HO$21=""),"",SUM($C16:HO16))</f>
        <v>504.43333333333322</v>
      </c>
      <c r="HP83" s="114">
        <f>IF(OR(HP$13="",HP$17="",HP$14="",HP$15="",HP$16="",HP$18="",HP$19="",HP$20="",HP$21=""),"",SUM($C16:HP16))</f>
        <v>504.43333333333322</v>
      </c>
      <c r="HQ83" s="114">
        <f>IF(OR(HQ$13="",HQ$17="",HQ$14="",HQ$15="",HQ$16="",HQ$18="",HQ$19="",HQ$20="",HQ$21=""),"",SUM($C16:HQ16))</f>
        <v>504.43333333333322</v>
      </c>
      <c r="HR83" s="114">
        <f>IF(OR(HR$13="",HR$17="",HR$14="",HR$15="",HR$16="",HR$18="",HR$19="",HR$20="",HR$21=""),"",SUM($C16:HR16))</f>
        <v>504.43333333333322</v>
      </c>
      <c r="HS83" s="114">
        <f>IF(OR(HS$13="",HS$17="",HS$14="",HS$15="",HS$16="",HS$18="",HS$19="",HS$20="",HS$21=""),"",SUM($C16:HS16))</f>
        <v>504.43333333333322</v>
      </c>
      <c r="HT83" s="114">
        <f>IF(OR(HT$13="",HT$17="",HT$14="",HT$15="",HT$16="",HT$18="",HT$19="",HT$20="",HT$21=""),"",SUM($C16:HT16))</f>
        <v>504.43333333333322</v>
      </c>
      <c r="HU83" s="114">
        <f>IF(OR(HU$13="",HU$17="",HU$14="",HU$15="",HU$16="",HU$18="",HU$19="",HU$20="",HU$21=""),"",SUM($C16:HU16))</f>
        <v>504.43333333333322</v>
      </c>
      <c r="HV83" s="114">
        <f>IF(OR(HV$13="",HV$17="",HV$14="",HV$15="",HV$16="",HV$18="",HV$19="",HV$20="",HV$21=""),"",SUM($C16:HV16))</f>
        <v>504.43333333333322</v>
      </c>
      <c r="HW83" s="114">
        <f>IF(OR(HW$13="",HW$17="",HW$14="",HW$15="",HW$16="",HW$18="",HW$19="",HW$20="",HW$21=""),"",SUM($C16:HW16))</f>
        <v>504.43333333333322</v>
      </c>
      <c r="HX83" s="114">
        <f>IF(OR(HX$13="",HX$17="",HX$14="",HX$15="",HX$16="",HX$18="",HX$19="",HX$20="",HX$21=""),"",SUM($C16:HX16))</f>
        <v>504.6147222222221</v>
      </c>
      <c r="HY83" s="114">
        <f>IF(OR(HY$13="",HY$17="",HY$14="",HY$15="",HY$16="",HY$18="",HY$19="",HY$20="",HY$21=""),"",SUM($C16:HY16))</f>
        <v>508.96749999999986</v>
      </c>
      <c r="HZ83" s="114">
        <f>IF(OR(HZ$13="",HZ$17="",HZ$14="",HZ$15="",HZ$16="",HZ$18="",HZ$19="",HZ$20="",HZ$21=""),"",SUM($C16:HZ16))</f>
        <v>530.2538888888887</v>
      </c>
      <c r="IA83" s="114">
        <f>IF(OR(IA$13="",IA$17="",IA$14="",IA$15="",IA$16="",IA$18="",IA$19="",IA$20="",IA$21=""),"",SUM($C16:IA16))</f>
        <v>538.47083333333319</v>
      </c>
      <c r="IB83" s="114">
        <f>IF(OR(IB$13="",IB$17="",IB$14="",IB$15="",IB$16="",IB$18="",IB$19="",IB$20="",IB$21=""),"",SUM($C16:IB16))</f>
        <v>538.47083333333319</v>
      </c>
      <c r="IC83" s="114">
        <f>IF(OR(IC$13="",IC$17="",IC$14="",IC$15="",IC$16="",IC$18="",IC$19="",IC$20="",IC$21=""),"",SUM($C16:IC16))</f>
        <v>538.47083333333319</v>
      </c>
      <c r="ID83" s="114">
        <f>IF(OR(ID$13="",ID$17="",ID$14="",ID$15="",ID$16="",ID$18="",ID$19="",ID$20="",ID$21=""),"",SUM($C16:ID16))</f>
        <v>538.47083333333319</v>
      </c>
      <c r="IE83" s="114">
        <f>IF(OR(IE$13="",IE$17="",IE$14="",IE$15="",IE$16="",IE$18="",IE$19="",IE$20="",IE$21=""),"",SUM($C16:IE16))</f>
        <v>538.47083333333319</v>
      </c>
      <c r="IF83" s="114">
        <f>IF(OR(IF$13="",IF$17="",IF$14="",IF$15="",IF$16="",IF$18="",IF$19="",IF$20="",IF$21=""),"",SUM($C16:IF16))</f>
        <v>542.27083333333314</v>
      </c>
      <c r="IG83" s="114">
        <f>IF(OR(IG$13="",IG$17="",IG$14="",IG$15="",IG$16="",IG$18="",IG$19="",IG$20="",IG$21=""),"",SUM($C16:IG16))</f>
        <v>542.27083333333314</v>
      </c>
      <c r="IH83" s="114">
        <f>IF(OR(IH$13="",IH$17="",IH$14="",IH$15="",IH$16="",IH$18="",IH$19="",IH$20="",IH$21=""),"",SUM($C16:IH16))</f>
        <v>542.27083333333314</v>
      </c>
      <c r="II83" s="114">
        <f>IF(OR(II$13="",II$17="",II$14="",II$15="",II$16="",II$18="",II$19="",II$20="",II$21=""),"",SUM($C16:II16))</f>
        <v>542.27083333333314</v>
      </c>
      <c r="IJ83" s="114">
        <f>IF(OR(IJ$13="",IJ$17="",IJ$14="",IJ$15="",IJ$16="",IJ$18="",IJ$19="",IJ$20="",IJ$21=""),"",SUM($C16:IJ16))</f>
        <v>542.27083333333314</v>
      </c>
      <c r="IK83" s="114">
        <f>IF(OR(IK$13="",IK$17="",IK$14="",IK$15="",IK$16="",IK$18="",IK$19="",IK$20="",IK$21=""),"",SUM($C16:IK16))</f>
        <v>556.51833333333309</v>
      </c>
      <c r="IL83" s="114">
        <f>IF(OR(IL$13="",IL$17="",IL$14="",IL$15="",IL$16="",IL$18="",IL$19="",IL$20="",IL$21=""),"",SUM($C16:IL16))</f>
        <v>561.75749999999971</v>
      </c>
      <c r="IM83" s="114">
        <f>IF(OR(IM$13="",IM$17="",IM$14="",IM$15="",IM$16="",IM$18="",IM$19="",IM$20="",IM$21=""),"",SUM($C16:IM16))</f>
        <v>561.75749999999971</v>
      </c>
      <c r="IN83" s="114">
        <f>IF(OR(IN$13="",IN$17="",IN$14="",IN$15="",IN$16="",IN$18="",IN$19="",IN$20="",IN$21=""),"",SUM($C16:IN16))</f>
        <v>561.75749999999971</v>
      </c>
      <c r="IO83" s="114">
        <f>IF(OR(IO$13="",IO$17="",IO$14="",IO$15="",IO$16="",IO$18="",IO$19="",IO$20="",IO$21=""),"",SUM($C16:IO16))</f>
        <v>566.78777777777748</v>
      </c>
      <c r="IP83" s="114">
        <f>IF(OR(IP$13="",IP$17="",IP$14="",IP$15="",IP$16="",IP$18="",IP$19="",IP$20="",IP$21=""),"",SUM($C16:IP16))</f>
        <v>575.55916666666633</v>
      </c>
      <c r="IQ83" s="114">
        <f>IF(OR(IQ$13="",IQ$17="",IQ$14="",IQ$15="",IQ$16="",IQ$18="",IQ$19="",IQ$20="",IQ$21=""),"",SUM($C16:IQ16))</f>
        <v>581.74472222222187</v>
      </c>
      <c r="IR83" s="114">
        <f>IF(OR(IR$13="",IR$17="",IR$14="",IR$15="",IR$16="",IR$18="",IR$19="",IR$20="",IR$21=""),"",SUM($C16:IR16))</f>
        <v>591.88333333333298</v>
      </c>
      <c r="IS83" s="114">
        <f>IF(OR(IS$13="",IS$17="",IS$14="",IS$15="",IS$16="",IS$18="",IS$19="",IS$20="",IS$21=""),"",SUM($C16:IS16))</f>
        <v>591.97249999999963</v>
      </c>
      <c r="IT83" s="114">
        <f>IF(OR(IT$13="",IT$17="",IT$14="",IT$15="",IT$16="",IT$18="",IT$19="",IT$20="",IT$21=""),"",SUM($C16:IT16))</f>
        <v>592.52138888888851</v>
      </c>
      <c r="IU83" s="114">
        <f>IF(OR(IU$13="",IU$17="",IU$14="",IU$15="",IU$16="",IU$18="",IU$19="",IU$20="",IU$21=""),"",SUM($C16:IU16))</f>
        <v>592.52138888888851</v>
      </c>
      <c r="IV83" s="114">
        <f>IF(OR(IV$13="",IV$17="",IV$14="",IV$15="",IV$16="",IV$18="",IV$19="",IV$20="",IV$21=""),"",SUM($C16:IV16))</f>
        <v>594.59027777777737</v>
      </c>
      <c r="IW83" s="114">
        <f>IF(OR(IW$13="",IW$17="",IW$14="",IW$15="",IW$16="",IW$18="",IW$19="",IW$20="",IW$21=""),"",SUM($C16:IW16))</f>
        <v>594.59027777777737</v>
      </c>
      <c r="IX83" s="114">
        <f>IF(OR(IX$13="",IX$17="",IX$14="",IX$15="",IX$16="",IX$18="",IX$19="",IX$20="",IX$21=""),"",SUM($C16:IX16))</f>
        <v>611.13972222222185</v>
      </c>
      <c r="IY83" s="114">
        <f>IF(OR(IY$13="",IY$17="",IY$14="",IY$15="",IY$16="",IY$18="",IY$19="",IY$20="",IY$21=""),"",SUM($C16:IY16))</f>
        <v>631.9930555555552</v>
      </c>
      <c r="IZ83" s="114">
        <f>IF(OR(IZ$13="",IZ$17="",IZ$14="",IZ$15="",IZ$16="",IZ$18="",IZ$19="",IZ$20="",IZ$21=""),"",SUM($C16:IZ16))</f>
        <v>640.8436111111107</v>
      </c>
      <c r="JA83" s="114">
        <f>IF(OR(JA$13="",JA$17="",JA$14="",JA$15="",JA$16="",JA$18="",JA$19="",JA$20="",JA$21=""),"",SUM($C16:JA16))</f>
        <v>644.44611111111067</v>
      </c>
      <c r="JB83" s="114">
        <f>IF(OR(JB$13="",JB$17="",JB$14="",JB$15="",JB$16="",JB$18="",JB$19="",JB$20="",JB$21=""),"",SUM($C16:JB16))</f>
        <v>644.44611111111067</v>
      </c>
      <c r="JC83" s="114">
        <f>IF(OR(JC$13="",JC$17="",JC$14="",JC$15="",JC$16="",JC$18="",JC$19="",JC$20="",JC$21=""),"",SUM($C16:JC16))</f>
        <v>644.49944444444395</v>
      </c>
      <c r="JD83" s="114">
        <f>IF(OR(JD$13="",JD$17="",JD$14="",JD$15="",JD$16="",JD$18="",JD$19="",JD$20="",JD$21=""),"",SUM($C16:JD16))</f>
        <v>644.49944444444395</v>
      </c>
      <c r="JE83" s="114">
        <f>IF(OR(JE$13="",JE$17="",JE$14="",JE$15="",JE$16="",JE$18="",JE$19="",JE$20="",JE$21=""),"",SUM($C16:JE16))</f>
        <v>644.51472222222174</v>
      </c>
      <c r="JF83" s="114">
        <f>IF(OR(JF$13="",JF$17="",JF$14="",JF$15="",JF$16="",JF$18="",JF$19="",JF$20="",JF$21=""),"",SUM($C16:JF16))</f>
        <v>644.51472222222174</v>
      </c>
      <c r="JG83" s="114">
        <f>IF(OR(JG$13="",JG$17="",JG$14="",JG$15="",JG$16="",JG$18="",JG$19="",JG$20="",JG$21=""),"",SUM($C16:JG16))</f>
        <v>644.51472222222174</v>
      </c>
      <c r="JH83" s="114">
        <f>IF(OR(JH$13="",JH$17="",JH$14="",JH$15="",JH$16="",JH$18="",JH$19="",JH$20="",JH$21=""),"",SUM($C16:JH16))</f>
        <v>644.51472222222174</v>
      </c>
      <c r="JI83" s="114">
        <f>IF(OR(JI$13="",JI$17="",JI$14="",JI$15="",JI$16="",JI$18="",JI$19="",JI$20="",JI$21=""),"",SUM($C16:JI16))</f>
        <v>659.31444444444401</v>
      </c>
      <c r="JJ83" s="114">
        <f>IF(OR(JJ$13="",JJ$17="",JJ$14="",JJ$15="",JJ$16="",JJ$18="",JJ$19="",JJ$20="",JJ$21=""),"",SUM($C16:JJ16))</f>
        <v>683.31444444444401</v>
      </c>
      <c r="JK83" s="114">
        <f>IF(OR(JK$13="",JK$17="",JK$14="",JK$15="",JK$16="",JK$18="",JK$19="",JK$20="",JK$21=""),"",SUM($C16:JK16))</f>
        <v>689.60388888888849</v>
      </c>
      <c r="JL83" s="114">
        <f>IF(OR(JL$13="",JL$17="",JL$14="",JL$15="",JL$16="",JL$18="",JL$19="",JL$20="",JL$21=""),"",SUM($C16:JL16))</f>
        <v>689.60388888888849</v>
      </c>
      <c r="JM83" s="114">
        <f>IF(OR(JM$13="",JM$17="",JM$14="",JM$15="",JM$16="",JM$18="",JM$19="",JM$20="",JM$21=""),"",SUM($C16:JM16))</f>
        <v>689.60388888888849</v>
      </c>
      <c r="JN83" s="114">
        <f>IF(OR(JN$13="",JN$17="",JN$14="",JN$15="",JN$16="",JN$18="",JN$19="",JN$20="",JN$21=""),"",SUM($C16:JN16))</f>
        <v>697.2138888888885</v>
      </c>
      <c r="JO83" s="114">
        <f>IF(OR(JO$13="",JO$17="",JO$14="",JO$15="",JO$16="",JO$18="",JO$19="",JO$20="",JO$21=""),"",SUM($C16:JO16))</f>
        <v>698.2138888888885</v>
      </c>
      <c r="JP83" s="114">
        <f>IF(OR(JP$13="",JP$17="",JP$14="",JP$15="",JP$16="",JP$18="",JP$19="",JP$20="",JP$21=""),"",SUM($C16:JP16))</f>
        <v>699.2138888888885</v>
      </c>
      <c r="JQ83" s="114">
        <f>IF(OR(JQ$13="",JQ$17="",JQ$14="",JQ$15="",JQ$16="",JQ$18="",JQ$19="",JQ$20="",JQ$21=""),"",SUM($C16:JQ16))</f>
        <v>700.2138888888885</v>
      </c>
      <c r="JR83" s="114">
        <f>IF(OR(JR$13="",JR$17="",JR$14="",JR$15="",JR$16="",JR$18="",JR$19="",JR$20="",JR$21=""),"",SUM($C16:JR16))</f>
        <v>713.2766666666663</v>
      </c>
      <c r="JS83" s="114">
        <f>IF(OR(JS$13="",JS$17="",JS$14="",JS$15="",JS$16="",JS$18="",JS$19="",JS$20="",JS$21=""),"",SUM($C16:JS16))</f>
        <v>714.2766666666663</v>
      </c>
      <c r="JT83" s="114">
        <f>IF(OR(JT$13="",JT$17="",JT$14="",JT$15="",JT$16="",JT$18="",JT$19="",JT$20="",JT$21=""),"",SUM($C16:JT16))</f>
        <v>714.87666666666632</v>
      </c>
      <c r="JU83" s="114">
        <f>IF(OR(JU$13="",JU$17="",JU$14="",JU$15="",JU$16="",JU$18="",JU$19="",JU$20="",JU$21=""),"",SUM($C16:JU16))</f>
        <v>719.33666666666636</v>
      </c>
      <c r="JV83" s="114">
        <f>IF(OR(JV$13="",JV$17="",JV$14="",JV$15="",JV$16="",JV$18="",JV$19="",JV$20="",JV$21=""),"",SUM($C16:JV16))</f>
        <v>719.48666666666634</v>
      </c>
      <c r="JW83" s="114">
        <f>IF(OR(JW$13="",JW$17="",JW$14="",JW$15="",JW$16="",JW$18="",JW$19="",JW$20="",JW$21=""),"",SUM($C16:JW16))</f>
        <v>719.48666666666634</v>
      </c>
      <c r="JX83" s="114">
        <f>IF(OR(JX$13="",JX$17="",JX$14="",JX$15="",JX$16="",JX$18="",JX$19="",JX$20="",JX$21=""),"",SUM($C16:JX16))</f>
        <v>719.48666666666634</v>
      </c>
      <c r="JY83" s="114">
        <f>IF(OR(JY$13="",JY$17="",JY$14="",JY$15="",JY$16="",JY$18="",JY$19="",JY$20="",JY$21=""),"",SUM($C16:JY16))</f>
        <v>719.48666666666634</v>
      </c>
      <c r="JZ83" s="114">
        <f>IF(OR(JZ$13="",JZ$17="",JZ$14="",JZ$15="",JZ$16="",JZ$18="",JZ$19="",JZ$20="",JZ$21=""),"",SUM($C16:JZ16))</f>
        <v>719.48666666666634</v>
      </c>
      <c r="KA83" s="114">
        <f>IF(OR(KA$13="",KA$17="",KA$14="",KA$15="",KA$16="",KA$18="",KA$19="",KA$20="",KA$21=""),"",SUM($C16:KA16))</f>
        <v>719.48666666666634</v>
      </c>
      <c r="KB83" s="114">
        <f>IF(OR(KB$13="",KB$17="",KB$14="",KB$15="",KB$16="",KB$18="",KB$19="",KB$20="",KB$21=""),"",SUM($C16:KB16))</f>
        <v>719.48666666666634</v>
      </c>
      <c r="KC83" s="114">
        <f>IF(OR(KC$13="",KC$17="",KC$14="",KC$15="",KC$16="",KC$18="",KC$19="",KC$20="",KC$21=""),"",SUM($C16:KC16))</f>
        <v>719.48666666666634</v>
      </c>
      <c r="KD83" s="114">
        <f>IF(OR(KD$13="",KD$17="",KD$14="",KD$15="",KD$16="",KD$18="",KD$19="",KD$20="",KD$21=""),"",SUM($C16:KD16))</f>
        <v>719.48666666666634</v>
      </c>
      <c r="KE83" s="114">
        <f>IF(OR(KE$13="",KE$17="",KE$14="",KE$15="",KE$16="",KE$18="",KE$19="",KE$20="",KE$21=""),"",SUM($C16:KE16))</f>
        <v>719.48666666666634</v>
      </c>
      <c r="KF83" s="114">
        <f>IF(OR(KF$13="",KF$17="",KF$14="",KF$15="",KF$16="",KF$18="",KF$19="",KF$20="",KF$21=""),"",SUM($C16:KF16))</f>
        <v>719.48666666666634</v>
      </c>
      <c r="KG83" s="114">
        <f>IF(OR(KG$13="",KG$17="",KG$14="",KG$15="",KG$16="",KG$18="",KG$19="",KG$20="",KG$21=""),"",SUM($C16:KG16))</f>
        <v>719.48666666666634</v>
      </c>
      <c r="KH83" s="114">
        <f>IF(OR(KH$13="",KH$17="",KH$14="",KH$15="",KH$16="",KH$18="",KH$19="",KH$20="",KH$21=""),"",SUM($C16:KH16))</f>
        <v>743.48666666666634</v>
      </c>
      <c r="KI83" s="114">
        <f>IF(OR(KI$13="",KI$17="",KI$14="",KI$15="",KI$16="",KI$18="",KI$19="",KI$20="",KI$21=""),"",SUM($C16:KI16))</f>
        <v>743.48666666666634</v>
      </c>
      <c r="KJ83" s="114">
        <f>IF(OR(KJ$13="",KJ$17="",KJ$14="",KJ$15="",KJ$16="",KJ$18="",KJ$19="",KJ$20="",KJ$21=""),"",SUM($C16:KJ16))</f>
        <v>743.48666666666634</v>
      </c>
      <c r="KK83" s="114">
        <f>IF(OR(KK$13="",KK$17="",KK$14="",KK$15="",KK$16="",KK$18="",KK$19="",KK$20="",KK$21=""),"",SUM($C16:KK16))</f>
        <v>743.48666666666634</v>
      </c>
      <c r="KL83" s="114">
        <f>IF(OR(KL$13="",KL$17="",KL$14="",KL$15="",KL$16="",KL$18="",KL$19="",KL$20="",KL$21=""),"",SUM($C16:KL16))</f>
        <v>743.48666666666634</v>
      </c>
      <c r="KM83" s="114">
        <f>IF(OR(KM$13="",KM$17="",KM$14="",KM$15="",KM$16="",KM$18="",KM$19="",KM$20="",KM$21=""),"",SUM($C16:KM16))</f>
        <v>743.48666666666634</v>
      </c>
      <c r="KN83" s="114">
        <f>IF(OR(KN$13="",KN$17="",KN$14="",KN$15="",KN$16="",KN$18="",KN$19="",KN$20="",KN$21=""),"",SUM($C16:KN16))</f>
        <v>743.48666666666634</v>
      </c>
      <c r="KO83" s="114">
        <f>IF(OR(KO$13="",KO$17="",KO$14="",KO$15="",KO$16="",KO$18="",KO$19="",KO$20="",KO$21=""),"",SUM($C16:KO16))</f>
        <v>743.48666666666634</v>
      </c>
      <c r="KP83" s="114">
        <f>IF(OR(KP$13="",KP$17="",KP$14="",KP$15="",KP$16="",KP$18="",KP$19="",KP$20="",KP$21=""),"",SUM($C16:KP16))</f>
        <v>743.48666666666634</v>
      </c>
      <c r="KQ83" s="114">
        <f>IF(OR(KQ$13="",KQ$17="",KQ$14="",KQ$15="",KQ$16="",KQ$18="",KQ$19="",KQ$20="",KQ$21=""),"",SUM($C16:KQ16))</f>
        <v>743.48666666666634</v>
      </c>
      <c r="KR83" s="114">
        <f>IF(OR(KR$13="",KR$17="",KR$14="",KR$15="",KR$16="",KR$18="",KR$19="",KR$20="",KR$21=""),"",SUM($C16:KR16))</f>
        <v>743.48666666666634</v>
      </c>
      <c r="KS83" s="114">
        <f>IF(OR(KS$13="",KS$17="",KS$14="",KS$15="",KS$16="",KS$18="",KS$19="",KS$20="",KS$21=""),"",SUM($C16:KS16))</f>
        <v>743.48666666666634</v>
      </c>
      <c r="KT83" s="114">
        <f>IF(OR(KT$13="",KT$17="",KT$14="",KT$15="",KT$16="",KT$18="",KT$19="",KT$20="",KT$21=""),"",SUM($C16:KT16))</f>
        <v>743.48666666666634</v>
      </c>
      <c r="KU83" s="114" t="str">
        <f>IF(OR(KU$13="",KU$17="",KU$14="",KU$15="",KU$16="",KU$18="",KU$19="",KU$20="",KU$21=""),"",SUM($C16:KU16))</f>
        <v/>
      </c>
      <c r="KV83" s="114" t="str">
        <f>IF(OR(KV$13="",KV$17="",KV$14="",KV$15="",KV$16="",KV$18="",KV$19="",KV$20="",KV$21=""),"",SUM($C16:KV16))</f>
        <v/>
      </c>
      <c r="KW83" s="114" t="str">
        <f>IF(OR(KW$13="",KW$17="",KW$14="",KW$15="",KW$16="",KW$18="",KW$19="",KW$20="",KW$21=""),"",SUM($C16:KW16))</f>
        <v/>
      </c>
      <c r="KX83" s="114" t="str">
        <f>IF(OR(KX$13="",KX$17="",KX$14="",KX$15="",KX$16="",KX$18="",KX$19="",KX$20="",KX$21=""),"",SUM($C16:KX16))</f>
        <v/>
      </c>
      <c r="KY83" s="114" t="str">
        <f>IF(OR(KY$13="",KY$17="",KY$14="",KY$15="",KY$16="",KY$18="",KY$19="",KY$20="",KY$21=""),"",SUM($C16:KY16))</f>
        <v/>
      </c>
      <c r="KZ83" s="114" t="str">
        <f>IF(OR(KZ$13="",KZ$17="",KZ$14="",KZ$15="",KZ$16="",KZ$18="",KZ$19="",KZ$20="",KZ$21=""),"",SUM($C16:KZ16))</f>
        <v/>
      </c>
      <c r="LA83" s="114" t="str">
        <f>IF(OR(LA$13="",LA$17="",LA$14="",LA$15="",LA$16="",LA$18="",LA$19="",LA$20="",LA$21=""),"",SUM($C16:LA16))</f>
        <v/>
      </c>
      <c r="LB83" s="114" t="str">
        <f>IF(OR(LB$13="",LB$17="",LB$14="",LB$15="",LB$16="",LB$18="",LB$19="",LB$20="",LB$21=""),"",SUM($C16:LB16))</f>
        <v/>
      </c>
      <c r="LC83" s="114" t="str">
        <f>IF(OR(LC$13="",LC$17="",LC$14="",LC$15="",LC$16="",LC$18="",LC$19="",LC$20="",LC$21=""),"",SUM($C16:LC16))</f>
        <v/>
      </c>
      <c r="LD83" s="114" t="str">
        <f>IF(OR(LD$13="",LD$17="",LD$14="",LD$15="",LD$16="",LD$18="",LD$19="",LD$20="",LD$21=""),"",SUM($C16:LD16))</f>
        <v/>
      </c>
      <c r="LE83" s="114" t="str">
        <f>IF(OR(LE$13="",LE$17="",LE$14="",LE$15="",LE$16="",LE$18="",LE$19="",LE$20="",LE$21=""),"",SUM($C16:LE16))</f>
        <v/>
      </c>
      <c r="LF83" s="114" t="str">
        <f>IF(OR(LF$13="",LF$17="",LF$14="",LF$15="",LF$16="",LF$18="",LF$19="",LF$20="",LF$21=""),"",SUM($C16:LF16))</f>
        <v/>
      </c>
      <c r="LG83" s="114" t="str">
        <f>IF(OR(LG$13="",LG$17="",LG$14="",LG$15="",LG$16="",LG$18="",LG$19="",LG$20="",LG$21=""),"",SUM($C16:LG16))</f>
        <v/>
      </c>
      <c r="LH83" s="114" t="str">
        <f>IF(OR(LH$13="",LH$17="",LH$14="",LH$15="",LH$16="",LH$18="",LH$19="",LH$20="",LH$21=""),"",SUM($C16:LH16))</f>
        <v/>
      </c>
      <c r="LI83" s="114" t="str">
        <f>IF(OR(LI$13="",LI$17="",LI$14="",LI$15="",LI$16="",LI$18="",LI$19="",LI$20="",LI$21=""),"",SUM($C16:LI16))</f>
        <v/>
      </c>
      <c r="LJ83" s="114" t="str">
        <f>IF(OR(LJ$13="",LJ$17="",LJ$14="",LJ$15="",LJ$16="",LJ$18="",LJ$19="",LJ$20="",LJ$21=""),"",SUM($C16:LJ16))</f>
        <v/>
      </c>
      <c r="LK83" s="114" t="str">
        <f>IF(OR(LK$13="",LK$17="",LK$14="",LK$15="",LK$16="",LK$18="",LK$19="",LK$20="",LK$21=""),"",SUM($C16:LK16))</f>
        <v/>
      </c>
      <c r="LL83" s="114" t="str">
        <f>IF(OR(LL$13="",LL$17="",LL$14="",LL$15="",LL$16="",LL$18="",LL$19="",LL$20="",LL$21=""),"",SUM($C16:LL16))</f>
        <v/>
      </c>
      <c r="LM83" s="114" t="str">
        <f>IF(OR(LM$13="",LM$17="",LM$14="",LM$15="",LM$16="",LM$18="",LM$19="",LM$20="",LM$21=""),"",SUM($C16:LM16))</f>
        <v/>
      </c>
      <c r="LN83" s="114" t="str">
        <f>IF(OR(LN$13="",LN$17="",LN$14="",LN$15="",LN$16="",LN$18="",LN$19="",LN$20="",LN$21=""),"",SUM($C16:LN16))</f>
        <v/>
      </c>
      <c r="LO83" s="114" t="str">
        <f>IF(OR(LO$13="",LO$17="",LO$14="",LO$15="",LO$16="",LO$18="",LO$19="",LO$20="",LO$21=""),"",SUM($C16:LO16))</f>
        <v/>
      </c>
      <c r="LP83" s="114" t="str">
        <f>IF(OR(LP$13="",LP$17="",LP$14="",LP$15="",LP$16="",LP$18="",LP$19="",LP$20="",LP$21=""),"",SUM($C16:LP16))</f>
        <v/>
      </c>
      <c r="LQ83" s="114" t="str">
        <f>IF(OR(LQ$13="",LQ$17="",LQ$14="",LQ$15="",LQ$16="",LQ$18="",LQ$19="",LQ$20="",LQ$21=""),"",SUM($C16:LQ16))</f>
        <v/>
      </c>
      <c r="LR83" s="114" t="str">
        <f>IF(OR(LR$13="",LR$17="",LR$14="",LR$15="",LR$16="",LR$18="",LR$19="",LR$20="",LR$21=""),"",SUM($C16:LR16))</f>
        <v/>
      </c>
      <c r="LS83" s="114" t="str">
        <f>IF(OR(LS$13="",LS$17="",LS$14="",LS$15="",LS$16="",LS$18="",LS$19="",LS$20="",LS$21=""),"",SUM($C16:LS16))</f>
        <v/>
      </c>
      <c r="LT83" s="114" t="str">
        <f>IF(OR(LT$13="",LT$17="",LT$14="",LT$15="",LT$16="",LT$18="",LT$19="",LT$20="",LT$21=""),"",SUM($C16:LT16))</f>
        <v/>
      </c>
      <c r="LU83" s="114" t="str">
        <f>IF(OR(LU$13="",LU$17="",LU$14="",LU$15="",LU$16="",LU$18="",LU$19="",LU$20="",LU$21=""),"",SUM($C16:LU16))</f>
        <v/>
      </c>
      <c r="LV83" s="114" t="str">
        <f>IF(OR(LV$13="",LV$17="",LV$14="",LV$15="",LV$16="",LV$18="",LV$19="",LV$20="",LV$21=""),"",SUM($C16:LV16))</f>
        <v/>
      </c>
      <c r="LW83" s="114" t="str">
        <f>IF(OR(LW$13="",LW$17="",LW$14="",LW$15="",LW$16="",LW$18="",LW$19="",LW$20="",LW$21=""),"",SUM($C16:LW16))</f>
        <v/>
      </c>
      <c r="LX83" s="114" t="str">
        <f>IF(OR(LX$13="",LX$17="",LX$14="",LX$15="",LX$16="",LX$18="",LX$19="",LX$20="",LX$21=""),"",SUM($C16:LX16))</f>
        <v/>
      </c>
      <c r="LY83" s="114" t="str">
        <f>IF(OR(LY$13="",LY$17="",LY$14="",LY$15="",LY$16="",LY$18="",LY$19="",LY$20="",LY$21=""),"",SUM($C16:LY16))</f>
        <v/>
      </c>
      <c r="LZ83" s="114" t="str">
        <f>IF(OR(LZ$13="",LZ$17="",LZ$14="",LZ$15="",LZ$16="",LZ$18="",LZ$19="",LZ$20="",LZ$21=""),"",SUM($C16:LZ16))</f>
        <v/>
      </c>
      <c r="MA83" s="114" t="str">
        <f>IF(OR(MA$13="",MA$17="",MA$14="",MA$15="",MA$16="",MA$18="",MA$19="",MA$20="",MA$21=""),"",SUM($C16:MA16))</f>
        <v/>
      </c>
      <c r="MB83" s="114" t="str">
        <f>IF(OR(MB$13="",MB$17="",MB$14="",MB$15="",MB$16="",MB$18="",MB$19="",MB$20="",MB$21=""),"",SUM($C16:MB16))</f>
        <v/>
      </c>
      <c r="MC83" s="114" t="str">
        <f>IF(OR(MC$13="",MC$17="",MC$14="",MC$15="",MC$16="",MC$18="",MC$19="",MC$20="",MC$21=""),"",SUM($C16:MC16))</f>
        <v/>
      </c>
      <c r="MD83" s="114" t="str">
        <f>IF(OR(MD$13="",MD$17="",MD$14="",MD$15="",MD$16="",MD$18="",MD$19="",MD$20="",MD$21=""),"",SUM($C16:MD16))</f>
        <v/>
      </c>
      <c r="ME83" s="114" t="str">
        <f>IF(OR(ME$13="",ME$17="",ME$14="",ME$15="",ME$16="",ME$18="",ME$19="",ME$20="",ME$21=""),"",SUM($C16:ME16))</f>
        <v/>
      </c>
      <c r="MF83" s="114" t="str">
        <f>IF(OR(MF$13="",MF$17="",MF$14="",MF$15="",MF$16="",MF$18="",MF$19="",MF$20="",MF$21=""),"",SUM($C16:MF16))</f>
        <v/>
      </c>
      <c r="MG83" s="114" t="str">
        <f>IF(OR(MG$13="",MG$17="",MG$14="",MG$15="",MG$16="",MG$18="",MG$19="",MG$20="",MG$21=""),"",SUM($C16:MG16))</f>
        <v/>
      </c>
      <c r="MH83" s="114" t="str">
        <f>IF(OR(MH$13="",MH$17="",MH$14="",MH$15="",MH$16="",MH$18="",MH$19="",MH$20="",MH$21=""),"",SUM($C16:MH16))</f>
        <v/>
      </c>
      <c r="MI83" s="114" t="str">
        <f>IF(OR(MI$13="",MI$17="",MI$14="",MI$15="",MI$16="",MI$18="",MI$19="",MI$20="",MI$21=""),"",SUM($C16:MI16))</f>
        <v/>
      </c>
      <c r="MJ83" s="114" t="str">
        <f>IF(OR(MJ$13="",MJ$17="",MJ$14="",MJ$15="",MJ$16="",MJ$18="",MJ$19="",MJ$20="",MJ$21=""),"",SUM($C16:MJ16))</f>
        <v/>
      </c>
      <c r="MK83" s="114" t="str">
        <f>IF(OR(MK$13="",MK$17="",MK$14="",MK$15="",MK$16="",MK$18="",MK$19="",MK$20="",MK$21=""),"",SUM($C16:MK16))</f>
        <v/>
      </c>
      <c r="ML83" s="114" t="str">
        <f>IF(OR(ML$13="",ML$17="",ML$14="",ML$15="",ML$16="",ML$18="",ML$19="",ML$20="",ML$21=""),"",SUM($C16:ML16))</f>
        <v/>
      </c>
      <c r="MM83" s="114" t="str">
        <f>IF(OR(MM$13="",MM$17="",MM$14="",MM$15="",MM$16="",MM$18="",MM$19="",MM$20="",MM$21=""),"",SUM($C16:MM16))</f>
        <v/>
      </c>
      <c r="MN83" s="114" t="str">
        <f>IF(OR(MN$13="",MN$17="",MN$14="",MN$15="",MN$16="",MN$18="",MN$19="",MN$20="",MN$21=""),"",SUM($C16:MN16))</f>
        <v/>
      </c>
      <c r="MO83" s="114" t="str">
        <f>IF(OR(MO$13="",MO$17="",MO$14="",MO$15="",MO$16="",MO$18="",MO$19="",MO$20="",MO$21=""),"",SUM($C16:MO16))</f>
        <v/>
      </c>
      <c r="MP83" s="114" t="str">
        <f>IF(OR(MP$13="",MP$17="",MP$14="",MP$15="",MP$16="",MP$18="",MP$19="",MP$20="",MP$21=""),"",SUM($C16:MP16))</f>
        <v/>
      </c>
      <c r="MQ83" s="114" t="str">
        <f>IF(OR(MQ$13="",MQ$17="",MQ$14="",MQ$15="",MQ$16="",MQ$18="",MQ$19="",MQ$20="",MQ$21=""),"",SUM($C16:MQ16))</f>
        <v/>
      </c>
      <c r="MR83" s="114" t="str">
        <f>IF(OR(MR$13="",MR$17="",MR$14="",MR$15="",MR$16="",MR$18="",MR$19="",MR$20="",MR$21=""),"",SUM($C16:MR16))</f>
        <v/>
      </c>
      <c r="MS83" s="114" t="str">
        <f>IF(OR(MS$13="",MS$17="",MS$14="",MS$15="",MS$16="",MS$18="",MS$19="",MS$20="",MS$21=""),"",SUM($C16:MS16))</f>
        <v/>
      </c>
      <c r="MT83" s="114" t="str">
        <f>IF(OR(MT$13="",MT$17="",MT$14="",MT$15="",MT$16="",MT$18="",MT$19="",MT$20="",MT$21=""),"",SUM($C16:MT16))</f>
        <v/>
      </c>
      <c r="MU83" s="114" t="str">
        <f>IF(OR(MU$13="",MU$17="",MU$14="",MU$15="",MU$16="",MU$18="",MU$19="",MU$20="",MU$21=""),"",SUM($C16:MU16))</f>
        <v/>
      </c>
      <c r="MV83" s="114" t="str">
        <f>IF(OR(MV$13="",MV$17="",MV$14="",MV$15="",MV$16="",MV$18="",MV$19="",MV$20="",MV$21=""),"",SUM($C16:MV16))</f>
        <v/>
      </c>
      <c r="MW83" s="114" t="str">
        <f>IF(OR(MW$13="",MW$17="",MW$14="",MW$15="",MW$16="",MW$18="",MW$19="",MW$20="",MW$21=""),"",SUM($C16:MW16))</f>
        <v/>
      </c>
      <c r="MX83" s="114" t="str">
        <f>IF(OR(MX$13="",MX$17="",MX$14="",MX$15="",MX$16="",MX$18="",MX$19="",MX$20="",MX$21=""),"",SUM($C16:MX16))</f>
        <v/>
      </c>
      <c r="MY83" s="114" t="str">
        <f>IF(OR(MY$13="",MY$17="",MY$14="",MY$15="",MY$16="",MY$18="",MY$19="",MY$20="",MY$21=""),"",SUM($C16:MY16))</f>
        <v/>
      </c>
      <c r="MZ83" s="114" t="str">
        <f>IF(OR(MZ$13="",MZ$17="",MZ$14="",MZ$15="",MZ$16="",MZ$18="",MZ$19="",MZ$20="",MZ$21=""),"",SUM($C16:MZ16))</f>
        <v/>
      </c>
      <c r="NA83" s="114" t="str">
        <f>IF(OR(NA$13="",NA$17="",NA$14="",NA$15="",NA$16="",NA$18="",NA$19="",NA$20="",NA$21=""),"",SUM($C16:NA16))</f>
        <v/>
      </c>
      <c r="NB83" s="114" t="str">
        <f>IF(OR(NB$13="",NB$17="",NB$14="",NB$15="",NB$16="",NB$18="",NB$19="",NB$20="",NB$21=""),"",SUM($C16:NB16))</f>
        <v/>
      </c>
      <c r="NC83" s="114" t="str">
        <f>IF(OR(NC$13="",NC$17="",NC$14="",NC$15="",NC$16="",NC$18="",NC$19="",NC$20="",NC$21=""),"",SUM($C16:NC16))</f>
        <v/>
      </c>
      <c r="ND83" s="114" t="str">
        <f>IF(OR(ND$13="",ND$17="",ND$14="",ND$15="",ND$16="",ND$18="",ND$19="",ND$20="",ND$21=""),"",SUM($C16:ND16))</f>
        <v/>
      </c>
      <c r="NE83" s="114" t="str">
        <f>IF(OR(NE$13="",NE$17="",NE$14="",NE$15="",NE$16="",NE$18="",NE$19="",NE$20="",NE$21=""),"",SUM($C16:NE16))</f>
        <v/>
      </c>
      <c r="NF83" s="114" t="str">
        <f>IF(OR(NF$13="",NF$17="",NF$14="",NF$15="",NF$16="",NF$18="",NF$19="",NF$20="",NF$21=""),"",SUM($C16:NF16))</f>
        <v/>
      </c>
      <c r="NG83" s="114" t="str">
        <f>IF(OR(NG$13="",NG$17="",NG$14="",NG$15="",NG$16="",NG$18="",NG$19="",NG$20="",NG$21=""),"",SUM($C16:NG16))</f>
        <v/>
      </c>
      <c r="NH83" s="114" t="str">
        <f>IF(OR(NH$13="",NH$17="",NH$14="",NH$15="",NH$16="",NH$18="",NH$19="",NH$20="",NH$21=""),"",SUM($C16:NH16))</f>
        <v/>
      </c>
      <c r="NI83" s="114" t="str">
        <f>IF(OR(NI$13="",NI$17="",NI$14="",NI$15="",NI$16="",NI$18="",NI$19="",NI$20="",NI$21=""),"",SUM($C16:NI16))</f>
        <v/>
      </c>
      <c r="NJ83" s="114" t="str">
        <f>IF(OR(NJ$13="",NJ$17="",NJ$14="",NJ$15="",NJ$16="",NJ$18="",NJ$19="",NJ$20="",NJ$21=""),"",SUM($C16:NJ16))</f>
        <v/>
      </c>
      <c r="NK83" s="114" t="str">
        <f>IF(OR(NK$13="",NK$17="",NK$14="",NK$15="",NK$16="",NK$18="",NK$19="",NK$20="",NK$21=""),"",SUM($C16:NK16))</f>
        <v/>
      </c>
      <c r="NL83" s="114" t="str">
        <f>IF(OR(NL$13="",NL$17="",NL$14="",NL$15="",NL$16="",NL$18="",NL$19="",NL$20="",NL$21=""),"",SUM($C16:NL16))</f>
        <v/>
      </c>
      <c r="NM83" s="114" t="str">
        <f>IF(OR(NM$13="",NM$17="",NM$14="",NM$15="",NM$16="",NM$18="",NM$19="",NM$20="",NM$21=""),"",SUM($C16:NM16))</f>
        <v/>
      </c>
      <c r="NN83" s="114" t="str">
        <f>IF(OR(NN$13="",NN$17="",NN$14="",NN$15="",NN$16="",NN$18="",NN$19="",NN$20="",NN$21=""),"",SUM($C16:NN16))</f>
        <v/>
      </c>
      <c r="NO83" s="114" t="str">
        <f>IF(OR(NO$13="",NO$17="",NO$14="",NO$15="",NO$16="",NO$18="",NO$19="",NO$20="",NO$21=""),"",SUM($C16:NO16))</f>
        <v/>
      </c>
      <c r="NP83" s="114" t="str">
        <f>IF(OR(NP$13="",NP$17="",NP$14="",NP$15="",NP$16="",NP$18="",NP$19="",NP$20="",NP$21=""),"",SUM($C16:NP16))</f>
        <v/>
      </c>
      <c r="NQ83" s="114" t="str">
        <f>IF(OR(NQ$13="",NQ$17="",NQ$14="",NQ$15="",NQ$16="",NQ$18="",NQ$19="",NQ$20="",NQ$21=""),"",SUM($C16:NQ16))</f>
        <v/>
      </c>
      <c r="NR83" s="114" t="str">
        <f>IF(OR(NR$13="",NR$17="",NR$14="",NR$15="",NR$16="",NR$18="",NR$19="",NR$20="",NR$21=""),"",SUM($C16:NR16))</f>
        <v/>
      </c>
      <c r="NS83" s="114" t="str">
        <f>IF(OR(NS$13="",NS$17="",NS$14="",NS$15="",NS$16="",NS$18="",NS$19="",NS$20="",NS$21=""),"",SUM($C16:NS16))</f>
        <v/>
      </c>
      <c r="NT83" s="114" t="str">
        <f>IF(OR(NT$13="",NT$17="",NT$14="",NT$15="",NT$16="",NT$18="",NT$19="",NT$20="",NT$21=""),"",SUM($C16:NT16))</f>
        <v/>
      </c>
      <c r="NU83" s="114" t="str">
        <f>IF(OR(NU$13="",NU$17="",NU$14="",NU$15="",NU$16="",NU$18="",NU$19="",NU$20="",NU$21=""),"",SUM($C16:NU16))</f>
        <v/>
      </c>
      <c r="NV83" s="114" t="str">
        <f>IF(OR(NV$13="",NV$17="",NV$14="",NV$15="",NV$16="",NV$18="",NV$19="",NV$20="",NV$21=""),"",SUM($C16:NV16))</f>
        <v/>
      </c>
      <c r="NW83" s="114" t="str">
        <f>IF(OR(NW$13="",NW$17="",NW$14="",NW$15="",NW$16="",NW$18="",NW$19="",NW$20="",NW$21=""),"",SUM($C16:NW16))</f>
        <v/>
      </c>
      <c r="NX83" s="114" t="str">
        <f>IF(OR(NX$13="",NX$17="",NX$14="",NX$15="",NX$16="",NX$18="",NX$19="",NX$20="",NX$21=""),"",SUM($C16:NX16))</f>
        <v/>
      </c>
      <c r="NY83" s="114" t="str">
        <f>IF(OR(NY$13="",NY$17="",NY$14="",NY$15="",NY$16="",NY$18="",NY$19="",NY$20="",NY$21=""),"",SUM($C16:NY16))</f>
        <v/>
      </c>
      <c r="NZ83" s="114" t="str">
        <f>IF(OR(NZ$13="",NZ$17="",NZ$14="",NZ$15="",NZ$16="",NZ$18="",NZ$19="",NZ$20="",NZ$21=""),"",SUM($C16:NZ16))</f>
        <v/>
      </c>
      <c r="OA83" s="114" t="str">
        <f>IF(OR(OA$13="",OA$17="",OA$14="",OA$15="",OA$16="",OA$18="",OA$19="",OA$20="",OA$21=""),"",SUM($C16:OA16))</f>
        <v/>
      </c>
      <c r="OB83" s="114" t="str">
        <f>IF(OR(OB$13="",OB$17="",OB$14="",OB$15="",OB$16="",OB$18="",OB$19="",OB$20="",OB$21=""),"",SUM($C16:OB16))</f>
        <v/>
      </c>
      <c r="OC83" s="114" t="str">
        <f>IF(OR(OC$13="",OC$17="",OC$14="",OC$15="",OC$16="",OC$18="",OC$19="",OC$20="",OC$21=""),"",SUM($C16:OC16))</f>
        <v/>
      </c>
      <c r="OD83" s="114" t="str">
        <f>IF(OR(OD$13="",OD$17="",OD$14="",OD$15="",OD$16="",OD$18="",OD$19="",OD$20="",OD$21=""),"",SUM($C16:OD16))</f>
        <v/>
      </c>
      <c r="OE83" s="114" t="str">
        <f>IF(OR(OE$13="",OE$17="",OE$14="",OE$15="",OE$16="",OE$18="",OE$19="",OE$20="",OE$21=""),"",SUM($C16:OE16))</f>
        <v/>
      </c>
      <c r="OF83" s="114" t="str">
        <f>IF(OR(OF$13="",OF$17="",OF$14="",OF$15="",OF$16="",OF$18="",OF$19="",OF$20="",OF$21=""),"",SUM($C16:OF16))</f>
        <v/>
      </c>
      <c r="OG83" s="114" t="str">
        <f>IF(OR(OG$13="",OG$17="",OG$14="",OG$15="",OG$16="",OG$18="",OG$19="",OG$20="",OG$21=""),"",SUM($C16:OG16))</f>
        <v/>
      </c>
      <c r="OH83" s="114" t="str">
        <f>IF(OR(OH$13="",OH$17="",OH$14="",OH$15="",OH$16="",OH$18="",OH$19="",OH$20="",OH$21=""),"",SUM($C16:OH16))</f>
        <v/>
      </c>
      <c r="OI83" s="114" t="str">
        <f>IF(OR(OI$13="",OI$17="",OI$14="",OI$15="",OI$16="",OI$18="",OI$19="",OI$20="",OI$21=""),"",SUM($C16:OI16))</f>
        <v/>
      </c>
      <c r="OJ83" s="114" t="str">
        <f>IF(OR(OJ$13="",OJ$17="",OJ$14="",OJ$15="",OJ$16="",OJ$18="",OJ$19="",OJ$20="",OJ$21=""),"",SUM($C16:OJ16))</f>
        <v/>
      </c>
      <c r="OK83" s="114" t="str">
        <f>IF(OR(OK$13="",OK$17="",OK$14="",OK$15="",OK$16="",OK$18="",OK$19="",OK$20="",OK$21=""),"",SUM($C16:OK16))</f>
        <v/>
      </c>
      <c r="OL83" s="114" t="str">
        <f>IF(OR(OL$13="",OL$17="",OL$14="",OL$15="",OL$16="",OL$18="",OL$19="",OL$20="",OL$21=""),"",SUM($C16:OL16))</f>
        <v/>
      </c>
      <c r="OM83" s="114" t="str">
        <f>IF(OR(OM$13="",OM$17="",OM$14="",OM$15="",OM$16="",OM$18="",OM$19="",OM$20="",OM$21=""),"",SUM($C16:OM16))</f>
        <v/>
      </c>
      <c r="ON83" s="114" t="str">
        <f>IF(OR(ON$13="",ON$17="",ON$14="",ON$15="",ON$16="",ON$18="",ON$19="",ON$20="",ON$21=""),"",SUM($C16:ON16))</f>
        <v/>
      </c>
      <c r="OO83" s="114" t="str">
        <f>IF(OR(OO$13="",OO$17="",OO$14="",OO$15="",OO$16="",OO$18="",OO$19="",OO$20="",OO$21=""),"",SUM($C16:OO16))</f>
        <v/>
      </c>
      <c r="OP83" s="114" t="str">
        <f>IF(OR(OP$13="",OP$17="",OP$14="",OP$15="",OP$16="",OP$18="",OP$19="",OP$20="",OP$21=""),"",SUM($C16:OP16))</f>
        <v/>
      </c>
      <c r="OQ83" s="114" t="str">
        <f>IF(OR(OQ$13="",OQ$17="",OQ$14="",OQ$15="",OQ$16="",OQ$18="",OQ$19="",OQ$20="",OQ$21=""),"",SUM($C16:OQ16))</f>
        <v/>
      </c>
      <c r="OR83" s="114" t="str">
        <f>IF(OR(OR$13="",OR$17="",OR$14="",OR$15="",OR$16="",OR$18="",OR$19="",OR$20="",OR$21=""),"",SUM($C16:OR16))</f>
        <v/>
      </c>
      <c r="OS83" s="114" t="str">
        <f>IF(OR(OS$13="",OS$17="",OS$14="",OS$15="",OS$16="",OS$18="",OS$19="",OS$20="",OS$21=""),"",SUM($C16:OS16))</f>
        <v/>
      </c>
      <c r="OT83" s="114" t="str">
        <f>IF(OR(OT$13="",OT$17="",OT$14="",OT$15="",OT$16="",OT$18="",OT$19="",OT$20="",OT$21=""),"",SUM($C16:OT16))</f>
        <v/>
      </c>
      <c r="OU83" s="114" t="str">
        <f>IF(OR(OU$13="",OU$17="",OU$14="",OU$15="",OU$16="",OU$18="",OU$19="",OU$20="",OU$21=""),"",SUM($C16:OU16))</f>
        <v/>
      </c>
      <c r="OV83" s="114" t="str">
        <f>IF(OR(OV$13="",OV$17="",OV$14="",OV$15="",OV$16="",OV$18="",OV$19="",OV$20="",OV$21=""),"",SUM($C16:OV16))</f>
        <v/>
      </c>
      <c r="OW83" s="114" t="str">
        <f>IF(OR(OW$13="",OW$17="",OW$14="",OW$15="",OW$16="",OW$18="",OW$19="",OW$20="",OW$21=""),"",SUM($C16:OW16))</f>
        <v/>
      </c>
      <c r="OX83" s="114" t="str">
        <f>IF(OR(OX$13="",OX$17="",OX$14="",OX$15="",OX$16="",OX$18="",OX$19="",OX$20="",OX$21=""),"",SUM($C16:OX16))</f>
        <v/>
      </c>
      <c r="OY83" s="114" t="str">
        <f>IF(OR(OY$13="",OY$17="",OY$14="",OY$15="",OY$16="",OY$18="",OY$19="",OY$20="",OY$21=""),"",SUM($C16:OY16))</f>
        <v/>
      </c>
      <c r="OZ83" s="114" t="str">
        <f>IF(OR(OZ$13="",OZ$17="",OZ$14="",OZ$15="",OZ$16="",OZ$18="",OZ$19="",OZ$20="",OZ$21=""),"",SUM($C16:OZ16))</f>
        <v/>
      </c>
      <c r="PA83" s="114" t="str">
        <f>IF(OR(PA$13="",PA$17="",PA$14="",PA$15="",PA$16="",PA$18="",PA$19="",PA$20="",PA$21=""),"",SUM($C16:PA16))</f>
        <v/>
      </c>
      <c r="PB83" s="114" t="str">
        <f>IF(OR(PB$13="",PB$17="",PB$14="",PB$15="",PB$16="",PB$18="",PB$19="",PB$20="",PB$21=""),"",SUM($C16:PB16))</f>
        <v/>
      </c>
      <c r="PC83" s="114" t="str">
        <f>IF(OR(PC$13="",PC$17="",PC$14="",PC$15="",PC$16="",PC$18="",PC$19="",PC$20="",PC$21=""),"",SUM($C16:PC16))</f>
        <v/>
      </c>
      <c r="PD83" s="114" t="str">
        <f>IF(OR(PD$13="",PD$17="",PD$14="",PD$15="",PD$16="",PD$18="",PD$19="",PD$20="",PD$21=""),"",SUM($C16:PD16))</f>
        <v/>
      </c>
      <c r="PE83" s="114" t="str">
        <f>IF(OR(PE$13="",PE$17="",PE$14="",PE$15="",PE$16="",PE$18="",PE$19="",PE$20="",PE$21=""),"",SUM($C16:PE16))</f>
        <v/>
      </c>
      <c r="PF83" s="114" t="str">
        <f>IF(OR(PF$13="",PF$17="",PF$14="",PF$15="",PF$16="",PF$18="",PF$19="",PF$20="",PF$21=""),"",SUM($C16:PF16))</f>
        <v/>
      </c>
      <c r="PG83" s="114" t="str">
        <f>IF(OR(PG$13="",PG$17="",PG$14="",PG$15="",PG$16="",PG$18="",PG$19="",PG$20="",PG$21=""),"",SUM($C16:PG16))</f>
        <v/>
      </c>
      <c r="PH83" s="114" t="str">
        <f>IF(OR(PH$13="",PH$17="",PH$14="",PH$15="",PH$16="",PH$18="",PH$19="",PH$20="",PH$21=""),"",SUM($C16:PH16))</f>
        <v/>
      </c>
      <c r="PI83" s="114" t="str">
        <f>IF(OR(PI$13="",PI$17="",PI$14="",PI$15="",PI$16="",PI$18="",PI$19="",PI$20="",PI$21=""),"",SUM($C16:PI16))</f>
        <v/>
      </c>
      <c r="PJ83" s="114" t="str">
        <f>IF(OR(PJ$13="",PJ$17="",PJ$14="",PJ$15="",PJ$16="",PJ$18="",PJ$19="",PJ$20="",PJ$21=""),"",SUM($C16:PJ16))</f>
        <v/>
      </c>
      <c r="PK83" s="114" t="str">
        <f>IF(OR(PK$13="",PK$17="",PK$14="",PK$15="",PK$16="",PK$18="",PK$19="",PK$20="",PK$21=""),"",SUM($C16:PK16))</f>
        <v/>
      </c>
      <c r="PL83" s="114" t="str">
        <f>IF(OR(PL$13="",PL$17="",PL$14="",PL$15="",PL$16="",PL$18="",PL$19="",PL$20="",PL$21=""),"",SUM($C16:PL16))</f>
        <v/>
      </c>
      <c r="PM83" s="114" t="str">
        <f>IF(OR(PM$13="",PM$17="",PM$14="",PM$15="",PM$16="",PM$18="",PM$19="",PM$20="",PM$21=""),"",SUM($C16:PM16))</f>
        <v/>
      </c>
      <c r="PN83" s="114" t="str">
        <f>IF(OR(PN$13="",PN$17="",PN$14="",PN$15="",PN$16="",PN$18="",PN$19="",PN$20="",PN$21=""),"",SUM($C16:PN16))</f>
        <v/>
      </c>
      <c r="PO83" s="114" t="str">
        <f>IF(OR(PO$13="",PO$17="",PO$14="",PO$15="",PO$16="",PO$18="",PO$19="",PO$20="",PO$21=""),"",SUM($C16:PO16))</f>
        <v/>
      </c>
      <c r="PP83" s="114" t="str">
        <f>IF(OR(PP$13="",PP$17="",PP$14="",PP$15="",PP$16="",PP$18="",PP$19="",PP$20="",PP$21=""),"",SUM($C16:PP16))</f>
        <v/>
      </c>
      <c r="PQ83" s="114" t="str">
        <f>IF(OR(PQ$13="",PQ$17="",PQ$14="",PQ$15="",PQ$16="",PQ$18="",PQ$19="",PQ$20="",PQ$21=""),"",SUM($C16:PQ16))</f>
        <v/>
      </c>
      <c r="PR83" s="114" t="str">
        <f>IF(OR(PR$13="",PR$17="",PR$14="",PR$15="",PR$16="",PR$18="",PR$19="",PR$20="",PR$21=""),"",SUM($C16:PR16))</f>
        <v/>
      </c>
      <c r="PS83" s="114" t="str">
        <f>IF(OR(PS$13="",PS$17="",PS$14="",PS$15="",PS$16="",PS$18="",PS$19="",PS$20="",PS$21=""),"",SUM($C16:PS16))</f>
        <v/>
      </c>
      <c r="PT83" s="114" t="str">
        <f>IF(OR(PT$13="",PT$17="",PT$14="",PT$15="",PT$16="",PT$18="",PT$19="",PT$20="",PT$21=""),"",SUM($C16:PT16))</f>
        <v/>
      </c>
      <c r="PU83" s="114" t="str">
        <f>IF(OR(PU$13="",PU$17="",PU$14="",PU$15="",PU$16="",PU$18="",PU$19="",PU$20="",PU$21=""),"",SUM($C16:PU16))</f>
        <v/>
      </c>
      <c r="PV83" s="114" t="str">
        <f>IF(OR(PV$13="",PV$17="",PV$14="",PV$15="",PV$16="",PV$18="",PV$19="",PV$20="",PV$21=""),"",SUM($C16:PV16))</f>
        <v/>
      </c>
      <c r="PW83" s="114" t="str">
        <f>IF(OR(PW$13="",PW$17="",PW$14="",PW$15="",PW$16="",PW$18="",PW$19="",PW$20="",PW$21=""),"",SUM($C16:PW16))</f>
        <v/>
      </c>
      <c r="PX83" s="114" t="str">
        <f>IF(OR(PX$13="",PX$17="",PX$14="",PX$15="",PX$16="",PX$18="",PX$19="",PX$20="",PX$21=""),"",SUM($C16:PX16))</f>
        <v/>
      </c>
      <c r="PY83" s="114" t="str">
        <f>IF(OR(PY$13="",PY$17="",PY$14="",PY$15="",PY$16="",PY$18="",PY$19="",PY$20="",PY$21=""),"",SUM($C16:PY16))</f>
        <v/>
      </c>
      <c r="PZ83" s="114" t="str">
        <f>IF(OR(PZ$13="",PZ$17="",PZ$14="",PZ$15="",PZ$16="",PZ$18="",PZ$19="",PZ$20="",PZ$21=""),"",SUM($C16:PZ16))</f>
        <v/>
      </c>
      <c r="QA83" s="114" t="str">
        <f>IF(OR(QA$13="",QA$17="",QA$14="",QA$15="",QA$16="",QA$18="",QA$19="",QA$20="",QA$21=""),"",SUM($C16:QA16))</f>
        <v/>
      </c>
      <c r="QB83" s="114" t="str">
        <f>IF(OR(QB$13="",QB$17="",QB$14="",QB$15="",QB$16="",QB$18="",QB$19="",QB$20="",QB$21=""),"",SUM($C16:QB16))</f>
        <v/>
      </c>
      <c r="QC83" s="114" t="str">
        <f>IF(OR(QC$13="",QC$17="",QC$14="",QC$15="",QC$16="",QC$18="",QC$19="",QC$20="",QC$21=""),"",SUM($C16:QC16))</f>
        <v/>
      </c>
      <c r="QD83" s="114" t="str">
        <f>IF(OR(QD$13="",QD$17="",QD$14="",QD$15="",QD$16="",QD$18="",QD$19="",QD$20="",QD$21=""),"",SUM($C16:QD16))</f>
        <v/>
      </c>
      <c r="QE83" s="114" t="str">
        <f>IF(OR(QE$13="",QE$17="",QE$14="",QE$15="",QE$16="",QE$18="",QE$19="",QE$20="",QE$21=""),"",SUM($C16:QE16))</f>
        <v/>
      </c>
      <c r="QF83" s="114" t="str">
        <f>IF(OR(QF$13="",QF$17="",QF$14="",QF$15="",QF$16="",QF$18="",QF$19="",QF$20="",QF$21=""),"",SUM($C16:QF16))</f>
        <v/>
      </c>
      <c r="QG83" s="114" t="str">
        <f>IF(OR(QG$13="",QG$17="",QG$14="",QG$15="",QG$16="",QG$18="",QG$19="",QG$20="",QG$21=""),"",SUM($C16:QG16))</f>
        <v/>
      </c>
      <c r="QH83" s="114" t="str">
        <f>IF(OR(QH$13="",QH$17="",QH$14="",QH$15="",QH$16="",QH$18="",QH$19="",QH$20="",QH$21=""),"",SUM($C16:QH16))</f>
        <v/>
      </c>
      <c r="QI83" s="114" t="str">
        <f>IF(OR(QI$13="",QI$17="",QI$14="",QI$15="",QI$16="",QI$18="",QI$19="",QI$20="",QI$21=""),"",SUM($C16:QI16))</f>
        <v/>
      </c>
      <c r="QJ83" s="114" t="str">
        <f>IF(OR(QJ$13="",QJ$17="",QJ$14="",QJ$15="",QJ$16="",QJ$18="",QJ$19="",QJ$20="",QJ$21=""),"",SUM($C16:QJ16))</f>
        <v/>
      </c>
      <c r="QK83" s="114" t="str">
        <f>IF(OR(QK$13="",QK$17="",QK$14="",QK$15="",QK$16="",QK$18="",QK$19="",QK$20="",QK$21=""),"",SUM($C16:QK16))</f>
        <v/>
      </c>
      <c r="QL83" s="114" t="str">
        <f>IF(OR(QL$13="",QL$17="",QL$14="",QL$15="",QL$16="",QL$18="",QL$19="",QL$20="",QL$21=""),"",SUM($C16:QL16))</f>
        <v/>
      </c>
      <c r="QM83" s="114" t="str">
        <f>IF(OR(QM$13="",QM$17="",QM$14="",QM$15="",QM$16="",QM$18="",QM$19="",QM$20="",QM$21=""),"",SUM($C16:QM16))</f>
        <v/>
      </c>
      <c r="QN83" s="114" t="str">
        <f>IF(OR(QN$13="",QN$17="",QN$14="",QN$15="",QN$16="",QN$18="",QN$19="",QN$20="",QN$21=""),"",SUM($C16:QN16))</f>
        <v/>
      </c>
      <c r="QO83" s="114" t="str">
        <f>IF(OR(QO$13="",QO$17="",QO$14="",QO$15="",QO$16="",QO$18="",QO$19="",QO$20="",QO$21=""),"",SUM($C16:QO16))</f>
        <v/>
      </c>
      <c r="QP83" s="114" t="str">
        <f>IF(OR(QP$13="",QP$17="",QP$14="",QP$15="",QP$16="",QP$18="",QP$19="",QP$20="",QP$21=""),"",SUM($C16:QP16))</f>
        <v/>
      </c>
      <c r="QQ83" s="114" t="str">
        <f>IF(OR(QQ$13="",QQ$17="",QQ$14="",QQ$15="",QQ$16="",QQ$18="",QQ$19="",QQ$20="",QQ$21=""),"",SUM($C16:QQ16))</f>
        <v/>
      </c>
      <c r="QR83" s="114" t="str">
        <f>IF(OR(QR$13="",QR$17="",QR$14="",QR$15="",QR$16="",QR$18="",QR$19="",QR$20="",QR$21=""),"",SUM($C16:QR16))</f>
        <v/>
      </c>
      <c r="QS83" s="114" t="str">
        <f>IF(OR(QS$13="",QS$17="",QS$14="",QS$15="",QS$16="",QS$18="",QS$19="",QS$20="",QS$21=""),"",SUM($C16:QS16))</f>
        <v/>
      </c>
      <c r="QT83" s="114" t="str">
        <f>IF(OR(QT$13="",QT$17="",QT$14="",QT$15="",QT$16="",QT$18="",QT$19="",QT$20="",QT$21=""),"",SUM($C16:QT16))</f>
        <v/>
      </c>
      <c r="QU83" s="114" t="str">
        <f>IF(OR(QU$13="",QU$17="",QU$14="",QU$15="",QU$16="",QU$18="",QU$19="",QU$20="",QU$21=""),"",SUM($C16:QU16))</f>
        <v/>
      </c>
      <c r="QV83" s="114" t="str">
        <f>IF(OR(QV$13="",QV$17="",QV$14="",QV$15="",QV$16="",QV$18="",QV$19="",QV$20="",QV$21=""),"",SUM($C16:QV16))</f>
        <v/>
      </c>
      <c r="QW83" s="114" t="str">
        <f>IF(OR(QW$13="",QW$17="",QW$14="",QW$15="",QW$16="",QW$18="",QW$19="",QW$20="",QW$21=""),"",SUM($C16:QW16))</f>
        <v/>
      </c>
      <c r="QX83" s="114" t="str">
        <f>IF(OR(QX$13="",QX$17="",QX$14="",QX$15="",QX$16="",QX$18="",QX$19="",QX$20="",QX$21=""),"",SUM($C16:QX16))</f>
        <v/>
      </c>
      <c r="QY83" s="114" t="str">
        <f>IF(OR(QY$13="",QY$17="",QY$14="",QY$15="",QY$16="",QY$18="",QY$19="",QY$20="",QY$21=""),"",SUM($C16:QY16))</f>
        <v/>
      </c>
      <c r="QZ83" s="114" t="str">
        <f>IF(OR(QZ$13="",QZ$17="",QZ$14="",QZ$15="",QZ$16="",QZ$18="",QZ$19="",QZ$20="",QZ$21=""),"",SUM($C16:QZ16))</f>
        <v/>
      </c>
      <c r="RA83" s="114" t="str">
        <f>IF(OR(RA$13="",RA$17="",RA$14="",RA$15="",RA$16="",RA$18="",RA$19="",RA$20="",RA$21=""),"",SUM($C16:RA16))</f>
        <v/>
      </c>
      <c r="RB83" s="114" t="str">
        <f>IF(OR(RB$13="",RB$17="",RB$14="",RB$15="",RB$16="",RB$18="",RB$19="",RB$20="",RB$21=""),"",SUM($C16:RB16))</f>
        <v/>
      </c>
      <c r="RC83" s="114" t="str">
        <f>IF(OR(RC$13="",RC$17="",RC$14="",RC$15="",RC$16="",RC$18="",RC$19="",RC$20="",RC$21=""),"",SUM($C16:RC16))</f>
        <v/>
      </c>
      <c r="RD83" s="114" t="str">
        <f>IF(OR(RD$13="",RD$17="",RD$14="",RD$15="",RD$16="",RD$18="",RD$19="",RD$20="",RD$21=""),"",SUM($C16:RD16))</f>
        <v/>
      </c>
      <c r="RE83" s="114" t="str">
        <f>IF(OR(RE$13="",RE$17="",RE$14="",RE$15="",RE$16="",RE$18="",RE$19="",RE$20="",RE$21=""),"",SUM($C16:RE16))</f>
        <v/>
      </c>
      <c r="RF83" s="114" t="str">
        <f>IF(OR(RF$13="",RF$17="",RF$14="",RF$15="",RF$16="",RF$18="",RF$19="",RF$20="",RF$21=""),"",SUM($C16:RF16))</f>
        <v/>
      </c>
      <c r="RG83" s="114" t="str">
        <f>IF(OR(RG$13="",RG$17="",RG$14="",RG$15="",RG$16="",RG$18="",RG$19="",RG$20="",RG$21=""),"",SUM($C16:RG16))</f>
        <v/>
      </c>
      <c r="RH83" s="114" t="str">
        <f>IF(OR(RH$13="",RH$17="",RH$14="",RH$15="",RH$16="",RH$18="",RH$19="",RH$20="",RH$21=""),"",SUM($C16:RH16))</f>
        <v/>
      </c>
      <c r="RI83" s="114" t="str">
        <f>IF(OR(RI$13="",RI$17="",RI$14="",RI$15="",RI$16="",RI$18="",RI$19="",RI$20="",RI$21=""),"",SUM($C16:RI16))</f>
        <v/>
      </c>
      <c r="RJ83" s="114" t="str">
        <f>IF(OR(RJ$13="",RJ$17="",RJ$14="",RJ$15="",RJ$16="",RJ$18="",RJ$19="",RJ$20="",RJ$21=""),"",SUM($C16:RJ16))</f>
        <v/>
      </c>
      <c r="RK83" s="114" t="str">
        <f>IF(OR(RK$13="",RK$17="",RK$14="",RK$15="",RK$16="",RK$18="",RK$19="",RK$20="",RK$21=""),"",SUM($C16:RK16))</f>
        <v/>
      </c>
      <c r="RL83" s="114" t="str">
        <f>IF(OR(RL$13="",RL$17="",RL$14="",RL$15="",RL$16="",RL$18="",RL$19="",RL$20="",RL$21=""),"",SUM($C16:RL16))</f>
        <v/>
      </c>
      <c r="RM83" s="114" t="str">
        <f>IF(OR(RM$13="",RM$17="",RM$14="",RM$15="",RM$16="",RM$18="",RM$19="",RM$20="",RM$21=""),"",SUM($C16:RM16))</f>
        <v/>
      </c>
      <c r="RN83" s="114" t="str">
        <f>IF(OR(RN$13="",RN$17="",RN$14="",RN$15="",RN$16="",RN$18="",RN$19="",RN$20="",RN$21=""),"",SUM($C16:RN16))</f>
        <v/>
      </c>
      <c r="RO83" s="114" t="str">
        <f>IF(OR(RO$13="",RO$17="",RO$14="",RO$15="",RO$16="",RO$18="",RO$19="",RO$20="",RO$21=""),"",SUM($C16:RO16))</f>
        <v/>
      </c>
      <c r="RP83" s="114" t="str">
        <f>IF(OR(RP$13="",RP$17="",RP$14="",RP$15="",RP$16="",RP$18="",RP$19="",RP$20="",RP$21=""),"",SUM($C16:RP16))</f>
        <v/>
      </c>
      <c r="RQ83" s="114" t="str">
        <f>IF(OR(RQ$13="",RQ$17="",RQ$14="",RQ$15="",RQ$16="",RQ$18="",RQ$19="",RQ$20="",RQ$21=""),"",SUM($C16:RQ16))</f>
        <v/>
      </c>
      <c r="RR83" s="114" t="str">
        <f>IF(OR(RR$13="",RR$17="",RR$14="",RR$15="",RR$16="",RR$18="",RR$19="",RR$20="",RR$21=""),"",SUM($C16:RR16))</f>
        <v/>
      </c>
      <c r="RS83" s="114" t="str">
        <f>IF(OR(RS$13="",RS$17="",RS$14="",RS$15="",RS$16="",RS$18="",RS$19="",RS$20="",RS$21=""),"",SUM($C16:RS16))</f>
        <v/>
      </c>
      <c r="RT83" s="114" t="str">
        <f>IF(OR(RT$13="",RT$17="",RT$14="",RT$15="",RT$16="",RT$18="",RT$19="",RT$20="",RT$21=""),"",SUM($C16:RT16))</f>
        <v/>
      </c>
      <c r="RU83" s="114" t="str">
        <f>IF(OR(RU$13="",RU$17="",RU$14="",RU$15="",RU$16="",RU$18="",RU$19="",RU$20="",RU$21=""),"",SUM($C16:RU16))</f>
        <v/>
      </c>
      <c r="RV83" s="114" t="str">
        <f>IF(OR(RV$13="",RV$17="",RV$14="",RV$15="",RV$16="",RV$18="",RV$19="",RV$20="",RV$21=""),"",SUM($C16:RV16))</f>
        <v/>
      </c>
      <c r="RW83" s="114" t="str">
        <f>IF(OR(RW$13="",RW$17="",RW$14="",RW$15="",RW$16="",RW$18="",RW$19="",RW$20="",RW$21=""),"",SUM($C16:RW16))</f>
        <v/>
      </c>
      <c r="RX83" s="114" t="str">
        <f>IF(OR(RX$13="",RX$17="",RX$14="",RX$15="",RX$16="",RX$18="",RX$19="",RX$20="",RX$21=""),"",SUM($C16:RX16))</f>
        <v/>
      </c>
      <c r="RY83" s="114" t="str">
        <f>IF(OR(RY$13="",RY$17="",RY$14="",RY$15="",RY$16="",RY$18="",RY$19="",RY$20="",RY$21=""),"",SUM($C16:RY16))</f>
        <v/>
      </c>
      <c r="RZ83" s="114" t="str">
        <f>IF(OR(RZ$13="",RZ$17="",RZ$14="",RZ$15="",RZ$16="",RZ$18="",RZ$19="",RZ$20="",RZ$21=""),"",SUM($C16:RZ16))</f>
        <v/>
      </c>
      <c r="SA83" s="114" t="str">
        <f>IF(OR(SA$13="",SA$17="",SA$14="",SA$15="",SA$16="",SA$18="",SA$19="",SA$20="",SA$21=""),"",SUM($C16:SA16))</f>
        <v/>
      </c>
      <c r="SB83" s="114" t="str">
        <f>IF(OR(SB$13="",SB$17="",SB$14="",SB$15="",SB$16="",SB$18="",SB$19="",SB$20="",SB$21=""),"",SUM($C16:SB16))</f>
        <v/>
      </c>
      <c r="SC83" s="114" t="str">
        <f>IF(OR(SC$13="",SC$17="",SC$14="",SC$15="",SC$16="",SC$18="",SC$19="",SC$20="",SC$21=""),"",SUM($C16:SC16))</f>
        <v/>
      </c>
      <c r="SD83" s="114" t="str">
        <f>IF(OR(SD$13="",SD$17="",SD$14="",SD$15="",SD$16="",SD$18="",SD$19="",SD$20="",SD$21=""),"",SUM($C16:SD16))</f>
        <v/>
      </c>
      <c r="SE83" s="114" t="str">
        <f>IF(OR(SE$13="",SE$17="",SE$14="",SE$15="",SE$16="",SE$18="",SE$19="",SE$20="",SE$21=""),"",SUM($C16:SE16))</f>
        <v/>
      </c>
      <c r="SF83" s="114" t="str">
        <f>IF(OR(SF$13="",SF$17="",SF$14="",SF$15="",SF$16="",SF$18="",SF$19="",SF$20="",SF$21=""),"",SUM($C16:SF16))</f>
        <v/>
      </c>
      <c r="SG83" s="114" t="str">
        <f>IF(OR(SG$13="",SG$17="",SG$14="",SG$15="",SG$16="",SG$18="",SG$19="",SG$20="",SG$21=""),"",SUM($C16:SG16))</f>
        <v/>
      </c>
      <c r="SH83" s="114" t="str">
        <f>IF(OR(SH$13="",SH$17="",SH$14="",SH$15="",SH$16="",SH$18="",SH$19="",SH$20="",SH$21=""),"",SUM($C16:SH16))</f>
        <v/>
      </c>
      <c r="SI83" s="114" t="str">
        <f>IF(OR(SI$13="",SI$17="",SI$14="",SI$15="",SI$16="",SI$18="",SI$19="",SI$20="",SI$21=""),"",SUM($C16:SI16))</f>
        <v/>
      </c>
      <c r="SJ83" s="114" t="str">
        <f>IF(OR(SJ$13="",SJ$17="",SJ$14="",SJ$15="",SJ$16="",SJ$18="",SJ$19="",SJ$20="",SJ$21=""),"",SUM($C16:SJ16))</f>
        <v/>
      </c>
      <c r="SK83" s="114" t="str">
        <f>IF(OR(SK$13="",SK$17="",SK$14="",SK$15="",SK$16="",SK$18="",SK$19="",SK$20="",SK$21=""),"",SUM($C16:SK16))</f>
        <v/>
      </c>
      <c r="SL83" s="114" t="str">
        <f>IF(OR(SL$13="",SL$17="",SL$14="",SL$15="",SL$16="",SL$18="",SL$19="",SL$20="",SL$21=""),"",SUM($C16:SL16))</f>
        <v/>
      </c>
      <c r="SM83" s="114" t="str">
        <f>IF(OR(SM$13="",SM$17="",SM$14="",SM$15="",SM$16="",SM$18="",SM$19="",SM$20="",SM$21=""),"",SUM($C16:SM16))</f>
        <v/>
      </c>
      <c r="SN83" s="114" t="str">
        <f>IF(OR(SN$13="",SN$17="",SN$14="",SN$15="",SN$16="",SN$18="",SN$19="",SN$20="",SN$21=""),"",SUM($C16:SN16))</f>
        <v/>
      </c>
      <c r="SO83" s="114" t="str">
        <f>IF(OR(SO$13="",SO$17="",SO$14="",SO$15="",SO$16="",SO$18="",SO$19="",SO$20="",SO$21=""),"",SUM($C16:SO16))</f>
        <v/>
      </c>
      <c r="SP83" s="114" t="str">
        <f>IF(OR(SP$13="",SP$17="",SP$14="",SP$15="",SP$16="",SP$18="",SP$19="",SP$20="",SP$21=""),"",SUM($C16:SP16))</f>
        <v/>
      </c>
      <c r="SQ83" s="114" t="str">
        <f>IF(OR(SQ$13="",SQ$17="",SQ$14="",SQ$15="",SQ$16="",SQ$18="",SQ$19="",SQ$20="",SQ$21=""),"",SUM($C16:SQ16))</f>
        <v/>
      </c>
      <c r="SR83" s="114" t="str">
        <f>IF(OR(SR$13="",SR$17="",SR$14="",SR$15="",SR$16="",SR$18="",SR$19="",SR$20="",SR$21=""),"",SUM($C16:SR16))</f>
        <v/>
      </c>
      <c r="SS83" s="114" t="str">
        <f>IF(OR(SS$13="",SS$17="",SS$14="",SS$15="",SS$16="",SS$18="",SS$19="",SS$20="",SS$21=""),"",SUM($C16:SS16))</f>
        <v/>
      </c>
      <c r="ST83" s="114" t="str">
        <f>IF(OR(ST$13="",ST$17="",ST$14="",ST$15="",ST$16="",ST$18="",ST$19="",ST$20="",ST$21=""),"",SUM($C16:ST16))</f>
        <v/>
      </c>
      <c r="SU83" s="114" t="str">
        <f>IF(OR(SU$13="",SU$17="",SU$14="",SU$15="",SU$16="",SU$18="",SU$19="",SU$20="",SU$21=""),"",SUM($C16:SU16))</f>
        <v/>
      </c>
      <c r="SV83" s="114" t="str">
        <f>IF(OR(SV$13="",SV$17="",SV$14="",SV$15="",SV$16="",SV$18="",SV$19="",SV$20="",SV$21=""),"",SUM($C16:SV16))</f>
        <v/>
      </c>
      <c r="SW83" s="114" t="str">
        <f>IF(OR(SW$13="",SW$17="",SW$14="",SW$15="",SW$16="",SW$18="",SW$19="",SW$20="",SW$21=""),"",SUM($C16:SW16))</f>
        <v/>
      </c>
    </row>
    <row r="84" spans="1:517" ht="24" customHeight="1" x14ac:dyDescent="0.2">
      <c r="A84" s="94" t="s">
        <v>86</v>
      </c>
      <c r="B84" s="119" t="s">
        <v>81</v>
      </c>
      <c r="C84" s="114">
        <f>IF(OR(C$13="",C$17="",C$14="",C$15="",C$16="",C$18="",C$19="",C$20="",C$21=""),"",SUM($C17:C17))</f>
        <v>0</v>
      </c>
      <c r="D84" s="114">
        <f>IF(OR(D$13="",D$17="",D$14="",D$15="",D$16="",D$18="",D$19="",D$20="",D$21=""),"",SUM($C17:D17))</f>
        <v>0</v>
      </c>
      <c r="E84" s="114">
        <f>IF(OR(E$13="",E$17="",E$14="",E$15="",E$16="",E$18="",E$19="",E$20="",E$21=""),"",SUM($C17:E17))</f>
        <v>0</v>
      </c>
      <c r="F84" s="114">
        <f>IF(OR(F$13="",F$17="",F$14="",F$15="",F$16="",F$18="",F$19="",F$20="",F$21=""),"",SUM($C17:F17))</f>
        <v>0</v>
      </c>
      <c r="G84" s="114">
        <f>IF(OR(G$13="",G$17="",G$14="",G$15="",G$16="",G$18="",G$19="",G$20="",G$21=""),"",SUM($C17:G17))</f>
        <v>0</v>
      </c>
      <c r="H84" s="114">
        <f>IF(OR(H$13="",H$17="",H$14="",H$15="",H$16="",H$18="",H$19="",H$20="",H$21=""),"",SUM($C17:H17))</f>
        <v>0</v>
      </c>
      <c r="I84" s="114">
        <f>IF(OR(I$13="",I$17="",I$14="",I$15="",I$16="",I$18="",I$19="",I$20="",I$21=""),"",SUM($C17:I17))</f>
        <v>0</v>
      </c>
      <c r="J84" s="114">
        <f>IF(OR(J$13="",J$17="",J$14="",J$15="",J$16="",J$18="",J$19="",J$20="",J$21=""),"",SUM($C17:J17))</f>
        <v>0</v>
      </c>
      <c r="K84" s="114">
        <f>IF(OR(K$13="",K$17="",K$14="",K$15="",K$16="",K$18="",K$19="",K$20="",K$21=""),"",SUM($C17:K17))</f>
        <v>1.25</v>
      </c>
      <c r="L84" s="114">
        <f>IF(OR(L$13="",L$17="",L$14="",L$15="",L$16="",L$18="",L$19="",L$20="",L$21=""),"",SUM($C17:L17))</f>
        <v>9.48</v>
      </c>
      <c r="M84" s="114">
        <f>IF(OR(M$13="",M$17="",M$14="",M$15="",M$16="",M$18="",M$19="",M$20="",M$21=""),"",SUM($C17:M17))</f>
        <v>45.850000000000009</v>
      </c>
      <c r="N84" s="114">
        <f>IF(OR(N$13="",N$17="",N$14="",N$15="",N$16="",N$18="",N$19="",N$20="",N$21=""),"",SUM($C17:N17))</f>
        <v>45.850000000000009</v>
      </c>
      <c r="O84" s="114">
        <f>IF(OR(O$13="",O$17="",O$14="",O$15="",O$16="",O$18="",O$19="",O$20="",O$21=""),"",SUM($C17:O17))</f>
        <v>88.670000000000016</v>
      </c>
      <c r="P84" s="114">
        <f>IF(OR(P$13="",P$17="",P$14="",P$15="",P$16="",P$18="",P$19="",P$20="",P$21=""),"",SUM($C17:P17))</f>
        <v>88.670000000000016</v>
      </c>
      <c r="Q84" s="114">
        <f>IF(OR(Q$13="",Q$17="",Q$14="",Q$15="",Q$16="",Q$18="",Q$19="",Q$20="",Q$21=""),"",SUM($C17:Q17))</f>
        <v>95.120000000000019</v>
      </c>
      <c r="R84" s="114">
        <f>IF(OR(R$13="",R$17="",R$14="",R$15="",R$16="",R$18="",R$19="",R$20="",R$21=""),"",SUM($C17:R17))</f>
        <v>104.92000000000002</v>
      </c>
      <c r="S84" s="114">
        <f>IF(OR(S$13="",S$17="",S$14="",S$15="",S$16="",S$18="",S$19="",S$20="",S$21=""),"",SUM($C17:S17))</f>
        <v>105.94000000000001</v>
      </c>
      <c r="T84" s="114">
        <f>IF(OR(T$13="",T$17="",T$14="",T$15="",T$16="",T$18="",T$19="",T$20="",T$21=""),"",SUM($C17:T17))</f>
        <v>111.37</v>
      </c>
      <c r="U84" s="114">
        <f>IF(OR(U$13="",U$17="",U$14="",U$15="",U$16="",U$18="",U$19="",U$20="",U$21=""),"",SUM($C17:U17))</f>
        <v>114.64</v>
      </c>
      <c r="V84" s="114">
        <f>IF(OR(V$13="",V$17="",V$14="",V$15="",V$16="",V$18="",V$19="",V$20="",V$21=""),"",SUM($C17:V17))</f>
        <v>123.31</v>
      </c>
      <c r="W84" s="114">
        <f>IF(OR(W$13="",W$17="",W$14="",W$15="",W$16="",W$18="",W$19="",W$20="",W$21=""),"",SUM($C17:W17))</f>
        <v>123.31</v>
      </c>
      <c r="X84" s="114">
        <f>IF(OR(X$13="",X$17="",X$14="",X$15="",X$16="",X$18="",X$19="",X$20="",X$21=""),"",SUM($C17:X17))</f>
        <v>123.31</v>
      </c>
      <c r="Y84" s="114">
        <f>IF(OR(Y$13="",Y$17="",Y$14="",Y$15="",Y$16="",Y$18="",Y$19="",Y$20="",Y$21=""),"",SUM($C17:Y17))</f>
        <v>144.23000000000002</v>
      </c>
      <c r="Z84" s="114">
        <f>IF(OR(Z$13="",Z$17="",Z$14="",Z$15="",Z$16="",Z$18="",Z$19="",Z$20="",Z$21=""),"",SUM($C17:Z17))</f>
        <v>152.95000000000002</v>
      </c>
      <c r="AA84" s="114">
        <f>IF(OR(AA$13="",AA$17="",AA$14="",AA$15="",AA$16="",AA$18="",AA$19="",AA$20="",AA$21=""),"",SUM($C17:AA17))</f>
        <v>153.63000000000002</v>
      </c>
      <c r="AB84" s="114">
        <f>IF(OR(AB$13="",AB$17="",AB$14="",AB$15="",AB$16="",AB$18="",AB$19="",AB$20="",AB$21=""),"",SUM($C17:AB17))</f>
        <v>153.63000000000002</v>
      </c>
      <c r="AC84" s="114">
        <f>IF(OR(AC$13="",AC$17="",AC$14="",AC$15="",AC$16="",AC$18="",AC$19="",AC$20="",AC$21=""),"",SUM($C17:AC17))</f>
        <v>153.63000000000002</v>
      </c>
      <c r="AD84" s="114">
        <f>IF(OR(AD$13="",AD$17="",AD$14="",AD$15="",AD$16="",AD$18="",AD$19="",AD$20="",AD$21=""),"",SUM($C17:AD17))</f>
        <v>192.75000000000003</v>
      </c>
      <c r="AE84" s="114">
        <f>IF(OR(AE$13="",AE$17="",AE$14="",AE$15="",AE$16="",AE$18="",AE$19="",AE$20="",AE$21=""),"",SUM($C17:AE17))</f>
        <v>192.75000000000003</v>
      </c>
      <c r="AF84" s="114">
        <f>IF(OR(AF$13="",AF$17="",AF$14="",AF$15="",AF$16="",AF$18="",AF$19="",AF$20="",AF$21=""),"",SUM($C17:AF17))</f>
        <v>207.98000000000002</v>
      </c>
      <c r="AG84" s="114">
        <f>IF(OR(AG$13="",AG$17="",AG$14="",AG$15="",AG$16="",AG$18="",AG$19="",AG$20="",AG$21=""),"",SUM($C17:AG17))</f>
        <v>212.55</v>
      </c>
      <c r="AH84" s="114">
        <f>IF(OR(AH$13="",AH$17="",AH$14="",AH$15="",AH$16="",AH$18="",AH$19="",AH$20="",AH$21=""),"",SUM($C17:AH17))</f>
        <v>214.52</v>
      </c>
      <c r="AI84" s="114">
        <f>IF(OR(AI$13="",AI$17="",AI$14="",AI$15="",AI$16="",AI$18="",AI$19="",AI$20="",AI$21=""),"",SUM($C17:AI17))</f>
        <v>214.52</v>
      </c>
      <c r="AJ84" s="114">
        <f>IF(OR(AJ$13="",AJ$17="",AJ$14="",AJ$15="",AJ$16="",AJ$18="",AJ$19="",AJ$20="",AJ$21=""),"",SUM($C17:AJ17))</f>
        <v>214.52</v>
      </c>
      <c r="AK84" s="114">
        <f>IF(OR(AK$13="",AK$17="",AK$14="",AK$15="",AK$16="",AK$18="",AK$19="",AK$20="",AK$21=""),"",SUM($C17:AK17))</f>
        <v>214.52</v>
      </c>
      <c r="AL84" s="114">
        <f>IF(OR(AL$13="",AL$17="",AL$14="",AL$15="",AL$16="",AL$18="",AL$19="",AL$20="",AL$21=""),"",SUM($C17:AL17))</f>
        <v>214.52</v>
      </c>
      <c r="AM84" s="114">
        <f>IF(OR(AM$13="",AM$17="",AM$14="",AM$15="",AM$16="",AM$18="",AM$19="",AM$20="",AM$21=""),"",SUM($C17:AM17))</f>
        <v>215.72</v>
      </c>
      <c r="AN84" s="114">
        <f>IF(OR(AN$13="",AN$17="",AN$14="",AN$15="",AN$16="",AN$18="",AN$19="",AN$20="",AN$21=""),"",SUM($C17:AN17))</f>
        <v>215.72</v>
      </c>
      <c r="AO84" s="114">
        <f>IF(OR(AO$13="",AO$17="",AO$14="",AO$15="",AO$16="",AO$18="",AO$19="",AO$20="",AO$21=""),"",SUM($C17:AO17))</f>
        <v>226.95</v>
      </c>
      <c r="AP84" s="114">
        <f>IF(OR(AP$13="",AP$17="",AP$14="",AP$15="",AP$16="",AP$18="",AP$19="",AP$20="",AP$21=""),"",SUM($C17:AP17))</f>
        <v>230.53</v>
      </c>
      <c r="AQ84" s="114">
        <f>IF(OR(AQ$13="",AQ$17="",AQ$14="",AQ$15="",AQ$16="",AQ$18="",AQ$19="",AQ$20="",AQ$21=""),"",SUM($C17:AQ17))</f>
        <v>233.35</v>
      </c>
      <c r="AR84" s="114">
        <f>IF(OR(AR$13="",AR$17="",AR$14="",AR$15="",AR$16="",AR$18="",AR$19="",AR$20="",AR$21=""),"",SUM($C17:AR17))</f>
        <v>233.35</v>
      </c>
      <c r="AS84" s="114">
        <f>IF(OR(AS$13="",AS$17="",AS$14="",AS$15="",AS$16="",AS$18="",AS$19="",AS$20="",AS$21=""),"",SUM($C17:AS17))</f>
        <v>233.35</v>
      </c>
      <c r="AT84" s="114">
        <f>IF(OR(AT$13="",AT$17="",AT$14="",AT$15="",AT$16="",AT$18="",AT$19="",AT$20="",AT$21=""),"",SUM($C17:AT17))</f>
        <v>233.35</v>
      </c>
      <c r="AU84" s="114">
        <f>IF(OR(AU$13="",AU$17="",AU$14="",AU$15="",AU$16="",AU$18="",AU$19="",AU$20="",AU$21=""),"",SUM($C17:AU17))</f>
        <v>237.12</v>
      </c>
      <c r="AV84" s="114">
        <f>IF(OR(AV$13="",AV$17="",AV$14="",AV$15="",AV$16="",AV$18="",AV$19="",AV$20="",AV$21=""),"",SUM($C17:AV17))</f>
        <v>237.12</v>
      </c>
      <c r="AW84" s="114">
        <f>IF(OR(AW$13="",AW$17="",AW$14="",AW$15="",AW$16="",AW$18="",AW$19="",AW$20="",AW$21=""),"",SUM($C17:AW17))</f>
        <v>237.12</v>
      </c>
      <c r="AX84" s="114">
        <f>IF(OR(AX$13="",AX$17="",AX$14="",AX$15="",AX$16="",AX$18="",AX$19="",AX$20="",AX$21=""),"",SUM($C17:AX17))</f>
        <v>237.12</v>
      </c>
      <c r="AY84" s="114">
        <f>IF(OR(AY$13="",AY$17="",AY$14="",AY$15="",AY$16="",AY$18="",AY$19="",AY$20="",AY$21=""),"",SUM($C17:AY17))</f>
        <v>259.62</v>
      </c>
      <c r="AZ84" s="114">
        <f>IF(OR(AZ$13="",AZ$17="",AZ$14="",AZ$15="",AZ$16="",AZ$18="",AZ$19="",AZ$20="",AZ$21=""),"",SUM($C17:AZ17))</f>
        <v>268.09000000000003</v>
      </c>
      <c r="BA84" s="114">
        <f>IF(OR(BA$13="",BA$17="",BA$14="",BA$15="",BA$16="",BA$18="",BA$19="",BA$20="",BA$21=""),"",SUM($C17:BA17))</f>
        <v>268.09000000000003</v>
      </c>
      <c r="BB84" s="114">
        <f>IF(OR(BB$13="",BB$17="",BB$14="",BB$15="",BB$16="",BB$18="",BB$19="",BB$20="",BB$21=""),"",SUM($C17:BB17))</f>
        <v>268.09000000000003</v>
      </c>
      <c r="BC84" s="114">
        <f>IF(OR(BC$13="",BC$17="",BC$14="",BC$15="",BC$16="",BC$18="",BC$19="",BC$20="",BC$21=""),"",SUM($C17:BC17))</f>
        <v>268.09000000000003</v>
      </c>
      <c r="BD84" s="114">
        <f>IF(OR(BD$13="",BD$17="",BD$14="",BD$15="",BD$16="",BD$18="",BD$19="",BD$20="",BD$21=""),"",SUM($C17:BD17))</f>
        <v>271.36</v>
      </c>
      <c r="BE84" s="114">
        <f>IF(OR(BE$13="",BE$17="",BE$14="",BE$15="",BE$16="",BE$18="",BE$19="",BE$20="",BE$21=""),"",SUM($C17:BE17))</f>
        <v>271.36</v>
      </c>
      <c r="BF84" s="114">
        <f>IF(OR(BF$13="",BF$17="",BF$14="",BF$15="",BF$16="",BF$18="",BF$19="",BF$20="",BF$21=""),"",SUM($C17:BF17))</f>
        <v>271.36</v>
      </c>
      <c r="BG84" s="114">
        <f>IF(OR(BG$13="",BG$17="",BG$14="",BG$15="",BG$16="",BG$18="",BG$19="",BG$20="",BG$21=""),"",SUM($C17:BG17))</f>
        <v>271.36</v>
      </c>
      <c r="BH84" s="114">
        <f>IF(OR(BH$13="",BH$17="",BH$14="",BH$15="",BH$16="",BH$18="",BH$19="",BH$20="",BH$21=""),"",SUM($C17:BH17))</f>
        <v>271.36</v>
      </c>
      <c r="BI84" s="114">
        <f>IF(OR(BI$13="",BI$17="",BI$14="",BI$15="",BI$16="",BI$18="",BI$19="",BI$20="",BI$21=""),"",SUM($C17:BI17))</f>
        <v>271.36</v>
      </c>
      <c r="BJ84" s="114">
        <f>IF(OR(BJ$13="",BJ$17="",BJ$14="",BJ$15="",BJ$16="",BJ$18="",BJ$19="",BJ$20="",BJ$21=""),"",SUM($C17:BJ17))</f>
        <v>297.72000000000003</v>
      </c>
      <c r="BK84" s="114">
        <f>IF(OR(BK$13="",BK$17="",BK$14="",BK$15="",BK$16="",BK$18="",BK$19="",BK$20="",BK$21=""),"",SUM($C17:BK17))</f>
        <v>297.72000000000003</v>
      </c>
      <c r="BL84" s="114">
        <f>IF(OR(BL$13="",BL$17="",BL$14="",BL$15="",BL$16="",BL$18="",BL$19="",BL$20="",BL$21=""),"",SUM($C17:BL17))</f>
        <v>304.44000000000005</v>
      </c>
      <c r="BM84" s="114">
        <f>IF(OR(BM$13="",BM$17="",BM$14="",BM$15="",BM$16="",BM$18="",BM$19="",BM$20="",BM$21=""),"",SUM($C17:BM17))</f>
        <v>304.44000000000005</v>
      </c>
      <c r="BN84" s="114">
        <f>IF(OR(BN$13="",BN$17="",BN$14="",BN$15="",BN$16="",BN$18="",BN$19="",BN$20="",BN$21=""),"",SUM($C17:BN17))</f>
        <v>305.62000000000006</v>
      </c>
      <c r="BO84" s="114">
        <f>IF(OR(BO$13="",BO$17="",BO$14="",BO$15="",BO$16="",BO$18="",BO$19="",BO$20="",BO$21=""),"",SUM($C17:BO17))</f>
        <v>322.05000000000007</v>
      </c>
      <c r="BP84" s="114">
        <f>IF(OR(BP$13="",BP$17="",BP$14="",BP$15="",BP$16="",BP$18="",BP$19="",BP$20="",BP$21=""),"",SUM($C17:BP17))</f>
        <v>322.05000000000007</v>
      </c>
      <c r="BQ84" s="114">
        <f>IF(OR(BQ$13="",BQ$17="",BQ$14="",BQ$15="",BQ$16="",BQ$18="",BQ$19="",BQ$20="",BQ$21=""),"",SUM($C17:BQ17))</f>
        <v>324.7700000000001</v>
      </c>
      <c r="BR84" s="114">
        <f>IF(OR(BR$13="",BR$17="",BR$14="",BR$15="",BR$16="",BR$18="",BR$19="",BR$20="",BR$21=""),"",SUM($C17:BR17))</f>
        <v>326.44000000000011</v>
      </c>
      <c r="BS84" s="114">
        <f>IF(OR(BS$13="",BS$17="",BS$14="",BS$15="",BS$16="",BS$18="",BS$19="",BS$20="",BS$21=""),"",SUM($C17:BS17))</f>
        <v>343.61000000000013</v>
      </c>
      <c r="BT84" s="114">
        <f>IF(OR(BT$13="",BT$17="",BT$14="",BT$15="",BT$16="",BT$18="",BT$19="",BT$20="",BT$21=""),"",SUM($C17:BT17))</f>
        <v>343.61000000000013</v>
      </c>
      <c r="BU84" s="114">
        <f>IF(OR(BU$13="",BU$17="",BU$14="",BU$15="",BU$16="",BU$18="",BU$19="",BU$20="",BU$21=""),"",SUM($C17:BU17))</f>
        <v>343.61000000000013</v>
      </c>
      <c r="BV84" s="114">
        <f>IF(OR(BV$13="",BV$17="",BV$14="",BV$15="",BV$16="",BV$18="",BV$19="",BV$20="",BV$21=""),"",SUM($C17:BV17))</f>
        <v>353.21000000000015</v>
      </c>
      <c r="BW84" s="114">
        <f>IF(OR(BW$13="",BW$17="",BW$14="",BW$15="",BW$16="",BW$18="",BW$19="",BW$20="",BW$21=""),"",SUM($C17:BW17))</f>
        <v>354.38000000000017</v>
      </c>
      <c r="BX84" s="114">
        <f>IF(OR(BX$13="",BX$17="",BX$14="",BX$15="",BX$16="",BX$18="",BX$19="",BX$20="",BX$21=""),"",SUM($C17:BX17))</f>
        <v>354.38000000000017</v>
      </c>
      <c r="BY84" s="114">
        <f>IF(OR(BY$13="",BY$17="",BY$14="",BY$15="",BY$16="",BY$18="",BY$19="",BY$20="",BY$21=""),"",SUM($C17:BY17))</f>
        <v>354.38000000000017</v>
      </c>
      <c r="BZ84" s="114">
        <f>IF(OR(BZ$13="",BZ$17="",BZ$14="",BZ$15="",BZ$16="",BZ$18="",BZ$19="",BZ$20="",BZ$21=""),"",SUM($C17:BZ17))</f>
        <v>357.91000000000014</v>
      </c>
      <c r="CA84" s="114">
        <f>IF(OR(CA$13="",CA$17="",CA$14="",CA$15="",CA$16="",CA$18="",CA$19="",CA$20="",CA$21=""),"",SUM($C17:CA17))</f>
        <v>357.91000000000014</v>
      </c>
      <c r="CB84" s="114">
        <f>IF(OR(CB$13="",CB$17="",CB$14="",CB$15="",CB$16="",CB$18="",CB$19="",CB$20="",CB$21=""),"",SUM($C17:CB17))</f>
        <v>357.91000000000014</v>
      </c>
      <c r="CC84" s="114">
        <f>IF(OR(CC$13="",CC$17="",CC$14="",CC$15="",CC$16="",CC$18="",CC$19="",CC$20="",CC$21=""),"",SUM($C17:CC17))</f>
        <v>357.91000000000014</v>
      </c>
      <c r="CD84" s="114">
        <f>IF(OR(CD$13="",CD$17="",CD$14="",CD$15="",CD$16="",CD$18="",CD$19="",CD$20="",CD$21=""),"",SUM($C17:CD17))</f>
        <v>359.90000000000015</v>
      </c>
      <c r="CE84" s="114">
        <f>IF(OR(CE$13="",CE$17="",CE$14="",CE$15="",CE$16="",CE$18="",CE$19="",CE$20="",CE$21=""),"",SUM($C17:CE17))</f>
        <v>359.90000000000015</v>
      </c>
      <c r="CF84" s="114">
        <f>IF(OR(CF$13="",CF$17="",CF$14="",CF$15="",CF$16="",CF$18="",CF$19="",CF$20="",CF$21=""),"",SUM($C17:CF17))</f>
        <v>359.90000000000015</v>
      </c>
      <c r="CG84" s="114">
        <f>IF(OR(CG$13="",CG$17="",CG$14="",CG$15="",CG$16="",CG$18="",CG$19="",CG$20="",CG$21=""),"",SUM($C17:CG17))</f>
        <v>359.90000000000015</v>
      </c>
      <c r="CH84" s="114">
        <f>IF(OR(CH$13="",CH$17="",CH$14="",CH$15="",CH$16="",CH$18="",CH$19="",CH$20="",CH$21=""),"",SUM($C17:CH17))</f>
        <v>359.90000000000015</v>
      </c>
      <c r="CI84" s="114">
        <f>IF(OR(CI$13="",CI$17="",CI$14="",CI$15="",CI$16="",CI$18="",CI$19="",CI$20="",CI$21=""),"",SUM($C17:CI17))</f>
        <v>361.68000000000012</v>
      </c>
      <c r="CJ84" s="114">
        <f>IF(OR(CJ$13="",CJ$17="",CJ$14="",CJ$15="",CJ$16="",CJ$18="",CJ$19="",CJ$20="",CJ$21=""),"",SUM($C17:CJ17))</f>
        <v>361.68000000000012</v>
      </c>
      <c r="CK84" s="114">
        <f>IF(OR(CK$13="",CK$17="",CK$14="",CK$15="",CK$16="",CK$18="",CK$19="",CK$20="",CK$21=""),"",SUM($C17:CK17))</f>
        <v>361.68000000000012</v>
      </c>
      <c r="CL84" s="114">
        <f>IF(OR(CL$13="",CL$17="",CL$14="",CL$15="",CL$16="",CL$18="",CL$19="",CL$20="",CL$21=""),"",SUM($C17:CL17))</f>
        <v>363.7600000000001</v>
      </c>
      <c r="CM84" s="114">
        <f>IF(OR(CM$13="",CM$17="",CM$14="",CM$15="",CM$16="",CM$18="",CM$19="",CM$20="",CM$21=""),"",SUM($C17:CM17))</f>
        <v>381.16000000000008</v>
      </c>
      <c r="CN84" s="114">
        <f>IF(OR(CN$13="",CN$17="",CN$14="",CN$15="",CN$16="",CN$18="",CN$19="",CN$20="",CN$21=""),"",SUM($C17:CN17))</f>
        <v>391.91000000000008</v>
      </c>
      <c r="CO84" s="114">
        <f>IF(OR(CO$13="",CO$17="",CO$14="",CO$15="",CO$16="",CO$18="",CO$19="",CO$20="",CO$21=""),"",SUM($C17:CO17))</f>
        <v>395.1400000000001</v>
      </c>
      <c r="CP84" s="114">
        <f>IF(OR(CP$13="",CP$17="",CP$14="",CP$15="",CP$16="",CP$18="",CP$19="",CP$20="",CP$21=""),"",SUM($C17:CP17))</f>
        <v>395.1400000000001</v>
      </c>
      <c r="CQ84" s="114">
        <f>IF(OR(CQ$13="",CQ$17="",CQ$14="",CQ$15="",CQ$16="",CQ$18="",CQ$19="",CQ$20="",CQ$21=""),"",SUM($C17:CQ17))</f>
        <v>395.1400000000001</v>
      </c>
      <c r="CR84" s="114">
        <f>IF(OR(CR$13="",CR$17="",CR$14="",CR$15="",CR$16="",CR$18="",CR$19="",CR$20="",CR$21=""),"",SUM($C17:CR17))</f>
        <v>395.1400000000001</v>
      </c>
      <c r="CS84" s="114">
        <f>IF(OR(CS$13="",CS$17="",CS$14="",CS$15="",CS$16="",CS$18="",CS$19="",CS$20="",CS$21=""),"",SUM($C17:CS17))</f>
        <v>395.1400000000001</v>
      </c>
      <c r="CT84" s="114">
        <f>IF(OR(CT$13="",CT$17="",CT$14="",CT$15="",CT$16="",CT$18="",CT$19="",CT$20="",CT$21=""),"",SUM($C17:CT17))</f>
        <v>395.1400000000001</v>
      </c>
      <c r="CU84" s="114">
        <f>IF(OR(CU$13="",CU$17="",CU$14="",CU$15="",CU$16="",CU$18="",CU$19="",CU$20="",CU$21=""),"",SUM($C17:CU17))</f>
        <v>399.36000000000013</v>
      </c>
      <c r="CV84" s="114">
        <f>IF(OR(CV$13="",CV$17="",CV$14="",CV$15="",CV$16="",CV$18="",CV$19="",CV$20="",CV$21=""),"",SUM($C17:CV17))</f>
        <v>399.36000000000013</v>
      </c>
      <c r="CW84" s="114">
        <f>IF(OR(CW$13="",CW$17="",CW$14="",CW$15="",CW$16="",CW$18="",CW$19="",CW$20="",CW$21=""),"",SUM($C17:CW17))</f>
        <v>399.36000000000013</v>
      </c>
      <c r="CX84" s="114">
        <f>IF(OR(CX$13="",CX$17="",CX$14="",CX$15="",CX$16="",CX$18="",CX$19="",CX$20="",CX$21=""),"",SUM($C17:CX17))</f>
        <v>399.36000000000013</v>
      </c>
      <c r="CY84" s="114">
        <f>IF(OR(CY$13="",CY$17="",CY$14="",CY$15="",CY$16="",CY$18="",CY$19="",CY$20="",CY$21=""),"",SUM($C17:CY17))</f>
        <v>402.7600000000001</v>
      </c>
      <c r="CZ84" s="114">
        <f>IF(OR(CZ$13="",CZ$17="",CZ$14="",CZ$15="",CZ$16="",CZ$18="",CZ$19="",CZ$20="",CZ$21=""),"",SUM($C17:CZ17))</f>
        <v>402.7600000000001</v>
      </c>
      <c r="DA84" s="114">
        <f>IF(OR(DA$13="",DA$17="",DA$14="",DA$15="",DA$16="",DA$18="",DA$19="",DA$20="",DA$21=""),"",SUM($C17:DA17))</f>
        <v>410.3300000000001</v>
      </c>
      <c r="DB84" s="114">
        <f>IF(OR(DB$13="",DB$17="",DB$14="",DB$15="",DB$16="",DB$18="",DB$19="",DB$20="",DB$21=""),"",SUM($C17:DB17))</f>
        <v>410.3300000000001</v>
      </c>
      <c r="DC84" s="114">
        <f>IF(OR(DC$13="",DC$17="",DC$14="",DC$15="",DC$16="",DC$18="",DC$19="",DC$20="",DC$21=""),"",SUM($C17:DC17))</f>
        <v>410.3300000000001</v>
      </c>
      <c r="DD84" s="114">
        <f>IF(OR(DD$13="",DD$17="",DD$14="",DD$15="",DD$16="",DD$18="",DD$19="",DD$20="",DD$21=""),"",SUM($C17:DD17))</f>
        <v>410.3300000000001</v>
      </c>
      <c r="DE84" s="114">
        <f>IF(OR(DE$13="",DE$17="",DE$14="",DE$15="",DE$16="",DE$18="",DE$19="",DE$20="",DE$21=""),"",SUM($C17:DE17))</f>
        <v>412.34000000000009</v>
      </c>
      <c r="DF84" s="114">
        <f>IF(OR(DF$13="",DF$17="",DF$14="",DF$15="",DF$16="",DF$18="",DF$19="",DF$20="",DF$21=""),"",SUM($C17:DF17))</f>
        <v>412.34000000000009</v>
      </c>
      <c r="DG84" s="114">
        <f>IF(OR(DG$13="",DG$17="",DG$14="",DG$15="",DG$16="",DG$18="",DG$19="",DG$20="",DG$21=""),"",SUM($C17:DG17))</f>
        <v>412.34000000000009</v>
      </c>
      <c r="DH84" s="114">
        <f>IF(OR(DH$13="",DH$17="",DH$14="",DH$15="",DH$16="",DH$18="",DH$19="",DH$20="",DH$21=""),"",SUM($C17:DH17))</f>
        <v>443.48000000000008</v>
      </c>
      <c r="DI84" s="114">
        <f>IF(OR(DI$13="",DI$17="",DI$14="",DI$15="",DI$16="",DI$18="",DI$19="",DI$20="",DI$21=""),"",SUM($C17:DI17))</f>
        <v>443.48000000000008</v>
      </c>
      <c r="DJ84" s="114">
        <f>IF(OR(DJ$13="",DJ$17="",DJ$14="",DJ$15="",DJ$16="",DJ$18="",DJ$19="",DJ$20="",DJ$21=""),"",SUM($C17:DJ17))</f>
        <v>447.49000000000007</v>
      </c>
      <c r="DK84" s="114">
        <f>IF(OR(DK$13="",DK$17="",DK$14="",DK$15="",DK$16="",DK$18="",DK$19="",DK$20="",DK$21=""),"",SUM($C17:DK17))</f>
        <v>447.49000000000007</v>
      </c>
      <c r="DL84" s="114">
        <f>IF(OR(DL$13="",DL$17="",DL$14="",DL$15="",DL$16="",DL$18="",DL$19="",DL$20="",DL$21=""),"",SUM($C17:DL17))</f>
        <v>447.49000000000007</v>
      </c>
      <c r="DM84" s="114">
        <f>IF(OR(DM$13="",DM$17="",DM$14="",DM$15="",DM$16="",DM$18="",DM$19="",DM$20="",DM$21=""),"",SUM($C17:DM17))</f>
        <v>447.49000000000007</v>
      </c>
      <c r="DN84" s="114">
        <f>IF(OR(DN$13="",DN$17="",DN$14="",DN$15="",DN$16="",DN$18="",DN$19="",DN$20="",DN$21=""),"",SUM($C17:DN17))</f>
        <v>447.49000000000007</v>
      </c>
      <c r="DO84" s="114">
        <f>IF(OR(DO$13="",DO$17="",DO$14="",DO$15="",DO$16="",DO$18="",DO$19="",DO$20="",DO$21=""),"",SUM($C17:DO17))</f>
        <v>451.97000000000008</v>
      </c>
      <c r="DP84" s="114">
        <f>IF(OR(DP$13="",DP$17="",DP$14="",DP$15="",DP$16="",DP$18="",DP$19="",DP$20="",DP$21=""),"",SUM($C17:DP17))</f>
        <v>456.5200000000001</v>
      </c>
      <c r="DQ84" s="114">
        <f>IF(OR(DQ$13="",DQ$17="",DQ$14="",DQ$15="",DQ$16="",DQ$18="",DQ$19="",DQ$20="",DQ$21=""),"",SUM($C17:DQ17))</f>
        <v>456.5200000000001</v>
      </c>
      <c r="DR84" s="114">
        <f>IF(OR(DR$13="",DR$17="",DR$14="",DR$15="",DR$16="",DR$18="",DR$19="",DR$20="",DR$21=""),"",SUM($C17:DR17))</f>
        <v>456.5200000000001</v>
      </c>
      <c r="DS84" s="114">
        <f>IF(OR(DS$13="",DS$17="",DS$14="",DS$15="",DS$16="",DS$18="",DS$19="",DS$20="",DS$21=""),"",SUM($C17:DS17))</f>
        <v>456.5200000000001</v>
      </c>
      <c r="DT84" s="114">
        <f>IF(OR(DT$13="",DT$17="",DT$14="",DT$15="",DT$16="",DT$18="",DT$19="",DT$20="",DT$21=""),"",SUM($C17:DT17))</f>
        <v>456.5200000000001</v>
      </c>
      <c r="DU84" s="114">
        <f>IF(OR(DU$13="",DU$17="",DU$14="",DU$15="",DU$16="",DU$18="",DU$19="",DU$20="",DU$21=""),"",SUM($C17:DU17))</f>
        <v>471.00000000000011</v>
      </c>
      <c r="DV84" s="114">
        <f>IF(OR(DV$13="",DV$17="",DV$14="",DV$15="",DV$16="",DV$18="",DV$19="",DV$20="",DV$21=""),"",SUM($C17:DV17))</f>
        <v>476.85000000000014</v>
      </c>
      <c r="DW84" s="114">
        <f>IF(OR(DW$13="",DW$17="",DW$14="",DW$15="",DW$16="",DW$18="",DW$19="",DW$20="",DW$21=""),"",SUM($C17:DW17))</f>
        <v>478.12000000000012</v>
      </c>
      <c r="DX84" s="114">
        <f>IF(OR(DX$13="",DX$17="",DX$14="",DX$15="",DX$16="",DX$18="",DX$19="",DX$20="",DX$21=""),"",SUM($C17:DX17))</f>
        <v>489.0200000000001</v>
      </c>
      <c r="DY84" s="114">
        <f>IF(OR(DY$13="",DY$17="",DY$14="",DY$15="",DY$16="",DY$18="",DY$19="",DY$20="",DY$21=""),"",SUM($C17:DY17))</f>
        <v>489.0200000000001</v>
      </c>
      <c r="DZ84" s="114">
        <f>IF(OR(DZ$13="",DZ$17="",DZ$14="",DZ$15="",DZ$16="",DZ$18="",DZ$19="",DZ$20="",DZ$21=""),"",SUM($C17:DZ17))</f>
        <v>494.79000000000008</v>
      </c>
      <c r="EA84" s="114">
        <f>IF(OR(EA$13="",EA$17="",EA$14="",EA$15="",EA$16="",EA$18="",EA$19="",EA$20="",EA$21=""),"",SUM($C17:EA17))</f>
        <v>494.79000000000008</v>
      </c>
      <c r="EB84" s="114">
        <f>IF(OR(EB$13="",EB$17="",EB$14="",EB$15="",EB$16="",EB$18="",EB$19="",EB$20="",EB$21=""),"",SUM($C17:EB17))</f>
        <v>494.79000000000008</v>
      </c>
      <c r="EC84" s="114">
        <f>IF(OR(EC$13="",EC$17="",EC$14="",EC$15="",EC$16="",EC$18="",EC$19="",EC$20="",EC$21=""),"",SUM($C17:EC17))</f>
        <v>494.79000000000008</v>
      </c>
      <c r="ED84" s="114">
        <f>IF(OR(ED$13="",ED$17="",ED$14="",ED$15="",ED$16="",ED$18="",ED$19="",ED$20="",ED$21=""),"",SUM($C17:ED17))</f>
        <v>494.79000000000008</v>
      </c>
      <c r="EE84" s="114">
        <f>IF(OR(EE$13="",EE$17="",EE$14="",EE$15="",EE$16="",EE$18="",EE$19="",EE$20="",EE$21=""),"",SUM($C17:EE17))</f>
        <v>494.79000000000008</v>
      </c>
      <c r="EF84" s="114">
        <f>IF(OR(EF$13="",EF$17="",EF$14="",EF$15="",EF$16="",EF$18="",EF$19="",EF$20="",EF$21=""),"",SUM($C17:EF17))</f>
        <v>494.79000000000008</v>
      </c>
      <c r="EG84" s="114">
        <f>IF(OR(EG$13="",EG$17="",EG$14="",EG$15="",EG$16="",EG$18="",EG$19="",EG$20="",EG$21=""),"",SUM($C17:EG17))</f>
        <v>494.79000000000008</v>
      </c>
      <c r="EH84" s="114">
        <f>IF(OR(EH$13="",EH$17="",EH$14="",EH$15="",EH$16="",EH$18="",EH$19="",EH$20="",EH$21=""),"",SUM($C17:EH17))</f>
        <v>494.79000000000008</v>
      </c>
      <c r="EI84" s="114">
        <f>IF(OR(EI$13="",EI$17="",EI$14="",EI$15="",EI$16="",EI$18="",EI$19="",EI$20="",EI$21=""),"",SUM($C17:EI17))</f>
        <v>494.79000000000008</v>
      </c>
      <c r="EJ84" s="114">
        <f>IF(OR(EJ$13="",EJ$17="",EJ$14="",EJ$15="",EJ$16="",EJ$18="",EJ$19="",EJ$20="",EJ$21=""),"",SUM($C17:EJ17))</f>
        <v>508.25000000000006</v>
      </c>
      <c r="EK84" s="114">
        <f>IF(OR(EK$13="",EK$17="",EK$14="",EK$15="",EK$16="",EK$18="",EK$19="",EK$20="",EK$21=""),"",SUM($C17:EK17))</f>
        <v>508.25000000000006</v>
      </c>
      <c r="EL84" s="114">
        <f>IF(OR(EL$13="",EL$17="",EL$14="",EL$15="",EL$16="",EL$18="",EL$19="",EL$20="",EL$21=""),"",SUM($C17:EL17))</f>
        <v>508.25000000000006</v>
      </c>
      <c r="EM84" s="114">
        <f>IF(OR(EM$13="",EM$17="",EM$14="",EM$15="",EM$16="",EM$18="",EM$19="",EM$20="",EM$21=""),"",SUM($C17:EM17))</f>
        <v>518.20000000000005</v>
      </c>
      <c r="EN84" s="114">
        <f>IF(OR(EN$13="",EN$17="",EN$14="",EN$15="",EN$16="",EN$18="",EN$19="",EN$20="",EN$21=""),"",SUM($C17:EN17))</f>
        <v>518.20000000000005</v>
      </c>
      <c r="EO84" s="114">
        <f>IF(OR(EO$13="",EO$17="",EO$14="",EO$15="",EO$16="",EO$18="",EO$19="",EO$20="",EO$21=""),"",SUM($C17:EO17))</f>
        <v>518.20000000000005</v>
      </c>
      <c r="EP84" s="114">
        <f>IF(OR(EP$13="",EP$17="",EP$14="",EP$15="",EP$16="",EP$18="",EP$19="",EP$20="",EP$21=""),"",SUM($C17:EP17))</f>
        <v>533.07000000000005</v>
      </c>
      <c r="EQ84" s="114">
        <f>IF(OR(EQ$13="",EQ$17="",EQ$14="",EQ$15="",EQ$16="",EQ$18="",EQ$19="",EQ$20="",EQ$21=""),"",SUM($C17:EQ17))</f>
        <v>533.07000000000005</v>
      </c>
      <c r="ER84" s="114">
        <f>IF(OR(ER$13="",ER$17="",ER$14="",ER$15="",ER$16="",ER$18="",ER$19="",ER$20="",ER$21=""),"",SUM($C17:ER17))</f>
        <v>533.07000000000005</v>
      </c>
      <c r="ES84" s="114">
        <f>IF(OR(ES$13="",ES$17="",ES$14="",ES$15="",ES$16="",ES$18="",ES$19="",ES$20="",ES$21=""),"",SUM($C17:ES17))</f>
        <v>533.07000000000005</v>
      </c>
      <c r="ET84" s="114">
        <f>IF(OR(ET$13="",ET$17="",ET$14="",ET$15="",ET$16="",ET$18="",ET$19="",ET$20="",ET$21=""),"",SUM($C17:ET17))</f>
        <v>538.1</v>
      </c>
      <c r="EU84" s="114">
        <f>IF(OR(EU$13="",EU$17="",EU$14="",EU$15="",EU$16="",EU$18="",EU$19="",EU$20="",EU$21=""),"",SUM($C17:EU17))</f>
        <v>538.1</v>
      </c>
      <c r="EV84" s="114">
        <f>IF(OR(EV$13="",EV$17="",EV$14="",EV$15="",EV$16="",EV$18="",EV$19="",EV$20="",EV$21=""),"",SUM($C17:EV17))</f>
        <v>538.1</v>
      </c>
      <c r="EW84" s="114">
        <f>IF(OR(EW$13="",EW$17="",EW$14="",EW$15="",EW$16="",EW$18="",EW$19="",EW$20="",EW$21=""),"",SUM($C17:EW17))</f>
        <v>538.1</v>
      </c>
      <c r="EX84" s="114">
        <f>IF(OR(EX$13="",EX$17="",EX$14="",EX$15="",EX$16="",EX$18="",EX$19="",EX$20="",EX$21=""),"",SUM($C17:EX17))</f>
        <v>538.1</v>
      </c>
      <c r="EY84" s="114">
        <f>IF(OR(EY$13="",EY$17="",EY$14="",EY$15="",EY$16="",EY$18="",EY$19="",EY$20="",EY$21=""),"",SUM($C17:EY17))</f>
        <v>538.1</v>
      </c>
      <c r="EZ84" s="114">
        <f>IF(OR(EZ$13="",EZ$17="",EZ$14="",EZ$15="",EZ$16="",EZ$18="",EZ$19="",EZ$20="",EZ$21=""),"",SUM($C17:EZ17))</f>
        <v>538.1</v>
      </c>
      <c r="FA84" s="114">
        <f>IF(OR(FA$13="",FA$17="",FA$14="",FA$15="",FA$16="",FA$18="",FA$19="",FA$20="",FA$21=""),"",SUM($C17:FA17))</f>
        <v>538.1</v>
      </c>
      <c r="FB84" s="114">
        <f>IF(OR(FB$13="",FB$17="",FB$14="",FB$15="",FB$16="",FB$18="",FB$19="",FB$20="",FB$21=""),"",SUM($C17:FB17))</f>
        <v>538.1</v>
      </c>
      <c r="FC84" s="114">
        <f>IF(OR(FC$13="",FC$17="",FC$14="",FC$15="",FC$16="",FC$18="",FC$19="",FC$20="",FC$21=""),"",SUM($C17:FC17))</f>
        <v>538.1</v>
      </c>
      <c r="FD84" s="114">
        <f>IF(OR(FD$13="",FD$17="",FD$14="",FD$15="",FD$16="",FD$18="",FD$19="",FD$20="",FD$21=""),"",SUM($C17:FD17))</f>
        <v>542.65</v>
      </c>
      <c r="FE84" s="114">
        <f>IF(OR(FE$13="",FE$17="",FE$14="",FE$15="",FE$16="",FE$18="",FE$19="",FE$20="",FE$21=""),"",SUM($C17:FE17))</f>
        <v>542.65</v>
      </c>
      <c r="FF84" s="114">
        <f>IF(OR(FF$13="",FF$17="",FF$14="",FF$15="",FF$16="",FF$18="",FF$19="",FF$20="",FF$21=""),"",SUM($C17:FF17))</f>
        <v>542.65</v>
      </c>
      <c r="FG84" s="114">
        <f>IF(OR(FG$13="",FG$17="",FG$14="",FG$15="",FG$16="",FG$18="",FG$19="",FG$20="",FG$21=""),"",SUM($C17:FG17))</f>
        <v>542.65</v>
      </c>
      <c r="FH84" s="114">
        <f>IF(OR(FH$13="",FH$17="",FH$14="",FH$15="",FH$16="",FH$18="",FH$19="",FH$20="",FH$21=""),"",SUM($C17:FH17))</f>
        <v>542.65</v>
      </c>
      <c r="FI84" s="114">
        <f>IF(OR(FI$13="",FI$17="",FI$14="",FI$15="",FI$16="",FI$18="",FI$19="",FI$20="",FI$21=""),"",SUM($C17:FI17))</f>
        <v>542.65</v>
      </c>
      <c r="FJ84" s="114">
        <f>IF(OR(FJ$13="",FJ$17="",FJ$14="",FJ$15="",FJ$16="",FJ$18="",FJ$19="",FJ$20="",FJ$21=""),"",SUM($C17:FJ17))</f>
        <v>542.65</v>
      </c>
      <c r="FK84" s="114">
        <f>IF(OR(FK$13="",FK$17="",FK$14="",FK$15="",FK$16="",FK$18="",FK$19="",FK$20="",FK$21=""),"",SUM($C17:FK17))</f>
        <v>542.65</v>
      </c>
      <c r="FL84" s="114">
        <f>IF(OR(FL$13="",FL$17="",FL$14="",FL$15="",FL$16="",FL$18="",FL$19="",FL$20="",FL$21=""),"",SUM($C17:FL17))</f>
        <v>542.65</v>
      </c>
      <c r="FM84" s="114">
        <f>IF(OR(FM$13="",FM$17="",FM$14="",FM$15="",FM$16="",FM$18="",FM$19="",FM$20="",FM$21=""),"",SUM($C17:FM17))</f>
        <v>547.77</v>
      </c>
      <c r="FN84" s="114">
        <f>IF(OR(FN$13="",FN$17="",FN$14="",FN$15="",FN$16="",FN$18="",FN$19="",FN$20="",FN$21=""),"",SUM($C17:FN17))</f>
        <v>547.77</v>
      </c>
      <c r="FO84" s="114">
        <f>IF(OR(FO$13="",FO$17="",FO$14="",FO$15="",FO$16="",FO$18="",FO$19="",FO$20="",FO$21=""),"",SUM($C17:FO17))</f>
        <v>565.29</v>
      </c>
      <c r="FP84" s="114">
        <f>IF(OR(FP$13="",FP$17="",FP$14="",FP$15="",FP$16="",FP$18="",FP$19="",FP$20="",FP$21=""),"",SUM($C17:FP17))</f>
        <v>565.29</v>
      </c>
      <c r="FQ84" s="114">
        <f>IF(OR(FQ$13="",FQ$17="",FQ$14="",FQ$15="",FQ$16="",FQ$18="",FQ$19="",FQ$20="",FQ$21=""),"",SUM($C17:FQ17))</f>
        <v>565.29</v>
      </c>
      <c r="FR84" s="114">
        <f>IF(OR(FR$13="",FR$17="",FR$14="",FR$15="",FR$16="",FR$18="",FR$19="",FR$20="",FR$21=""),"",SUM($C17:FR17))</f>
        <v>709.24</v>
      </c>
      <c r="FS84" s="114">
        <f>IF(OR(FS$13="",FS$17="",FS$14="",FS$15="",FS$16="",FS$18="",FS$19="",FS$20="",FS$21=""),"",SUM($C17:FS17))</f>
        <v>709.24</v>
      </c>
      <c r="FT84" s="114">
        <f>IF(OR(FT$13="",FT$17="",FT$14="",FT$15="",FT$16="",FT$18="",FT$19="",FT$20="",FT$21=""),"",SUM($C17:FT17))</f>
        <v>709.24</v>
      </c>
      <c r="FU84" s="114">
        <f>IF(OR(FU$13="",FU$17="",FU$14="",FU$15="",FU$16="",FU$18="",FU$19="",FU$20="",FU$21=""),"",SUM($C17:FU17))</f>
        <v>709.24</v>
      </c>
      <c r="FV84" s="114">
        <f>IF(OR(FV$13="",FV$17="",FV$14="",FV$15="",FV$16="",FV$18="",FV$19="",FV$20="",FV$21=""),"",SUM($C17:FV17))</f>
        <v>709.24</v>
      </c>
      <c r="FW84" s="114">
        <f>IF(OR(FW$13="",FW$17="",FW$14="",FW$15="",FW$16="",FW$18="",FW$19="",FW$20="",FW$21=""),"",SUM($C17:FW17))</f>
        <v>709.24</v>
      </c>
      <c r="FX84" s="114">
        <f>IF(OR(FX$13="",FX$17="",FX$14="",FX$15="",FX$16="",FX$18="",FX$19="",FX$20="",FX$21=""),"",SUM($C17:FX17))</f>
        <v>709.24</v>
      </c>
      <c r="FY84" s="114">
        <f>IF(OR(FY$13="",FY$17="",FY$14="",FY$15="",FY$16="",FY$18="",FY$19="",FY$20="",FY$21=""),"",SUM($C17:FY17))</f>
        <v>709.24</v>
      </c>
      <c r="FZ84" s="114">
        <f>IF(OR(FZ$13="",FZ$17="",FZ$14="",FZ$15="",FZ$16="",FZ$18="",FZ$19="",FZ$20="",FZ$21=""),"",SUM($C17:FZ17))</f>
        <v>709.24</v>
      </c>
      <c r="GA84" s="114">
        <f>IF(OR(GA$13="",GA$17="",GA$14="",GA$15="",GA$16="",GA$18="",GA$19="",GA$20="",GA$21=""),"",SUM($C17:GA17))</f>
        <v>709.24</v>
      </c>
      <c r="GB84" s="114">
        <f>IF(OR(GB$13="",GB$17="",GB$14="",GB$15="",GB$16="",GB$18="",GB$19="",GB$20="",GB$21=""),"",SUM($C17:GB17))</f>
        <v>709.24</v>
      </c>
      <c r="GC84" s="114">
        <f>IF(OR(GC$13="",GC$17="",GC$14="",GC$15="",GC$16="",GC$18="",GC$19="",GC$20="",GC$21=""),"",SUM($C17:GC17))</f>
        <v>709.24</v>
      </c>
      <c r="GD84" s="114">
        <f>IF(OR(GD$13="",GD$17="",GD$14="",GD$15="",GD$16="",GD$18="",GD$19="",GD$20="",GD$21=""),"",SUM($C17:GD17))</f>
        <v>709.24</v>
      </c>
      <c r="GE84" s="114">
        <f>IF(OR(GE$13="",GE$17="",GE$14="",GE$15="",GE$16="",GE$18="",GE$19="",GE$20="",GE$21=""),"",SUM($C17:GE17))</f>
        <v>709.24</v>
      </c>
      <c r="GF84" s="114">
        <f>IF(OR(GF$13="",GF$17="",GF$14="",GF$15="",GF$16="",GF$18="",GF$19="",GF$20="",GF$21=""),"",SUM($C17:GF17))</f>
        <v>715.87</v>
      </c>
      <c r="GG84" s="114">
        <f>IF(OR(GG$13="",GG$17="",GG$14="",GG$15="",GG$16="",GG$18="",GG$19="",GG$20="",GG$21=""),"",SUM($C17:GG17))</f>
        <v>727.57</v>
      </c>
      <c r="GH84" s="114">
        <f>IF(OR(GH$13="",GH$17="",GH$14="",GH$15="",GH$16="",GH$18="",GH$19="",GH$20="",GH$21=""),"",SUM($C17:GH17))</f>
        <v>750.05000000000007</v>
      </c>
      <c r="GI84" s="114">
        <f>IF(OR(GI$13="",GI$17="",GI$14="",GI$15="",GI$16="",GI$18="",GI$19="",GI$20="",GI$21=""),"",SUM($C17:GI17))</f>
        <v>750.05000000000007</v>
      </c>
      <c r="GJ84" s="114">
        <f>IF(OR(GJ$13="",GJ$17="",GJ$14="",GJ$15="",GJ$16="",GJ$18="",GJ$19="",GJ$20="",GJ$21=""),"",SUM($C17:GJ17))</f>
        <v>750.42000000000007</v>
      </c>
      <c r="GK84" s="114">
        <f>IF(OR(GK$13="",GK$17="",GK$14="",GK$15="",GK$16="",GK$18="",GK$19="",GK$20="",GK$21=""),"",SUM($C17:GK17))</f>
        <v>750.42000000000007</v>
      </c>
      <c r="GL84" s="114">
        <f>IF(OR(GL$13="",GL$17="",GL$14="",GL$15="",GL$16="",GL$18="",GL$19="",GL$20="",GL$21=""),"",SUM($C17:GL17))</f>
        <v>750.42000000000007</v>
      </c>
      <c r="GM84" s="114">
        <f>IF(OR(GM$13="",GM$17="",GM$14="",GM$15="",GM$16="",GM$18="",GM$19="",GM$20="",GM$21=""),"",SUM($C17:GM17))</f>
        <v>753.06000000000006</v>
      </c>
      <c r="GN84" s="114">
        <f>IF(OR(GN$13="",GN$17="",GN$14="",GN$15="",GN$16="",GN$18="",GN$19="",GN$20="",GN$21=""),"",SUM($C17:GN17))</f>
        <v>753.06000000000006</v>
      </c>
      <c r="GO84" s="114">
        <f>IF(OR(GO$13="",GO$17="",GO$14="",GO$15="",GO$16="",GO$18="",GO$19="",GO$20="",GO$21=""),"",SUM($C17:GO17))</f>
        <v>753.06000000000006</v>
      </c>
      <c r="GP84" s="114">
        <f>IF(OR(GP$13="",GP$17="",GP$14="",GP$15="",GP$16="",GP$18="",GP$19="",GP$20="",GP$21=""),"",SUM($C17:GP17))</f>
        <v>753.06000000000006</v>
      </c>
      <c r="GQ84" s="114">
        <f>IF(OR(GQ$13="",GQ$17="",GQ$14="",GQ$15="",GQ$16="",GQ$18="",GQ$19="",GQ$20="",GQ$21=""),"",SUM($C17:GQ17))</f>
        <v>753.06000000000006</v>
      </c>
      <c r="GR84" s="114">
        <f>IF(OR(GR$13="",GR$17="",GR$14="",GR$15="",GR$16="",GR$18="",GR$19="",GR$20="",GR$21=""),"",SUM($C17:GR17))</f>
        <v>753.06000000000006</v>
      </c>
      <c r="GS84" s="114">
        <f>IF(OR(GS$13="",GS$17="",GS$14="",GS$15="",GS$16="",GS$18="",GS$19="",GS$20="",GS$21=""),"",SUM($C17:GS17))</f>
        <v>753.06000000000006</v>
      </c>
      <c r="GT84" s="114">
        <f>IF(OR(GT$13="",GT$17="",GT$14="",GT$15="",GT$16="",GT$18="",GT$19="",GT$20="",GT$21=""),"",SUM($C17:GT17))</f>
        <v>753.06000000000006</v>
      </c>
      <c r="GU84" s="114">
        <f>IF(OR(GU$13="",GU$17="",GU$14="",GU$15="",GU$16="",GU$18="",GU$19="",GU$20="",GU$21=""),"",SUM($C17:GU17))</f>
        <v>753.06000000000006</v>
      </c>
      <c r="GV84" s="114">
        <f>IF(OR(GV$13="",GV$17="",GV$14="",GV$15="",GV$16="",GV$18="",GV$19="",GV$20="",GV$21=""),"",SUM($C17:GV17))</f>
        <v>753.06000000000006</v>
      </c>
      <c r="GW84" s="114">
        <f>IF(OR(GW$13="",GW$17="",GW$14="",GW$15="",GW$16="",GW$18="",GW$19="",GW$20="",GW$21=""),"",SUM($C17:GW17))</f>
        <v>787.73</v>
      </c>
      <c r="GX84" s="114">
        <f>IF(OR(GX$13="",GX$17="",GX$14="",GX$15="",GX$16="",GX$18="",GX$19="",GX$20="",GX$21=""),"",SUM($C17:GX17))</f>
        <v>787.73</v>
      </c>
      <c r="GY84" s="114">
        <f>IF(OR(GY$13="",GY$17="",GY$14="",GY$15="",GY$16="",GY$18="",GY$19="",GY$20="",GY$21=""),"",SUM($C17:GY17))</f>
        <v>787.73</v>
      </c>
      <c r="GZ84" s="114">
        <f>IF(OR(GZ$13="",GZ$17="",GZ$14="",GZ$15="",GZ$16="",GZ$18="",GZ$19="",GZ$20="",GZ$21=""),"",SUM($C17:GZ17))</f>
        <v>787.73</v>
      </c>
      <c r="HA84" s="114">
        <f>IF(OR(HA$13="",HA$17="",HA$14="",HA$15="",HA$16="",HA$18="",HA$19="",HA$20="",HA$21=""),"",SUM($C17:HA17))</f>
        <v>787.73</v>
      </c>
      <c r="HB84" s="114">
        <f>IF(OR(HB$13="",HB$17="",HB$14="",HB$15="",HB$16="",HB$18="",HB$19="",HB$20="",HB$21=""),"",SUM($C17:HB17))</f>
        <v>787.73</v>
      </c>
      <c r="HC84" s="114">
        <f>IF(OR(HC$13="",HC$17="",HC$14="",HC$15="",HC$16="",HC$18="",HC$19="",HC$20="",HC$21=""),"",SUM($C17:HC17))</f>
        <v>787.73</v>
      </c>
      <c r="HD84" s="114">
        <f>IF(OR(HD$13="",HD$17="",HD$14="",HD$15="",HD$16="",HD$18="",HD$19="",HD$20="",HD$21=""),"",SUM($C17:HD17))</f>
        <v>787.73</v>
      </c>
      <c r="HE84" s="114">
        <f>IF(OR(HE$13="",HE$17="",HE$14="",HE$15="",HE$16="",HE$18="",HE$19="",HE$20="",HE$21=""),"",SUM($C17:HE17))</f>
        <v>787.73</v>
      </c>
      <c r="HF84" s="114">
        <f>IF(OR(HF$13="",HF$17="",HF$14="",HF$15="",HF$16="",HF$18="",HF$19="",HF$20="",HF$21=""),"",SUM($C17:HF17))</f>
        <v>787.73</v>
      </c>
      <c r="HG84" s="114">
        <f>IF(OR(HG$13="",HG$17="",HG$14="",HG$15="",HG$16="",HG$18="",HG$19="",HG$20="",HG$21=""),"",SUM($C17:HG17))</f>
        <v>790.08361111111117</v>
      </c>
      <c r="HH84" s="114">
        <f>IF(OR(HH$13="",HH$17="",HH$14="",HH$15="",HH$16="",HH$18="",HH$19="",HH$20="",HH$21=""),"",SUM($C17:HH17))</f>
        <v>790.08361111111117</v>
      </c>
      <c r="HI84" s="114">
        <f>IF(OR(HI$13="",HI$17="",HI$14="",HI$15="",HI$16="",HI$18="",HI$19="",HI$20="",HI$21=""),"",SUM($C17:HI17))</f>
        <v>801.4525000000001</v>
      </c>
      <c r="HJ84" s="114">
        <f>IF(OR(HJ$13="",HJ$17="",HJ$14="",HJ$15="",HJ$16="",HJ$18="",HJ$19="",HJ$20="",HJ$21=""),"",SUM($C17:HJ17))</f>
        <v>808.91583333333347</v>
      </c>
      <c r="HK84" s="114">
        <f>IF(OR(HK$13="",HK$17="",HK$14="",HK$15="",HK$16="",HK$18="",HK$19="",HK$20="",HK$21=""),"",SUM($C17:HK17))</f>
        <v>808.91583333333347</v>
      </c>
      <c r="HL84" s="114">
        <f>IF(OR(HL$13="",HL$17="",HL$14="",HL$15="",HL$16="",HL$18="",HL$19="",HL$20="",HL$21=""),"",SUM($C17:HL17))</f>
        <v>808.91583333333347</v>
      </c>
      <c r="HM84" s="114">
        <f>IF(OR(HM$13="",HM$17="",HM$14="",HM$15="",HM$16="",HM$18="",HM$19="",HM$20="",HM$21=""),"",SUM($C17:HM17))</f>
        <v>815.42027777777787</v>
      </c>
      <c r="HN84" s="114">
        <f>IF(OR(HN$13="",HN$17="",HN$14="",HN$15="",HN$16="",HN$18="",HN$19="",HN$20="",HN$21=""),"",SUM($C17:HN17))</f>
        <v>815.83083333333343</v>
      </c>
      <c r="HO84" s="114">
        <f>IF(OR(HO$13="",HO$17="",HO$14="",HO$15="",HO$16="",HO$18="",HO$19="",HO$20="",HO$21=""),"",SUM($C17:HO17))</f>
        <v>815.83083333333343</v>
      </c>
      <c r="HP84" s="114">
        <f>IF(OR(HP$13="",HP$17="",HP$14="",HP$15="",HP$16="",HP$18="",HP$19="",HP$20="",HP$21=""),"",SUM($C17:HP17))</f>
        <v>840.04972222222227</v>
      </c>
      <c r="HQ84" s="114">
        <f>IF(OR(HQ$13="",HQ$17="",HQ$14="",HQ$15="",HQ$16="",HQ$18="",HQ$19="",HQ$20="",HQ$21=""),"",SUM($C17:HQ17))</f>
        <v>841.88083333333338</v>
      </c>
      <c r="HR84" s="114">
        <f>IF(OR(HR$13="",HR$17="",HR$14="",HR$15="",HR$16="",HR$18="",HR$19="",HR$20="",HR$21=""),"",SUM($C17:HR17))</f>
        <v>864.54222222222222</v>
      </c>
      <c r="HS84" s="114">
        <f>IF(OR(HS$13="",HS$17="",HS$14="",HS$15="",HS$16="",HS$18="",HS$19="",HS$20="",HS$21=""),"",SUM($C17:HS17))</f>
        <v>864.54222222222222</v>
      </c>
      <c r="HT84" s="114">
        <f>IF(OR(HT$13="",HT$17="",HT$14="",HT$15="",HT$16="",HT$18="",HT$19="",HT$20="",HT$21=""),"",SUM($C17:HT17))</f>
        <v>872.61694444444447</v>
      </c>
      <c r="HU84" s="114">
        <f>IF(OR(HU$13="",HU$17="",HU$14="",HU$15="",HU$16="",HU$18="",HU$19="",HU$20="",HU$21=""),"",SUM($C17:HU17))</f>
        <v>879.0627777777778</v>
      </c>
      <c r="HV84" s="114">
        <f>IF(OR(HV$13="",HV$17="",HV$14="",HV$15="",HV$16="",HV$18="",HV$19="",HV$20="",HV$21=""),"",SUM($C17:HV17))</f>
        <v>881.44305555555559</v>
      </c>
      <c r="HW84" s="114">
        <f>IF(OR(HW$13="",HW$17="",HW$14="",HW$15="",HW$16="",HW$18="",HW$19="",HW$20="",HW$21=""),"",SUM($C17:HW17))</f>
        <v>881.53305555555562</v>
      </c>
      <c r="HX84" s="114">
        <f>IF(OR(HX$13="",HX$17="",HX$14="",HX$15="",HX$16="",HX$18="",HX$19="",HX$20="",HX$21=""),"",SUM($C17:HX17))</f>
        <v>884.9572222222223</v>
      </c>
      <c r="HY84" s="114">
        <f>IF(OR(HY$13="",HY$17="",HY$14="",HY$15="",HY$16="",HY$18="",HY$19="",HY$20="",HY$21=""),"",SUM($C17:HY17))</f>
        <v>885.17472222222227</v>
      </c>
      <c r="HZ84" s="114">
        <f>IF(OR(HZ$13="",HZ$17="",HZ$14="",HZ$15="",HZ$16="",HZ$18="",HZ$19="",HZ$20="",HZ$21=""),"",SUM($C17:HZ17))</f>
        <v>892.92888888888899</v>
      </c>
      <c r="IA84" s="114">
        <f>IF(OR(IA$13="",IA$17="",IA$14="",IA$15="",IA$16="",IA$18="",IA$19="",IA$20="",IA$21=""),"",SUM($C17:IA17))</f>
        <v>892.92888888888899</v>
      </c>
      <c r="IB84" s="114">
        <f>IF(OR(IB$13="",IB$17="",IB$14="",IB$15="",IB$16="",IB$18="",IB$19="",IB$20="",IB$21=""),"",SUM($C17:IB17))</f>
        <v>892.92888888888899</v>
      </c>
      <c r="IC84" s="114">
        <f>IF(OR(IC$13="",IC$17="",IC$14="",IC$15="",IC$16="",IC$18="",IC$19="",IC$20="",IC$21=""),"",SUM($C17:IC17))</f>
        <v>892.92888888888899</v>
      </c>
      <c r="ID84" s="114">
        <f>IF(OR(ID$13="",ID$17="",ID$14="",ID$15="",ID$16="",ID$18="",ID$19="",ID$20="",ID$21=""),"",SUM($C17:ID17))</f>
        <v>892.92888888888899</v>
      </c>
      <c r="IE84" s="114">
        <f>IF(OR(IE$13="",IE$17="",IE$14="",IE$15="",IE$16="",IE$18="",IE$19="",IE$20="",IE$21=""),"",SUM($C17:IE17))</f>
        <v>892.92888888888899</v>
      </c>
      <c r="IF84" s="114">
        <f>IF(OR(IF$13="",IF$17="",IF$14="",IF$15="",IF$16="",IF$18="",IF$19="",IF$20="",IF$21=""),"",SUM($C17:IF17))</f>
        <v>894.77888888888901</v>
      </c>
      <c r="IG84" s="114">
        <f>IF(OR(IG$13="",IG$17="",IG$14="",IG$15="",IG$16="",IG$18="",IG$19="",IG$20="",IG$21=""),"",SUM($C17:IG17))</f>
        <v>894.77888888888901</v>
      </c>
      <c r="IH84" s="114">
        <f>IF(OR(IH$13="",IH$17="",IH$14="",IH$15="",IH$16="",IH$18="",IH$19="",IH$20="",IH$21=""),"",SUM($C17:IH17))</f>
        <v>982.52888888888901</v>
      </c>
      <c r="II84" s="114">
        <f>IF(OR(II$13="",II$17="",II$14="",II$15="",II$16="",II$18="",II$19="",II$20="",II$21=""),"",SUM($C17:II17))</f>
        <v>982.52888888888901</v>
      </c>
      <c r="IJ84" s="114">
        <f>IF(OR(IJ$13="",IJ$17="",IJ$14="",IJ$15="",IJ$16="",IJ$18="",IJ$19="",IJ$20="",IJ$21=""),"",SUM($C17:IJ17))</f>
        <v>1050.1588888888891</v>
      </c>
      <c r="IK84" s="114">
        <f>IF(OR(IK$13="",IK$17="",IK$14="",IK$15="",IK$16="",IK$18="",IK$19="",IK$20="",IK$21=""),"",SUM($C17:IK17))</f>
        <v>1050.1588888888891</v>
      </c>
      <c r="IL84" s="114">
        <f>IF(OR(IL$13="",IL$17="",IL$14="",IL$15="",IL$16="",IL$18="",IL$19="",IL$20="",IL$21=""),"",SUM($C17:IL17))</f>
        <v>1050.1588888888891</v>
      </c>
      <c r="IM84" s="114">
        <f>IF(OR(IM$13="",IM$17="",IM$14="",IM$15="",IM$16="",IM$18="",IM$19="",IM$20="",IM$21=""),"",SUM($C17:IM17))</f>
        <v>1050.1588888888891</v>
      </c>
      <c r="IN84" s="114">
        <f>IF(OR(IN$13="",IN$17="",IN$14="",IN$15="",IN$16="",IN$18="",IN$19="",IN$20="",IN$21=""),"",SUM($C17:IN17))</f>
        <v>1050.1588888888891</v>
      </c>
      <c r="IO84" s="114">
        <f>IF(OR(IO$13="",IO$17="",IO$14="",IO$15="",IO$16="",IO$18="",IO$19="",IO$20="",IO$21=""),"",SUM($C17:IO17))</f>
        <v>1050.1588888888891</v>
      </c>
      <c r="IP84" s="114">
        <f>IF(OR(IP$13="",IP$17="",IP$14="",IP$15="",IP$16="",IP$18="",IP$19="",IP$20="",IP$21=""),"",SUM($C17:IP17))</f>
        <v>1050.1588888888891</v>
      </c>
      <c r="IQ84" s="114">
        <f>IF(OR(IQ$13="",IQ$17="",IQ$14="",IQ$15="",IQ$16="",IQ$18="",IQ$19="",IQ$20="",IQ$21=""),"",SUM($C17:IQ17))</f>
        <v>1050.1588888888891</v>
      </c>
      <c r="IR84" s="114">
        <f>IF(OR(IR$13="",IR$17="",IR$14="",IR$15="",IR$16="",IR$18="",IR$19="",IR$20="",IR$21=""),"",SUM($C17:IR17))</f>
        <v>1050.1588888888891</v>
      </c>
      <c r="IS84" s="114">
        <f>IF(OR(IS$13="",IS$17="",IS$14="",IS$15="",IS$16="",IS$18="",IS$19="",IS$20="",IS$21=""),"",SUM($C17:IS17))</f>
        <v>1050.1588888888891</v>
      </c>
      <c r="IT84" s="114">
        <f>IF(OR(IT$13="",IT$17="",IT$14="",IT$15="",IT$16="",IT$18="",IT$19="",IT$20="",IT$21=""),"",SUM($C17:IT17))</f>
        <v>1050.1588888888891</v>
      </c>
      <c r="IU84" s="114">
        <f>IF(OR(IU$13="",IU$17="",IU$14="",IU$15="",IU$16="",IU$18="",IU$19="",IU$20="",IU$21=""),"",SUM($C17:IU17))</f>
        <v>1051.107777777778</v>
      </c>
      <c r="IV84" s="114">
        <f>IF(OR(IV$13="",IV$17="",IV$14="",IV$15="",IV$16="",IV$18="",IV$19="",IV$20="",IV$21=""),"",SUM($C17:IV17))</f>
        <v>1056.9008333333336</v>
      </c>
      <c r="IW84" s="114">
        <f>IF(OR(IW$13="",IW$17="",IW$14="",IW$15="",IW$16="",IW$18="",IW$19="",IW$20="",IW$21=""),"",SUM($C17:IW17))</f>
        <v>1067.0916666666669</v>
      </c>
      <c r="IX84" s="114">
        <f>IF(OR(IX$13="",IX$17="",IX$14="",IX$15="",IX$16="",IX$18="",IX$19="",IX$20="",IX$21=""),"",SUM($C17:IX17))</f>
        <v>1068.061388888889</v>
      </c>
      <c r="IY84" s="114">
        <f>IF(OR(IY$13="",IY$17="",IY$14="",IY$15="",IY$16="",IY$18="",IY$19="",IY$20="",IY$21=""),"",SUM($C17:IY17))</f>
        <v>1074.8522222222223</v>
      </c>
      <c r="IZ84" s="114">
        <f>IF(OR(IZ$13="",IZ$17="",IZ$14="",IZ$15="",IZ$16="",IZ$18="",IZ$19="",IZ$20="",IZ$21=""),"",SUM($C17:IZ17))</f>
        <v>1083.7141666666666</v>
      </c>
      <c r="JA84" s="114">
        <f>IF(OR(JA$13="",JA$17="",JA$14="",JA$15="",JA$16="",JA$18="",JA$19="",JA$20="",JA$21=""),"",SUM($C17:JA17))</f>
        <v>1084.2275</v>
      </c>
      <c r="JB84" s="114">
        <f>IF(OR(JB$13="",JB$17="",JB$14="",JB$15="",JB$16="",JB$18="",JB$19="",JB$20="",JB$21=""),"",SUM($C17:JB17))</f>
        <v>1084.2275</v>
      </c>
      <c r="JC84" s="114">
        <f>IF(OR(JC$13="",JC$17="",JC$14="",JC$15="",JC$16="",JC$18="",JC$19="",JC$20="",JC$21=""),"",SUM($C17:JC17))</f>
        <v>1085.1480555555556</v>
      </c>
      <c r="JD84" s="114">
        <f>IF(OR(JD$13="",JD$17="",JD$14="",JD$15="",JD$16="",JD$18="",JD$19="",JD$20="",JD$21=""),"",SUM($C17:JD17))</f>
        <v>1091.0066666666667</v>
      </c>
      <c r="JE84" s="114">
        <f>IF(OR(JE$13="",JE$17="",JE$14="",JE$15="",JE$16="",JE$18="",JE$19="",JE$20="",JE$21=""),"",SUM($C17:JE17))</f>
        <v>1091.0066666666667</v>
      </c>
      <c r="JF84" s="114">
        <f>IF(OR(JF$13="",JF$17="",JF$14="",JF$15="",JF$16="",JF$18="",JF$19="",JF$20="",JF$21=""),"",SUM($C17:JF17))</f>
        <v>1091.0066666666667</v>
      </c>
      <c r="JG84" s="114">
        <f>IF(OR(JG$13="",JG$17="",JG$14="",JG$15="",JG$16="",JG$18="",JG$19="",JG$20="",JG$21=""),"",SUM($C17:JG17))</f>
        <v>1091.0066666666667</v>
      </c>
      <c r="JH84" s="114">
        <f>IF(OR(JH$13="",JH$17="",JH$14="",JH$15="",JH$16="",JH$18="",JH$19="",JH$20="",JH$21=""),"",SUM($C17:JH17))</f>
        <v>1091.0066666666667</v>
      </c>
      <c r="JI84" s="114">
        <f>IF(OR(JI$13="",JI$17="",JI$14="",JI$15="",JI$16="",JI$18="",JI$19="",JI$20="",JI$21=""),"",SUM($C17:JI17))</f>
        <v>1097.6069444444445</v>
      </c>
      <c r="JJ84" s="114">
        <f>IF(OR(JJ$13="",JJ$17="",JJ$14="",JJ$15="",JJ$16="",JJ$18="",JJ$19="",JJ$20="",JJ$21=""),"",SUM($C17:JJ17))</f>
        <v>1097.6069444444445</v>
      </c>
      <c r="JK84" s="114">
        <f>IF(OR(JK$13="",JK$17="",JK$14="",JK$15="",JK$16="",JK$18="",JK$19="",JK$20="",JK$21=""),"",SUM($C17:JK17))</f>
        <v>1097.6069444444445</v>
      </c>
      <c r="JL84" s="114">
        <f>IF(OR(JL$13="",JL$17="",JL$14="",JL$15="",JL$16="",JL$18="",JL$19="",JL$20="",JL$21=""),"",SUM($C17:JL17))</f>
        <v>1102.3163888888889</v>
      </c>
      <c r="JM84" s="114">
        <f>IF(OR(JM$13="",JM$17="",JM$14="",JM$15="",JM$16="",JM$18="",JM$19="",JM$20="",JM$21=""),"",SUM($C17:JM17))</f>
        <v>1102.3163888888889</v>
      </c>
      <c r="JN84" s="114">
        <f>IF(OR(JN$13="",JN$17="",JN$14="",JN$15="",JN$16="",JN$18="",JN$19="",JN$20="",JN$21=""),"",SUM($C17:JN17))</f>
        <v>1103.3163888888889</v>
      </c>
      <c r="JO84" s="114">
        <f>IF(OR(JO$13="",JO$17="",JO$14="",JO$15="",JO$16="",JO$18="",JO$19="",JO$20="",JO$21=""),"",SUM($C17:JO17))</f>
        <v>1104.3163888888889</v>
      </c>
      <c r="JP84" s="114">
        <f>IF(OR(JP$13="",JP$17="",JP$14="",JP$15="",JP$16="",JP$18="",JP$19="",JP$20="",JP$21=""),"",SUM($C17:JP17))</f>
        <v>1113.3163888888889</v>
      </c>
      <c r="JQ84" s="114">
        <f>IF(OR(JQ$13="",JQ$17="",JQ$14="",JQ$15="",JQ$16="",JQ$18="",JQ$19="",JQ$20="",JQ$21=""),"",SUM($C17:JQ17))</f>
        <v>1114.506388888889</v>
      </c>
      <c r="JR84" s="114">
        <f>IF(OR(JR$13="",JR$17="",JR$14="",JR$15="",JR$16="",JR$18="",JR$19="",JR$20="",JR$21=""),"",SUM($C17:JR17))</f>
        <v>1115.506388888889</v>
      </c>
      <c r="JS84" s="114">
        <f>IF(OR(JS$13="",JS$17="",JS$14="",JS$15="",JS$16="",JS$18="",JS$19="",JS$20="",JS$21=""),"",SUM($C17:JS17))</f>
        <v>1116.506388888889</v>
      </c>
      <c r="JT84" s="114">
        <f>IF(OR(JT$13="",JT$17="",JT$14="",JT$15="",JT$16="",JT$18="",JT$19="",JT$20="",JT$21=""),"",SUM($C17:JT17))</f>
        <v>1116.506388888889</v>
      </c>
      <c r="JU84" s="114">
        <f>IF(OR(JU$13="",JU$17="",JU$14="",JU$15="",JU$16="",JU$18="",JU$19="",JU$20="",JU$21=""),"",SUM($C17:JU17))</f>
        <v>1116.506388888889</v>
      </c>
      <c r="JV84" s="114">
        <f>IF(OR(JV$13="",JV$17="",JV$14="",JV$15="",JV$16="",JV$18="",JV$19="",JV$20="",JV$21=""),"",SUM($C17:JV17))</f>
        <v>1116.506388888889</v>
      </c>
      <c r="JW84" s="114">
        <f>IF(OR(JW$13="",JW$17="",JW$14="",JW$15="",JW$16="",JW$18="",JW$19="",JW$20="",JW$21=""),"",SUM($C17:JW17))</f>
        <v>1116.506388888889</v>
      </c>
      <c r="JX84" s="114">
        <f>IF(OR(JX$13="",JX$17="",JX$14="",JX$15="",JX$16="",JX$18="",JX$19="",JX$20="",JX$21=""),"",SUM($C17:JX17))</f>
        <v>1116.506388888889</v>
      </c>
      <c r="JY84" s="114">
        <f>IF(OR(JY$13="",JY$17="",JY$14="",JY$15="",JY$16="",JY$18="",JY$19="",JY$20="",JY$21=""),"",SUM($C17:JY17))</f>
        <v>1116.506388888889</v>
      </c>
      <c r="JZ84" s="114">
        <f>IF(OR(JZ$13="",JZ$17="",JZ$14="",JZ$15="",JZ$16="",JZ$18="",JZ$19="",JZ$20="",JZ$21=""),"",SUM($C17:JZ17))</f>
        <v>1116.506388888889</v>
      </c>
      <c r="KA84" s="114">
        <f>IF(OR(KA$13="",KA$17="",KA$14="",KA$15="",KA$16="",KA$18="",KA$19="",KA$20="",KA$21=""),"",SUM($C17:KA17))</f>
        <v>1116.506388888889</v>
      </c>
      <c r="KB84" s="114">
        <f>IF(OR(KB$13="",KB$17="",KB$14="",KB$15="",KB$16="",KB$18="",KB$19="",KB$20="",KB$21=""),"",SUM($C17:KB17))</f>
        <v>1116.506388888889</v>
      </c>
      <c r="KC84" s="114">
        <f>IF(OR(KC$13="",KC$17="",KC$14="",KC$15="",KC$16="",KC$18="",KC$19="",KC$20="",KC$21=""),"",SUM($C17:KC17))</f>
        <v>1116.506388888889</v>
      </c>
      <c r="KD84" s="114">
        <f>IF(OR(KD$13="",KD$17="",KD$14="",KD$15="",KD$16="",KD$18="",KD$19="",KD$20="",KD$21=""),"",SUM($C17:KD17))</f>
        <v>1116.506388888889</v>
      </c>
      <c r="KE84" s="114">
        <f>IF(OR(KE$13="",KE$17="",KE$14="",KE$15="",KE$16="",KE$18="",KE$19="",KE$20="",KE$21=""),"",SUM($C17:KE17))</f>
        <v>1116.506388888889</v>
      </c>
      <c r="KF84" s="114">
        <f>IF(OR(KF$13="",KF$17="",KF$14="",KF$15="",KF$16="",KF$18="",KF$19="",KF$20="",KF$21=""),"",SUM($C17:KF17))</f>
        <v>1116.506388888889</v>
      </c>
      <c r="KG84" s="114">
        <f>IF(OR(KG$13="",KG$17="",KG$14="",KG$15="",KG$16="",KG$18="",KG$19="",KG$20="",KG$21=""),"",SUM($C17:KG17))</f>
        <v>1116.506388888889</v>
      </c>
      <c r="KH84" s="114">
        <f>IF(OR(KH$13="",KH$17="",KH$14="",KH$15="",KH$16="",KH$18="",KH$19="",KH$20="",KH$21=""),"",SUM($C17:KH17))</f>
        <v>1116.506388888889</v>
      </c>
      <c r="KI84" s="114">
        <f>IF(OR(KI$13="",KI$17="",KI$14="",KI$15="",KI$16="",KI$18="",KI$19="",KI$20="",KI$21=""),"",SUM($C17:KI17))</f>
        <v>1116.506388888889</v>
      </c>
      <c r="KJ84" s="114">
        <f>IF(OR(KJ$13="",KJ$17="",KJ$14="",KJ$15="",KJ$16="",KJ$18="",KJ$19="",KJ$20="",KJ$21=""),"",SUM($C17:KJ17))</f>
        <v>1116.506388888889</v>
      </c>
      <c r="KK84" s="114">
        <f>IF(OR(KK$13="",KK$17="",KK$14="",KK$15="",KK$16="",KK$18="",KK$19="",KK$20="",KK$21=""),"",SUM($C17:KK17))</f>
        <v>1116.506388888889</v>
      </c>
      <c r="KL84" s="114">
        <f>IF(OR(KL$13="",KL$17="",KL$14="",KL$15="",KL$16="",KL$18="",KL$19="",KL$20="",KL$21=""),"",SUM($C17:KL17))</f>
        <v>1116.506388888889</v>
      </c>
      <c r="KM84" s="114">
        <f>IF(OR(KM$13="",KM$17="",KM$14="",KM$15="",KM$16="",KM$18="",KM$19="",KM$20="",KM$21=""),"",SUM($C17:KM17))</f>
        <v>1116.506388888889</v>
      </c>
      <c r="KN84" s="114">
        <f>IF(OR(KN$13="",KN$17="",KN$14="",KN$15="",KN$16="",KN$18="",KN$19="",KN$20="",KN$21=""),"",SUM($C17:KN17))</f>
        <v>1116.506388888889</v>
      </c>
      <c r="KO84" s="114">
        <f>IF(OR(KO$13="",KO$17="",KO$14="",KO$15="",KO$16="",KO$18="",KO$19="",KO$20="",KO$21=""),"",SUM($C17:KO17))</f>
        <v>1116.506388888889</v>
      </c>
      <c r="KP84" s="114">
        <f>IF(OR(KP$13="",KP$17="",KP$14="",KP$15="",KP$16="",KP$18="",KP$19="",KP$20="",KP$21=""),"",SUM($C17:KP17))</f>
        <v>1116.506388888889</v>
      </c>
      <c r="KQ84" s="114">
        <f>IF(OR(KQ$13="",KQ$17="",KQ$14="",KQ$15="",KQ$16="",KQ$18="",KQ$19="",KQ$20="",KQ$21=""),"",SUM($C17:KQ17))</f>
        <v>1116.506388888889</v>
      </c>
      <c r="KR84" s="114">
        <f>IF(OR(KR$13="",KR$17="",KR$14="",KR$15="",KR$16="",KR$18="",KR$19="",KR$20="",KR$21=""),"",SUM($C17:KR17))</f>
        <v>1116.506388888889</v>
      </c>
      <c r="KS84" s="114">
        <f>IF(OR(KS$13="",KS$17="",KS$14="",KS$15="",KS$16="",KS$18="",KS$19="",KS$20="",KS$21=""),"",SUM($C17:KS17))</f>
        <v>1116.506388888889</v>
      </c>
      <c r="KT84" s="114">
        <f>IF(OR(KT$13="",KT$17="",KT$14="",KT$15="",KT$16="",KT$18="",KT$19="",KT$20="",KT$21=""),"",SUM($C17:KT17))</f>
        <v>1116.506388888889</v>
      </c>
      <c r="KU84" s="114" t="str">
        <f>IF(OR(KU$13="",KU$17="",KU$14="",KU$15="",KU$16="",KU$18="",KU$19="",KU$20="",KU$21=""),"",SUM($C17:KU17))</f>
        <v/>
      </c>
      <c r="KV84" s="114" t="str">
        <f>IF(OR(KV$13="",KV$17="",KV$14="",KV$15="",KV$16="",KV$18="",KV$19="",KV$20="",KV$21=""),"",SUM($C17:KV17))</f>
        <v/>
      </c>
      <c r="KW84" s="114" t="str">
        <f>IF(OR(KW$13="",KW$17="",KW$14="",KW$15="",KW$16="",KW$18="",KW$19="",KW$20="",KW$21=""),"",SUM($C17:KW17))</f>
        <v/>
      </c>
      <c r="KX84" s="114" t="str">
        <f>IF(OR(KX$13="",KX$17="",KX$14="",KX$15="",KX$16="",KX$18="",KX$19="",KX$20="",KX$21=""),"",SUM($C17:KX17))</f>
        <v/>
      </c>
      <c r="KY84" s="114" t="str">
        <f>IF(OR(KY$13="",KY$17="",KY$14="",KY$15="",KY$16="",KY$18="",KY$19="",KY$20="",KY$21=""),"",SUM($C17:KY17))</f>
        <v/>
      </c>
      <c r="KZ84" s="114" t="str">
        <f>IF(OR(KZ$13="",KZ$17="",KZ$14="",KZ$15="",KZ$16="",KZ$18="",KZ$19="",KZ$20="",KZ$21=""),"",SUM($C17:KZ17))</f>
        <v/>
      </c>
      <c r="LA84" s="114" t="str">
        <f>IF(OR(LA$13="",LA$17="",LA$14="",LA$15="",LA$16="",LA$18="",LA$19="",LA$20="",LA$21=""),"",SUM($C17:LA17))</f>
        <v/>
      </c>
      <c r="LB84" s="114" t="str">
        <f>IF(OR(LB$13="",LB$17="",LB$14="",LB$15="",LB$16="",LB$18="",LB$19="",LB$20="",LB$21=""),"",SUM($C17:LB17))</f>
        <v/>
      </c>
      <c r="LC84" s="114" t="str">
        <f>IF(OR(LC$13="",LC$17="",LC$14="",LC$15="",LC$16="",LC$18="",LC$19="",LC$20="",LC$21=""),"",SUM($C17:LC17))</f>
        <v/>
      </c>
      <c r="LD84" s="114" t="str">
        <f>IF(OR(LD$13="",LD$17="",LD$14="",LD$15="",LD$16="",LD$18="",LD$19="",LD$20="",LD$21=""),"",SUM($C17:LD17))</f>
        <v/>
      </c>
      <c r="LE84" s="114" t="str">
        <f>IF(OR(LE$13="",LE$17="",LE$14="",LE$15="",LE$16="",LE$18="",LE$19="",LE$20="",LE$21=""),"",SUM($C17:LE17))</f>
        <v/>
      </c>
      <c r="LF84" s="114" t="str">
        <f>IF(OR(LF$13="",LF$17="",LF$14="",LF$15="",LF$16="",LF$18="",LF$19="",LF$20="",LF$21=""),"",SUM($C17:LF17))</f>
        <v/>
      </c>
      <c r="LG84" s="114" t="str">
        <f>IF(OR(LG$13="",LG$17="",LG$14="",LG$15="",LG$16="",LG$18="",LG$19="",LG$20="",LG$21=""),"",SUM($C17:LG17))</f>
        <v/>
      </c>
      <c r="LH84" s="114" t="str">
        <f>IF(OR(LH$13="",LH$17="",LH$14="",LH$15="",LH$16="",LH$18="",LH$19="",LH$20="",LH$21=""),"",SUM($C17:LH17))</f>
        <v/>
      </c>
      <c r="LI84" s="114" t="str">
        <f>IF(OR(LI$13="",LI$17="",LI$14="",LI$15="",LI$16="",LI$18="",LI$19="",LI$20="",LI$21=""),"",SUM($C17:LI17))</f>
        <v/>
      </c>
      <c r="LJ84" s="114" t="str">
        <f>IF(OR(LJ$13="",LJ$17="",LJ$14="",LJ$15="",LJ$16="",LJ$18="",LJ$19="",LJ$20="",LJ$21=""),"",SUM($C17:LJ17))</f>
        <v/>
      </c>
      <c r="LK84" s="114" t="str">
        <f>IF(OR(LK$13="",LK$17="",LK$14="",LK$15="",LK$16="",LK$18="",LK$19="",LK$20="",LK$21=""),"",SUM($C17:LK17))</f>
        <v/>
      </c>
      <c r="LL84" s="114" t="str">
        <f>IF(OR(LL$13="",LL$17="",LL$14="",LL$15="",LL$16="",LL$18="",LL$19="",LL$20="",LL$21=""),"",SUM($C17:LL17))</f>
        <v/>
      </c>
      <c r="LM84" s="114" t="str">
        <f>IF(OR(LM$13="",LM$17="",LM$14="",LM$15="",LM$16="",LM$18="",LM$19="",LM$20="",LM$21=""),"",SUM($C17:LM17))</f>
        <v/>
      </c>
      <c r="LN84" s="114" t="str">
        <f>IF(OR(LN$13="",LN$17="",LN$14="",LN$15="",LN$16="",LN$18="",LN$19="",LN$20="",LN$21=""),"",SUM($C17:LN17))</f>
        <v/>
      </c>
      <c r="LO84" s="114" t="str">
        <f>IF(OR(LO$13="",LO$17="",LO$14="",LO$15="",LO$16="",LO$18="",LO$19="",LO$20="",LO$21=""),"",SUM($C17:LO17))</f>
        <v/>
      </c>
      <c r="LP84" s="114" t="str">
        <f>IF(OR(LP$13="",LP$17="",LP$14="",LP$15="",LP$16="",LP$18="",LP$19="",LP$20="",LP$21=""),"",SUM($C17:LP17))</f>
        <v/>
      </c>
      <c r="LQ84" s="114" t="str">
        <f>IF(OR(LQ$13="",LQ$17="",LQ$14="",LQ$15="",LQ$16="",LQ$18="",LQ$19="",LQ$20="",LQ$21=""),"",SUM($C17:LQ17))</f>
        <v/>
      </c>
      <c r="LR84" s="114" t="str">
        <f>IF(OR(LR$13="",LR$17="",LR$14="",LR$15="",LR$16="",LR$18="",LR$19="",LR$20="",LR$21=""),"",SUM($C17:LR17))</f>
        <v/>
      </c>
      <c r="LS84" s="114" t="str">
        <f>IF(OR(LS$13="",LS$17="",LS$14="",LS$15="",LS$16="",LS$18="",LS$19="",LS$20="",LS$21=""),"",SUM($C17:LS17))</f>
        <v/>
      </c>
      <c r="LT84" s="114" t="str">
        <f>IF(OR(LT$13="",LT$17="",LT$14="",LT$15="",LT$16="",LT$18="",LT$19="",LT$20="",LT$21=""),"",SUM($C17:LT17))</f>
        <v/>
      </c>
      <c r="LU84" s="114" t="str">
        <f>IF(OR(LU$13="",LU$17="",LU$14="",LU$15="",LU$16="",LU$18="",LU$19="",LU$20="",LU$21=""),"",SUM($C17:LU17))</f>
        <v/>
      </c>
      <c r="LV84" s="114" t="str">
        <f>IF(OR(LV$13="",LV$17="",LV$14="",LV$15="",LV$16="",LV$18="",LV$19="",LV$20="",LV$21=""),"",SUM($C17:LV17))</f>
        <v/>
      </c>
      <c r="LW84" s="114" t="str">
        <f>IF(OR(LW$13="",LW$17="",LW$14="",LW$15="",LW$16="",LW$18="",LW$19="",LW$20="",LW$21=""),"",SUM($C17:LW17))</f>
        <v/>
      </c>
      <c r="LX84" s="114" t="str">
        <f>IF(OR(LX$13="",LX$17="",LX$14="",LX$15="",LX$16="",LX$18="",LX$19="",LX$20="",LX$21=""),"",SUM($C17:LX17))</f>
        <v/>
      </c>
      <c r="LY84" s="114" t="str">
        <f>IF(OR(LY$13="",LY$17="",LY$14="",LY$15="",LY$16="",LY$18="",LY$19="",LY$20="",LY$21=""),"",SUM($C17:LY17))</f>
        <v/>
      </c>
      <c r="LZ84" s="114" t="str">
        <f>IF(OR(LZ$13="",LZ$17="",LZ$14="",LZ$15="",LZ$16="",LZ$18="",LZ$19="",LZ$20="",LZ$21=""),"",SUM($C17:LZ17))</f>
        <v/>
      </c>
      <c r="MA84" s="114" t="str">
        <f>IF(OR(MA$13="",MA$17="",MA$14="",MA$15="",MA$16="",MA$18="",MA$19="",MA$20="",MA$21=""),"",SUM($C17:MA17))</f>
        <v/>
      </c>
      <c r="MB84" s="114" t="str">
        <f>IF(OR(MB$13="",MB$17="",MB$14="",MB$15="",MB$16="",MB$18="",MB$19="",MB$20="",MB$21=""),"",SUM($C17:MB17))</f>
        <v/>
      </c>
      <c r="MC84" s="114" t="str">
        <f>IF(OR(MC$13="",MC$17="",MC$14="",MC$15="",MC$16="",MC$18="",MC$19="",MC$20="",MC$21=""),"",SUM($C17:MC17))</f>
        <v/>
      </c>
      <c r="MD84" s="114" t="str">
        <f>IF(OR(MD$13="",MD$17="",MD$14="",MD$15="",MD$16="",MD$18="",MD$19="",MD$20="",MD$21=""),"",SUM($C17:MD17))</f>
        <v/>
      </c>
      <c r="ME84" s="114" t="str">
        <f>IF(OR(ME$13="",ME$17="",ME$14="",ME$15="",ME$16="",ME$18="",ME$19="",ME$20="",ME$21=""),"",SUM($C17:ME17))</f>
        <v/>
      </c>
      <c r="MF84" s="114" t="str">
        <f>IF(OR(MF$13="",MF$17="",MF$14="",MF$15="",MF$16="",MF$18="",MF$19="",MF$20="",MF$21=""),"",SUM($C17:MF17))</f>
        <v/>
      </c>
      <c r="MG84" s="114" t="str">
        <f>IF(OR(MG$13="",MG$17="",MG$14="",MG$15="",MG$16="",MG$18="",MG$19="",MG$20="",MG$21=""),"",SUM($C17:MG17))</f>
        <v/>
      </c>
      <c r="MH84" s="114" t="str">
        <f>IF(OR(MH$13="",MH$17="",MH$14="",MH$15="",MH$16="",MH$18="",MH$19="",MH$20="",MH$21=""),"",SUM($C17:MH17))</f>
        <v/>
      </c>
      <c r="MI84" s="114" t="str">
        <f>IF(OR(MI$13="",MI$17="",MI$14="",MI$15="",MI$16="",MI$18="",MI$19="",MI$20="",MI$21=""),"",SUM($C17:MI17))</f>
        <v/>
      </c>
      <c r="MJ84" s="114" t="str">
        <f>IF(OR(MJ$13="",MJ$17="",MJ$14="",MJ$15="",MJ$16="",MJ$18="",MJ$19="",MJ$20="",MJ$21=""),"",SUM($C17:MJ17))</f>
        <v/>
      </c>
      <c r="MK84" s="114" t="str">
        <f>IF(OR(MK$13="",MK$17="",MK$14="",MK$15="",MK$16="",MK$18="",MK$19="",MK$20="",MK$21=""),"",SUM($C17:MK17))</f>
        <v/>
      </c>
      <c r="ML84" s="114" t="str">
        <f>IF(OR(ML$13="",ML$17="",ML$14="",ML$15="",ML$16="",ML$18="",ML$19="",ML$20="",ML$21=""),"",SUM($C17:ML17))</f>
        <v/>
      </c>
      <c r="MM84" s="114" t="str">
        <f>IF(OR(MM$13="",MM$17="",MM$14="",MM$15="",MM$16="",MM$18="",MM$19="",MM$20="",MM$21=""),"",SUM($C17:MM17))</f>
        <v/>
      </c>
      <c r="MN84" s="114" t="str">
        <f>IF(OR(MN$13="",MN$17="",MN$14="",MN$15="",MN$16="",MN$18="",MN$19="",MN$20="",MN$21=""),"",SUM($C17:MN17))</f>
        <v/>
      </c>
      <c r="MO84" s="114" t="str">
        <f>IF(OR(MO$13="",MO$17="",MO$14="",MO$15="",MO$16="",MO$18="",MO$19="",MO$20="",MO$21=""),"",SUM($C17:MO17))</f>
        <v/>
      </c>
      <c r="MP84" s="114" t="str">
        <f>IF(OR(MP$13="",MP$17="",MP$14="",MP$15="",MP$16="",MP$18="",MP$19="",MP$20="",MP$21=""),"",SUM($C17:MP17))</f>
        <v/>
      </c>
      <c r="MQ84" s="114" t="str">
        <f>IF(OR(MQ$13="",MQ$17="",MQ$14="",MQ$15="",MQ$16="",MQ$18="",MQ$19="",MQ$20="",MQ$21=""),"",SUM($C17:MQ17))</f>
        <v/>
      </c>
      <c r="MR84" s="114" t="str">
        <f>IF(OR(MR$13="",MR$17="",MR$14="",MR$15="",MR$16="",MR$18="",MR$19="",MR$20="",MR$21=""),"",SUM($C17:MR17))</f>
        <v/>
      </c>
      <c r="MS84" s="114" t="str">
        <f>IF(OR(MS$13="",MS$17="",MS$14="",MS$15="",MS$16="",MS$18="",MS$19="",MS$20="",MS$21=""),"",SUM($C17:MS17))</f>
        <v/>
      </c>
      <c r="MT84" s="114" t="str">
        <f>IF(OR(MT$13="",MT$17="",MT$14="",MT$15="",MT$16="",MT$18="",MT$19="",MT$20="",MT$21=""),"",SUM($C17:MT17))</f>
        <v/>
      </c>
      <c r="MU84" s="114" t="str">
        <f>IF(OR(MU$13="",MU$17="",MU$14="",MU$15="",MU$16="",MU$18="",MU$19="",MU$20="",MU$21=""),"",SUM($C17:MU17))</f>
        <v/>
      </c>
      <c r="MV84" s="114" t="str">
        <f>IF(OR(MV$13="",MV$17="",MV$14="",MV$15="",MV$16="",MV$18="",MV$19="",MV$20="",MV$21=""),"",SUM($C17:MV17))</f>
        <v/>
      </c>
      <c r="MW84" s="114" t="str">
        <f>IF(OR(MW$13="",MW$17="",MW$14="",MW$15="",MW$16="",MW$18="",MW$19="",MW$20="",MW$21=""),"",SUM($C17:MW17))</f>
        <v/>
      </c>
      <c r="MX84" s="114" t="str">
        <f>IF(OR(MX$13="",MX$17="",MX$14="",MX$15="",MX$16="",MX$18="",MX$19="",MX$20="",MX$21=""),"",SUM($C17:MX17))</f>
        <v/>
      </c>
      <c r="MY84" s="114" t="str">
        <f>IF(OR(MY$13="",MY$17="",MY$14="",MY$15="",MY$16="",MY$18="",MY$19="",MY$20="",MY$21=""),"",SUM($C17:MY17))</f>
        <v/>
      </c>
      <c r="MZ84" s="114" t="str">
        <f>IF(OR(MZ$13="",MZ$17="",MZ$14="",MZ$15="",MZ$16="",MZ$18="",MZ$19="",MZ$20="",MZ$21=""),"",SUM($C17:MZ17))</f>
        <v/>
      </c>
      <c r="NA84" s="114" t="str">
        <f>IF(OR(NA$13="",NA$17="",NA$14="",NA$15="",NA$16="",NA$18="",NA$19="",NA$20="",NA$21=""),"",SUM($C17:NA17))</f>
        <v/>
      </c>
      <c r="NB84" s="114" t="str">
        <f>IF(OR(NB$13="",NB$17="",NB$14="",NB$15="",NB$16="",NB$18="",NB$19="",NB$20="",NB$21=""),"",SUM($C17:NB17))</f>
        <v/>
      </c>
      <c r="NC84" s="114" t="str">
        <f>IF(OR(NC$13="",NC$17="",NC$14="",NC$15="",NC$16="",NC$18="",NC$19="",NC$20="",NC$21=""),"",SUM($C17:NC17))</f>
        <v/>
      </c>
      <c r="ND84" s="114" t="str">
        <f>IF(OR(ND$13="",ND$17="",ND$14="",ND$15="",ND$16="",ND$18="",ND$19="",ND$20="",ND$21=""),"",SUM($C17:ND17))</f>
        <v/>
      </c>
      <c r="NE84" s="114" t="str">
        <f>IF(OR(NE$13="",NE$17="",NE$14="",NE$15="",NE$16="",NE$18="",NE$19="",NE$20="",NE$21=""),"",SUM($C17:NE17))</f>
        <v/>
      </c>
      <c r="NF84" s="114" t="str">
        <f>IF(OR(NF$13="",NF$17="",NF$14="",NF$15="",NF$16="",NF$18="",NF$19="",NF$20="",NF$21=""),"",SUM($C17:NF17))</f>
        <v/>
      </c>
      <c r="NG84" s="114" t="str">
        <f>IF(OR(NG$13="",NG$17="",NG$14="",NG$15="",NG$16="",NG$18="",NG$19="",NG$20="",NG$21=""),"",SUM($C17:NG17))</f>
        <v/>
      </c>
      <c r="NH84" s="114" t="str">
        <f>IF(OR(NH$13="",NH$17="",NH$14="",NH$15="",NH$16="",NH$18="",NH$19="",NH$20="",NH$21=""),"",SUM($C17:NH17))</f>
        <v/>
      </c>
      <c r="NI84" s="114" t="str">
        <f>IF(OR(NI$13="",NI$17="",NI$14="",NI$15="",NI$16="",NI$18="",NI$19="",NI$20="",NI$21=""),"",SUM($C17:NI17))</f>
        <v/>
      </c>
      <c r="NJ84" s="114" t="str">
        <f>IF(OR(NJ$13="",NJ$17="",NJ$14="",NJ$15="",NJ$16="",NJ$18="",NJ$19="",NJ$20="",NJ$21=""),"",SUM($C17:NJ17))</f>
        <v/>
      </c>
      <c r="NK84" s="114" t="str">
        <f>IF(OR(NK$13="",NK$17="",NK$14="",NK$15="",NK$16="",NK$18="",NK$19="",NK$20="",NK$21=""),"",SUM($C17:NK17))</f>
        <v/>
      </c>
      <c r="NL84" s="114" t="str">
        <f>IF(OR(NL$13="",NL$17="",NL$14="",NL$15="",NL$16="",NL$18="",NL$19="",NL$20="",NL$21=""),"",SUM($C17:NL17))</f>
        <v/>
      </c>
      <c r="NM84" s="114" t="str">
        <f>IF(OR(NM$13="",NM$17="",NM$14="",NM$15="",NM$16="",NM$18="",NM$19="",NM$20="",NM$21=""),"",SUM($C17:NM17))</f>
        <v/>
      </c>
      <c r="NN84" s="114" t="str">
        <f>IF(OR(NN$13="",NN$17="",NN$14="",NN$15="",NN$16="",NN$18="",NN$19="",NN$20="",NN$21=""),"",SUM($C17:NN17))</f>
        <v/>
      </c>
      <c r="NO84" s="114" t="str">
        <f>IF(OR(NO$13="",NO$17="",NO$14="",NO$15="",NO$16="",NO$18="",NO$19="",NO$20="",NO$21=""),"",SUM($C17:NO17))</f>
        <v/>
      </c>
      <c r="NP84" s="114" t="str">
        <f>IF(OR(NP$13="",NP$17="",NP$14="",NP$15="",NP$16="",NP$18="",NP$19="",NP$20="",NP$21=""),"",SUM($C17:NP17))</f>
        <v/>
      </c>
      <c r="NQ84" s="114" t="str">
        <f>IF(OR(NQ$13="",NQ$17="",NQ$14="",NQ$15="",NQ$16="",NQ$18="",NQ$19="",NQ$20="",NQ$21=""),"",SUM($C17:NQ17))</f>
        <v/>
      </c>
      <c r="NR84" s="114" t="str">
        <f>IF(OR(NR$13="",NR$17="",NR$14="",NR$15="",NR$16="",NR$18="",NR$19="",NR$20="",NR$21=""),"",SUM($C17:NR17))</f>
        <v/>
      </c>
      <c r="NS84" s="114" t="str">
        <f>IF(OR(NS$13="",NS$17="",NS$14="",NS$15="",NS$16="",NS$18="",NS$19="",NS$20="",NS$21=""),"",SUM($C17:NS17))</f>
        <v/>
      </c>
      <c r="NT84" s="114" t="str">
        <f>IF(OR(NT$13="",NT$17="",NT$14="",NT$15="",NT$16="",NT$18="",NT$19="",NT$20="",NT$21=""),"",SUM($C17:NT17))</f>
        <v/>
      </c>
      <c r="NU84" s="114" t="str">
        <f>IF(OR(NU$13="",NU$17="",NU$14="",NU$15="",NU$16="",NU$18="",NU$19="",NU$20="",NU$21=""),"",SUM($C17:NU17))</f>
        <v/>
      </c>
      <c r="NV84" s="114" t="str">
        <f>IF(OR(NV$13="",NV$17="",NV$14="",NV$15="",NV$16="",NV$18="",NV$19="",NV$20="",NV$21=""),"",SUM($C17:NV17))</f>
        <v/>
      </c>
      <c r="NW84" s="114" t="str">
        <f>IF(OR(NW$13="",NW$17="",NW$14="",NW$15="",NW$16="",NW$18="",NW$19="",NW$20="",NW$21=""),"",SUM($C17:NW17))</f>
        <v/>
      </c>
      <c r="NX84" s="114" t="str">
        <f>IF(OR(NX$13="",NX$17="",NX$14="",NX$15="",NX$16="",NX$18="",NX$19="",NX$20="",NX$21=""),"",SUM($C17:NX17))</f>
        <v/>
      </c>
      <c r="NY84" s="114" t="str">
        <f>IF(OR(NY$13="",NY$17="",NY$14="",NY$15="",NY$16="",NY$18="",NY$19="",NY$20="",NY$21=""),"",SUM($C17:NY17))</f>
        <v/>
      </c>
      <c r="NZ84" s="114" t="str">
        <f>IF(OR(NZ$13="",NZ$17="",NZ$14="",NZ$15="",NZ$16="",NZ$18="",NZ$19="",NZ$20="",NZ$21=""),"",SUM($C17:NZ17))</f>
        <v/>
      </c>
      <c r="OA84" s="114" t="str">
        <f>IF(OR(OA$13="",OA$17="",OA$14="",OA$15="",OA$16="",OA$18="",OA$19="",OA$20="",OA$21=""),"",SUM($C17:OA17))</f>
        <v/>
      </c>
      <c r="OB84" s="114" t="str">
        <f>IF(OR(OB$13="",OB$17="",OB$14="",OB$15="",OB$16="",OB$18="",OB$19="",OB$20="",OB$21=""),"",SUM($C17:OB17))</f>
        <v/>
      </c>
      <c r="OC84" s="114" t="str">
        <f>IF(OR(OC$13="",OC$17="",OC$14="",OC$15="",OC$16="",OC$18="",OC$19="",OC$20="",OC$21=""),"",SUM($C17:OC17))</f>
        <v/>
      </c>
      <c r="OD84" s="114" t="str">
        <f>IF(OR(OD$13="",OD$17="",OD$14="",OD$15="",OD$16="",OD$18="",OD$19="",OD$20="",OD$21=""),"",SUM($C17:OD17))</f>
        <v/>
      </c>
      <c r="OE84" s="114" t="str">
        <f>IF(OR(OE$13="",OE$17="",OE$14="",OE$15="",OE$16="",OE$18="",OE$19="",OE$20="",OE$21=""),"",SUM($C17:OE17))</f>
        <v/>
      </c>
      <c r="OF84" s="114" t="str">
        <f>IF(OR(OF$13="",OF$17="",OF$14="",OF$15="",OF$16="",OF$18="",OF$19="",OF$20="",OF$21=""),"",SUM($C17:OF17))</f>
        <v/>
      </c>
      <c r="OG84" s="114" t="str">
        <f>IF(OR(OG$13="",OG$17="",OG$14="",OG$15="",OG$16="",OG$18="",OG$19="",OG$20="",OG$21=""),"",SUM($C17:OG17))</f>
        <v/>
      </c>
      <c r="OH84" s="114" t="str">
        <f>IF(OR(OH$13="",OH$17="",OH$14="",OH$15="",OH$16="",OH$18="",OH$19="",OH$20="",OH$21=""),"",SUM($C17:OH17))</f>
        <v/>
      </c>
      <c r="OI84" s="114" t="str">
        <f>IF(OR(OI$13="",OI$17="",OI$14="",OI$15="",OI$16="",OI$18="",OI$19="",OI$20="",OI$21=""),"",SUM($C17:OI17))</f>
        <v/>
      </c>
      <c r="OJ84" s="114" t="str">
        <f>IF(OR(OJ$13="",OJ$17="",OJ$14="",OJ$15="",OJ$16="",OJ$18="",OJ$19="",OJ$20="",OJ$21=""),"",SUM($C17:OJ17))</f>
        <v/>
      </c>
      <c r="OK84" s="114" t="str">
        <f>IF(OR(OK$13="",OK$17="",OK$14="",OK$15="",OK$16="",OK$18="",OK$19="",OK$20="",OK$21=""),"",SUM($C17:OK17))</f>
        <v/>
      </c>
      <c r="OL84" s="114" t="str">
        <f>IF(OR(OL$13="",OL$17="",OL$14="",OL$15="",OL$16="",OL$18="",OL$19="",OL$20="",OL$21=""),"",SUM($C17:OL17))</f>
        <v/>
      </c>
      <c r="OM84" s="114" t="str">
        <f>IF(OR(OM$13="",OM$17="",OM$14="",OM$15="",OM$16="",OM$18="",OM$19="",OM$20="",OM$21=""),"",SUM($C17:OM17))</f>
        <v/>
      </c>
      <c r="ON84" s="114" t="str">
        <f>IF(OR(ON$13="",ON$17="",ON$14="",ON$15="",ON$16="",ON$18="",ON$19="",ON$20="",ON$21=""),"",SUM($C17:ON17))</f>
        <v/>
      </c>
      <c r="OO84" s="114" t="str">
        <f>IF(OR(OO$13="",OO$17="",OO$14="",OO$15="",OO$16="",OO$18="",OO$19="",OO$20="",OO$21=""),"",SUM($C17:OO17))</f>
        <v/>
      </c>
      <c r="OP84" s="114" t="str">
        <f>IF(OR(OP$13="",OP$17="",OP$14="",OP$15="",OP$16="",OP$18="",OP$19="",OP$20="",OP$21=""),"",SUM($C17:OP17))</f>
        <v/>
      </c>
      <c r="OQ84" s="114" t="str">
        <f>IF(OR(OQ$13="",OQ$17="",OQ$14="",OQ$15="",OQ$16="",OQ$18="",OQ$19="",OQ$20="",OQ$21=""),"",SUM($C17:OQ17))</f>
        <v/>
      </c>
      <c r="OR84" s="114" t="str">
        <f>IF(OR(OR$13="",OR$17="",OR$14="",OR$15="",OR$16="",OR$18="",OR$19="",OR$20="",OR$21=""),"",SUM($C17:OR17))</f>
        <v/>
      </c>
      <c r="OS84" s="114" t="str">
        <f>IF(OR(OS$13="",OS$17="",OS$14="",OS$15="",OS$16="",OS$18="",OS$19="",OS$20="",OS$21=""),"",SUM($C17:OS17))</f>
        <v/>
      </c>
      <c r="OT84" s="114" t="str">
        <f>IF(OR(OT$13="",OT$17="",OT$14="",OT$15="",OT$16="",OT$18="",OT$19="",OT$20="",OT$21=""),"",SUM($C17:OT17))</f>
        <v/>
      </c>
      <c r="OU84" s="114" t="str">
        <f>IF(OR(OU$13="",OU$17="",OU$14="",OU$15="",OU$16="",OU$18="",OU$19="",OU$20="",OU$21=""),"",SUM($C17:OU17))</f>
        <v/>
      </c>
      <c r="OV84" s="114" t="str">
        <f>IF(OR(OV$13="",OV$17="",OV$14="",OV$15="",OV$16="",OV$18="",OV$19="",OV$20="",OV$21=""),"",SUM($C17:OV17))</f>
        <v/>
      </c>
      <c r="OW84" s="114" t="str">
        <f>IF(OR(OW$13="",OW$17="",OW$14="",OW$15="",OW$16="",OW$18="",OW$19="",OW$20="",OW$21=""),"",SUM($C17:OW17))</f>
        <v/>
      </c>
      <c r="OX84" s="114" t="str">
        <f>IF(OR(OX$13="",OX$17="",OX$14="",OX$15="",OX$16="",OX$18="",OX$19="",OX$20="",OX$21=""),"",SUM($C17:OX17))</f>
        <v/>
      </c>
      <c r="OY84" s="114" t="str">
        <f>IF(OR(OY$13="",OY$17="",OY$14="",OY$15="",OY$16="",OY$18="",OY$19="",OY$20="",OY$21=""),"",SUM($C17:OY17))</f>
        <v/>
      </c>
      <c r="OZ84" s="114" t="str">
        <f>IF(OR(OZ$13="",OZ$17="",OZ$14="",OZ$15="",OZ$16="",OZ$18="",OZ$19="",OZ$20="",OZ$21=""),"",SUM($C17:OZ17))</f>
        <v/>
      </c>
      <c r="PA84" s="114" t="str">
        <f>IF(OR(PA$13="",PA$17="",PA$14="",PA$15="",PA$16="",PA$18="",PA$19="",PA$20="",PA$21=""),"",SUM($C17:PA17))</f>
        <v/>
      </c>
      <c r="PB84" s="114" t="str">
        <f>IF(OR(PB$13="",PB$17="",PB$14="",PB$15="",PB$16="",PB$18="",PB$19="",PB$20="",PB$21=""),"",SUM($C17:PB17))</f>
        <v/>
      </c>
      <c r="PC84" s="114" t="str">
        <f>IF(OR(PC$13="",PC$17="",PC$14="",PC$15="",PC$16="",PC$18="",PC$19="",PC$20="",PC$21=""),"",SUM($C17:PC17))</f>
        <v/>
      </c>
      <c r="PD84" s="114" t="str">
        <f>IF(OR(PD$13="",PD$17="",PD$14="",PD$15="",PD$16="",PD$18="",PD$19="",PD$20="",PD$21=""),"",SUM($C17:PD17))</f>
        <v/>
      </c>
      <c r="PE84" s="114" t="str">
        <f>IF(OR(PE$13="",PE$17="",PE$14="",PE$15="",PE$16="",PE$18="",PE$19="",PE$20="",PE$21=""),"",SUM($C17:PE17))</f>
        <v/>
      </c>
      <c r="PF84" s="114" t="str">
        <f>IF(OR(PF$13="",PF$17="",PF$14="",PF$15="",PF$16="",PF$18="",PF$19="",PF$20="",PF$21=""),"",SUM($C17:PF17))</f>
        <v/>
      </c>
      <c r="PG84" s="114" t="str">
        <f>IF(OR(PG$13="",PG$17="",PG$14="",PG$15="",PG$16="",PG$18="",PG$19="",PG$20="",PG$21=""),"",SUM($C17:PG17))</f>
        <v/>
      </c>
      <c r="PH84" s="114" t="str">
        <f>IF(OR(PH$13="",PH$17="",PH$14="",PH$15="",PH$16="",PH$18="",PH$19="",PH$20="",PH$21=""),"",SUM($C17:PH17))</f>
        <v/>
      </c>
      <c r="PI84" s="114" t="str">
        <f>IF(OR(PI$13="",PI$17="",PI$14="",PI$15="",PI$16="",PI$18="",PI$19="",PI$20="",PI$21=""),"",SUM($C17:PI17))</f>
        <v/>
      </c>
      <c r="PJ84" s="114" t="str">
        <f>IF(OR(PJ$13="",PJ$17="",PJ$14="",PJ$15="",PJ$16="",PJ$18="",PJ$19="",PJ$20="",PJ$21=""),"",SUM($C17:PJ17))</f>
        <v/>
      </c>
      <c r="PK84" s="114" t="str">
        <f>IF(OR(PK$13="",PK$17="",PK$14="",PK$15="",PK$16="",PK$18="",PK$19="",PK$20="",PK$21=""),"",SUM($C17:PK17))</f>
        <v/>
      </c>
      <c r="PL84" s="114" t="str">
        <f>IF(OR(PL$13="",PL$17="",PL$14="",PL$15="",PL$16="",PL$18="",PL$19="",PL$20="",PL$21=""),"",SUM($C17:PL17))</f>
        <v/>
      </c>
      <c r="PM84" s="114" t="str">
        <f>IF(OR(PM$13="",PM$17="",PM$14="",PM$15="",PM$16="",PM$18="",PM$19="",PM$20="",PM$21=""),"",SUM($C17:PM17))</f>
        <v/>
      </c>
      <c r="PN84" s="114" t="str">
        <f>IF(OR(PN$13="",PN$17="",PN$14="",PN$15="",PN$16="",PN$18="",PN$19="",PN$20="",PN$21=""),"",SUM($C17:PN17))</f>
        <v/>
      </c>
      <c r="PO84" s="114" t="str">
        <f>IF(OR(PO$13="",PO$17="",PO$14="",PO$15="",PO$16="",PO$18="",PO$19="",PO$20="",PO$21=""),"",SUM($C17:PO17))</f>
        <v/>
      </c>
      <c r="PP84" s="114" t="str">
        <f>IF(OR(PP$13="",PP$17="",PP$14="",PP$15="",PP$16="",PP$18="",PP$19="",PP$20="",PP$21=""),"",SUM($C17:PP17))</f>
        <v/>
      </c>
      <c r="PQ84" s="114" t="str">
        <f>IF(OR(PQ$13="",PQ$17="",PQ$14="",PQ$15="",PQ$16="",PQ$18="",PQ$19="",PQ$20="",PQ$21=""),"",SUM($C17:PQ17))</f>
        <v/>
      </c>
      <c r="PR84" s="114" t="str">
        <f>IF(OR(PR$13="",PR$17="",PR$14="",PR$15="",PR$16="",PR$18="",PR$19="",PR$20="",PR$21=""),"",SUM($C17:PR17))</f>
        <v/>
      </c>
      <c r="PS84" s="114" t="str">
        <f>IF(OR(PS$13="",PS$17="",PS$14="",PS$15="",PS$16="",PS$18="",PS$19="",PS$20="",PS$21=""),"",SUM($C17:PS17))</f>
        <v/>
      </c>
      <c r="PT84" s="114" t="str">
        <f>IF(OR(PT$13="",PT$17="",PT$14="",PT$15="",PT$16="",PT$18="",PT$19="",PT$20="",PT$21=""),"",SUM($C17:PT17))</f>
        <v/>
      </c>
      <c r="PU84" s="114" t="str">
        <f>IF(OR(PU$13="",PU$17="",PU$14="",PU$15="",PU$16="",PU$18="",PU$19="",PU$20="",PU$21=""),"",SUM($C17:PU17))</f>
        <v/>
      </c>
      <c r="PV84" s="114" t="str">
        <f>IF(OR(PV$13="",PV$17="",PV$14="",PV$15="",PV$16="",PV$18="",PV$19="",PV$20="",PV$21=""),"",SUM($C17:PV17))</f>
        <v/>
      </c>
      <c r="PW84" s="114" t="str">
        <f>IF(OR(PW$13="",PW$17="",PW$14="",PW$15="",PW$16="",PW$18="",PW$19="",PW$20="",PW$21=""),"",SUM($C17:PW17))</f>
        <v/>
      </c>
      <c r="PX84" s="114" t="str">
        <f>IF(OR(PX$13="",PX$17="",PX$14="",PX$15="",PX$16="",PX$18="",PX$19="",PX$20="",PX$21=""),"",SUM($C17:PX17))</f>
        <v/>
      </c>
      <c r="PY84" s="114" t="str">
        <f>IF(OR(PY$13="",PY$17="",PY$14="",PY$15="",PY$16="",PY$18="",PY$19="",PY$20="",PY$21=""),"",SUM($C17:PY17))</f>
        <v/>
      </c>
      <c r="PZ84" s="114" t="str">
        <f>IF(OR(PZ$13="",PZ$17="",PZ$14="",PZ$15="",PZ$16="",PZ$18="",PZ$19="",PZ$20="",PZ$21=""),"",SUM($C17:PZ17))</f>
        <v/>
      </c>
      <c r="QA84" s="114" t="str">
        <f>IF(OR(QA$13="",QA$17="",QA$14="",QA$15="",QA$16="",QA$18="",QA$19="",QA$20="",QA$21=""),"",SUM($C17:QA17))</f>
        <v/>
      </c>
      <c r="QB84" s="114" t="str">
        <f>IF(OR(QB$13="",QB$17="",QB$14="",QB$15="",QB$16="",QB$18="",QB$19="",QB$20="",QB$21=""),"",SUM($C17:QB17))</f>
        <v/>
      </c>
      <c r="QC84" s="114" t="str">
        <f>IF(OR(QC$13="",QC$17="",QC$14="",QC$15="",QC$16="",QC$18="",QC$19="",QC$20="",QC$21=""),"",SUM($C17:QC17))</f>
        <v/>
      </c>
      <c r="QD84" s="114" t="str">
        <f>IF(OR(QD$13="",QD$17="",QD$14="",QD$15="",QD$16="",QD$18="",QD$19="",QD$20="",QD$21=""),"",SUM($C17:QD17))</f>
        <v/>
      </c>
      <c r="QE84" s="114" t="str">
        <f>IF(OR(QE$13="",QE$17="",QE$14="",QE$15="",QE$16="",QE$18="",QE$19="",QE$20="",QE$21=""),"",SUM($C17:QE17))</f>
        <v/>
      </c>
      <c r="QF84" s="114" t="str">
        <f>IF(OR(QF$13="",QF$17="",QF$14="",QF$15="",QF$16="",QF$18="",QF$19="",QF$20="",QF$21=""),"",SUM($C17:QF17))</f>
        <v/>
      </c>
      <c r="QG84" s="114" t="str">
        <f>IF(OR(QG$13="",QG$17="",QG$14="",QG$15="",QG$16="",QG$18="",QG$19="",QG$20="",QG$21=""),"",SUM($C17:QG17))</f>
        <v/>
      </c>
      <c r="QH84" s="114" t="str">
        <f>IF(OR(QH$13="",QH$17="",QH$14="",QH$15="",QH$16="",QH$18="",QH$19="",QH$20="",QH$21=""),"",SUM($C17:QH17))</f>
        <v/>
      </c>
      <c r="QI84" s="114" t="str">
        <f>IF(OR(QI$13="",QI$17="",QI$14="",QI$15="",QI$16="",QI$18="",QI$19="",QI$20="",QI$21=""),"",SUM($C17:QI17))</f>
        <v/>
      </c>
      <c r="QJ84" s="114" t="str">
        <f>IF(OR(QJ$13="",QJ$17="",QJ$14="",QJ$15="",QJ$16="",QJ$18="",QJ$19="",QJ$20="",QJ$21=""),"",SUM($C17:QJ17))</f>
        <v/>
      </c>
      <c r="QK84" s="114" t="str">
        <f>IF(OR(QK$13="",QK$17="",QK$14="",QK$15="",QK$16="",QK$18="",QK$19="",QK$20="",QK$21=""),"",SUM($C17:QK17))</f>
        <v/>
      </c>
      <c r="QL84" s="114" t="str">
        <f>IF(OR(QL$13="",QL$17="",QL$14="",QL$15="",QL$16="",QL$18="",QL$19="",QL$20="",QL$21=""),"",SUM($C17:QL17))</f>
        <v/>
      </c>
      <c r="QM84" s="114" t="str">
        <f>IF(OR(QM$13="",QM$17="",QM$14="",QM$15="",QM$16="",QM$18="",QM$19="",QM$20="",QM$21=""),"",SUM($C17:QM17))</f>
        <v/>
      </c>
      <c r="QN84" s="114" t="str">
        <f>IF(OR(QN$13="",QN$17="",QN$14="",QN$15="",QN$16="",QN$18="",QN$19="",QN$20="",QN$21=""),"",SUM($C17:QN17))</f>
        <v/>
      </c>
      <c r="QO84" s="114" t="str">
        <f>IF(OR(QO$13="",QO$17="",QO$14="",QO$15="",QO$16="",QO$18="",QO$19="",QO$20="",QO$21=""),"",SUM($C17:QO17))</f>
        <v/>
      </c>
      <c r="QP84" s="114" t="str">
        <f>IF(OR(QP$13="",QP$17="",QP$14="",QP$15="",QP$16="",QP$18="",QP$19="",QP$20="",QP$21=""),"",SUM($C17:QP17))</f>
        <v/>
      </c>
      <c r="QQ84" s="114" t="str">
        <f>IF(OR(QQ$13="",QQ$17="",QQ$14="",QQ$15="",QQ$16="",QQ$18="",QQ$19="",QQ$20="",QQ$21=""),"",SUM($C17:QQ17))</f>
        <v/>
      </c>
      <c r="QR84" s="114" t="str">
        <f>IF(OR(QR$13="",QR$17="",QR$14="",QR$15="",QR$16="",QR$18="",QR$19="",QR$20="",QR$21=""),"",SUM($C17:QR17))</f>
        <v/>
      </c>
      <c r="QS84" s="114" t="str">
        <f>IF(OR(QS$13="",QS$17="",QS$14="",QS$15="",QS$16="",QS$18="",QS$19="",QS$20="",QS$21=""),"",SUM($C17:QS17))</f>
        <v/>
      </c>
      <c r="QT84" s="114" t="str">
        <f>IF(OR(QT$13="",QT$17="",QT$14="",QT$15="",QT$16="",QT$18="",QT$19="",QT$20="",QT$21=""),"",SUM($C17:QT17))</f>
        <v/>
      </c>
      <c r="QU84" s="114" t="str">
        <f>IF(OR(QU$13="",QU$17="",QU$14="",QU$15="",QU$16="",QU$18="",QU$19="",QU$20="",QU$21=""),"",SUM($C17:QU17))</f>
        <v/>
      </c>
      <c r="QV84" s="114" t="str">
        <f>IF(OR(QV$13="",QV$17="",QV$14="",QV$15="",QV$16="",QV$18="",QV$19="",QV$20="",QV$21=""),"",SUM($C17:QV17))</f>
        <v/>
      </c>
      <c r="QW84" s="114" t="str">
        <f>IF(OR(QW$13="",QW$17="",QW$14="",QW$15="",QW$16="",QW$18="",QW$19="",QW$20="",QW$21=""),"",SUM($C17:QW17))</f>
        <v/>
      </c>
      <c r="QX84" s="114" t="str">
        <f>IF(OR(QX$13="",QX$17="",QX$14="",QX$15="",QX$16="",QX$18="",QX$19="",QX$20="",QX$21=""),"",SUM($C17:QX17))</f>
        <v/>
      </c>
      <c r="QY84" s="114" t="str">
        <f>IF(OR(QY$13="",QY$17="",QY$14="",QY$15="",QY$16="",QY$18="",QY$19="",QY$20="",QY$21=""),"",SUM($C17:QY17))</f>
        <v/>
      </c>
      <c r="QZ84" s="114" t="str">
        <f>IF(OR(QZ$13="",QZ$17="",QZ$14="",QZ$15="",QZ$16="",QZ$18="",QZ$19="",QZ$20="",QZ$21=""),"",SUM($C17:QZ17))</f>
        <v/>
      </c>
      <c r="RA84" s="114" t="str">
        <f>IF(OR(RA$13="",RA$17="",RA$14="",RA$15="",RA$16="",RA$18="",RA$19="",RA$20="",RA$21=""),"",SUM($C17:RA17))</f>
        <v/>
      </c>
      <c r="RB84" s="114" t="str">
        <f>IF(OR(RB$13="",RB$17="",RB$14="",RB$15="",RB$16="",RB$18="",RB$19="",RB$20="",RB$21=""),"",SUM($C17:RB17))</f>
        <v/>
      </c>
      <c r="RC84" s="114" t="str">
        <f>IF(OR(RC$13="",RC$17="",RC$14="",RC$15="",RC$16="",RC$18="",RC$19="",RC$20="",RC$21=""),"",SUM($C17:RC17))</f>
        <v/>
      </c>
      <c r="RD84" s="114" t="str">
        <f>IF(OR(RD$13="",RD$17="",RD$14="",RD$15="",RD$16="",RD$18="",RD$19="",RD$20="",RD$21=""),"",SUM($C17:RD17))</f>
        <v/>
      </c>
      <c r="RE84" s="114" t="str">
        <f>IF(OR(RE$13="",RE$17="",RE$14="",RE$15="",RE$16="",RE$18="",RE$19="",RE$20="",RE$21=""),"",SUM($C17:RE17))</f>
        <v/>
      </c>
      <c r="RF84" s="114" t="str">
        <f>IF(OR(RF$13="",RF$17="",RF$14="",RF$15="",RF$16="",RF$18="",RF$19="",RF$20="",RF$21=""),"",SUM($C17:RF17))</f>
        <v/>
      </c>
      <c r="RG84" s="114" t="str">
        <f>IF(OR(RG$13="",RG$17="",RG$14="",RG$15="",RG$16="",RG$18="",RG$19="",RG$20="",RG$21=""),"",SUM($C17:RG17))</f>
        <v/>
      </c>
      <c r="RH84" s="114" t="str">
        <f>IF(OR(RH$13="",RH$17="",RH$14="",RH$15="",RH$16="",RH$18="",RH$19="",RH$20="",RH$21=""),"",SUM($C17:RH17))</f>
        <v/>
      </c>
      <c r="RI84" s="114" t="str">
        <f>IF(OR(RI$13="",RI$17="",RI$14="",RI$15="",RI$16="",RI$18="",RI$19="",RI$20="",RI$21=""),"",SUM($C17:RI17))</f>
        <v/>
      </c>
      <c r="RJ84" s="114" t="str">
        <f>IF(OR(RJ$13="",RJ$17="",RJ$14="",RJ$15="",RJ$16="",RJ$18="",RJ$19="",RJ$20="",RJ$21=""),"",SUM($C17:RJ17))</f>
        <v/>
      </c>
      <c r="RK84" s="114" t="str">
        <f>IF(OR(RK$13="",RK$17="",RK$14="",RK$15="",RK$16="",RK$18="",RK$19="",RK$20="",RK$21=""),"",SUM($C17:RK17))</f>
        <v/>
      </c>
      <c r="RL84" s="114" t="str">
        <f>IF(OR(RL$13="",RL$17="",RL$14="",RL$15="",RL$16="",RL$18="",RL$19="",RL$20="",RL$21=""),"",SUM($C17:RL17))</f>
        <v/>
      </c>
      <c r="RM84" s="114" t="str">
        <f>IF(OR(RM$13="",RM$17="",RM$14="",RM$15="",RM$16="",RM$18="",RM$19="",RM$20="",RM$21=""),"",SUM($C17:RM17))</f>
        <v/>
      </c>
      <c r="RN84" s="114" t="str">
        <f>IF(OR(RN$13="",RN$17="",RN$14="",RN$15="",RN$16="",RN$18="",RN$19="",RN$20="",RN$21=""),"",SUM($C17:RN17))</f>
        <v/>
      </c>
      <c r="RO84" s="114" t="str">
        <f>IF(OR(RO$13="",RO$17="",RO$14="",RO$15="",RO$16="",RO$18="",RO$19="",RO$20="",RO$21=""),"",SUM($C17:RO17))</f>
        <v/>
      </c>
      <c r="RP84" s="114" t="str">
        <f>IF(OR(RP$13="",RP$17="",RP$14="",RP$15="",RP$16="",RP$18="",RP$19="",RP$20="",RP$21=""),"",SUM($C17:RP17))</f>
        <v/>
      </c>
      <c r="RQ84" s="114" t="str">
        <f>IF(OR(RQ$13="",RQ$17="",RQ$14="",RQ$15="",RQ$16="",RQ$18="",RQ$19="",RQ$20="",RQ$21=""),"",SUM($C17:RQ17))</f>
        <v/>
      </c>
      <c r="RR84" s="114" t="str">
        <f>IF(OR(RR$13="",RR$17="",RR$14="",RR$15="",RR$16="",RR$18="",RR$19="",RR$20="",RR$21=""),"",SUM($C17:RR17))</f>
        <v/>
      </c>
      <c r="RS84" s="114" t="str">
        <f>IF(OR(RS$13="",RS$17="",RS$14="",RS$15="",RS$16="",RS$18="",RS$19="",RS$20="",RS$21=""),"",SUM($C17:RS17))</f>
        <v/>
      </c>
      <c r="RT84" s="114" t="str">
        <f>IF(OR(RT$13="",RT$17="",RT$14="",RT$15="",RT$16="",RT$18="",RT$19="",RT$20="",RT$21=""),"",SUM($C17:RT17))</f>
        <v/>
      </c>
      <c r="RU84" s="114" t="str">
        <f>IF(OR(RU$13="",RU$17="",RU$14="",RU$15="",RU$16="",RU$18="",RU$19="",RU$20="",RU$21=""),"",SUM($C17:RU17))</f>
        <v/>
      </c>
      <c r="RV84" s="114" t="str">
        <f>IF(OR(RV$13="",RV$17="",RV$14="",RV$15="",RV$16="",RV$18="",RV$19="",RV$20="",RV$21=""),"",SUM($C17:RV17))</f>
        <v/>
      </c>
      <c r="RW84" s="114" t="str">
        <f>IF(OR(RW$13="",RW$17="",RW$14="",RW$15="",RW$16="",RW$18="",RW$19="",RW$20="",RW$21=""),"",SUM($C17:RW17))</f>
        <v/>
      </c>
      <c r="RX84" s="114" t="str">
        <f>IF(OR(RX$13="",RX$17="",RX$14="",RX$15="",RX$16="",RX$18="",RX$19="",RX$20="",RX$21=""),"",SUM($C17:RX17))</f>
        <v/>
      </c>
      <c r="RY84" s="114" t="str">
        <f>IF(OR(RY$13="",RY$17="",RY$14="",RY$15="",RY$16="",RY$18="",RY$19="",RY$20="",RY$21=""),"",SUM($C17:RY17))</f>
        <v/>
      </c>
      <c r="RZ84" s="114" t="str">
        <f>IF(OR(RZ$13="",RZ$17="",RZ$14="",RZ$15="",RZ$16="",RZ$18="",RZ$19="",RZ$20="",RZ$21=""),"",SUM($C17:RZ17))</f>
        <v/>
      </c>
      <c r="SA84" s="114" t="str">
        <f>IF(OR(SA$13="",SA$17="",SA$14="",SA$15="",SA$16="",SA$18="",SA$19="",SA$20="",SA$21=""),"",SUM($C17:SA17))</f>
        <v/>
      </c>
      <c r="SB84" s="114" t="str">
        <f>IF(OR(SB$13="",SB$17="",SB$14="",SB$15="",SB$16="",SB$18="",SB$19="",SB$20="",SB$21=""),"",SUM($C17:SB17))</f>
        <v/>
      </c>
      <c r="SC84" s="114" t="str">
        <f>IF(OR(SC$13="",SC$17="",SC$14="",SC$15="",SC$16="",SC$18="",SC$19="",SC$20="",SC$21=""),"",SUM($C17:SC17))</f>
        <v/>
      </c>
      <c r="SD84" s="114" t="str">
        <f>IF(OR(SD$13="",SD$17="",SD$14="",SD$15="",SD$16="",SD$18="",SD$19="",SD$20="",SD$21=""),"",SUM($C17:SD17))</f>
        <v/>
      </c>
      <c r="SE84" s="114" t="str">
        <f>IF(OR(SE$13="",SE$17="",SE$14="",SE$15="",SE$16="",SE$18="",SE$19="",SE$20="",SE$21=""),"",SUM($C17:SE17))</f>
        <v/>
      </c>
      <c r="SF84" s="114" t="str">
        <f>IF(OR(SF$13="",SF$17="",SF$14="",SF$15="",SF$16="",SF$18="",SF$19="",SF$20="",SF$21=""),"",SUM($C17:SF17))</f>
        <v/>
      </c>
      <c r="SG84" s="114" t="str">
        <f>IF(OR(SG$13="",SG$17="",SG$14="",SG$15="",SG$16="",SG$18="",SG$19="",SG$20="",SG$21=""),"",SUM($C17:SG17))</f>
        <v/>
      </c>
      <c r="SH84" s="114" t="str">
        <f>IF(OR(SH$13="",SH$17="",SH$14="",SH$15="",SH$16="",SH$18="",SH$19="",SH$20="",SH$21=""),"",SUM($C17:SH17))</f>
        <v/>
      </c>
      <c r="SI84" s="114" t="str">
        <f>IF(OR(SI$13="",SI$17="",SI$14="",SI$15="",SI$16="",SI$18="",SI$19="",SI$20="",SI$21=""),"",SUM($C17:SI17))</f>
        <v/>
      </c>
      <c r="SJ84" s="114" t="str">
        <f>IF(OR(SJ$13="",SJ$17="",SJ$14="",SJ$15="",SJ$16="",SJ$18="",SJ$19="",SJ$20="",SJ$21=""),"",SUM($C17:SJ17))</f>
        <v/>
      </c>
      <c r="SK84" s="114" t="str">
        <f>IF(OR(SK$13="",SK$17="",SK$14="",SK$15="",SK$16="",SK$18="",SK$19="",SK$20="",SK$21=""),"",SUM($C17:SK17))</f>
        <v/>
      </c>
      <c r="SL84" s="114" t="str">
        <f>IF(OR(SL$13="",SL$17="",SL$14="",SL$15="",SL$16="",SL$18="",SL$19="",SL$20="",SL$21=""),"",SUM($C17:SL17))</f>
        <v/>
      </c>
      <c r="SM84" s="114" t="str">
        <f>IF(OR(SM$13="",SM$17="",SM$14="",SM$15="",SM$16="",SM$18="",SM$19="",SM$20="",SM$21=""),"",SUM($C17:SM17))</f>
        <v/>
      </c>
      <c r="SN84" s="114" t="str">
        <f>IF(OR(SN$13="",SN$17="",SN$14="",SN$15="",SN$16="",SN$18="",SN$19="",SN$20="",SN$21=""),"",SUM($C17:SN17))</f>
        <v/>
      </c>
      <c r="SO84" s="114" t="str">
        <f>IF(OR(SO$13="",SO$17="",SO$14="",SO$15="",SO$16="",SO$18="",SO$19="",SO$20="",SO$21=""),"",SUM($C17:SO17))</f>
        <v/>
      </c>
      <c r="SP84" s="114" t="str">
        <f>IF(OR(SP$13="",SP$17="",SP$14="",SP$15="",SP$16="",SP$18="",SP$19="",SP$20="",SP$21=""),"",SUM($C17:SP17))</f>
        <v/>
      </c>
      <c r="SQ84" s="114" t="str">
        <f>IF(OR(SQ$13="",SQ$17="",SQ$14="",SQ$15="",SQ$16="",SQ$18="",SQ$19="",SQ$20="",SQ$21=""),"",SUM($C17:SQ17))</f>
        <v/>
      </c>
      <c r="SR84" s="114" t="str">
        <f>IF(OR(SR$13="",SR$17="",SR$14="",SR$15="",SR$16="",SR$18="",SR$19="",SR$20="",SR$21=""),"",SUM($C17:SR17))</f>
        <v/>
      </c>
      <c r="SS84" s="114" t="str">
        <f>IF(OR(SS$13="",SS$17="",SS$14="",SS$15="",SS$16="",SS$18="",SS$19="",SS$20="",SS$21=""),"",SUM($C17:SS17))</f>
        <v/>
      </c>
      <c r="ST84" s="114" t="str">
        <f>IF(OR(ST$13="",ST$17="",ST$14="",ST$15="",ST$16="",ST$18="",ST$19="",ST$20="",ST$21=""),"",SUM($C17:ST17))</f>
        <v/>
      </c>
      <c r="SU84" s="114" t="str">
        <f>IF(OR(SU$13="",SU$17="",SU$14="",SU$15="",SU$16="",SU$18="",SU$19="",SU$20="",SU$21=""),"",SUM($C17:SU17))</f>
        <v/>
      </c>
      <c r="SV84" s="114" t="str">
        <f>IF(OR(SV$13="",SV$17="",SV$14="",SV$15="",SV$16="",SV$18="",SV$19="",SV$20="",SV$21=""),"",SUM($C17:SV17))</f>
        <v/>
      </c>
      <c r="SW84" s="114" t="str">
        <f>IF(OR(SW$13="",SW$17="",SW$14="",SW$15="",SW$16="",SW$18="",SW$19="",SW$20="",SW$21=""),"",SUM($C17:SW17))</f>
        <v/>
      </c>
    </row>
    <row r="85" spans="1:517" ht="24.6" customHeight="1" x14ac:dyDescent="0.2">
      <c r="A85" s="94">
        <v>777</v>
      </c>
      <c r="B85" s="119" t="s">
        <v>82</v>
      </c>
      <c r="C85" s="114">
        <f>IF(OR(C$13="",C$17="",C$14="",C$15="",C$16="",C$18="",C$19="",C$20="",C$21=""),"",SUM($C18:C18))</f>
        <v>0</v>
      </c>
      <c r="D85" s="114">
        <f>IF(OR(D$13="",D$17="",D$14="",D$15="",D$16="",D$18="",D$19="",D$20="",D$21=""),"",SUM($C18:D18))</f>
        <v>54.120000000000005</v>
      </c>
      <c r="E85" s="114">
        <f>IF(OR(E$13="",E$17="",E$14="",E$15="",E$16="",E$18="",E$19="",E$20="",E$21=""),"",SUM($C18:E18))</f>
        <v>54.120000000000005</v>
      </c>
      <c r="F85" s="114">
        <f>IF(OR(F$13="",F$17="",F$14="",F$15="",F$16="",F$18="",F$19="",F$20="",F$21=""),"",SUM($C18:F18))</f>
        <v>54.120000000000005</v>
      </c>
      <c r="G85" s="114">
        <f>IF(OR(G$13="",G$17="",G$14="",G$15="",G$16="",G$18="",G$19="",G$20="",G$21=""),"",SUM($C18:G18))</f>
        <v>84.84</v>
      </c>
      <c r="H85" s="114">
        <f>IF(OR(H$13="",H$17="",H$14="",H$15="",H$16="",H$18="",H$19="",H$20="",H$21=""),"",SUM($C18:H18))</f>
        <v>91.990000000000009</v>
      </c>
      <c r="I85" s="114">
        <f>IF(OR(I$13="",I$17="",I$14="",I$15="",I$16="",I$18="",I$19="",I$20="",I$21=""),"",SUM($C18:I18))</f>
        <v>91.990000000000009</v>
      </c>
      <c r="J85" s="114">
        <f>IF(OR(J$13="",J$17="",J$14="",J$15="",J$16="",J$18="",J$19="",J$20="",J$21=""),"",SUM($C18:J18))</f>
        <v>103.7</v>
      </c>
      <c r="K85" s="114">
        <f>IF(OR(K$13="",K$17="",K$14="",K$15="",K$16="",K$18="",K$19="",K$20="",K$21=""),"",SUM($C18:K18))</f>
        <v>103.7</v>
      </c>
      <c r="L85" s="114">
        <f>IF(OR(L$13="",L$17="",L$14="",L$15="",L$16="",L$18="",L$19="",L$20="",L$21=""),"",SUM($C18:L18))</f>
        <v>106.92</v>
      </c>
      <c r="M85" s="114">
        <f>IF(OR(M$13="",M$17="",M$14="",M$15="",M$16="",M$18="",M$19="",M$20="",M$21=""),"",SUM($C18:M18))</f>
        <v>106.92</v>
      </c>
      <c r="N85" s="114">
        <f>IF(OR(N$13="",N$17="",N$14="",N$15="",N$16="",N$18="",N$19="",N$20="",N$21=""),"",SUM($C18:N18))</f>
        <v>108.14</v>
      </c>
      <c r="O85" s="114">
        <f>IF(OR(O$13="",O$17="",O$14="",O$15="",O$16="",O$18="",O$19="",O$20="",O$21=""),"",SUM($C18:O18))</f>
        <v>108.14</v>
      </c>
      <c r="P85" s="114">
        <f>IF(OR(P$13="",P$17="",P$14="",P$15="",P$16="",P$18="",P$19="",P$20="",P$21=""),"",SUM($C18:P18))</f>
        <v>111.32000000000001</v>
      </c>
      <c r="Q85" s="114">
        <f>IF(OR(Q$13="",Q$17="",Q$14="",Q$15="",Q$16="",Q$18="",Q$19="",Q$20="",Q$21=""),"",SUM($C18:Q18))</f>
        <v>111.32000000000001</v>
      </c>
      <c r="R85" s="114">
        <f>IF(OR(R$13="",R$17="",R$14="",R$15="",R$16="",R$18="",R$19="",R$20="",R$21=""),"",SUM($C18:R18))</f>
        <v>111.32000000000001</v>
      </c>
      <c r="S85" s="114">
        <f>IF(OR(S$13="",S$17="",S$14="",S$15="",S$16="",S$18="",S$19="",S$20="",S$21=""),"",SUM($C18:S18))</f>
        <v>111.32000000000001</v>
      </c>
      <c r="T85" s="114">
        <f>IF(OR(T$13="",T$17="",T$14="",T$15="",T$16="",T$18="",T$19="",T$20="",T$21=""),"",SUM($C18:T18))</f>
        <v>111.32000000000001</v>
      </c>
      <c r="U85" s="114">
        <f>IF(OR(U$13="",U$17="",U$14="",U$15="",U$16="",U$18="",U$19="",U$20="",U$21=""),"",SUM($C18:U18))</f>
        <v>111.32000000000001</v>
      </c>
      <c r="V85" s="114">
        <f>IF(OR(V$13="",V$17="",V$14="",V$15="",V$16="",V$18="",V$19="",V$20="",V$21=""),"",SUM($C18:V18))</f>
        <v>111.32000000000001</v>
      </c>
      <c r="W85" s="114">
        <f>IF(OR(W$13="",W$17="",W$14="",W$15="",W$16="",W$18="",W$19="",W$20="",W$21=""),"",SUM($C18:W18))</f>
        <v>111.32000000000001</v>
      </c>
      <c r="X85" s="114">
        <f>IF(OR(X$13="",X$17="",X$14="",X$15="",X$16="",X$18="",X$19="",X$20="",X$21=""),"",SUM($C18:X18))</f>
        <v>111.32000000000001</v>
      </c>
      <c r="Y85" s="114">
        <f>IF(OR(Y$13="",Y$17="",Y$14="",Y$15="",Y$16="",Y$18="",Y$19="",Y$20="",Y$21=""),"",SUM($C18:Y18))</f>
        <v>111.32000000000001</v>
      </c>
      <c r="Z85" s="114">
        <f>IF(OR(Z$13="",Z$17="",Z$14="",Z$15="",Z$16="",Z$18="",Z$19="",Z$20="",Z$21=""),"",SUM($C18:Z18))</f>
        <v>114.7</v>
      </c>
      <c r="AA85" s="114">
        <f>IF(OR(AA$13="",AA$17="",AA$14="",AA$15="",AA$16="",AA$18="",AA$19="",AA$20="",AA$21=""),"",SUM($C18:AA18))</f>
        <v>114.7</v>
      </c>
      <c r="AB85" s="114">
        <f>IF(OR(AB$13="",AB$17="",AB$14="",AB$15="",AB$16="",AB$18="",AB$19="",AB$20="",AB$21=""),"",SUM($C18:AB18))</f>
        <v>114.7</v>
      </c>
      <c r="AC85" s="114">
        <f>IF(OR(AC$13="",AC$17="",AC$14="",AC$15="",AC$16="",AC$18="",AC$19="",AC$20="",AC$21=""),"",SUM($C18:AC18))</f>
        <v>145.62</v>
      </c>
      <c r="AD85" s="114">
        <f>IF(OR(AD$13="",AD$17="",AD$14="",AD$15="",AD$16="",AD$18="",AD$19="",AD$20="",AD$21=""),"",SUM($C18:AD18))</f>
        <v>145.62</v>
      </c>
      <c r="AE85" s="114">
        <f>IF(OR(AE$13="",AE$17="",AE$14="",AE$15="",AE$16="",AE$18="",AE$19="",AE$20="",AE$21=""),"",SUM($C18:AE18))</f>
        <v>145.62</v>
      </c>
      <c r="AF85" s="114">
        <f>IF(OR(AF$13="",AF$17="",AF$14="",AF$15="",AF$16="",AF$18="",AF$19="",AF$20="",AF$21=""),"",SUM($C18:AF18))</f>
        <v>145.62</v>
      </c>
      <c r="AG85" s="114">
        <f>IF(OR(AG$13="",AG$17="",AG$14="",AG$15="",AG$16="",AG$18="",AG$19="",AG$20="",AG$21=""),"",SUM($C18:AG18))</f>
        <v>145.62</v>
      </c>
      <c r="AH85" s="114">
        <f>IF(OR(AH$13="",AH$17="",AH$14="",AH$15="",AH$16="",AH$18="",AH$19="",AH$20="",AH$21=""),"",SUM($C18:AH18))</f>
        <v>145.62</v>
      </c>
      <c r="AI85" s="114">
        <f>IF(OR(AI$13="",AI$17="",AI$14="",AI$15="",AI$16="",AI$18="",AI$19="",AI$20="",AI$21=""),"",SUM($C18:AI18))</f>
        <v>145.62</v>
      </c>
      <c r="AJ85" s="114">
        <f>IF(OR(AJ$13="",AJ$17="",AJ$14="",AJ$15="",AJ$16="",AJ$18="",AJ$19="",AJ$20="",AJ$21=""),"",SUM($C18:AJ18))</f>
        <v>145.62</v>
      </c>
      <c r="AK85" s="114">
        <f>IF(OR(AK$13="",AK$17="",AK$14="",AK$15="",AK$16="",AK$18="",AK$19="",AK$20="",AK$21=""),"",SUM($C18:AK18))</f>
        <v>145.62</v>
      </c>
      <c r="AL85" s="114">
        <f>IF(OR(AL$13="",AL$17="",AL$14="",AL$15="",AL$16="",AL$18="",AL$19="",AL$20="",AL$21=""),"",SUM($C18:AL18))</f>
        <v>147.46</v>
      </c>
      <c r="AM85" s="114">
        <f>IF(OR(AM$13="",AM$17="",AM$14="",AM$15="",AM$16="",AM$18="",AM$19="",AM$20="",AM$21=""),"",SUM($C18:AM18))</f>
        <v>147.46</v>
      </c>
      <c r="AN85" s="114">
        <f>IF(OR(AN$13="",AN$17="",AN$14="",AN$15="",AN$16="",AN$18="",AN$19="",AN$20="",AN$21=""),"",SUM($C18:AN18))</f>
        <v>147.46</v>
      </c>
      <c r="AO85" s="114">
        <f>IF(OR(AO$13="",AO$17="",AO$14="",AO$15="",AO$16="",AO$18="",AO$19="",AO$20="",AO$21=""),"",SUM($C18:AO18))</f>
        <v>147.46</v>
      </c>
      <c r="AP85" s="114">
        <f>IF(OR(AP$13="",AP$17="",AP$14="",AP$15="",AP$16="",AP$18="",AP$19="",AP$20="",AP$21=""),"",SUM($C18:AP18))</f>
        <v>147.46</v>
      </c>
      <c r="AQ85" s="114">
        <f>IF(OR(AQ$13="",AQ$17="",AQ$14="",AQ$15="",AQ$16="",AQ$18="",AQ$19="",AQ$20="",AQ$21=""),"",SUM($C18:AQ18))</f>
        <v>147.46</v>
      </c>
      <c r="AR85" s="114">
        <f>IF(OR(AR$13="",AR$17="",AR$14="",AR$15="",AR$16="",AR$18="",AR$19="",AR$20="",AR$21=""),"",SUM($C18:AR18))</f>
        <v>147.46</v>
      </c>
      <c r="AS85" s="114">
        <f>IF(OR(AS$13="",AS$17="",AS$14="",AS$15="",AS$16="",AS$18="",AS$19="",AS$20="",AS$21=""),"",SUM($C18:AS18))</f>
        <v>147.46</v>
      </c>
      <c r="AT85" s="114">
        <f>IF(OR(AT$13="",AT$17="",AT$14="",AT$15="",AT$16="",AT$18="",AT$19="",AT$20="",AT$21=""),"",SUM($C18:AT18))</f>
        <v>147.46</v>
      </c>
      <c r="AU85" s="114">
        <f>IF(OR(AU$13="",AU$17="",AU$14="",AU$15="",AU$16="",AU$18="",AU$19="",AU$20="",AU$21=""),"",SUM($C18:AU18))</f>
        <v>147.46</v>
      </c>
      <c r="AV85" s="114">
        <f>IF(OR(AV$13="",AV$17="",AV$14="",AV$15="",AV$16="",AV$18="",AV$19="",AV$20="",AV$21=""),"",SUM($C18:AV18))</f>
        <v>147.46</v>
      </c>
      <c r="AW85" s="114">
        <f>IF(OR(AW$13="",AW$17="",AW$14="",AW$15="",AW$16="",AW$18="",AW$19="",AW$20="",AW$21=""),"",SUM($C18:AW18))</f>
        <v>147.46</v>
      </c>
      <c r="AX85" s="114">
        <f>IF(OR(AX$13="",AX$17="",AX$14="",AX$15="",AX$16="",AX$18="",AX$19="",AX$20="",AX$21=""),"",SUM($C18:AX18))</f>
        <v>147.46</v>
      </c>
      <c r="AY85" s="114">
        <f>IF(OR(AY$13="",AY$17="",AY$14="",AY$15="",AY$16="",AY$18="",AY$19="",AY$20="",AY$21=""),"",SUM($C18:AY18))</f>
        <v>147.46</v>
      </c>
      <c r="AZ85" s="114">
        <f>IF(OR(AZ$13="",AZ$17="",AZ$14="",AZ$15="",AZ$16="",AZ$18="",AZ$19="",AZ$20="",AZ$21=""),"",SUM($C18:AZ18))</f>
        <v>147.46</v>
      </c>
      <c r="BA85" s="114">
        <f>IF(OR(BA$13="",BA$17="",BA$14="",BA$15="",BA$16="",BA$18="",BA$19="",BA$20="",BA$21=""),"",SUM($C18:BA18))</f>
        <v>147.86000000000001</v>
      </c>
      <c r="BB85" s="114">
        <f>IF(OR(BB$13="",BB$17="",BB$14="",BB$15="",BB$16="",BB$18="",BB$19="",BB$20="",BB$21=""),"",SUM($C18:BB18))</f>
        <v>147.86000000000001</v>
      </c>
      <c r="BC85" s="114">
        <f>IF(OR(BC$13="",BC$17="",BC$14="",BC$15="",BC$16="",BC$18="",BC$19="",BC$20="",BC$21=""),"",SUM($C18:BC18))</f>
        <v>147.86000000000001</v>
      </c>
      <c r="BD85" s="114">
        <f>IF(OR(BD$13="",BD$17="",BD$14="",BD$15="",BD$16="",BD$18="",BD$19="",BD$20="",BD$21=""),"",SUM($C18:BD18))</f>
        <v>170.46</v>
      </c>
      <c r="BE85" s="114">
        <f>IF(OR(BE$13="",BE$17="",BE$14="",BE$15="",BE$16="",BE$18="",BE$19="",BE$20="",BE$21=""),"",SUM($C18:BE18))</f>
        <v>170.46</v>
      </c>
      <c r="BF85" s="114">
        <f>IF(OR(BF$13="",BF$17="",BF$14="",BF$15="",BF$16="",BF$18="",BF$19="",BF$20="",BF$21=""),"",SUM($C18:BF18))</f>
        <v>170.46</v>
      </c>
      <c r="BG85" s="114">
        <f>IF(OR(BG$13="",BG$17="",BG$14="",BG$15="",BG$16="",BG$18="",BG$19="",BG$20="",BG$21=""),"",SUM($C18:BG18))</f>
        <v>170.46</v>
      </c>
      <c r="BH85" s="114">
        <f>IF(OR(BH$13="",BH$17="",BH$14="",BH$15="",BH$16="",BH$18="",BH$19="",BH$20="",BH$21=""),"",SUM($C18:BH18))</f>
        <v>170.46</v>
      </c>
      <c r="BI85" s="114">
        <f>IF(OR(BI$13="",BI$17="",BI$14="",BI$15="",BI$16="",BI$18="",BI$19="",BI$20="",BI$21=""),"",SUM($C18:BI18))</f>
        <v>175.63</v>
      </c>
      <c r="BJ85" s="114">
        <f>IF(OR(BJ$13="",BJ$17="",BJ$14="",BJ$15="",BJ$16="",BJ$18="",BJ$19="",BJ$20="",BJ$21=""),"",SUM($C18:BJ18))</f>
        <v>185.21</v>
      </c>
      <c r="BK85" s="114">
        <f>IF(OR(BK$13="",BK$17="",BK$14="",BK$15="",BK$16="",BK$18="",BK$19="",BK$20="",BK$21=""),"",SUM($C18:BK18))</f>
        <v>192.88</v>
      </c>
      <c r="BL85" s="114">
        <f>IF(OR(BL$13="",BL$17="",BL$14="",BL$15="",BL$16="",BL$18="",BL$19="",BL$20="",BL$21=""),"",SUM($C18:BL18))</f>
        <v>207.25</v>
      </c>
      <c r="BM85" s="114">
        <f>IF(OR(BM$13="",BM$17="",BM$14="",BM$15="",BM$16="",BM$18="",BM$19="",BM$20="",BM$21=""),"",SUM($C18:BM18))</f>
        <v>215</v>
      </c>
      <c r="BN85" s="114">
        <f>IF(OR(BN$13="",BN$17="",BN$14="",BN$15="",BN$16="",BN$18="",BN$19="",BN$20="",BN$21=""),"",SUM($C18:BN18))</f>
        <v>222.32</v>
      </c>
      <c r="BO85" s="114">
        <f>IF(OR(BO$13="",BO$17="",BO$14="",BO$15="",BO$16="",BO$18="",BO$19="",BO$20="",BO$21=""),"",SUM($C18:BO18))</f>
        <v>252.37</v>
      </c>
      <c r="BP85" s="114">
        <f>IF(OR(BP$13="",BP$17="",BP$14="",BP$15="",BP$16="",BP$18="",BP$19="",BP$20="",BP$21=""),"",SUM($C18:BP18))</f>
        <v>252.37</v>
      </c>
      <c r="BQ85" s="114">
        <f>IF(OR(BQ$13="",BQ$17="",BQ$14="",BQ$15="",BQ$16="",BQ$18="",BQ$19="",BQ$20="",BQ$21=""),"",SUM($C18:BQ18))</f>
        <v>253.24</v>
      </c>
      <c r="BR85" s="114">
        <f>IF(OR(BR$13="",BR$17="",BR$14="",BR$15="",BR$16="",BR$18="",BR$19="",BR$20="",BR$21=""),"",SUM($C18:BR18))</f>
        <v>256.72000000000003</v>
      </c>
      <c r="BS85" s="114">
        <f>IF(OR(BS$13="",BS$17="",BS$14="",BS$15="",BS$16="",BS$18="",BS$19="",BS$20="",BS$21=""),"",SUM($C18:BS18))</f>
        <v>261.95000000000005</v>
      </c>
      <c r="BT85" s="114">
        <f>IF(OR(BT$13="",BT$17="",BT$14="",BT$15="",BT$16="",BT$18="",BT$19="",BT$20="",BT$21=""),"",SUM($C18:BT18))</f>
        <v>261.95000000000005</v>
      </c>
      <c r="BU85" s="114">
        <f>IF(OR(BU$13="",BU$17="",BU$14="",BU$15="",BU$16="",BU$18="",BU$19="",BU$20="",BU$21=""),"",SUM($C18:BU18))</f>
        <v>261.95000000000005</v>
      </c>
      <c r="BV85" s="114">
        <f>IF(OR(BV$13="",BV$17="",BV$14="",BV$15="",BV$16="",BV$18="",BV$19="",BV$20="",BV$21=""),"",SUM($C18:BV18))</f>
        <v>261.95000000000005</v>
      </c>
      <c r="BW85" s="114">
        <f>IF(OR(BW$13="",BW$17="",BW$14="",BW$15="",BW$16="",BW$18="",BW$19="",BW$20="",BW$21=""),"",SUM($C18:BW18))</f>
        <v>261.95000000000005</v>
      </c>
      <c r="BX85" s="114">
        <f>IF(OR(BX$13="",BX$17="",BX$14="",BX$15="",BX$16="",BX$18="",BX$19="",BX$20="",BX$21=""),"",SUM($C18:BX18))</f>
        <v>286.80000000000007</v>
      </c>
      <c r="BY85" s="114">
        <f>IF(OR(BY$13="",BY$17="",BY$14="",BY$15="",BY$16="",BY$18="",BY$19="",BY$20="",BY$21=""),"",SUM($C18:BY18))</f>
        <v>302.97000000000008</v>
      </c>
      <c r="BZ85" s="114">
        <f>IF(OR(BZ$13="",BZ$17="",BZ$14="",BZ$15="",BZ$16="",BZ$18="",BZ$19="",BZ$20="",BZ$21=""),"",SUM($C18:BZ18))</f>
        <v>302.97000000000008</v>
      </c>
      <c r="CA85" s="114">
        <f>IF(OR(CA$13="",CA$17="",CA$14="",CA$15="",CA$16="",CA$18="",CA$19="",CA$20="",CA$21=""),"",SUM($C18:CA18))</f>
        <v>302.97000000000008</v>
      </c>
      <c r="CB85" s="114">
        <f>IF(OR(CB$13="",CB$17="",CB$14="",CB$15="",CB$16="",CB$18="",CB$19="",CB$20="",CB$21=""),"",SUM($C18:CB18))</f>
        <v>304.16000000000008</v>
      </c>
      <c r="CC85" s="114">
        <f>IF(OR(CC$13="",CC$17="",CC$14="",CC$15="",CC$16="",CC$18="",CC$19="",CC$20="",CC$21=""),"",SUM($C18:CC18))</f>
        <v>307.86000000000007</v>
      </c>
      <c r="CD85" s="114">
        <f>IF(OR(CD$13="",CD$17="",CD$14="",CD$15="",CD$16="",CD$18="",CD$19="",CD$20="",CD$21=""),"",SUM($C18:CD18))</f>
        <v>307.86000000000007</v>
      </c>
      <c r="CE85" s="114">
        <f>IF(OR(CE$13="",CE$17="",CE$14="",CE$15="",CE$16="",CE$18="",CE$19="",CE$20="",CE$21=""),"",SUM($C18:CE18))</f>
        <v>307.86000000000007</v>
      </c>
      <c r="CF85" s="114">
        <f>IF(OR(CF$13="",CF$17="",CF$14="",CF$15="",CF$16="",CF$18="",CF$19="",CF$20="",CF$21=""),"",SUM($C18:CF18))</f>
        <v>307.86000000000007</v>
      </c>
      <c r="CG85" s="114">
        <f>IF(OR(CG$13="",CG$17="",CG$14="",CG$15="",CG$16="",CG$18="",CG$19="",CG$20="",CG$21=""),"",SUM($C18:CG18))</f>
        <v>307.86000000000007</v>
      </c>
      <c r="CH85" s="114">
        <f>IF(OR(CH$13="",CH$17="",CH$14="",CH$15="",CH$16="",CH$18="",CH$19="",CH$20="",CH$21=""),"",SUM($C18:CH18))</f>
        <v>310.5800000000001</v>
      </c>
      <c r="CI85" s="114">
        <f>IF(OR(CI$13="",CI$17="",CI$14="",CI$15="",CI$16="",CI$18="",CI$19="",CI$20="",CI$21=""),"",SUM($C18:CI18))</f>
        <v>322.63000000000011</v>
      </c>
      <c r="CJ85" s="114">
        <f>IF(OR(CJ$13="",CJ$17="",CJ$14="",CJ$15="",CJ$16="",CJ$18="",CJ$19="",CJ$20="",CJ$21=""),"",SUM($C18:CJ18))</f>
        <v>322.63000000000011</v>
      </c>
      <c r="CK85" s="114">
        <f>IF(OR(CK$13="",CK$17="",CK$14="",CK$15="",CK$16="",CK$18="",CK$19="",CK$20="",CK$21=""),"",SUM($C18:CK18))</f>
        <v>322.63000000000011</v>
      </c>
      <c r="CL85" s="114">
        <f>IF(OR(CL$13="",CL$17="",CL$14="",CL$15="",CL$16="",CL$18="",CL$19="",CL$20="",CL$21=""),"",SUM($C18:CL18))</f>
        <v>324.07000000000011</v>
      </c>
      <c r="CM85" s="114">
        <f>IF(OR(CM$13="",CM$17="",CM$14="",CM$15="",CM$16="",CM$18="",CM$19="",CM$20="",CM$21=""),"",SUM($C18:CM18))</f>
        <v>324.07000000000011</v>
      </c>
      <c r="CN85" s="114">
        <f>IF(OR(CN$13="",CN$17="",CN$14="",CN$15="",CN$16="",CN$18="",CN$19="",CN$20="",CN$21=""),"",SUM($C18:CN18))</f>
        <v>324.07000000000011</v>
      </c>
      <c r="CO85" s="114">
        <f>IF(OR(CO$13="",CO$17="",CO$14="",CO$15="",CO$16="",CO$18="",CO$19="",CO$20="",CO$21=""),"",SUM($C18:CO18))</f>
        <v>324.07000000000011</v>
      </c>
      <c r="CP85" s="114">
        <f>IF(OR(CP$13="",CP$17="",CP$14="",CP$15="",CP$16="",CP$18="",CP$19="",CP$20="",CP$21=""),"",SUM($C18:CP18))</f>
        <v>324.07000000000011</v>
      </c>
      <c r="CQ85" s="114">
        <f>IF(OR(CQ$13="",CQ$17="",CQ$14="",CQ$15="",CQ$16="",CQ$18="",CQ$19="",CQ$20="",CQ$21=""),"",SUM($C18:CQ18))</f>
        <v>325.84000000000009</v>
      </c>
      <c r="CR85" s="114">
        <f>IF(OR(CR$13="",CR$17="",CR$14="",CR$15="",CR$16="",CR$18="",CR$19="",CR$20="",CR$21=""),"",SUM($C18:CR18))</f>
        <v>325.84000000000009</v>
      </c>
      <c r="CS85" s="114">
        <f>IF(OR(CS$13="",CS$17="",CS$14="",CS$15="",CS$16="",CS$18="",CS$19="",CS$20="",CS$21=""),"",SUM($C18:CS18))</f>
        <v>327.06000000000012</v>
      </c>
      <c r="CT85" s="114">
        <f>IF(OR(CT$13="",CT$17="",CT$14="",CT$15="",CT$16="",CT$18="",CT$19="",CT$20="",CT$21=""),"",SUM($C18:CT18))</f>
        <v>327.06000000000012</v>
      </c>
      <c r="CU85" s="114">
        <f>IF(OR(CU$13="",CU$17="",CU$14="",CU$15="",CU$16="",CU$18="",CU$19="",CU$20="",CU$21=""),"",SUM($C18:CU18))</f>
        <v>327.06000000000012</v>
      </c>
      <c r="CV85" s="114">
        <f>IF(OR(CV$13="",CV$17="",CV$14="",CV$15="",CV$16="",CV$18="",CV$19="",CV$20="",CV$21=""),"",SUM($C18:CV18))</f>
        <v>327.06000000000012</v>
      </c>
      <c r="CW85" s="114">
        <f>IF(OR(CW$13="",CW$17="",CW$14="",CW$15="",CW$16="",CW$18="",CW$19="",CW$20="",CW$21=""),"",SUM($C18:CW18))</f>
        <v>327.06000000000012</v>
      </c>
      <c r="CX85" s="114">
        <f>IF(OR(CX$13="",CX$17="",CX$14="",CX$15="",CX$16="",CX$18="",CX$19="",CX$20="",CX$21=""),"",SUM($C18:CX18))</f>
        <v>363.6400000000001</v>
      </c>
      <c r="CY85" s="114">
        <f>IF(OR(CY$13="",CY$17="",CY$14="",CY$15="",CY$16="",CY$18="",CY$19="",CY$20="",CY$21=""),"",SUM($C18:CY18))</f>
        <v>363.6400000000001</v>
      </c>
      <c r="CZ85" s="114">
        <f>IF(OR(CZ$13="",CZ$17="",CZ$14="",CZ$15="",CZ$16="",CZ$18="",CZ$19="",CZ$20="",CZ$21=""),"",SUM($C18:CZ18))</f>
        <v>365.1400000000001</v>
      </c>
      <c r="DA85" s="114">
        <f>IF(OR(DA$13="",DA$17="",DA$14="",DA$15="",DA$16="",DA$18="",DA$19="",DA$20="",DA$21=""),"",SUM($C18:DA18))</f>
        <v>365.1400000000001</v>
      </c>
      <c r="DB85" s="114">
        <f>IF(OR(DB$13="",DB$17="",DB$14="",DB$15="",DB$16="",DB$18="",DB$19="",DB$20="",DB$21=""),"",SUM($C18:DB18))</f>
        <v>374.8900000000001</v>
      </c>
      <c r="DC85" s="114">
        <f>IF(OR(DC$13="",DC$17="",DC$14="",DC$15="",DC$16="",DC$18="",DC$19="",DC$20="",DC$21=""),"",SUM($C18:DC18))</f>
        <v>376.59000000000009</v>
      </c>
      <c r="DD85" s="114">
        <f>IF(OR(DD$13="",DD$17="",DD$14="",DD$15="",DD$16="",DD$18="",DD$19="",DD$20="",DD$21=""),"",SUM($C18:DD18))</f>
        <v>376.59000000000009</v>
      </c>
      <c r="DE85" s="114">
        <f>IF(OR(DE$13="",DE$17="",DE$14="",DE$15="",DE$16="",DE$18="",DE$19="",DE$20="",DE$21=""),"",SUM($C18:DE18))</f>
        <v>376.59000000000009</v>
      </c>
      <c r="DF85" s="114">
        <f>IF(OR(DF$13="",DF$17="",DF$14="",DF$15="",DF$16="",DF$18="",DF$19="",DF$20="",DF$21=""),"",SUM($C18:DF18))</f>
        <v>378.16000000000008</v>
      </c>
      <c r="DG85" s="114">
        <f>IF(OR(DG$13="",DG$17="",DG$14="",DG$15="",DG$16="",DG$18="",DG$19="",DG$20="",DG$21=""),"",SUM($C18:DG18))</f>
        <v>378.16000000000008</v>
      </c>
      <c r="DH85" s="114">
        <f>IF(OR(DH$13="",DH$17="",DH$14="",DH$15="",DH$16="",DH$18="",DH$19="",DH$20="",DH$21=""),"",SUM($C18:DH18))</f>
        <v>378.16000000000008</v>
      </c>
      <c r="DI85" s="114">
        <f>IF(OR(DI$13="",DI$17="",DI$14="",DI$15="",DI$16="",DI$18="",DI$19="",DI$20="",DI$21=""),"",SUM($C18:DI18))</f>
        <v>378.16000000000008</v>
      </c>
      <c r="DJ85" s="114">
        <f>IF(OR(DJ$13="",DJ$17="",DJ$14="",DJ$15="",DJ$16="",DJ$18="",DJ$19="",DJ$20="",DJ$21=""),"",SUM($C18:DJ18))</f>
        <v>378.16000000000008</v>
      </c>
      <c r="DK85" s="114">
        <f>IF(OR(DK$13="",DK$17="",DK$14="",DK$15="",DK$16="",DK$18="",DK$19="",DK$20="",DK$21=""),"",SUM($C18:DK18))</f>
        <v>378.16000000000008</v>
      </c>
      <c r="DL85" s="114">
        <f>IF(OR(DL$13="",DL$17="",DL$14="",DL$15="",DL$16="",DL$18="",DL$19="",DL$20="",DL$21=""),"",SUM($C18:DL18))</f>
        <v>378.16000000000008</v>
      </c>
      <c r="DM85" s="114">
        <f>IF(OR(DM$13="",DM$17="",DM$14="",DM$15="",DM$16="",DM$18="",DM$19="",DM$20="",DM$21=""),"",SUM($C18:DM18))</f>
        <v>378.16000000000008</v>
      </c>
      <c r="DN85" s="114">
        <f>IF(OR(DN$13="",DN$17="",DN$14="",DN$15="",DN$16="",DN$18="",DN$19="",DN$20="",DN$21=""),"",SUM($C18:DN18))</f>
        <v>378.16000000000008</v>
      </c>
      <c r="DO85" s="114">
        <f>IF(OR(DO$13="",DO$17="",DO$14="",DO$15="",DO$16="",DO$18="",DO$19="",DO$20="",DO$21=""),"",SUM($C18:DO18))</f>
        <v>378.16000000000008</v>
      </c>
      <c r="DP85" s="114">
        <f>IF(OR(DP$13="",DP$17="",DP$14="",DP$15="",DP$16="",DP$18="",DP$19="",DP$20="",DP$21=""),"",SUM($C18:DP18))</f>
        <v>379.19000000000005</v>
      </c>
      <c r="DQ85" s="114">
        <f>IF(OR(DQ$13="",DQ$17="",DQ$14="",DQ$15="",DQ$16="",DQ$18="",DQ$19="",DQ$20="",DQ$21=""),"",SUM($C18:DQ18))</f>
        <v>380.31000000000006</v>
      </c>
      <c r="DR85" s="114">
        <f>IF(OR(DR$13="",DR$17="",DR$14="",DR$15="",DR$16="",DR$18="",DR$19="",DR$20="",DR$21=""),"",SUM($C18:DR18))</f>
        <v>380.31000000000006</v>
      </c>
      <c r="DS85" s="114">
        <f>IF(OR(DS$13="",DS$17="",DS$14="",DS$15="",DS$16="",DS$18="",DS$19="",DS$20="",DS$21=""),"",SUM($C18:DS18))</f>
        <v>381.26000000000005</v>
      </c>
      <c r="DT85" s="114">
        <f>IF(OR(DT$13="",DT$17="",DT$14="",DT$15="",DT$16="",DT$18="",DT$19="",DT$20="",DT$21=""),"",SUM($C18:DT18))</f>
        <v>389.01000000000005</v>
      </c>
      <c r="DU85" s="114">
        <f>IF(OR(DU$13="",DU$17="",DU$14="",DU$15="",DU$16="",DU$18="",DU$19="",DU$20="",DU$21=""),"",SUM($C18:DU18))</f>
        <v>389.01000000000005</v>
      </c>
      <c r="DV85" s="114">
        <f>IF(OR(DV$13="",DV$17="",DV$14="",DV$15="",DV$16="",DV$18="",DV$19="",DV$20="",DV$21=""),"",SUM($C18:DV18))</f>
        <v>389.01000000000005</v>
      </c>
      <c r="DW85" s="114">
        <f>IF(OR(DW$13="",DW$17="",DW$14="",DW$15="",DW$16="",DW$18="",DW$19="",DW$20="",DW$21=""),"",SUM($C18:DW18))</f>
        <v>389.01000000000005</v>
      </c>
      <c r="DX85" s="114">
        <f>IF(OR(DX$13="",DX$17="",DX$14="",DX$15="",DX$16="",DX$18="",DX$19="",DX$20="",DX$21=""),"",SUM($C18:DX18))</f>
        <v>389.01000000000005</v>
      </c>
      <c r="DY85" s="114">
        <f>IF(OR(DY$13="",DY$17="",DY$14="",DY$15="",DY$16="",DY$18="",DY$19="",DY$20="",DY$21=""),"",SUM($C18:DY18))</f>
        <v>389.01000000000005</v>
      </c>
      <c r="DZ85" s="114">
        <f>IF(OR(DZ$13="",DZ$17="",DZ$14="",DZ$15="",DZ$16="",DZ$18="",DZ$19="",DZ$20="",DZ$21=""),"",SUM($C18:DZ18))</f>
        <v>389.01000000000005</v>
      </c>
      <c r="EA85" s="114">
        <f>IF(OR(EA$13="",EA$17="",EA$14="",EA$15="",EA$16="",EA$18="",EA$19="",EA$20="",EA$21=""),"",SUM($C18:EA18))</f>
        <v>389.01000000000005</v>
      </c>
      <c r="EB85" s="114">
        <f>IF(OR(EB$13="",EB$17="",EB$14="",EB$15="",EB$16="",EB$18="",EB$19="",EB$20="",EB$21=""),"",SUM($C18:EB18))</f>
        <v>391.31000000000006</v>
      </c>
      <c r="EC85" s="114">
        <f>IF(OR(EC$13="",EC$17="",EC$14="",EC$15="",EC$16="",EC$18="",EC$19="",EC$20="",EC$21=""),"",SUM($C18:EC18))</f>
        <v>391.31000000000006</v>
      </c>
      <c r="ED85" s="114">
        <f>IF(OR(ED$13="",ED$17="",ED$14="",ED$15="",ED$16="",ED$18="",ED$19="",ED$20="",ED$21=""),"",SUM($C18:ED18))</f>
        <v>391.31000000000006</v>
      </c>
      <c r="EE85" s="114">
        <f>IF(OR(EE$13="",EE$17="",EE$14="",EE$15="",EE$16="",EE$18="",EE$19="",EE$20="",EE$21=""),"",SUM($C18:EE18))</f>
        <v>403.61000000000007</v>
      </c>
      <c r="EF85" s="114">
        <f>IF(OR(EF$13="",EF$17="",EF$14="",EF$15="",EF$16="",EF$18="",EF$19="",EF$20="",EF$21=""),"",SUM($C18:EF18))</f>
        <v>403.61000000000007</v>
      </c>
      <c r="EG85" s="114">
        <f>IF(OR(EG$13="",EG$17="",EG$14="",EG$15="",EG$16="",EG$18="",EG$19="",EG$20="",EG$21=""),"",SUM($C18:EG18))</f>
        <v>416.41000000000008</v>
      </c>
      <c r="EH85" s="114">
        <f>IF(OR(EH$13="",EH$17="",EH$14="",EH$15="",EH$16="",EH$18="",EH$19="",EH$20="",EH$21=""),"",SUM($C18:EH18))</f>
        <v>416.41000000000008</v>
      </c>
      <c r="EI85" s="114">
        <f>IF(OR(EI$13="",EI$17="",EI$14="",EI$15="",EI$16="",EI$18="",EI$19="",EI$20="",EI$21=""),"",SUM($C18:EI18))</f>
        <v>416.41000000000008</v>
      </c>
      <c r="EJ85" s="114">
        <f>IF(OR(EJ$13="",EJ$17="",EJ$14="",EJ$15="",EJ$16="",EJ$18="",EJ$19="",EJ$20="",EJ$21=""),"",SUM($C18:EJ18))</f>
        <v>416.41000000000008</v>
      </c>
      <c r="EK85" s="114">
        <f>IF(OR(EK$13="",EK$17="",EK$14="",EK$15="",EK$16="",EK$18="",EK$19="",EK$20="",EK$21=""),"",SUM($C18:EK18))</f>
        <v>416.41000000000008</v>
      </c>
      <c r="EL85" s="114">
        <f>IF(OR(EL$13="",EL$17="",EL$14="",EL$15="",EL$16="",EL$18="",EL$19="",EL$20="",EL$21=""),"",SUM($C18:EL18))</f>
        <v>416.41000000000008</v>
      </c>
      <c r="EM85" s="114">
        <f>IF(OR(EM$13="",EM$17="",EM$14="",EM$15="",EM$16="",EM$18="",EM$19="",EM$20="",EM$21=""),"",SUM($C18:EM18))</f>
        <v>419.34000000000009</v>
      </c>
      <c r="EN85" s="114">
        <f>IF(OR(EN$13="",EN$17="",EN$14="",EN$15="",EN$16="",EN$18="",EN$19="",EN$20="",EN$21=""),"",SUM($C18:EN18))</f>
        <v>419.34000000000009</v>
      </c>
      <c r="EO85" s="114">
        <f>IF(OR(EO$13="",EO$17="",EO$14="",EO$15="",EO$16="",EO$18="",EO$19="",EO$20="",EO$21=""),"",SUM($C18:EO18))</f>
        <v>419.34000000000009</v>
      </c>
      <c r="EP85" s="114">
        <f>IF(OR(EP$13="",EP$17="",EP$14="",EP$15="",EP$16="",EP$18="",EP$19="",EP$20="",EP$21=""),"",SUM($C18:EP18))</f>
        <v>426.37000000000006</v>
      </c>
      <c r="EQ85" s="114">
        <f>IF(OR(EQ$13="",EQ$17="",EQ$14="",EQ$15="",EQ$16="",EQ$18="",EQ$19="",EQ$20="",EQ$21=""),"",SUM($C18:EQ18))</f>
        <v>426.37000000000006</v>
      </c>
      <c r="ER85" s="114">
        <f>IF(OR(ER$13="",ER$17="",ER$14="",ER$15="",ER$16="",ER$18="",ER$19="",ER$20="",ER$21=""),"",SUM($C18:ER18))</f>
        <v>426.37000000000006</v>
      </c>
      <c r="ES85" s="114">
        <f>IF(OR(ES$13="",ES$17="",ES$14="",ES$15="",ES$16="",ES$18="",ES$19="",ES$20="",ES$21=""),"",SUM($C18:ES18))</f>
        <v>426.37000000000006</v>
      </c>
      <c r="ET85" s="114">
        <f>IF(OR(ET$13="",ET$17="",ET$14="",ET$15="",ET$16="",ET$18="",ET$19="",ET$20="",ET$21=""),"",SUM($C18:ET18))</f>
        <v>426.37000000000006</v>
      </c>
      <c r="EU85" s="114">
        <f>IF(OR(EU$13="",EU$17="",EU$14="",EU$15="",EU$16="",EU$18="",EU$19="",EU$20="",EU$21=""),"",SUM($C18:EU18))</f>
        <v>426.37000000000006</v>
      </c>
      <c r="EV85" s="114">
        <f>IF(OR(EV$13="",EV$17="",EV$14="",EV$15="",EV$16="",EV$18="",EV$19="",EV$20="",EV$21=""),"",SUM($C18:EV18))</f>
        <v>426.37000000000006</v>
      </c>
      <c r="EW85" s="114">
        <f>IF(OR(EW$13="",EW$17="",EW$14="",EW$15="",EW$16="",EW$18="",EW$19="",EW$20="",EW$21=""),"",SUM($C18:EW18))</f>
        <v>426.37000000000006</v>
      </c>
      <c r="EX85" s="114">
        <f>IF(OR(EX$13="",EX$17="",EX$14="",EX$15="",EX$16="",EX$18="",EX$19="",EX$20="",EX$21=""),"",SUM($C18:EX18))</f>
        <v>426.37000000000006</v>
      </c>
      <c r="EY85" s="114">
        <f>IF(OR(EY$13="",EY$17="",EY$14="",EY$15="",EY$16="",EY$18="",EY$19="",EY$20="",EY$21=""),"",SUM($C18:EY18))</f>
        <v>426.37000000000006</v>
      </c>
      <c r="EZ85" s="114">
        <f>IF(OR(EZ$13="",EZ$17="",EZ$14="",EZ$15="",EZ$16="",EZ$18="",EZ$19="",EZ$20="",EZ$21=""),"",SUM($C18:EZ18))</f>
        <v>426.37000000000006</v>
      </c>
      <c r="FA85" s="114">
        <f>IF(OR(FA$13="",FA$17="",FA$14="",FA$15="",FA$16="",FA$18="",FA$19="",FA$20="",FA$21=""),"",SUM($C18:FA18))</f>
        <v>426.37000000000006</v>
      </c>
      <c r="FB85" s="114">
        <f>IF(OR(FB$13="",FB$17="",FB$14="",FB$15="",FB$16="",FB$18="",FB$19="",FB$20="",FB$21=""),"",SUM($C18:FB18))</f>
        <v>426.37000000000006</v>
      </c>
      <c r="FC85" s="114">
        <f>IF(OR(FC$13="",FC$17="",FC$14="",FC$15="",FC$16="",FC$18="",FC$19="",FC$20="",FC$21=""),"",SUM($C18:FC18))</f>
        <v>426.37000000000006</v>
      </c>
      <c r="FD85" s="114">
        <f>IF(OR(FD$13="",FD$17="",FD$14="",FD$15="",FD$16="",FD$18="",FD$19="",FD$20="",FD$21=""),"",SUM($C18:FD18))</f>
        <v>430.49000000000007</v>
      </c>
      <c r="FE85" s="114">
        <f>IF(OR(FE$13="",FE$17="",FE$14="",FE$15="",FE$16="",FE$18="",FE$19="",FE$20="",FE$21=""),"",SUM($C18:FE18))</f>
        <v>430.49000000000007</v>
      </c>
      <c r="FF85" s="114">
        <f>IF(OR(FF$13="",FF$17="",FF$14="",FF$15="",FF$16="",FF$18="",FF$19="",FF$20="",FF$21=""),"",SUM($C18:FF18))</f>
        <v>430.99000000000007</v>
      </c>
      <c r="FG85" s="114">
        <f>IF(OR(FG$13="",FG$17="",FG$14="",FG$15="",FG$16="",FG$18="",FG$19="",FG$20="",FG$21=""),"",SUM($C18:FG18))</f>
        <v>430.99000000000007</v>
      </c>
      <c r="FH85" s="114">
        <f>IF(OR(FH$13="",FH$17="",FH$14="",FH$15="",FH$16="",FH$18="",FH$19="",FH$20="",FH$21=""),"",SUM($C18:FH18))</f>
        <v>430.99000000000007</v>
      </c>
      <c r="FI85" s="114">
        <f>IF(OR(FI$13="",FI$17="",FI$14="",FI$15="",FI$16="",FI$18="",FI$19="",FI$20="",FI$21=""),"",SUM($C18:FI18))</f>
        <v>430.99000000000007</v>
      </c>
      <c r="FJ85" s="114">
        <f>IF(OR(FJ$13="",FJ$17="",FJ$14="",FJ$15="",FJ$16="",FJ$18="",FJ$19="",FJ$20="",FJ$21=""),"",SUM($C18:FJ18))</f>
        <v>430.99000000000007</v>
      </c>
      <c r="FK85" s="114">
        <f>IF(OR(FK$13="",FK$17="",FK$14="",FK$15="",FK$16="",FK$18="",FK$19="",FK$20="",FK$21=""),"",SUM($C18:FK18))</f>
        <v>430.99000000000007</v>
      </c>
      <c r="FL85" s="114">
        <f>IF(OR(FL$13="",FL$17="",FL$14="",FL$15="",FL$16="",FL$18="",FL$19="",FL$20="",FL$21=""),"",SUM($C18:FL18))</f>
        <v>435.56000000000006</v>
      </c>
      <c r="FM85" s="114">
        <f>IF(OR(FM$13="",FM$17="",FM$14="",FM$15="",FM$16="",FM$18="",FM$19="",FM$20="",FM$21=""),"",SUM($C18:FM18))</f>
        <v>435.56000000000006</v>
      </c>
      <c r="FN85" s="114">
        <f>IF(OR(FN$13="",FN$17="",FN$14="",FN$15="",FN$16="",FN$18="",FN$19="",FN$20="",FN$21=""),"",SUM($C18:FN18))</f>
        <v>435.56000000000006</v>
      </c>
      <c r="FO85" s="114">
        <f>IF(OR(FO$13="",FO$17="",FO$14="",FO$15="",FO$16="",FO$18="",FO$19="",FO$20="",FO$21=""),"",SUM($C18:FO18))</f>
        <v>437.11000000000007</v>
      </c>
      <c r="FP85" s="114">
        <f>IF(OR(FP$13="",FP$17="",FP$14="",FP$15="",FP$16="",FP$18="",FP$19="",FP$20="",FP$21=""),"",SUM($C18:FP18))</f>
        <v>437.11000000000007</v>
      </c>
      <c r="FQ85" s="114">
        <f>IF(OR(FQ$13="",FQ$17="",FQ$14="",FQ$15="",FQ$16="",FQ$18="",FQ$19="",FQ$20="",FQ$21=""),"",SUM($C18:FQ18))</f>
        <v>437.13000000000005</v>
      </c>
      <c r="FR85" s="114">
        <f>IF(OR(FR$13="",FR$17="",FR$14="",FR$15="",FR$16="",FR$18="",FR$19="",FR$20="",FR$21=""),"",SUM($C18:FR18))</f>
        <v>437.13000000000005</v>
      </c>
      <c r="FS85" s="114">
        <f>IF(OR(FS$13="",FS$17="",FS$14="",FS$15="",FS$16="",FS$18="",FS$19="",FS$20="",FS$21=""),"",SUM($C18:FS18))</f>
        <v>437.13000000000005</v>
      </c>
      <c r="FT85" s="114">
        <f>IF(OR(FT$13="",FT$17="",FT$14="",FT$15="",FT$16="",FT$18="",FT$19="",FT$20="",FT$21=""),"",SUM($C18:FT18))</f>
        <v>460.33000000000004</v>
      </c>
      <c r="FU85" s="114">
        <f>IF(OR(FU$13="",FU$17="",FU$14="",FU$15="",FU$16="",FU$18="",FU$19="",FU$20="",FU$21=""),"",SUM($C18:FU18))</f>
        <v>460.33000000000004</v>
      </c>
      <c r="FV85" s="114">
        <f>IF(OR(FV$13="",FV$17="",FV$14="",FV$15="",FV$16="",FV$18="",FV$19="",FV$20="",FV$21=""),"",SUM($C18:FV18))</f>
        <v>460.33000000000004</v>
      </c>
      <c r="FW85" s="114">
        <f>IF(OR(FW$13="",FW$17="",FW$14="",FW$15="",FW$16="",FW$18="",FW$19="",FW$20="",FW$21=""),"",SUM($C18:FW18))</f>
        <v>460.33000000000004</v>
      </c>
      <c r="FX85" s="114">
        <f>IF(OR(FX$13="",FX$17="",FX$14="",FX$15="",FX$16="",FX$18="",FX$19="",FX$20="",FX$21=""),"",SUM($C18:FX18))</f>
        <v>463.24000000000007</v>
      </c>
      <c r="FY85" s="114">
        <f>IF(OR(FY$13="",FY$17="",FY$14="",FY$15="",FY$16="",FY$18="",FY$19="",FY$20="",FY$21=""),"",SUM($C18:FY18))</f>
        <v>463.24000000000007</v>
      </c>
      <c r="FZ85" s="114">
        <f>IF(OR(FZ$13="",FZ$17="",FZ$14="",FZ$15="",FZ$16="",FZ$18="",FZ$19="",FZ$20="",FZ$21=""),"",SUM($C18:FZ18))</f>
        <v>463.24000000000007</v>
      </c>
      <c r="GA85" s="114">
        <f>IF(OR(GA$13="",GA$17="",GA$14="",GA$15="",GA$16="",GA$18="",GA$19="",GA$20="",GA$21=""),"",SUM($C18:GA18))</f>
        <v>463.24000000000007</v>
      </c>
      <c r="GB85" s="114">
        <f>IF(OR(GB$13="",GB$17="",GB$14="",GB$15="",GB$16="",GB$18="",GB$19="",GB$20="",GB$21=""),"",SUM($C18:GB18))</f>
        <v>467.27000000000004</v>
      </c>
      <c r="GC85" s="114">
        <f>IF(OR(GC$13="",GC$17="",GC$14="",GC$15="",GC$16="",GC$18="",GC$19="",GC$20="",GC$21=""),"",SUM($C18:GC18))</f>
        <v>467.27000000000004</v>
      </c>
      <c r="GD85" s="114">
        <f>IF(OR(GD$13="",GD$17="",GD$14="",GD$15="",GD$16="",GD$18="",GD$19="",GD$20="",GD$21=""),"",SUM($C18:GD18))</f>
        <v>467.27000000000004</v>
      </c>
      <c r="GE85" s="114">
        <f>IF(OR(GE$13="",GE$17="",GE$14="",GE$15="",GE$16="",GE$18="",GE$19="",GE$20="",GE$21=""),"",SUM($C18:GE18))</f>
        <v>467.27000000000004</v>
      </c>
      <c r="GF85" s="114">
        <f>IF(OR(GF$13="",GF$17="",GF$14="",GF$15="",GF$16="",GF$18="",GF$19="",GF$20="",GF$21=""),"",SUM($C18:GF18))</f>
        <v>479.3</v>
      </c>
      <c r="GG85" s="114">
        <f>IF(OR(GG$13="",GG$17="",GG$14="",GG$15="",GG$16="",GG$18="",GG$19="",GG$20="",GG$21=""),"",SUM($C18:GG18))</f>
        <v>480.96000000000004</v>
      </c>
      <c r="GH85" s="114">
        <f>IF(OR(GH$13="",GH$17="",GH$14="",GH$15="",GH$16="",GH$18="",GH$19="",GH$20="",GH$21=""),"",SUM($C18:GH18))</f>
        <v>480.96000000000004</v>
      </c>
      <c r="GI85" s="114">
        <f>IF(OR(GI$13="",GI$17="",GI$14="",GI$15="",GI$16="",GI$18="",GI$19="",GI$20="",GI$21=""),"",SUM($C18:GI18))</f>
        <v>480.96000000000004</v>
      </c>
      <c r="GJ85" s="114">
        <f>IF(OR(GJ$13="",GJ$17="",GJ$14="",GJ$15="",GJ$16="",GJ$18="",GJ$19="",GJ$20="",GJ$21=""),"",SUM($C18:GJ18))</f>
        <v>485.34000000000003</v>
      </c>
      <c r="GK85" s="114">
        <f>IF(OR(GK$13="",GK$17="",GK$14="",GK$15="",GK$16="",GK$18="",GK$19="",GK$20="",GK$21=""),"",SUM($C18:GK18))</f>
        <v>485.34000000000003</v>
      </c>
      <c r="GL85" s="114">
        <f>IF(OR(GL$13="",GL$17="",GL$14="",GL$15="",GL$16="",GL$18="",GL$19="",GL$20="",GL$21=""),"",SUM($C18:GL18))</f>
        <v>485.34000000000003</v>
      </c>
      <c r="GM85" s="114">
        <f>IF(OR(GM$13="",GM$17="",GM$14="",GM$15="",GM$16="",GM$18="",GM$19="",GM$20="",GM$21=""),"",SUM($C18:GM18))</f>
        <v>485.34000000000003</v>
      </c>
      <c r="GN85" s="114">
        <f>IF(OR(GN$13="",GN$17="",GN$14="",GN$15="",GN$16="",GN$18="",GN$19="",GN$20="",GN$21=""),"",SUM($C18:GN18))</f>
        <v>485.34000000000003</v>
      </c>
      <c r="GO85" s="114">
        <f>IF(OR(GO$13="",GO$17="",GO$14="",GO$15="",GO$16="",GO$18="",GO$19="",GO$20="",GO$21=""),"",SUM($C18:GO18))</f>
        <v>485.34000000000003</v>
      </c>
      <c r="GP85" s="114">
        <f>IF(OR(GP$13="",GP$17="",GP$14="",GP$15="",GP$16="",GP$18="",GP$19="",GP$20="",GP$21=""),"",SUM($C18:GP18))</f>
        <v>485.34000000000003</v>
      </c>
      <c r="GQ85" s="114">
        <f>IF(OR(GQ$13="",GQ$17="",GQ$14="",GQ$15="",GQ$16="",GQ$18="",GQ$19="",GQ$20="",GQ$21=""),"",SUM($C18:GQ18))</f>
        <v>485.34000000000003</v>
      </c>
      <c r="GR85" s="114">
        <f>IF(OR(GR$13="",GR$17="",GR$14="",GR$15="",GR$16="",GR$18="",GR$19="",GR$20="",GR$21=""),"",SUM($C18:GR18))</f>
        <v>487.47</v>
      </c>
      <c r="GS85" s="114">
        <f>IF(OR(GS$13="",GS$17="",GS$14="",GS$15="",GS$16="",GS$18="",GS$19="",GS$20="",GS$21=""),"",SUM($C18:GS18))</f>
        <v>487.47</v>
      </c>
      <c r="GT85" s="114">
        <f>IF(OR(GT$13="",GT$17="",GT$14="",GT$15="",GT$16="",GT$18="",GT$19="",GT$20="",GT$21=""),"",SUM($C18:GT18))</f>
        <v>487.47</v>
      </c>
      <c r="GU85" s="114">
        <f>IF(OR(GU$13="",GU$17="",GU$14="",GU$15="",GU$16="",GU$18="",GU$19="",GU$20="",GU$21=""),"",SUM($C18:GU18))</f>
        <v>487.47</v>
      </c>
      <c r="GV85" s="114">
        <f>IF(OR(GV$13="",GV$17="",GV$14="",GV$15="",GV$16="",GV$18="",GV$19="",GV$20="",GV$21=""),"",SUM($C18:GV18))</f>
        <v>487.47</v>
      </c>
      <c r="GW85" s="114">
        <f>IF(OR(GW$13="",GW$17="",GW$14="",GW$15="",GW$16="",GW$18="",GW$19="",GW$20="",GW$21=""),"",SUM($C18:GW18))</f>
        <v>495.09000000000003</v>
      </c>
      <c r="GX85" s="114">
        <f>IF(OR(GX$13="",GX$17="",GX$14="",GX$15="",GX$16="",GX$18="",GX$19="",GX$20="",GX$21=""),"",SUM($C18:GX18))</f>
        <v>495.09000000000003</v>
      </c>
      <c r="GY85" s="114">
        <f>IF(OR(GY$13="",GY$17="",GY$14="",GY$15="",GY$16="",GY$18="",GY$19="",GY$20="",GY$21=""),"",SUM($C18:GY18))</f>
        <v>495.09000000000003</v>
      </c>
      <c r="GZ85" s="114">
        <f>IF(OR(GZ$13="",GZ$17="",GZ$14="",GZ$15="",GZ$16="",GZ$18="",GZ$19="",GZ$20="",GZ$21=""),"",SUM($C18:GZ18))</f>
        <v>495.09000000000003</v>
      </c>
      <c r="HA85" s="114">
        <f>IF(OR(HA$13="",HA$17="",HA$14="",HA$15="",HA$16="",HA$18="",HA$19="",HA$20="",HA$21=""),"",SUM($C18:HA18))</f>
        <v>495.09000000000003</v>
      </c>
      <c r="HB85" s="114">
        <f>IF(OR(HB$13="",HB$17="",HB$14="",HB$15="",HB$16="",HB$18="",HB$19="",HB$20="",HB$21=""),"",SUM($C18:HB18))</f>
        <v>495.09000000000003</v>
      </c>
      <c r="HC85" s="114">
        <f>IF(OR(HC$13="",HC$17="",HC$14="",HC$15="",HC$16="",HC$18="",HC$19="",HC$20="",HC$21=""),"",SUM($C18:HC18))</f>
        <v>495.09000000000003</v>
      </c>
      <c r="HD85" s="114">
        <f>IF(OR(HD$13="",HD$17="",HD$14="",HD$15="",HD$16="",HD$18="",HD$19="",HD$20="",HD$21=""),"",SUM($C18:HD18))</f>
        <v>495.09000000000003</v>
      </c>
      <c r="HE85" s="114">
        <f>IF(OR(HE$13="",HE$17="",HE$14="",HE$15="",HE$16="",HE$18="",HE$19="",HE$20="",HE$21=""),"",SUM($C18:HE18))</f>
        <v>495.09000000000003</v>
      </c>
      <c r="HF85" s="114">
        <f>IF(OR(HF$13="",HF$17="",HF$14="",HF$15="",HF$16="",HF$18="",HF$19="",HF$20="",HF$21=""),"",SUM($C18:HF18))</f>
        <v>495.09000000000003</v>
      </c>
      <c r="HG85" s="114">
        <f>IF(OR(HG$13="",HG$17="",HG$14="",HG$15="",HG$16="",HG$18="",HG$19="",HG$20="",HG$21=""),"",SUM($C18:HG18))</f>
        <v>495.09000000000003</v>
      </c>
      <c r="HH85" s="114">
        <f>IF(OR(HH$13="",HH$17="",HH$14="",HH$15="",HH$16="",HH$18="",HH$19="",HH$20="",HH$21=""),"",SUM($C18:HH18))</f>
        <v>495.09000000000003</v>
      </c>
      <c r="HI85" s="114">
        <f>IF(OR(HI$13="",HI$17="",HI$14="",HI$15="",HI$16="",HI$18="",HI$19="",HI$20="",HI$21=""),"",SUM($C18:HI18))</f>
        <v>495.09000000000003</v>
      </c>
      <c r="HJ85" s="114">
        <f>IF(OR(HJ$13="",HJ$17="",HJ$14="",HJ$15="",HJ$16="",HJ$18="",HJ$19="",HJ$20="",HJ$21=""),"",SUM($C18:HJ18))</f>
        <v>495.09000000000003</v>
      </c>
      <c r="HK85" s="114">
        <f>IF(OR(HK$13="",HK$17="",HK$14="",HK$15="",HK$16="",HK$18="",HK$19="",HK$20="",HK$21=""),"",SUM($C18:HK18))</f>
        <v>515.43555555555554</v>
      </c>
      <c r="HL85" s="114">
        <f>IF(OR(HL$13="",HL$17="",HL$14="",HL$15="",HL$16="",HL$18="",HL$19="",HL$20="",HL$21=""),"",SUM($C18:HL18))</f>
        <v>539.43555555555554</v>
      </c>
      <c r="HM85" s="114">
        <f>IF(OR(HM$13="",HM$17="",HM$14="",HM$15="",HM$16="",HM$18="",HM$19="",HM$20="",HM$21=""),"",SUM($C18:HM18))</f>
        <v>560.11361111111114</v>
      </c>
      <c r="HN85" s="114">
        <f>IF(OR(HN$13="",HN$17="",HN$14="",HN$15="",HN$16="",HN$18="",HN$19="",HN$20="",HN$21=""),"",SUM($C18:HN18))</f>
        <v>560.63527777777779</v>
      </c>
      <c r="HO85" s="114">
        <f>IF(OR(HO$13="",HO$17="",HO$14="",HO$15="",HO$16="",HO$18="",HO$19="",HO$20="",HO$21=""),"",SUM($C18:HO18))</f>
        <v>560.63527777777779</v>
      </c>
      <c r="HP85" s="114">
        <f>IF(OR(HP$13="",HP$17="",HP$14="",HP$15="",HP$16="",HP$18="",HP$19="",HP$20="",HP$21=""),"",SUM($C18:HP18))</f>
        <v>560.63527777777779</v>
      </c>
      <c r="HQ85" s="114">
        <f>IF(OR(HQ$13="",HQ$17="",HQ$14="",HQ$15="",HQ$16="",HQ$18="",HQ$19="",HQ$20="",HQ$21=""),"",SUM($C18:HQ18))</f>
        <v>560.63527777777779</v>
      </c>
      <c r="HR85" s="114">
        <f>IF(OR(HR$13="",HR$17="",HR$14="",HR$15="",HR$16="",HR$18="",HR$19="",HR$20="",HR$21=""),"",SUM($C18:HR18))</f>
        <v>560.63527777777779</v>
      </c>
      <c r="HS85" s="114">
        <f>IF(OR(HS$13="",HS$17="",HS$14="",HS$15="",HS$16="",HS$18="",HS$19="",HS$20="",HS$21=""),"",SUM($C18:HS18))</f>
        <v>569.98555555555561</v>
      </c>
      <c r="HT85" s="114">
        <f>IF(OR(HT$13="",HT$17="",HT$14="",HT$15="",HT$16="",HT$18="",HT$19="",HT$20="",HT$21=""),"",SUM($C18:HT18))</f>
        <v>569.98555555555561</v>
      </c>
      <c r="HU85" s="114">
        <f>IF(OR(HU$13="",HU$17="",HU$14="",HU$15="",HU$16="",HU$18="",HU$19="",HU$20="",HU$21=""),"",SUM($C18:HU18))</f>
        <v>569.98555555555561</v>
      </c>
      <c r="HV85" s="114">
        <f>IF(OR(HV$13="",HV$17="",HV$14="",HV$15="",HV$16="",HV$18="",HV$19="",HV$20="",HV$21=""),"",SUM($C18:HV18))</f>
        <v>569.98555555555561</v>
      </c>
      <c r="HW85" s="114">
        <f>IF(OR(HW$13="",HW$17="",HW$14="",HW$15="",HW$16="",HW$18="",HW$19="",HW$20="",HW$21=""),"",SUM($C18:HW18))</f>
        <v>572.74777777777786</v>
      </c>
      <c r="HX85" s="114">
        <f>IF(OR(HX$13="",HX$17="",HX$14="",HX$15="",HX$16="",HX$18="",HX$19="",HX$20="",HX$21=""),"",SUM($C18:HX18))</f>
        <v>572.74777777777786</v>
      </c>
      <c r="HY85" s="114">
        <f>IF(OR(HY$13="",HY$17="",HY$14="",HY$15="",HY$16="",HY$18="",HY$19="",HY$20="",HY$21=""),"",SUM($C18:HY18))</f>
        <v>572.74777777777786</v>
      </c>
      <c r="HZ85" s="114">
        <f>IF(OR(HZ$13="",HZ$17="",HZ$14="",HZ$15="",HZ$16="",HZ$18="",HZ$19="",HZ$20="",HZ$21=""),"",SUM($C18:HZ18))</f>
        <v>580.80250000000012</v>
      </c>
      <c r="IA85" s="114">
        <f>IF(OR(IA$13="",IA$17="",IA$14="",IA$15="",IA$16="",IA$18="",IA$19="",IA$20="",IA$21=""),"",SUM($C18:IA18))</f>
        <v>580.80250000000012</v>
      </c>
      <c r="IB85" s="114">
        <f>IF(OR(IB$13="",IB$17="",IB$14="",IB$15="",IB$16="",IB$18="",IB$19="",IB$20="",IB$21=""),"",SUM($C18:IB18))</f>
        <v>580.80250000000012</v>
      </c>
      <c r="IC85" s="114">
        <f>IF(OR(IC$13="",IC$17="",IC$14="",IC$15="",IC$16="",IC$18="",IC$19="",IC$20="",IC$21=""),"",SUM($C18:IC18))</f>
        <v>580.80250000000012</v>
      </c>
      <c r="ID85" s="114">
        <f>IF(OR(ID$13="",ID$17="",ID$14="",ID$15="",ID$16="",ID$18="",ID$19="",ID$20="",ID$21=""),"",SUM($C18:ID18))</f>
        <v>583.00250000000017</v>
      </c>
      <c r="IE85" s="114">
        <f>IF(OR(IE$13="",IE$17="",IE$14="",IE$15="",IE$16="",IE$18="",IE$19="",IE$20="",IE$21=""),"",SUM($C18:IE18))</f>
        <v>583.00250000000017</v>
      </c>
      <c r="IF85" s="114">
        <f>IF(OR(IF$13="",IF$17="",IF$14="",IF$15="",IF$16="",IF$18="",IF$19="",IF$20="",IF$21=""),"",SUM($C18:IF18))</f>
        <v>588.03250000000014</v>
      </c>
      <c r="IG85" s="114">
        <f>IF(OR(IG$13="",IG$17="",IG$14="",IG$15="",IG$16="",IG$18="",IG$19="",IG$20="",IG$21=""),"",SUM($C18:IG18))</f>
        <v>588.03250000000014</v>
      </c>
      <c r="IH85" s="114">
        <f>IF(OR(IH$13="",IH$17="",IH$14="",IH$15="",IH$16="",IH$18="",IH$19="",IH$20="",IH$21=""),"",SUM($C18:IH18))</f>
        <v>588.03250000000014</v>
      </c>
      <c r="II85" s="114">
        <f>IF(OR(II$13="",II$17="",II$14="",II$15="",II$16="",II$18="",II$19="",II$20="",II$21=""),"",SUM($C18:II18))</f>
        <v>588.03250000000014</v>
      </c>
      <c r="IJ85" s="114">
        <f>IF(OR(IJ$13="",IJ$17="",IJ$14="",IJ$15="",IJ$16="",IJ$18="",IJ$19="",IJ$20="",IJ$21=""),"",SUM($C18:IJ18))</f>
        <v>588.03250000000014</v>
      </c>
      <c r="IK85" s="114">
        <f>IF(OR(IK$13="",IK$17="",IK$14="",IK$15="",IK$16="",IK$18="",IK$19="",IK$20="",IK$21=""),"",SUM($C18:IK18))</f>
        <v>591.97416666666686</v>
      </c>
      <c r="IL85" s="114">
        <f>IF(OR(IL$13="",IL$17="",IL$14="",IL$15="",IL$16="",IL$18="",IL$19="",IL$20="",IL$21=""),"",SUM($C18:IL18))</f>
        <v>591.97416666666686</v>
      </c>
      <c r="IM85" s="114">
        <f>IF(OR(IM$13="",IM$17="",IM$14="",IM$15="",IM$16="",IM$18="",IM$19="",IM$20="",IM$21=""),"",SUM($C18:IM18))</f>
        <v>591.97416666666686</v>
      </c>
      <c r="IN85" s="114">
        <f>IF(OR(IN$13="",IN$17="",IN$14="",IN$15="",IN$16="",IN$18="",IN$19="",IN$20="",IN$21=""),"",SUM($C18:IN18))</f>
        <v>595.88166666666689</v>
      </c>
      <c r="IO85" s="114">
        <f>IF(OR(IO$13="",IO$17="",IO$14="",IO$15="",IO$16="",IO$18="",IO$19="",IO$20="",IO$21=""),"",SUM($C18:IO18))</f>
        <v>595.88166666666689</v>
      </c>
      <c r="IP85" s="114">
        <f>IF(OR(IP$13="",IP$17="",IP$14="",IP$15="",IP$16="",IP$18="",IP$19="",IP$20="",IP$21=""),"",SUM($C18:IP18))</f>
        <v>595.88166666666689</v>
      </c>
      <c r="IQ85" s="114">
        <f>IF(OR(IQ$13="",IQ$17="",IQ$14="",IQ$15="",IQ$16="",IQ$18="",IQ$19="",IQ$20="",IQ$21=""),"",SUM($C18:IQ18))</f>
        <v>597.40611111111139</v>
      </c>
      <c r="IR85" s="114">
        <f>IF(OR(IR$13="",IR$17="",IR$14="",IR$15="",IR$16="",IR$18="",IR$19="",IR$20="",IR$21=""),"",SUM($C18:IR18))</f>
        <v>597.40611111111139</v>
      </c>
      <c r="IS85" s="114">
        <f>IF(OR(IS$13="",IS$17="",IS$14="",IS$15="",IS$16="",IS$18="",IS$19="",IS$20="",IS$21=""),"",SUM($C18:IS18))</f>
        <v>597.47166666666692</v>
      </c>
      <c r="IT85" s="114">
        <f>IF(OR(IT$13="",IT$17="",IT$14="",IT$15="",IT$16="",IT$18="",IT$19="",IT$20="",IT$21=""),"",SUM($C18:IT18))</f>
        <v>597.47166666666692</v>
      </c>
      <c r="IU85" s="114">
        <f>IF(OR(IU$13="",IU$17="",IU$14="",IU$15="",IU$16="",IU$18="",IU$19="",IU$20="",IU$21=""),"",SUM($C18:IU18))</f>
        <v>597.47166666666692</v>
      </c>
      <c r="IV85" s="114">
        <f>IF(OR(IV$13="",IV$17="",IV$14="",IV$15="",IV$16="",IV$18="",IV$19="",IV$20="",IV$21=""),"",SUM($C18:IV18))</f>
        <v>597.57583333333355</v>
      </c>
      <c r="IW85" s="114">
        <f>IF(OR(IW$13="",IW$17="",IW$14="",IW$15="",IW$16="",IW$18="",IW$19="",IW$20="",IW$21=""),"",SUM($C18:IW18))</f>
        <v>597.67027777777798</v>
      </c>
      <c r="IX85" s="114">
        <f>IF(OR(IX$13="",IX$17="",IX$14="",IX$15="",IX$16="",IX$18="",IX$19="",IX$20="",IX$21=""),"",SUM($C18:IX18))</f>
        <v>597.67027777777798</v>
      </c>
      <c r="IY85" s="114">
        <f>IF(OR(IY$13="",IY$17="",IY$14="",IY$15="",IY$16="",IY$18="",IY$19="",IY$20="",IY$21=""),"",SUM($C18:IY18))</f>
        <v>597.7463888888891</v>
      </c>
      <c r="IZ85" s="114">
        <f>IF(OR(IZ$13="",IZ$17="",IZ$14="",IZ$15="",IZ$16="",IZ$18="",IZ$19="",IZ$20="",IZ$21=""),"",SUM($C18:IZ18))</f>
        <v>597.79888888888911</v>
      </c>
      <c r="JA85" s="114">
        <f>IF(OR(JA$13="",JA$17="",JA$14="",JA$15="",JA$16="",JA$18="",JA$19="",JA$20="",JA$21=""),"",SUM($C18:JA18))</f>
        <v>599.57305555555581</v>
      </c>
      <c r="JB85" s="114">
        <f>IF(OR(JB$13="",JB$17="",JB$14="",JB$15="",JB$16="",JB$18="",JB$19="",JB$20="",JB$21=""),"",SUM($C18:JB18))</f>
        <v>605.49000000000024</v>
      </c>
      <c r="JC85" s="114">
        <f>IF(OR(JC$13="",JC$17="",JC$14="",JC$15="",JC$16="",JC$18="",JC$19="",JC$20="",JC$21=""),"",SUM($C18:JC18))</f>
        <v>605.49000000000024</v>
      </c>
      <c r="JD85" s="114">
        <f>IF(OR(JD$13="",JD$17="",JD$14="",JD$15="",JD$16="",JD$18="",JD$19="",JD$20="",JD$21=""),"",SUM($C18:JD18))</f>
        <v>605.49000000000024</v>
      </c>
      <c r="JE85" s="114">
        <f>IF(OR(JE$13="",JE$17="",JE$14="",JE$15="",JE$16="",JE$18="",JE$19="",JE$20="",JE$21=""),"",SUM($C18:JE18))</f>
        <v>605.49000000000024</v>
      </c>
      <c r="JF85" s="114">
        <f>IF(OR(JF$13="",JF$17="",JF$14="",JF$15="",JF$16="",JF$18="",JF$19="",JF$20="",JF$21=""),"",SUM($C18:JF18))</f>
        <v>605.49000000000024</v>
      </c>
      <c r="JG85" s="114">
        <f>IF(OR(JG$13="",JG$17="",JG$14="",JG$15="",JG$16="",JG$18="",JG$19="",JG$20="",JG$21=""),"",SUM($C18:JG18))</f>
        <v>605.49000000000024</v>
      </c>
      <c r="JH85" s="114">
        <f>IF(OR(JH$13="",JH$17="",JH$14="",JH$15="",JH$16="",JH$18="",JH$19="",JH$20="",JH$21=""),"",SUM($C18:JH18))</f>
        <v>610.3425000000002</v>
      </c>
      <c r="JI85" s="114">
        <f>IF(OR(JI$13="",JI$17="",JI$14="",JI$15="",JI$16="",JI$18="",JI$19="",JI$20="",JI$21=""),"",SUM($C18:JI18))</f>
        <v>613.7466666666669</v>
      </c>
      <c r="JJ85" s="114">
        <f>IF(OR(JJ$13="",JJ$17="",JJ$14="",JJ$15="",JJ$16="",JJ$18="",JJ$19="",JJ$20="",JJ$21=""),"",SUM($C18:JJ18))</f>
        <v>616.95638888888914</v>
      </c>
      <c r="JK85" s="114">
        <f>IF(OR(JK$13="",JK$17="",JK$14="",JK$15="",JK$16="",JK$18="",JK$19="",JK$20="",JK$21=""),"",SUM($C18:JK18))</f>
        <v>624.82777777777801</v>
      </c>
      <c r="JL85" s="114">
        <f>IF(OR(JL$13="",JL$17="",JL$14="",JL$15="",JL$16="",JL$18="",JL$19="",JL$20="",JL$21=""),"",SUM($C18:JL18))</f>
        <v>633.96805555555579</v>
      </c>
      <c r="JM85" s="114">
        <f>IF(OR(JM$13="",JM$17="",JM$14="",JM$15="",JM$16="",JM$18="",JM$19="",JM$20="",JM$21=""),"",SUM($C18:JM18))</f>
        <v>639.66250000000025</v>
      </c>
      <c r="JN85" s="114">
        <f>IF(OR(JN$13="",JN$17="",JN$14="",JN$15="",JN$16="",JN$18="",JN$19="",JN$20="",JN$21=""),"",SUM($C18:JN18))</f>
        <v>640.66250000000025</v>
      </c>
      <c r="JO85" s="114">
        <f>IF(OR(JO$13="",JO$17="",JO$14="",JO$15="",JO$16="",JO$18="",JO$19="",JO$20="",JO$21=""),"",SUM($C18:JO18))</f>
        <v>641.66250000000025</v>
      </c>
      <c r="JP85" s="114">
        <f>IF(OR(JP$13="",JP$17="",JP$14="",JP$15="",JP$16="",JP$18="",JP$19="",JP$20="",JP$21=""),"",SUM($C18:JP18))</f>
        <v>642.66250000000025</v>
      </c>
      <c r="JQ85" s="114">
        <f>IF(OR(JQ$13="",JQ$17="",JQ$14="",JQ$15="",JQ$16="",JQ$18="",JQ$19="",JQ$20="",JQ$21=""),"",SUM($C18:JQ18))</f>
        <v>643.66250000000025</v>
      </c>
      <c r="JR85" s="114">
        <f>IF(OR(JR$13="",JR$17="",JR$14="",JR$15="",JR$16="",JR$18="",JR$19="",JR$20="",JR$21=""),"",SUM($C18:JR18))</f>
        <v>644.66250000000025</v>
      </c>
      <c r="JS85" s="114">
        <f>IF(OR(JS$13="",JS$17="",JS$14="",JS$15="",JS$16="",JS$18="",JS$19="",JS$20="",JS$21=""),"",SUM($C18:JS18))</f>
        <v>654.3625000000003</v>
      </c>
      <c r="JT85" s="114">
        <f>IF(OR(JT$13="",JT$17="",JT$14="",JT$15="",JT$16="",JT$18="",JT$19="",JT$20="",JT$21=""),"",SUM($C18:JT18))</f>
        <v>658.3625000000003</v>
      </c>
      <c r="JU85" s="114">
        <f>IF(OR(JU$13="",JU$17="",JU$14="",JU$15="",JU$16="",JU$18="",JU$19="",JU$20="",JU$21=""),"",SUM($C18:JU18))</f>
        <v>658.69250000000034</v>
      </c>
      <c r="JV85" s="114">
        <f>IF(OR(JV$13="",JV$17="",JV$14="",JV$15="",JV$16="",JV$18="",JV$19="",JV$20="",JV$21=""),"",SUM($C18:JV18))</f>
        <v>659.69250000000034</v>
      </c>
      <c r="JW85" s="114">
        <f>IF(OR(JW$13="",JW$17="",JW$14="",JW$15="",JW$16="",JW$18="",JW$19="",JW$20="",JW$21=""),"",SUM($C18:JW18))</f>
        <v>659.69250000000034</v>
      </c>
      <c r="JX85" s="114">
        <f>IF(OR(JX$13="",JX$17="",JX$14="",JX$15="",JX$16="",JX$18="",JX$19="",JX$20="",JX$21=""),"",SUM($C18:JX18))</f>
        <v>659.69250000000034</v>
      </c>
      <c r="JY85" s="114">
        <f>IF(OR(JY$13="",JY$17="",JY$14="",JY$15="",JY$16="",JY$18="",JY$19="",JY$20="",JY$21=""),"",SUM($C18:JY18))</f>
        <v>659.69250000000034</v>
      </c>
      <c r="JZ85" s="114">
        <f>IF(OR(JZ$13="",JZ$17="",JZ$14="",JZ$15="",JZ$16="",JZ$18="",JZ$19="",JZ$20="",JZ$21=""),"",SUM($C18:JZ18))</f>
        <v>659.69250000000034</v>
      </c>
      <c r="KA85" s="114">
        <f>IF(OR(KA$13="",KA$17="",KA$14="",KA$15="",KA$16="",KA$18="",KA$19="",KA$20="",KA$21=""),"",SUM($C18:KA18))</f>
        <v>659.69250000000034</v>
      </c>
      <c r="KB85" s="114">
        <f>IF(OR(KB$13="",KB$17="",KB$14="",KB$15="",KB$16="",KB$18="",KB$19="",KB$20="",KB$21=""),"",SUM($C18:KB18))</f>
        <v>659.69250000000034</v>
      </c>
      <c r="KC85" s="114">
        <f>IF(OR(KC$13="",KC$17="",KC$14="",KC$15="",KC$16="",KC$18="",KC$19="",KC$20="",KC$21=""),"",SUM($C18:KC18))</f>
        <v>659.69250000000034</v>
      </c>
      <c r="KD85" s="114">
        <f>IF(OR(KD$13="",KD$17="",KD$14="",KD$15="",KD$16="",KD$18="",KD$19="",KD$20="",KD$21=""),"",SUM($C18:KD18))</f>
        <v>659.69250000000034</v>
      </c>
      <c r="KE85" s="114">
        <f>IF(OR(KE$13="",KE$17="",KE$14="",KE$15="",KE$16="",KE$18="",KE$19="",KE$20="",KE$21=""),"",SUM($C18:KE18))</f>
        <v>659.69250000000034</v>
      </c>
      <c r="KF85" s="114">
        <f>IF(OR(KF$13="",KF$17="",KF$14="",KF$15="",KF$16="",KF$18="",KF$19="",KF$20="",KF$21=""),"",SUM($C18:KF18))</f>
        <v>659.69250000000034</v>
      </c>
      <c r="KG85" s="114">
        <f>IF(OR(KG$13="",KG$17="",KG$14="",KG$15="",KG$16="",KG$18="",KG$19="",KG$20="",KG$21=""),"",SUM($C18:KG18))</f>
        <v>659.69250000000034</v>
      </c>
      <c r="KH85" s="114">
        <f>IF(OR(KH$13="",KH$17="",KH$14="",KH$15="",KH$16="",KH$18="",KH$19="",KH$20="",KH$21=""),"",SUM($C18:KH18))</f>
        <v>659.69250000000034</v>
      </c>
      <c r="KI85" s="114">
        <f>IF(OR(KI$13="",KI$17="",KI$14="",KI$15="",KI$16="",KI$18="",KI$19="",KI$20="",KI$21=""),"",SUM($C18:KI18))</f>
        <v>659.69250000000034</v>
      </c>
      <c r="KJ85" s="114">
        <f>IF(OR(KJ$13="",KJ$17="",KJ$14="",KJ$15="",KJ$16="",KJ$18="",KJ$19="",KJ$20="",KJ$21=""),"",SUM($C18:KJ18))</f>
        <v>659.69250000000034</v>
      </c>
      <c r="KK85" s="114">
        <f>IF(OR(KK$13="",KK$17="",KK$14="",KK$15="",KK$16="",KK$18="",KK$19="",KK$20="",KK$21=""),"",SUM($C18:KK18))</f>
        <v>659.69250000000034</v>
      </c>
      <c r="KL85" s="114">
        <f>IF(OR(KL$13="",KL$17="",KL$14="",KL$15="",KL$16="",KL$18="",KL$19="",KL$20="",KL$21=""),"",SUM($C18:KL18))</f>
        <v>659.69250000000034</v>
      </c>
      <c r="KM85" s="114">
        <f>IF(OR(KM$13="",KM$17="",KM$14="",KM$15="",KM$16="",KM$18="",KM$19="",KM$20="",KM$21=""),"",SUM($C18:KM18))</f>
        <v>659.69250000000034</v>
      </c>
      <c r="KN85" s="114">
        <f>IF(OR(KN$13="",KN$17="",KN$14="",KN$15="",KN$16="",KN$18="",KN$19="",KN$20="",KN$21=""),"",SUM($C18:KN18))</f>
        <v>659.69250000000034</v>
      </c>
      <c r="KO85" s="114">
        <f>IF(OR(KO$13="",KO$17="",KO$14="",KO$15="",KO$16="",KO$18="",KO$19="",KO$20="",KO$21=""),"",SUM($C18:KO18))</f>
        <v>659.69250000000034</v>
      </c>
      <c r="KP85" s="114">
        <f>IF(OR(KP$13="",KP$17="",KP$14="",KP$15="",KP$16="",KP$18="",KP$19="",KP$20="",KP$21=""),"",SUM($C18:KP18))</f>
        <v>659.69250000000034</v>
      </c>
      <c r="KQ85" s="114">
        <f>IF(OR(KQ$13="",KQ$17="",KQ$14="",KQ$15="",KQ$16="",KQ$18="",KQ$19="",KQ$20="",KQ$21=""),"",SUM($C18:KQ18))</f>
        <v>659.69250000000034</v>
      </c>
      <c r="KR85" s="114">
        <f>IF(OR(KR$13="",KR$17="",KR$14="",KR$15="",KR$16="",KR$18="",KR$19="",KR$20="",KR$21=""),"",SUM($C18:KR18))</f>
        <v>659.69250000000034</v>
      </c>
      <c r="KS85" s="114">
        <f>IF(OR(KS$13="",KS$17="",KS$14="",KS$15="",KS$16="",KS$18="",KS$19="",KS$20="",KS$21=""),"",SUM($C18:KS18))</f>
        <v>659.69250000000034</v>
      </c>
      <c r="KT85" s="114">
        <f>IF(OR(KT$13="",KT$17="",KT$14="",KT$15="",KT$16="",KT$18="",KT$19="",KT$20="",KT$21=""),"",SUM($C18:KT18))</f>
        <v>659.69250000000034</v>
      </c>
      <c r="KU85" s="114" t="str">
        <f>IF(OR(KU$13="",KU$17="",KU$14="",KU$15="",KU$16="",KU$18="",KU$19="",KU$20="",KU$21=""),"",SUM($C18:KU18))</f>
        <v/>
      </c>
      <c r="KV85" s="114" t="str">
        <f>IF(OR(KV$13="",KV$17="",KV$14="",KV$15="",KV$16="",KV$18="",KV$19="",KV$20="",KV$21=""),"",SUM($C18:KV18))</f>
        <v/>
      </c>
      <c r="KW85" s="114" t="str">
        <f>IF(OR(KW$13="",KW$17="",KW$14="",KW$15="",KW$16="",KW$18="",KW$19="",KW$20="",KW$21=""),"",SUM($C18:KW18))</f>
        <v/>
      </c>
      <c r="KX85" s="114" t="str">
        <f>IF(OR(KX$13="",KX$17="",KX$14="",KX$15="",KX$16="",KX$18="",KX$19="",KX$20="",KX$21=""),"",SUM($C18:KX18))</f>
        <v/>
      </c>
      <c r="KY85" s="114" t="str">
        <f>IF(OR(KY$13="",KY$17="",KY$14="",KY$15="",KY$16="",KY$18="",KY$19="",KY$20="",KY$21=""),"",SUM($C18:KY18))</f>
        <v/>
      </c>
      <c r="KZ85" s="114" t="str">
        <f>IF(OR(KZ$13="",KZ$17="",KZ$14="",KZ$15="",KZ$16="",KZ$18="",KZ$19="",KZ$20="",KZ$21=""),"",SUM($C18:KZ18))</f>
        <v/>
      </c>
      <c r="LA85" s="114" t="str">
        <f>IF(OR(LA$13="",LA$17="",LA$14="",LA$15="",LA$16="",LA$18="",LA$19="",LA$20="",LA$21=""),"",SUM($C18:LA18))</f>
        <v/>
      </c>
      <c r="LB85" s="114" t="str">
        <f>IF(OR(LB$13="",LB$17="",LB$14="",LB$15="",LB$16="",LB$18="",LB$19="",LB$20="",LB$21=""),"",SUM($C18:LB18))</f>
        <v/>
      </c>
      <c r="LC85" s="114" t="str">
        <f>IF(OR(LC$13="",LC$17="",LC$14="",LC$15="",LC$16="",LC$18="",LC$19="",LC$20="",LC$21=""),"",SUM($C18:LC18))</f>
        <v/>
      </c>
      <c r="LD85" s="114" t="str">
        <f>IF(OR(LD$13="",LD$17="",LD$14="",LD$15="",LD$16="",LD$18="",LD$19="",LD$20="",LD$21=""),"",SUM($C18:LD18))</f>
        <v/>
      </c>
      <c r="LE85" s="114" t="str">
        <f>IF(OR(LE$13="",LE$17="",LE$14="",LE$15="",LE$16="",LE$18="",LE$19="",LE$20="",LE$21=""),"",SUM($C18:LE18))</f>
        <v/>
      </c>
      <c r="LF85" s="114" t="str">
        <f>IF(OR(LF$13="",LF$17="",LF$14="",LF$15="",LF$16="",LF$18="",LF$19="",LF$20="",LF$21=""),"",SUM($C18:LF18))</f>
        <v/>
      </c>
      <c r="LG85" s="114" t="str">
        <f>IF(OR(LG$13="",LG$17="",LG$14="",LG$15="",LG$16="",LG$18="",LG$19="",LG$20="",LG$21=""),"",SUM($C18:LG18))</f>
        <v/>
      </c>
      <c r="LH85" s="114" t="str">
        <f>IF(OR(LH$13="",LH$17="",LH$14="",LH$15="",LH$16="",LH$18="",LH$19="",LH$20="",LH$21=""),"",SUM($C18:LH18))</f>
        <v/>
      </c>
      <c r="LI85" s="114" t="str">
        <f>IF(OR(LI$13="",LI$17="",LI$14="",LI$15="",LI$16="",LI$18="",LI$19="",LI$20="",LI$21=""),"",SUM($C18:LI18))</f>
        <v/>
      </c>
      <c r="LJ85" s="114" t="str">
        <f>IF(OR(LJ$13="",LJ$17="",LJ$14="",LJ$15="",LJ$16="",LJ$18="",LJ$19="",LJ$20="",LJ$21=""),"",SUM($C18:LJ18))</f>
        <v/>
      </c>
      <c r="LK85" s="114" t="str">
        <f>IF(OR(LK$13="",LK$17="",LK$14="",LK$15="",LK$16="",LK$18="",LK$19="",LK$20="",LK$21=""),"",SUM($C18:LK18))</f>
        <v/>
      </c>
      <c r="LL85" s="114" t="str">
        <f>IF(OR(LL$13="",LL$17="",LL$14="",LL$15="",LL$16="",LL$18="",LL$19="",LL$20="",LL$21=""),"",SUM($C18:LL18))</f>
        <v/>
      </c>
      <c r="LM85" s="114" t="str">
        <f>IF(OR(LM$13="",LM$17="",LM$14="",LM$15="",LM$16="",LM$18="",LM$19="",LM$20="",LM$21=""),"",SUM($C18:LM18))</f>
        <v/>
      </c>
      <c r="LN85" s="114" t="str">
        <f>IF(OR(LN$13="",LN$17="",LN$14="",LN$15="",LN$16="",LN$18="",LN$19="",LN$20="",LN$21=""),"",SUM($C18:LN18))</f>
        <v/>
      </c>
      <c r="LO85" s="114" t="str">
        <f>IF(OR(LO$13="",LO$17="",LO$14="",LO$15="",LO$16="",LO$18="",LO$19="",LO$20="",LO$21=""),"",SUM($C18:LO18))</f>
        <v/>
      </c>
      <c r="LP85" s="114" t="str">
        <f>IF(OR(LP$13="",LP$17="",LP$14="",LP$15="",LP$16="",LP$18="",LP$19="",LP$20="",LP$21=""),"",SUM($C18:LP18))</f>
        <v/>
      </c>
      <c r="LQ85" s="114" t="str">
        <f>IF(OR(LQ$13="",LQ$17="",LQ$14="",LQ$15="",LQ$16="",LQ$18="",LQ$19="",LQ$20="",LQ$21=""),"",SUM($C18:LQ18))</f>
        <v/>
      </c>
      <c r="LR85" s="114" t="str">
        <f>IF(OR(LR$13="",LR$17="",LR$14="",LR$15="",LR$16="",LR$18="",LR$19="",LR$20="",LR$21=""),"",SUM($C18:LR18))</f>
        <v/>
      </c>
      <c r="LS85" s="114" t="str">
        <f>IF(OR(LS$13="",LS$17="",LS$14="",LS$15="",LS$16="",LS$18="",LS$19="",LS$20="",LS$21=""),"",SUM($C18:LS18))</f>
        <v/>
      </c>
      <c r="LT85" s="114" t="str">
        <f>IF(OR(LT$13="",LT$17="",LT$14="",LT$15="",LT$16="",LT$18="",LT$19="",LT$20="",LT$21=""),"",SUM($C18:LT18))</f>
        <v/>
      </c>
      <c r="LU85" s="114" t="str">
        <f>IF(OR(LU$13="",LU$17="",LU$14="",LU$15="",LU$16="",LU$18="",LU$19="",LU$20="",LU$21=""),"",SUM($C18:LU18))</f>
        <v/>
      </c>
      <c r="LV85" s="114" t="str">
        <f>IF(OR(LV$13="",LV$17="",LV$14="",LV$15="",LV$16="",LV$18="",LV$19="",LV$20="",LV$21=""),"",SUM($C18:LV18))</f>
        <v/>
      </c>
      <c r="LW85" s="114" t="str">
        <f>IF(OR(LW$13="",LW$17="",LW$14="",LW$15="",LW$16="",LW$18="",LW$19="",LW$20="",LW$21=""),"",SUM($C18:LW18))</f>
        <v/>
      </c>
      <c r="LX85" s="114" t="str">
        <f>IF(OR(LX$13="",LX$17="",LX$14="",LX$15="",LX$16="",LX$18="",LX$19="",LX$20="",LX$21=""),"",SUM($C18:LX18))</f>
        <v/>
      </c>
      <c r="LY85" s="114" t="str">
        <f>IF(OR(LY$13="",LY$17="",LY$14="",LY$15="",LY$16="",LY$18="",LY$19="",LY$20="",LY$21=""),"",SUM($C18:LY18))</f>
        <v/>
      </c>
      <c r="LZ85" s="114" t="str">
        <f>IF(OR(LZ$13="",LZ$17="",LZ$14="",LZ$15="",LZ$16="",LZ$18="",LZ$19="",LZ$20="",LZ$21=""),"",SUM($C18:LZ18))</f>
        <v/>
      </c>
      <c r="MA85" s="114" t="str">
        <f>IF(OR(MA$13="",MA$17="",MA$14="",MA$15="",MA$16="",MA$18="",MA$19="",MA$20="",MA$21=""),"",SUM($C18:MA18))</f>
        <v/>
      </c>
      <c r="MB85" s="114" t="str">
        <f>IF(OR(MB$13="",MB$17="",MB$14="",MB$15="",MB$16="",MB$18="",MB$19="",MB$20="",MB$21=""),"",SUM($C18:MB18))</f>
        <v/>
      </c>
      <c r="MC85" s="114" t="str">
        <f>IF(OR(MC$13="",MC$17="",MC$14="",MC$15="",MC$16="",MC$18="",MC$19="",MC$20="",MC$21=""),"",SUM($C18:MC18))</f>
        <v/>
      </c>
      <c r="MD85" s="114" t="str">
        <f>IF(OR(MD$13="",MD$17="",MD$14="",MD$15="",MD$16="",MD$18="",MD$19="",MD$20="",MD$21=""),"",SUM($C18:MD18))</f>
        <v/>
      </c>
      <c r="ME85" s="114" t="str">
        <f>IF(OR(ME$13="",ME$17="",ME$14="",ME$15="",ME$16="",ME$18="",ME$19="",ME$20="",ME$21=""),"",SUM($C18:ME18))</f>
        <v/>
      </c>
      <c r="MF85" s="114" t="str">
        <f>IF(OR(MF$13="",MF$17="",MF$14="",MF$15="",MF$16="",MF$18="",MF$19="",MF$20="",MF$21=""),"",SUM($C18:MF18))</f>
        <v/>
      </c>
      <c r="MG85" s="114" t="str">
        <f>IF(OR(MG$13="",MG$17="",MG$14="",MG$15="",MG$16="",MG$18="",MG$19="",MG$20="",MG$21=""),"",SUM($C18:MG18))</f>
        <v/>
      </c>
      <c r="MH85" s="114" t="str">
        <f>IF(OR(MH$13="",MH$17="",MH$14="",MH$15="",MH$16="",MH$18="",MH$19="",MH$20="",MH$21=""),"",SUM($C18:MH18))</f>
        <v/>
      </c>
      <c r="MI85" s="114" t="str">
        <f>IF(OR(MI$13="",MI$17="",MI$14="",MI$15="",MI$16="",MI$18="",MI$19="",MI$20="",MI$21=""),"",SUM($C18:MI18))</f>
        <v/>
      </c>
      <c r="MJ85" s="114" t="str">
        <f>IF(OR(MJ$13="",MJ$17="",MJ$14="",MJ$15="",MJ$16="",MJ$18="",MJ$19="",MJ$20="",MJ$21=""),"",SUM($C18:MJ18))</f>
        <v/>
      </c>
      <c r="MK85" s="114" t="str">
        <f>IF(OR(MK$13="",MK$17="",MK$14="",MK$15="",MK$16="",MK$18="",MK$19="",MK$20="",MK$21=""),"",SUM($C18:MK18))</f>
        <v/>
      </c>
      <c r="ML85" s="114" t="str">
        <f>IF(OR(ML$13="",ML$17="",ML$14="",ML$15="",ML$16="",ML$18="",ML$19="",ML$20="",ML$21=""),"",SUM($C18:ML18))</f>
        <v/>
      </c>
      <c r="MM85" s="114" t="str">
        <f>IF(OR(MM$13="",MM$17="",MM$14="",MM$15="",MM$16="",MM$18="",MM$19="",MM$20="",MM$21=""),"",SUM($C18:MM18))</f>
        <v/>
      </c>
      <c r="MN85" s="114" t="str">
        <f>IF(OR(MN$13="",MN$17="",MN$14="",MN$15="",MN$16="",MN$18="",MN$19="",MN$20="",MN$21=""),"",SUM($C18:MN18))</f>
        <v/>
      </c>
      <c r="MO85" s="114" t="str">
        <f>IF(OR(MO$13="",MO$17="",MO$14="",MO$15="",MO$16="",MO$18="",MO$19="",MO$20="",MO$21=""),"",SUM($C18:MO18))</f>
        <v/>
      </c>
      <c r="MP85" s="114" t="str">
        <f>IF(OR(MP$13="",MP$17="",MP$14="",MP$15="",MP$16="",MP$18="",MP$19="",MP$20="",MP$21=""),"",SUM($C18:MP18))</f>
        <v/>
      </c>
      <c r="MQ85" s="114" t="str">
        <f>IF(OR(MQ$13="",MQ$17="",MQ$14="",MQ$15="",MQ$16="",MQ$18="",MQ$19="",MQ$20="",MQ$21=""),"",SUM($C18:MQ18))</f>
        <v/>
      </c>
      <c r="MR85" s="114" t="str">
        <f>IF(OR(MR$13="",MR$17="",MR$14="",MR$15="",MR$16="",MR$18="",MR$19="",MR$20="",MR$21=""),"",SUM($C18:MR18))</f>
        <v/>
      </c>
      <c r="MS85" s="114" t="str">
        <f>IF(OR(MS$13="",MS$17="",MS$14="",MS$15="",MS$16="",MS$18="",MS$19="",MS$20="",MS$21=""),"",SUM($C18:MS18))</f>
        <v/>
      </c>
      <c r="MT85" s="114" t="str">
        <f>IF(OR(MT$13="",MT$17="",MT$14="",MT$15="",MT$16="",MT$18="",MT$19="",MT$20="",MT$21=""),"",SUM($C18:MT18))</f>
        <v/>
      </c>
      <c r="MU85" s="114" t="str">
        <f>IF(OR(MU$13="",MU$17="",MU$14="",MU$15="",MU$16="",MU$18="",MU$19="",MU$20="",MU$21=""),"",SUM($C18:MU18))</f>
        <v/>
      </c>
      <c r="MV85" s="114" t="str">
        <f>IF(OR(MV$13="",MV$17="",MV$14="",MV$15="",MV$16="",MV$18="",MV$19="",MV$20="",MV$21=""),"",SUM($C18:MV18))</f>
        <v/>
      </c>
      <c r="MW85" s="114" t="str">
        <f>IF(OR(MW$13="",MW$17="",MW$14="",MW$15="",MW$16="",MW$18="",MW$19="",MW$20="",MW$21=""),"",SUM($C18:MW18))</f>
        <v/>
      </c>
      <c r="MX85" s="114" t="str">
        <f>IF(OR(MX$13="",MX$17="",MX$14="",MX$15="",MX$16="",MX$18="",MX$19="",MX$20="",MX$21=""),"",SUM($C18:MX18))</f>
        <v/>
      </c>
      <c r="MY85" s="114" t="str">
        <f>IF(OR(MY$13="",MY$17="",MY$14="",MY$15="",MY$16="",MY$18="",MY$19="",MY$20="",MY$21=""),"",SUM($C18:MY18))</f>
        <v/>
      </c>
      <c r="MZ85" s="114" t="str">
        <f>IF(OR(MZ$13="",MZ$17="",MZ$14="",MZ$15="",MZ$16="",MZ$18="",MZ$19="",MZ$20="",MZ$21=""),"",SUM($C18:MZ18))</f>
        <v/>
      </c>
      <c r="NA85" s="114" t="str">
        <f>IF(OR(NA$13="",NA$17="",NA$14="",NA$15="",NA$16="",NA$18="",NA$19="",NA$20="",NA$21=""),"",SUM($C18:NA18))</f>
        <v/>
      </c>
      <c r="NB85" s="114" t="str">
        <f>IF(OR(NB$13="",NB$17="",NB$14="",NB$15="",NB$16="",NB$18="",NB$19="",NB$20="",NB$21=""),"",SUM($C18:NB18))</f>
        <v/>
      </c>
      <c r="NC85" s="114" t="str">
        <f>IF(OR(NC$13="",NC$17="",NC$14="",NC$15="",NC$16="",NC$18="",NC$19="",NC$20="",NC$21=""),"",SUM($C18:NC18))</f>
        <v/>
      </c>
      <c r="ND85" s="114" t="str">
        <f>IF(OR(ND$13="",ND$17="",ND$14="",ND$15="",ND$16="",ND$18="",ND$19="",ND$20="",ND$21=""),"",SUM($C18:ND18))</f>
        <v/>
      </c>
      <c r="NE85" s="114" t="str">
        <f>IF(OR(NE$13="",NE$17="",NE$14="",NE$15="",NE$16="",NE$18="",NE$19="",NE$20="",NE$21=""),"",SUM($C18:NE18))</f>
        <v/>
      </c>
      <c r="NF85" s="114" t="str">
        <f>IF(OR(NF$13="",NF$17="",NF$14="",NF$15="",NF$16="",NF$18="",NF$19="",NF$20="",NF$21=""),"",SUM($C18:NF18))</f>
        <v/>
      </c>
      <c r="NG85" s="114" t="str">
        <f>IF(OR(NG$13="",NG$17="",NG$14="",NG$15="",NG$16="",NG$18="",NG$19="",NG$20="",NG$21=""),"",SUM($C18:NG18))</f>
        <v/>
      </c>
      <c r="NH85" s="114" t="str">
        <f>IF(OR(NH$13="",NH$17="",NH$14="",NH$15="",NH$16="",NH$18="",NH$19="",NH$20="",NH$21=""),"",SUM($C18:NH18))</f>
        <v/>
      </c>
      <c r="NI85" s="114" t="str">
        <f>IF(OR(NI$13="",NI$17="",NI$14="",NI$15="",NI$16="",NI$18="",NI$19="",NI$20="",NI$21=""),"",SUM($C18:NI18))</f>
        <v/>
      </c>
      <c r="NJ85" s="114" t="str">
        <f>IF(OR(NJ$13="",NJ$17="",NJ$14="",NJ$15="",NJ$16="",NJ$18="",NJ$19="",NJ$20="",NJ$21=""),"",SUM($C18:NJ18))</f>
        <v/>
      </c>
      <c r="NK85" s="114" t="str">
        <f>IF(OR(NK$13="",NK$17="",NK$14="",NK$15="",NK$16="",NK$18="",NK$19="",NK$20="",NK$21=""),"",SUM($C18:NK18))</f>
        <v/>
      </c>
      <c r="NL85" s="114" t="str">
        <f>IF(OR(NL$13="",NL$17="",NL$14="",NL$15="",NL$16="",NL$18="",NL$19="",NL$20="",NL$21=""),"",SUM($C18:NL18))</f>
        <v/>
      </c>
      <c r="NM85" s="114" t="str">
        <f>IF(OR(NM$13="",NM$17="",NM$14="",NM$15="",NM$16="",NM$18="",NM$19="",NM$20="",NM$21=""),"",SUM($C18:NM18))</f>
        <v/>
      </c>
      <c r="NN85" s="114" t="str">
        <f>IF(OR(NN$13="",NN$17="",NN$14="",NN$15="",NN$16="",NN$18="",NN$19="",NN$20="",NN$21=""),"",SUM($C18:NN18))</f>
        <v/>
      </c>
      <c r="NO85" s="114" t="str">
        <f>IF(OR(NO$13="",NO$17="",NO$14="",NO$15="",NO$16="",NO$18="",NO$19="",NO$20="",NO$21=""),"",SUM($C18:NO18))</f>
        <v/>
      </c>
      <c r="NP85" s="114" t="str">
        <f>IF(OR(NP$13="",NP$17="",NP$14="",NP$15="",NP$16="",NP$18="",NP$19="",NP$20="",NP$21=""),"",SUM($C18:NP18))</f>
        <v/>
      </c>
      <c r="NQ85" s="114" t="str">
        <f>IF(OR(NQ$13="",NQ$17="",NQ$14="",NQ$15="",NQ$16="",NQ$18="",NQ$19="",NQ$20="",NQ$21=""),"",SUM($C18:NQ18))</f>
        <v/>
      </c>
      <c r="NR85" s="114" t="str">
        <f>IF(OR(NR$13="",NR$17="",NR$14="",NR$15="",NR$16="",NR$18="",NR$19="",NR$20="",NR$21=""),"",SUM($C18:NR18))</f>
        <v/>
      </c>
      <c r="NS85" s="114" t="str">
        <f>IF(OR(NS$13="",NS$17="",NS$14="",NS$15="",NS$16="",NS$18="",NS$19="",NS$20="",NS$21=""),"",SUM($C18:NS18))</f>
        <v/>
      </c>
      <c r="NT85" s="114" t="str">
        <f>IF(OR(NT$13="",NT$17="",NT$14="",NT$15="",NT$16="",NT$18="",NT$19="",NT$20="",NT$21=""),"",SUM($C18:NT18))</f>
        <v/>
      </c>
      <c r="NU85" s="114" t="str">
        <f>IF(OR(NU$13="",NU$17="",NU$14="",NU$15="",NU$16="",NU$18="",NU$19="",NU$20="",NU$21=""),"",SUM($C18:NU18))</f>
        <v/>
      </c>
      <c r="NV85" s="114" t="str">
        <f>IF(OR(NV$13="",NV$17="",NV$14="",NV$15="",NV$16="",NV$18="",NV$19="",NV$20="",NV$21=""),"",SUM($C18:NV18))</f>
        <v/>
      </c>
      <c r="NW85" s="114" t="str">
        <f>IF(OR(NW$13="",NW$17="",NW$14="",NW$15="",NW$16="",NW$18="",NW$19="",NW$20="",NW$21=""),"",SUM($C18:NW18))</f>
        <v/>
      </c>
      <c r="NX85" s="114" t="str">
        <f>IF(OR(NX$13="",NX$17="",NX$14="",NX$15="",NX$16="",NX$18="",NX$19="",NX$20="",NX$21=""),"",SUM($C18:NX18))</f>
        <v/>
      </c>
      <c r="NY85" s="114" t="str">
        <f>IF(OR(NY$13="",NY$17="",NY$14="",NY$15="",NY$16="",NY$18="",NY$19="",NY$20="",NY$21=""),"",SUM($C18:NY18))</f>
        <v/>
      </c>
      <c r="NZ85" s="114" t="str">
        <f>IF(OR(NZ$13="",NZ$17="",NZ$14="",NZ$15="",NZ$16="",NZ$18="",NZ$19="",NZ$20="",NZ$21=""),"",SUM($C18:NZ18))</f>
        <v/>
      </c>
      <c r="OA85" s="114" t="str">
        <f>IF(OR(OA$13="",OA$17="",OA$14="",OA$15="",OA$16="",OA$18="",OA$19="",OA$20="",OA$21=""),"",SUM($C18:OA18))</f>
        <v/>
      </c>
      <c r="OB85" s="114" t="str">
        <f>IF(OR(OB$13="",OB$17="",OB$14="",OB$15="",OB$16="",OB$18="",OB$19="",OB$20="",OB$21=""),"",SUM($C18:OB18))</f>
        <v/>
      </c>
      <c r="OC85" s="114" t="str">
        <f>IF(OR(OC$13="",OC$17="",OC$14="",OC$15="",OC$16="",OC$18="",OC$19="",OC$20="",OC$21=""),"",SUM($C18:OC18))</f>
        <v/>
      </c>
      <c r="OD85" s="114" t="str">
        <f>IF(OR(OD$13="",OD$17="",OD$14="",OD$15="",OD$16="",OD$18="",OD$19="",OD$20="",OD$21=""),"",SUM($C18:OD18))</f>
        <v/>
      </c>
      <c r="OE85" s="114" t="str">
        <f>IF(OR(OE$13="",OE$17="",OE$14="",OE$15="",OE$16="",OE$18="",OE$19="",OE$20="",OE$21=""),"",SUM($C18:OE18))</f>
        <v/>
      </c>
      <c r="OF85" s="114" t="str">
        <f>IF(OR(OF$13="",OF$17="",OF$14="",OF$15="",OF$16="",OF$18="",OF$19="",OF$20="",OF$21=""),"",SUM($C18:OF18))</f>
        <v/>
      </c>
      <c r="OG85" s="114" t="str">
        <f>IF(OR(OG$13="",OG$17="",OG$14="",OG$15="",OG$16="",OG$18="",OG$19="",OG$20="",OG$21=""),"",SUM($C18:OG18))</f>
        <v/>
      </c>
      <c r="OH85" s="114" t="str">
        <f>IF(OR(OH$13="",OH$17="",OH$14="",OH$15="",OH$16="",OH$18="",OH$19="",OH$20="",OH$21=""),"",SUM($C18:OH18))</f>
        <v/>
      </c>
      <c r="OI85" s="114" t="str">
        <f>IF(OR(OI$13="",OI$17="",OI$14="",OI$15="",OI$16="",OI$18="",OI$19="",OI$20="",OI$21=""),"",SUM($C18:OI18))</f>
        <v/>
      </c>
      <c r="OJ85" s="114" t="str">
        <f>IF(OR(OJ$13="",OJ$17="",OJ$14="",OJ$15="",OJ$16="",OJ$18="",OJ$19="",OJ$20="",OJ$21=""),"",SUM($C18:OJ18))</f>
        <v/>
      </c>
      <c r="OK85" s="114" t="str">
        <f>IF(OR(OK$13="",OK$17="",OK$14="",OK$15="",OK$16="",OK$18="",OK$19="",OK$20="",OK$21=""),"",SUM($C18:OK18))</f>
        <v/>
      </c>
      <c r="OL85" s="114" t="str">
        <f>IF(OR(OL$13="",OL$17="",OL$14="",OL$15="",OL$16="",OL$18="",OL$19="",OL$20="",OL$21=""),"",SUM($C18:OL18))</f>
        <v/>
      </c>
      <c r="OM85" s="114" t="str">
        <f>IF(OR(OM$13="",OM$17="",OM$14="",OM$15="",OM$16="",OM$18="",OM$19="",OM$20="",OM$21=""),"",SUM($C18:OM18))</f>
        <v/>
      </c>
      <c r="ON85" s="114" t="str">
        <f>IF(OR(ON$13="",ON$17="",ON$14="",ON$15="",ON$16="",ON$18="",ON$19="",ON$20="",ON$21=""),"",SUM($C18:ON18))</f>
        <v/>
      </c>
      <c r="OO85" s="114" t="str">
        <f>IF(OR(OO$13="",OO$17="",OO$14="",OO$15="",OO$16="",OO$18="",OO$19="",OO$20="",OO$21=""),"",SUM($C18:OO18))</f>
        <v/>
      </c>
      <c r="OP85" s="114" t="str">
        <f>IF(OR(OP$13="",OP$17="",OP$14="",OP$15="",OP$16="",OP$18="",OP$19="",OP$20="",OP$21=""),"",SUM($C18:OP18))</f>
        <v/>
      </c>
      <c r="OQ85" s="114" t="str">
        <f>IF(OR(OQ$13="",OQ$17="",OQ$14="",OQ$15="",OQ$16="",OQ$18="",OQ$19="",OQ$20="",OQ$21=""),"",SUM($C18:OQ18))</f>
        <v/>
      </c>
      <c r="OR85" s="114" t="str">
        <f>IF(OR(OR$13="",OR$17="",OR$14="",OR$15="",OR$16="",OR$18="",OR$19="",OR$20="",OR$21=""),"",SUM($C18:OR18))</f>
        <v/>
      </c>
      <c r="OS85" s="114" t="str">
        <f>IF(OR(OS$13="",OS$17="",OS$14="",OS$15="",OS$16="",OS$18="",OS$19="",OS$20="",OS$21=""),"",SUM($C18:OS18))</f>
        <v/>
      </c>
      <c r="OT85" s="114" t="str">
        <f>IF(OR(OT$13="",OT$17="",OT$14="",OT$15="",OT$16="",OT$18="",OT$19="",OT$20="",OT$21=""),"",SUM($C18:OT18))</f>
        <v/>
      </c>
      <c r="OU85" s="114" t="str">
        <f>IF(OR(OU$13="",OU$17="",OU$14="",OU$15="",OU$16="",OU$18="",OU$19="",OU$20="",OU$21=""),"",SUM($C18:OU18))</f>
        <v/>
      </c>
      <c r="OV85" s="114" t="str">
        <f>IF(OR(OV$13="",OV$17="",OV$14="",OV$15="",OV$16="",OV$18="",OV$19="",OV$20="",OV$21=""),"",SUM($C18:OV18))</f>
        <v/>
      </c>
      <c r="OW85" s="114" t="str">
        <f>IF(OR(OW$13="",OW$17="",OW$14="",OW$15="",OW$16="",OW$18="",OW$19="",OW$20="",OW$21=""),"",SUM($C18:OW18))</f>
        <v/>
      </c>
      <c r="OX85" s="114" t="str">
        <f>IF(OR(OX$13="",OX$17="",OX$14="",OX$15="",OX$16="",OX$18="",OX$19="",OX$20="",OX$21=""),"",SUM($C18:OX18))</f>
        <v/>
      </c>
      <c r="OY85" s="114" t="str">
        <f>IF(OR(OY$13="",OY$17="",OY$14="",OY$15="",OY$16="",OY$18="",OY$19="",OY$20="",OY$21=""),"",SUM($C18:OY18))</f>
        <v/>
      </c>
      <c r="OZ85" s="114" t="str">
        <f>IF(OR(OZ$13="",OZ$17="",OZ$14="",OZ$15="",OZ$16="",OZ$18="",OZ$19="",OZ$20="",OZ$21=""),"",SUM($C18:OZ18))</f>
        <v/>
      </c>
      <c r="PA85" s="114" t="str">
        <f>IF(OR(PA$13="",PA$17="",PA$14="",PA$15="",PA$16="",PA$18="",PA$19="",PA$20="",PA$21=""),"",SUM($C18:PA18))</f>
        <v/>
      </c>
      <c r="PB85" s="114" t="str">
        <f>IF(OR(PB$13="",PB$17="",PB$14="",PB$15="",PB$16="",PB$18="",PB$19="",PB$20="",PB$21=""),"",SUM($C18:PB18))</f>
        <v/>
      </c>
      <c r="PC85" s="114" t="str">
        <f>IF(OR(PC$13="",PC$17="",PC$14="",PC$15="",PC$16="",PC$18="",PC$19="",PC$20="",PC$21=""),"",SUM($C18:PC18))</f>
        <v/>
      </c>
      <c r="PD85" s="114" t="str">
        <f>IF(OR(PD$13="",PD$17="",PD$14="",PD$15="",PD$16="",PD$18="",PD$19="",PD$20="",PD$21=""),"",SUM($C18:PD18))</f>
        <v/>
      </c>
      <c r="PE85" s="114" t="str">
        <f>IF(OR(PE$13="",PE$17="",PE$14="",PE$15="",PE$16="",PE$18="",PE$19="",PE$20="",PE$21=""),"",SUM($C18:PE18))</f>
        <v/>
      </c>
      <c r="PF85" s="114" t="str">
        <f>IF(OR(PF$13="",PF$17="",PF$14="",PF$15="",PF$16="",PF$18="",PF$19="",PF$20="",PF$21=""),"",SUM($C18:PF18))</f>
        <v/>
      </c>
      <c r="PG85" s="114" t="str">
        <f>IF(OR(PG$13="",PG$17="",PG$14="",PG$15="",PG$16="",PG$18="",PG$19="",PG$20="",PG$21=""),"",SUM($C18:PG18))</f>
        <v/>
      </c>
      <c r="PH85" s="114" t="str">
        <f>IF(OR(PH$13="",PH$17="",PH$14="",PH$15="",PH$16="",PH$18="",PH$19="",PH$20="",PH$21=""),"",SUM($C18:PH18))</f>
        <v/>
      </c>
      <c r="PI85" s="114" t="str">
        <f>IF(OR(PI$13="",PI$17="",PI$14="",PI$15="",PI$16="",PI$18="",PI$19="",PI$20="",PI$21=""),"",SUM($C18:PI18))</f>
        <v/>
      </c>
      <c r="PJ85" s="114" t="str">
        <f>IF(OR(PJ$13="",PJ$17="",PJ$14="",PJ$15="",PJ$16="",PJ$18="",PJ$19="",PJ$20="",PJ$21=""),"",SUM($C18:PJ18))</f>
        <v/>
      </c>
      <c r="PK85" s="114" t="str">
        <f>IF(OR(PK$13="",PK$17="",PK$14="",PK$15="",PK$16="",PK$18="",PK$19="",PK$20="",PK$21=""),"",SUM($C18:PK18))</f>
        <v/>
      </c>
      <c r="PL85" s="114" t="str">
        <f>IF(OR(PL$13="",PL$17="",PL$14="",PL$15="",PL$16="",PL$18="",PL$19="",PL$20="",PL$21=""),"",SUM($C18:PL18))</f>
        <v/>
      </c>
      <c r="PM85" s="114" t="str">
        <f>IF(OR(PM$13="",PM$17="",PM$14="",PM$15="",PM$16="",PM$18="",PM$19="",PM$20="",PM$21=""),"",SUM($C18:PM18))</f>
        <v/>
      </c>
      <c r="PN85" s="114" t="str">
        <f>IF(OR(PN$13="",PN$17="",PN$14="",PN$15="",PN$16="",PN$18="",PN$19="",PN$20="",PN$21=""),"",SUM($C18:PN18))</f>
        <v/>
      </c>
      <c r="PO85" s="114" t="str">
        <f>IF(OR(PO$13="",PO$17="",PO$14="",PO$15="",PO$16="",PO$18="",PO$19="",PO$20="",PO$21=""),"",SUM($C18:PO18))</f>
        <v/>
      </c>
      <c r="PP85" s="114" t="str">
        <f>IF(OR(PP$13="",PP$17="",PP$14="",PP$15="",PP$16="",PP$18="",PP$19="",PP$20="",PP$21=""),"",SUM($C18:PP18))</f>
        <v/>
      </c>
      <c r="PQ85" s="114" t="str">
        <f>IF(OR(PQ$13="",PQ$17="",PQ$14="",PQ$15="",PQ$16="",PQ$18="",PQ$19="",PQ$20="",PQ$21=""),"",SUM($C18:PQ18))</f>
        <v/>
      </c>
      <c r="PR85" s="114" t="str">
        <f>IF(OR(PR$13="",PR$17="",PR$14="",PR$15="",PR$16="",PR$18="",PR$19="",PR$20="",PR$21=""),"",SUM($C18:PR18))</f>
        <v/>
      </c>
      <c r="PS85" s="114" t="str">
        <f>IF(OR(PS$13="",PS$17="",PS$14="",PS$15="",PS$16="",PS$18="",PS$19="",PS$20="",PS$21=""),"",SUM($C18:PS18))</f>
        <v/>
      </c>
      <c r="PT85" s="114" t="str">
        <f>IF(OR(PT$13="",PT$17="",PT$14="",PT$15="",PT$16="",PT$18="",PT$19="",PT$20="",PT$21=""),"",SUM($C18:PT18))</f>
        <v/>
      </c>
      <c r="PU85" s="114" t="str">
        <f>IF(OR(PU$13="",PU$17="",PU$14="",PU$15="",PU$16="",PU$18="",PU$19="",PU$20="",PU$21=""),"",SUM($C18:PU18))</f>
        <v/>
      </c>
      <c r="PV85" s="114" t="str">
        <f>IF(OR(PV$13="",PV$17="",PV$14="",PV$15="",PV$16="",PV$18="",PV$19="",PV$20="",PV$21=""),"",SUM($C18:PV18))</f>
        <v/>
      </c>
      <c r="PW85" s="114" t="str">
        <f>IF(OR(PW$13="",PW$17="",PW$14="",PW$15="",PW$16="",PW$18="",PW$19="",PW$20="",PW$21=""),"",SUM($C18:PW18))</f>
        <v/>
      </c>
      <c r="PX85" s="114" t="str">
        <f>IF(OR(PX$13="",PX$17="",PX$14="",PX$15="",PX$16="",PX$18="",PX$19="",PX$20="",PX$21=""),"",SUM($C18:PX18))</f>
        <v/>
      </c>
      <c r="PY85" s="114" t="str">
        <f>IF(OR(PY$13="",PY$17="",PY$14="",PY$15="",PY$16="",PY$18="",PY$19="",PY$20="",PY$21=""),"",SUM($C18:PY18))</f>
        <v/>
      </c>
      <c r="PZ85" s="114" t="str">
        <f>IF(OR(PZ$13="",PZ$17="",PZ$14="",PZ$15="",PZ$16="",PZ$18="",PZ$19="",PZ$20="",PZ$21=""),"",SUM($C18:PZ18))</f>
        <v/>
      </c>
      <c r="QA85" s="114" t="str">
        <f>IF(OR(QA$13="",QA$17="",QA$14="",QA$15="",QA$16="",QA$18="",QA$19="",QA$20="",QA$21=""),"",SUM($C18:QA18))</f>
        <v/>
      </c>
      <c r="QB85" s="114" t="str">
        <f>IF(OR(QB$13="",QB$17="",QB$14="",QB$15="",QB$16="",QB$18="",QB$19="",QB$20="",QB$21=""),"",SUM($C18:QB18))</f>
        <v/>
      </c>
      <c r="QC85" s="114" t="str">
        <f>IF(OR(QC$13="",QC$17="",QC$14="",QC$15="",QC$16="",QC$18="",QC$19="",QC$20="",QC$21=""),"",SUM($C18:QC18))</f>
        <v/>
      </c>
      <c r="QD85" s="114" t="str">
        <f>IF(OR(QD$13="",QD$17="",QD$14="",QD$15="",QD$16="",QD$18="",QD$19="",QD$20="",QD$21=""),"",SUM($C18:QD18))</f>
        <v/>
      </c>
      <c r="QE85" s="114" t="str">
        <f>IF(OR(QE$13="",QE$17="",QE$14="",QE$15="",QE$16="",QE$18="",QE$19="",QE$20="",QE$21=""),"",SUM($C18:QE18))</f>
        <v/>
      </c>
      <c r="QF85" s="114" t="str">
        <f>IF(OR(QF$13="",QF$17="",QF$14="",QF$15="",QF$16="",QF$18="",QF$19="",QF$20="",QF$21=""),"",SUM($C18:QF18))</f>
        <v/>
      </c>
      <c r="QG85" s="114" t="str">
        <f>IF(OR(QG$13="",QG$17="",QG$14="",QG$15="",QG$16="",QG$18="",QG$19="",QG$20="",QG$21=""),"",SUM($C18:QG18))</f>
        <v/>
      </c>
      <c r="QH85" s="114" t="str">
        <f>IF(OR(QH$13="",QH$17="",QH$14="",QH$15="",QH$16="",QH$18="",QH$19="",QH$20="",QH$21=""),"",SUM($C18:QH18))</f>
        <v/>
      </c>
      <c r="QI85" s="114" t="str">
        <f>IF(OR(QI$13="",QI$17="",QI$14="",QI$15="",QI$16="",QI$18="",QI$19="",QI$20="",QI$21=""),"",SUM($C18:QI18))</f>
        <v/>
      </c>
      <c r="QJ85" s="114" t="str">
        <f>IF(OR(QJ$13="",QJ$17="",QJ$14="",QJ$15="",QJ$16="",QJ$18="",QJ$19="",QJ$20="",QJ$21=""),"",SUM($C18:QJ18))</f>
        <v/>
      </c>
      <c r="QK85" s="114" t="str">
        <f>IF(OR(QK$13="",QK$17="",QK$14="",QK$15="",QK$16="",QK$18="",QK$19="",QK$20="",QK$21=""),"",SUM($C18:QK18))</f>
        <v/>
      </c>
      <c r="QL85" s="114" t="str">
        <f>IF(OR(QL$13="",QL$17="",QL$14="",QL$15="",QL$16="",QL$18="",QL$19="",QL$20="",QL$21=""),"",SUM($C18:QL18))</f>
        <v/>
      </c>
      <c r="QM85" s="114" t="str">
        <f>IF(OR(QM$13="",QM$17="",QM$14="",QM$15="",QM$16="",QM$18="",QM$19="",QM$20="",QM$21=""),"",SUM($C18:QM18))</f>
        <v/>
      </c>
      <c r="QN85" s="114" t="str">
        <f>IF(OR(QN$13="",QN$17="",QN$14="",QN$15="",QN$16="",QN$18="",QN$19="",QN$20="",QN$21=""),"",SUM($C18:QN18))</f>
        <v/>
      </c>
      <c r="QO85" s="114" t="str">
        <f>IF(OR(QO$13="",QO$17="",QO$14="",QO$15="",QO$16="",QO$18="",QO$19="",QO$20="",QO$21=""),"",SUM($C18:QO18))</f>
        <v/>
      </c>
      <c r="QP85" s="114" t="str">
        <f>IF(OR(QP$13="",QP$17="",QP$14="",QP$15="",QP$16="",QP$18="",QP$19="",QP$20="",QP$21=""),"",SUM($C18:QP18))</f>
        <v/>
      </c>
      <c r="QQ85" s="114" t="str">
        <f>IF(OR(QQ$13="",QQ$17="",QQ$14="",QQ$15="",QQ$16="",QQ$18="",QQ$19="",QQ$20="",QQ$21=""),"",SUM($C18:QQ18))</f>
        <v/>
      </c>
      <c r="QR85" s="114" t="str">
        <f>IF(OR(QR$13="",QR$17="",QR$14="",QR$15="",QR$16="",QR$18="",QR$19="",QR$20="",QR$21=""),"",SUM($C18:QR18))</f>
        <v/>
      </c>
      <c r="QS85" s="114" t="str">
        <f>IF(OR(QS$13="",QS$17="",QS$14="",QS$15="",QS$16="",QS$18="",QS$19="",QS$20="",QS$21=""),"",SUM($C18:QS18))</f>
        <v/>
      </c>
      <c r="QT85" s="114" t="str">
        <f>IF(OR(QT$13="",QT$17="",QT$14="",QT$15="",QT$16="",QT$18="",QT$19="",QT$20="",QT$21=""),"",SUM($C18:QT18))</f>
        <v/>
      </c>
      <c r="QU85" s="114" t="str">
        <f>IF(OR(QU$13="",QU$17="",QU$14="",QU$15="",QU$16="",QU$18="",QU$19="",QU$20="",QU$21=""),"",SUM($C18:QU18))</f>
        <v/>
      </c>
      <c r="QV85" s="114" t="str">
        <f>IF(OR(QV$13="",QV$17="",QV$14="",QV$15="",QV$16="",QV$18="",QV$19="",QV$20="",QV$21=""),"",SUM($C18:QV18))</f>
        <v/>
      </c>
      <c r="QW85" s="114" t="str">
        <f>IF(OR(QW$13="",QW$17="",QW$14="",QW$15="",QW$16="",QW$18="",QW$19="",QW$20="",QW$21=""),"",SUM($C18:QW18))</f>
        <v/>
      </c>
      <c r="QX85" s="114" t="str">
        <f>IF(OR(QX$13="",QX$17="",QX$14="",QX$15="",QX$16="",QX$18="",QX$19="",QX$20="",QX$21=""),"",SUM($C18:QX18))</f>
        <v/>
      </c>
      <c r="QY85" s="114" t="str">
        <f>IF(OR(QY$13="",QY$17="",QY$14="",QY$15="",QY$16="",QY$18="",QY$19="",QY$20="",QY$21=""),"",SUM($C18:QY18))</f>
        <v/>
      </c>
      <c r="QZ85" s="114" t="str">
        <f>IF(OR(QZ$13="",QZ$17="",QZ$14="",QZ$15="",QZ$16="",QZ$18="",QZ$19="",QZ$20="",QZ$21=""),"",SUM($C18:QZ18))</f>
        <v/>
      </c>
      <c r="RA85" s="114" t="str">
        <f>IF(OR(RA$13="",RA$17="",RA$14="",RA$15="",RA$16="",RA$18="",RA$19="",RA$20="",RA$21=""),"",SUM($C18:RA18))</f>
        <v/>
      </c>
      <c r="RB85" s="114" t="str">
        <f>IF(OR(RB$13="",RB$17="",RB$14="",RB$15="",RB$16="",RB$18="",RB$19="",RB$20="",RB$21=""),"",SUM($C18:RB18))</f>
        <v/>
      </c>
      <c r="RC85" s="114" t="str">
        <f>IF(OR(RC$13="",RC$17="",RC$14="",RC$15="",RC$16="",RC$18="",RC$19="",RC$20="",RC$21=""),"",SUM($C18:RC18))</f>
        <v/>
      </c>
      <c r="RD85" s="114" t="str">
        <f>IF(OR(RD$13="",RD$17="",RD$14="",RD$15="",RD$16="",RD$18="",RD$19="",RD$20="",RD$21=""),"",SUM($C18:RD18))</f>
        <v/>
      </c>
      <c r="RE85" s="114" t="str">
        <f>IF(OR(RE$13="",RE$17="",RE$14="",RE$15="",RE$16="",RE$18="",RE$19="",RE$20="",RE$21=""),"",SUM($C18:RE18))</f>
        <v/>
      </c>
      <c r="RF85" s="114" t="str">
        <f>IF(OR(RF$13="",RF$17="",RF$14="",RF$15="",RF$16="",RF$18="",RF$19="",RF$20="",RF$21=""),"",SUM($C18:RF18))</f>
        <v/>
      </c>
      <c r="RG85" s="114" t="str">
        <f>IF(OR(RG$13="",RG$17="",RG$14="",RG$15="",RG$16="",RG$18="",RG$19="",RG$20="",RG$21=""),"",SUM($C18:RG18))</f>
        <v/>
      </c>
      <c r="RH85" s="114" t="str">
        <f>IF(OR(RH$13="",RH$17="",RH$14="",RH$15="",RH$16="",RH$18="",RH$19="",RH$20="",RH$21=""),"",SUM($C18:RH18))</f>
        <v/>
      </c>
      <c r="RI85" s="114" t="str">
        <f>IF(OR(RI$13="",RI$17="",RI$14="",RI$15="",RI$16="",RI$18="",RI$19="",RI$20="",RI$21=""),"",SUM($C18:RI18))</f>
        <v/>
      </c>
      <c r="RJ85" s="114" t="str">
        <f>IF(OR(RJ$13="",RJ$17="",RJ$14="",RJ$15="",RJ$16="",RJ$18="",RJ$19="",RJ$20="",RJ$21=""),"",SUM($C18:RJ18))</f>
        <v/>
      </c>
      <c r="RK85" s="114" t="str">
        <f>IF(OR(RK$13="",RK$17="",RK$14="",RK$15="",RK$16="",RK$18="",RK$19="",RK$20="",RK$21=""),"",SUM($C18:RK18))</f>
        <v/>
      </c>
      <c r="RL85" s="114" t="str">
        <f>IF(OR(RL$13="",RL$17="",RL$14="",RL$15="",RL$16="",RL$18="",RL$19="",RL$20="",RL$21=""),"",SUM($C18:RL18))</f>
        <v/>
      </c>
      <c r="RM85" s="114" t="str">
        <f>IF(OR(RM$13="",RM$17="",RM$14="",RM$15="",RM$16="",RM$18="",RM$19="",RM$20="",RM$21=""),"",SUM($C18:RM18))</f>
        <v/>
      </c>
      <c r="RN85" s="114" t="str">
        <f>IF(OR(RN$13="",RN$17="",RN$14="",RN$15="",RN$16="",RN$18="",RN$19="",RN$20="",RN$21=""),"",SUM($C18:RN18))</f>
        <v/>
      </c>
      <c r="RO85" s="114" t="str">
        <f>IF(OR(RO$13="",RO$17="",RO$14="",RO$15="",RO$16="",RO$18="",RO$19="",RO$20="",RO$21=""),"",SUM($C18:RO18))</f>
        <v/>
      </c>
      <c r="RP85" s="114" t="str">
        <f>IF(OR(RP$13="",RP$17="",RP$14="",RP$15="",RP$16="",RP$18="",RP$19="",RP$20="",RP$21=""),"",SUM($C18:RP18))</f>
        <v/>
      </c>
      <c r="RQ85" s="114" t="str">
        <f>IF(OR(RQ$13="",RQ$17="",RQ$14="",RQ$15="",RQ$16="",RQ$18="",RQ$19="",RQ$20="",RQ$21=""),"",SUM($C18:RQ18))</f>
        <v/>
      </c>
      <c r="RR85" s="114" t="str">
        <f>IF(OR(RR$13="",RR$17="",RR$14="",RR$15="",RR$16="",RR$18="",RR$19="",RR$20="",RR$21=""),"",SUM($C18:RR18))</f>
        <v/>
      </c>
      <c r="RS85" s="114" t="str">
        <f>IF(OR(RS$13="",RS$17="",RS$14="",RS$15="",RS$16="",RS$18="",RS$19="",RS$20="",RS$21=""),"",SUM($C18:RS18))</f>
        <v/>
      </c>
      <c r="RT85" s="114" t="str">
        <f>IF(OR(RT$13="",RT$17="",RT$14="",RT$15="",RT$16="",RT$18="",RT$19="",RT$20="",RT$21=""),"",SUM($C18:RT18))</f>
        <v/>
      </c>
      <c r="RU85" s="114" t="str">
        <f>IF(OR(RU$13="",RU$17="",RU$14="",RU$15="",RU$16="",RU$18="",RU$19="",RU$20="",RU$21=""),"",SUM($C18:RU18))</f>
        <v/>
      </c>
      <c r="RV85" s="114" t="str">
        <f>IF(OR(RV$13="",RV$17="",RV$14="",RV$15="",RV$16="",RV$18="",RV$19="",RV$20="",RV$21=""),"",SUM($C18:RV18))</f>
        <v/>
      </c>
      <c r="RW85" s="114" t="str">
        <f>IF(OR(RW$13="",RW$17="",RW$14="",RW$15="",RW$16="",RW$18="",RW$19="",RW$20="",RW$21=""),"",SUM($C18:RW18))</f>
        <v/>
      </c>
      <c r="RX85" s="114" t="str">
        <f>IF(OR(RX$13="",RX$17="",RX$14="",RX$15="",RX$16="",RX$18="",RX$19="",RX$20="",RX$21=""),"",SUM($C18:RX18))</f>
        <v/>
      </c>
      <c r="RY85" s="114" t="str">
        <f>IF(OR(RY$13="",RY$17="",RY$14="",RY$15="",RY$16="",RY$18="",RY$19="",RY$20="",RY$21=""),"",SUM($C18:RY18))</f>
        <v/>
      </c>
      <c r="RZ85" s="114" t="str">
        <f>IF(OR(RZ$13="",RZ$17="",RZ$14="",RZ$15="",RZ$16="",RZ$18="",RZ$19="",RZ$20="",RZ$21=""),"",SUM($C18:RZ18))</f>
        <v/>
      </c>
      <c r="SA85" s="114" t="str">
        <f>IF(OR(SA$13="",SA$17="",SA$14="",SA$15="",SA$16="",SA$18="",SA$19="",SA$20="",SA$21=""),"",SUM($C18:SA18))</f>
        <v/>
      </c>
      <c r="SB85" s="114" t="str">
        <f>IF(OR(SB$13="",SB$17="",SB$14="",SB$15="",SB$16="",SB$18="",SB$19="",SB$20="",SB$21=""),"",SUM($C18:SB18))</f>
        <v/>
      </c>
      <c r="SC85" s="114" t="str">
        <f>IF(OR(SC$13="",SC$17="",SC$14="",SC$15="",SC$16="",SC$18="",SC$19="",SC$20="",SC$21=""),"",SUM($C18:SC18))</f>
        <v/>
      </c>
      <c r="SD85" s="114" t="str">
        <f>IF(OR(SD$13="",SD$17="",SD$14="",SD$15="",SD$16="",SD$18="",SD$19="",SD$20="",SD$21=""),"",SUM($C18:SD18))</f>
        <v/>
      </c>
      <c r="SE85" s="114" t="str">
        <f>IF(OR(SE$13="",SE$17="",SE$14="",SE$15="",SE$16="",SE$18="",SE$19="",SE$20="",SE$21=""),"",SUM($C18:SE18))</f>
        <v/>
      </c>
      <c r="SF85" s="114" t="str">
        <f>IF(OR(SF$13="",SF$17="",SF$14="",SF$15="",SF$16="",SF$18="",SF$19="",SF$20="",SF$21=""),"",SUM($C18:SF18))</f>
        <v/>
      </c>
      <c r="SG85" s="114" t="str">
        <f>IF(OR(SG$13="",SG$17="",SG$14="",SG$15="",SG$16="",SG$18="",SG$19="",SG$20="",SG$21=""),"",SUM($C18:SG18))</f>
        <v/>
      </c>
      <c r="SH85" s="114" t="str">
        <f>IF(OR(SH$13="",SH$17="",SH$14="",SH$15="",SH$16="",SH$18="",SH$19="",SH$20="",SH$21=""),"",SUM($C18:SH18))</f>
        <v/>
      </c>
      <c r="SI85" s="114" t="str">
        <f>IF(OR(SI$13="",SI$17="",SI$14="",SI$15="",SI$16="",SI$18="",SI$19="",SI$20="",SI$21=""),"",SUM($C18:SI18))</f>
        <v/>
      </c>
      <c r="SJ85" s="114" t="str">
        <f>IF(OR(SJ$13="",SJ$17="",SJ$14="",SJ$15="",SJ$16="",SJ$18="",SJ$19="",SJ$20="",SJ$21=""),"",SUM($C18:SJ18))</f>
        <v/>
      </c>
      <c r="SK85" s="114" t="str">
        <f>IF(OR(SK$13="",SK$17="",SK$14="",SK$15="",SK$16="",SK$18="",SK$19="",SK$20="",SK$21=""),"",SUM($C18:SK18))</f>
        <v/>
      </c>
      <c r="SL85" s="114" t="str">
        <f>IF(OR(SL$13="",SL$17="",SL$14="",SL$15="",SL$16="",SL$18="",SL$19="",SL$20="",SL$21=""),"",SUM($C18:SL18))</f>
        <v/>
      </c>
      <c r="SM85" s="114" t="str">
        <f>IF(OR(SM$13="",SM$17="",SM$14="",SM$15="",SM$16="",SM$18="",SM$19="",SM$20="",SM$21=""),"",SUM($C18:SM18))</f>
        <v/>
      </c>
      <c r="SN85" s="114" t="str">
        <f>IF(OR(SN$13="",SN$17="",SN$14="",SN$15="",SN$16="",SN$18="",SN$19="",SN$20="",SN$21=""),"",SUM($C18:SN18))</f>
        <v/>
      </c>
      <c r="SO85" s="114" t="str">
        <f>IF(OR(SO$13="",SO$17="",SO$14="",SO$15="",SO$16="",SO$18="",SO$19="",SO$20="",SO$21=""),"",SUM($C18:SO18))</f>
        <v/>
      </c>
      <c r="SP85" s="114" t="str">
        <f>IF(OR(SP$13="",SP$17="",SP$14="",SP$15="",SP$16="",SP$18="",SP$19="",SP$20="",SP$21=""),"",SUM($C18:SP18))</f>
        <v/>
      </c>
      <c r="SQ85" s="114" t="str">
        <f>IF(OR(SQ$13="",SQ$17="",SQ$14="",SQ$15="",SQ$16="",SQ$18="",SQ$19="",SQ$20="",SQ$21=""),"",SUM($C18:SQ18))</f>
        <v/>
      </c>
      <c r="SR85" s="114" t="str">
        <f>IF(OR(SR$13="",SR$17="",SR$14="",SR$15="",SR$16="",SR$18="",SR$19="",SR$20="",SR$21=""),"",SUM($C18:SR18))</f>
        <v/>
      </c>
      <c r="SS85" s="114" t="str">
        <f>IF(OR(SS$13="",SS$17="",SS$14="",SS$15="",SS$16="",SS$18="",SS$19="",SS$20="",SS$21=""),"",SUM($C18:SS18))</f>
        <v/>
      </c>
      <c r="ST85" s="114" t="str">
        <f>IF(OR(ST$13="",ST$17="",ST$14="",ST$15="",ST$16="",ST$18="",ST$19="",ST$20="",ST$21=""),"",SUM($C18:ST18))</f>
        <v/>
      </c>
      <c r="SU85" s="114" t="str">
        <f>IF(OR(SU$13="",SU$17="",SU$14="",SU$15="",SU$16="",SU$18="",SU$19="",SU$20="",SU$21=""),"",SUM($C18:SU18))</f>
        <v/>
      </c>
      <c r="SV85" s="114" t="str">
        <f>IF(OR(SV$13="",SV$17="",SV$14="",SV$15="",SV$16="",SV$18="",SV$19="",SV$20="",SV$21=""),"",SUM($C18:SV18))</f>
        <v/>
      </c>
      <c r="SW85" s="114" t="str">
        <f>IF(OR(SW$13="",SW$17="",SW$14="",SW$15="",SW$16="",SW$18="",SW$19="",SW$20="",SW$21=""),"",SUM($C18:SW18))</f>
        <v/>
      </c>
    </row>
    <row r="86" spans="1:517" ht="24.6" customHeight="1" x14ac:dyDescent="0.2">
      <c r="A86" s="94">
        <v>777</v>
      </c>
      <c r="B86" s="119" t="s">
        <v>83</v>
      </c>
      <c r="C86" s="114">
        <f>IF(OR(C$13="",C$17="",C$14="",C$15="",C$16="",C$18="",C$19="",C$20="",C$21=""),"",SUM($C19:C19))</f>
        <v>0</v>
      </c>
      <c r="D86" s="114">
        <f>IF(OR(D$13="",D$17="",D$14="",D$15="",D$16="",D$18="",D$19="",D$20="",D$21=""),"",SUM($C19:D19))</f>
        <v>0</v>
      </c>
      <c r="E86" s="114">
        <f>IF(OR(E$13="",E$17="",E$14="",E$15="",E$16="",E$18="",E$19="",E$20="",E$21=""),"",SUM($C19:E19))</f>
        <v>0</v>
      </c>
      <c r="F86" s="114">
        <f>IF(OR(F$13="",F$17="",F$14="",F$15="",F$16="",F$18="",F$19="",F$20="",F$21=""),"",SUM($C19:F19))</f>
        <v>0</v>
      </c>
      <c r="G86" s="114">
        <f>IF(OR(G$13="",G$17="",G$14="",G$15="",G$16="",G$18="",G$19="",G$20="",G$21=""),"",SUM($C19:G19))</f>
        <v>0</v>
      </c>
      <c r="H86" s="114">
        <f>IF(OR(H$13="",H$17="",H$14="",H$15="",H$16="",H$18="",H$19="",H$20="",H$21=""),"",SUM($C19:H19))</f>
        <v>0</v>
      </c>
      <c r="I86" s="114">
        <f>IF(OR(I$13="",I$17="",I$14="",I$15="",I$16="",I$18="",I$19="",I$20="",I$21=""),"",SUM($C19:I19))</f>
        <v>0</v>
      </c>
      <c r="J86" s="114">
        <f>IF(OR(J$13="",J$17="",J$14="",J$15="",J$16="",J$18="",J$19="",J$20="",J$21=""),"",SUM($C19:J19))</f>
        <v>0</v>
      </c>
      <c r="K86" s="114">
        <f>IF(OR(K$13="",K$17="",K$14="",K$15="",K$16="",K$18="",K$19="",K$20="",K$21=""),"",SUM($C19:K19))</f>
        <v>3.55</v>
      </c>
      <c r="L86" s="114">
        <f>IF(OR(L$13="",L$17="",L$14="",L$15="",L$16="",L$18="",L$19="",L$20="",L$21=""),"",SUM($C19:L19))</f>
        <v>14.43</v>
      </c>
      <c r="M86" s="114">
        <f>IF(OR(M$13="",M$17="",M$14="",M$15="",M$16="",M$18="",M$19="",M$20="",M$21=""),"",SUM($C19:M19))</f>
        <v>14.43</v>
      </c>
      <c r="N86" s="114">
        <f>IF(OR(N$13="",N$17="",N$14="",N$15="",N$16="",N$18="",N$19="",N$20="",N$21=""),"",SUM($C19:N19))</f>
        <v>14.43</v>
      </c>
      <c r="O86" s="114">
        <f>IF(OR(O$13="",O$17="",O$14="",O$15="",O$16="",O$18="",O$19="",O$20="",O$21=""),"",SUM($C19:O19))</f>
        <v>14.43</v>
      </c>
      <c r="P86" s="114">
        <f>IF(OR(P$13="",P$17="",P$14="",P$15="",P$16="",P$18="",P$19="",P$20="",P$21=""),"",SUM($C19:P19))</f>
        <v>14.43</v>
      </c>
      <c r="Q86" s="114">
        <f>IF(OR(Q$13="",Q$17="",Q$14="",Q$15="",Q$16="",Q$18="",Q$19="",Q$20="",Q$21=""),"",SUM($C19:Q19))</f>
        <v>14.43</v>
      </c>
      <c r="R86" s="114">
        <f>IF(OR(R$13="",R$17="",R$14="",R$15="",R$16="",R$18="",R$19="",R$20="",R$21=""),"",SUM($C19:R19))</f>
        <v>16.98</v>
      </c>
      <c r="S86" s="114">
        <f>IF(OR(S$13="",S$17="",S$14="",S$15="",S$16="",S$18="",S$19="",S$20="",S$21=""),"",SUM($C19:S19))</f>
        <v>16.98</v>
      </c>
      <c r="T86" s="114">
        <f>IF(OR(T$13="",T$17="",T$14="",T$15="",T$16="",T$18="",T$19="",T$20="",T$21=""),"",SUM($C19:T19))</f>
        <v>16.98</v>
      </c>
      <c r="U86" s="114">
        <f>IF(OR(U$13="",U$17="",U$14="",U$15="",U$16="",U$18="",U$19="",U$20="",U$21=""),"",SUM($C19:U19))</f>
        <v>25.48</v>
      </c>
      <c r="V86" s="114">
        <f>IF(OR(V$13="",V$17="",V$14="",V$15="",V$16="",V$18="",V$19="",V$20="",V$21=""),"",SUM($C19:V19))</f>
        <v>34.130000000000003</v>
      </c>
      <c r="W86" s="114">
        <f>IF(OR(W$13="",W$17="",W$14="",W$15="",W$16="",W$18="",W$19="",W$20="",W$21=""),"",SUM($C19:W19))</f>
        <v>34.130000000000003</v>
      </c>
      <c r="X86" s="114">
        <f>IF(OR(X$13="",X$17="",X$14="",X$15="",X$16="",X$18="",X$19="",X$20="",X$21=""),"",SUM($C19:X19))</f>
        <v>34.130000000000003</v>
      </c>
      <c r="Y86" s="114">
        <f>IF(OR(Y$13="",Y$17="",Y$14="",Y$15="",Y$16="",Y$18="",Y$19="",Y$20="",Y$21=""),"",SUM($C19:Y19))</f>
        <v>34.130000000000003</v>
      </c>
      <c r="Z86" s="114">
        <f>IF(OR(Z$13="",Z$17="",Z$14="",Z$15="",Z$16="",Z$18="",Z$19="",Z$20="",Z$21=""),"",SUM($C19:Z19))</f>
        <v>34.130000000000003</v>
      </c>
      <c r="AA86" s="114">
        <f>IF(OR(AA$13="",AA$17="",AA$14="",AA$15="",AA$16="",AA$18="",AA$19="",AA$20="",AA$21=""),"",SUM($C19:AA19))</f>
        <v>34.130000000000003</v>
      </c>
      <c r="AB86" s="114">
        <f>IF(OR(AB$13="",AB$17="",AB$14="",AB$15="",AB$16="",AB$18="",AB$19="",AB$20="",AB$21=""),"",SUM($C19:AB19))</f>
        <v>34.130000000000003</v>
      </c>
      <c r="AC86" s="114">
        <f>IF(OR(AC$13="",AC$17="",AC$14="",AC$15="",AC$16="",AC$18="",AC$19="",AC$20="",AC$21=""),"",SUM($C19:AC19))</f>
        <v>34.71</v>
      </c>
      <c r="AD86" s="114">
        <f>IF(OR(AD$13="",AD$17="",AD$14="",AD$15="",AD$16="",AD$18="",AD$19="",AD$20="",AD$21=""),"",SUM($C19:AD19))</f>
        <v>34.71</v>
      </c>
      <c r="AE86" s="114">
        <f>IF(OR(AE$13="",AE$17="",AE$14="",AE$15="",AE$16="",AE$18="",AE$19="",AE$20="",AE$21=""),"",SUM($C19:AE19))</f>
        <v>34.71</v>
      </c>
      <c r="AF86" s="114">
        <f>IF(OR(AF$13="",AF$17="",AF$14="",AF$15="",AF$16="",AF$18="",AF$19="",AF$20="",AF$21=""),"",SUM($C19:AF19))</f>
        <v>34.71</v>
      </c>
      <c r="AG86" s="114">
        <f>IF(OR(AG$13="",AG$17="",AG$14="",AG$15="",AG$16="",AG$18="",AG$19="",AG$20="",AG$21=""),"",SUM($C19:AG19))</f>
        <v>34.71</v>
      </c>
      <c r="AH86" s="114">
        <f>IF(OR(AH$13="",AH$17="",AH$14="",AH$15="",AH$16="",AH$18="",AH$19="",AH$20="",AH$21=""),"",SUM($C19:AH19))</f>
        <v>34.71</v>
      </c>
      <c r="AI86" s="114">
        <f>IF(OR(AI$13="",AI$17="",AI$14="",AI$15="",AI$16="",AI$18="",AI$19="",AI$20="",AI$21=""),"",SUM($C19:AI19))</f>
        <v>34.71</v>
      </c>
      <c r="AJ86" s="114">
        <f>IF(OR(AJ$13="",AJ$17="",AJ$14="",AJ$15="",AJ$16="",AJ$18="",AJ$19="",AJ$20="",AJ$21=""),"",SUM($C19:AJ19))</f>
        <v>34.71</v>
      </c>
      <c r="AK86" s="114">
        <f>IF(OR(AK$13="",AK$17="",AK$14="",AK$15="",AK$16="",AK$18="",AK$19="",AK$20="",AK$21=""),"",SUM($C19:AK19))</f>
        <v>34.71</v>
      </c>
      <c r="AL86" s="114">
        <f>IF(OR(AL$13="",AL$17="",AL$14="",AL$15="",AL$16="",AL$18="",AL$19="",AL$20="",AL$21=""),"",SUM($C19:AL19))</f>
        <v>38.49</v>
      </c>
      <c r="AM86" s="114">
        <f>IF(OR(AM$13="",AM$17="",AM$14="",AM$15="",AM$16="",AM$18="",AM$19="",AM$20="",AM$21=""),"",SUM($C19:AM19))</f>
        <v>38.99</v>
      </c>
      <c r="AN86" s="114">
        <f>IF(OR(AN$13="",AN$17="",AN$14="",AN$15="",AN$16="",AN$18="",AN$19="",AN$20="",AN$21=""),"",SUM($C19:AN19))</f>
        <v>38.99</v>
      </c>
      <c r="AO86" s="114">
        <f>IF(OR(AO$13="",AO$17="",AO$14="",AO$15="",AO$16="",AO$18="",AO$19="",AO$20="",AO$21=""),"",SUM($C19:AO19))</f>
        <v>38.99</v>
      </c>
      <c r="AP86" s="114">
        <f>IF(OR(AP$13="",AP$17="",AP$14="",AP$15="",AP$16="",AP$18="",AP$19="",AP$20="",AP$21=""),"",SUM($C19:AP19))</f>
        <v>38.99</v>
      </c>
      <c r="AQ86" s="114">
        <f>IF(OR(AQ$13="",AQ$17="",AQ$14="",AQ$15="",AQ$16="",AQ$18="",AQ$19="",AQ$20="",AQ$21=""),"",SUM($C19:AQ19))</f>
        <v>40.270000000000003</v>
      </c>
      <c r="AR86" s="114">
        <f>IF(OR(AR$13="",AR$17="",AR$14="",AR$15="",AR$16="",AR$18="",AR$19="",AR$20="",AR$21=""),"",SUM($C19:AR19))</f>
        <v>42.57</v>
      </c>
      <c r="AS86" s="114">
        <f>IF(OR(AS$13="",AS$17="",AS$14="",AS$15="",AS$16="",AS$18="",AS$19="",AS$20="",AS$21=""),"",SUM($C19:AS19))</f>
        <v>53.85</v>
      </c>
      <c r="AT86" s="114">
        <f>IF(OR(AT$13="",AT$17="",AT$14="",AT$15="",AT$16="",AT$18="",AT$19="",AT$20="",AT$21=""),"",SUM($C19:AT19))</f>
        <v>72.03</v>
      </c>
      <c r="AU86" s="114">
        <f>IF(OR(AU$13="",AU$17="",AU$14="",AU$15="",AU$16="",AU$18="",AU$19="",AU$20="",AU$21=""),"",SUM($C19:AU19))</f>
        <v>72.03</v>
      </c>
      <c r="AV86" s="114">
        <f>IF(OR(AV$13="",AV$17="",AV$14="",AV$15="",AV$16="",AV$18="",AV$19="",AV$20="",AV$21=""),"",SUM($C19:AV19))</f>
        <v>72.03</v>
      </c>
      <c r="AW86" s="114">
        <f>IF(OR(AW$13="",AW$17="",AW$14="",AW$15="",AW$16="",AW$18="",AW$19="",AW$20="",AW$21=""),"",SUM($C19:AW19))</f>
        <v>72.03</v>
      </c>
      <c r="AX86" s="114">
        <f>IF(OR(AX$13="",AX$17="",AX$14="",AX$15="",AX$16="",AX$18="",AX$19="",AX$20="",AX$21=""),"",SUM($C19:AX19))</f>
        <v>78.11</v>
      </c>
      <c r="AY86" s="114">
        <f>IF(OR(AY$13="",AY$17="",AY$14="",AY$15="",AY$16="",AY$18="",AY$19="",AY$20="",AY$21=""),"",SUM($C19:AY19))</f>
        <v>78.11</v>
      </c>
      <c r="AZ86" s="114">
        <f>IF(OR(AZ$13="",AZ$17="",AZ$14="",AZ$15="",AZ$16="",AZ$18="",AZ$19="",AZ$20="",AZ$21=""),"",SUM($C19:AZ19))</f>
        <v>78.11</v>
      </c>
      <c r="BA86" s="114">
        <f>IF(OR(BA$13="",BA$17="",BA$14="",BA$15="",BA$16="",BA$18="",BA$19="",BA$20="",BA$21=""),"",SUM($C19:BA19))</f>
        <v>78.11</v>
      </c>
      <c r="BB86" s="114">
        <f>IF(OR(BB$13="",BB$17="",BB$14="",BB$15="",BB$16="",BB$18="",BB$19="",BB$20="",BB$21=""),"",SUM($C19:BB19))</f>
        <v>83.53</v>
      </c>
      <c r="BC86" s="114">
        <f>IF(OR(BC$13="",BC$17="",BC$14="",BC$15="",BC$16="",BC$18="",BC$19="",BC$20="",BC$21=""),"",SUM($C19:BC19))</f>
        <v>128</v>
      </c>
      <c r="BD86" s="114">
        <f>IF(OR(BD$13="",BD$17="",BD$14="",BD$15="",BD$16="",BD$18="",BD$19="",BD$20="",BD$21=""),"",SUM($C19:BD19))</f>
        <v>128</v>
      </c>
      <c r="BE86" s="114">
        <f>IF(OR(BE$13="",BE$17="",BE$14="",BE$15="",BE$16="",BE$18="",BE$19="",BE$20="",BE$21=""),"",SUM($C19:BE19))</f>
        <v>129.13</v>
      </c>
      <c r="BF86" s="114">
        <f>IF(OR(BF$13="",BF$17="",BF$14="",BF$15="",BF$16="",BF$18="",BF$19="",BF$20="",BF$21=""),"",SUM($C19:BF19))</f>
        <v>134.94999999999999</v>
      </c>
      <c r="BG86" s="114">
        <f>IF(OR(BG$13="",BG$17="",BG$14="",BG$15="",BG$16="",BG$18="",BG$19="",BG$20="",BG$21=""),"",SUM($C19:BG19))</f>
        <v>134.94999999999999</v>
      </c>
      <c r="BH86" s="114">
        <f>IF(OR(BH$13="",BH$17="",BH$14="",BH$15="",BH$16="",BH$18="",BH$19="",BH$20="",BH$21=""),"",SUM($C19:BH19))</f>
        <v>134.94999999999999</v>
      </c>
      <c r="BI86" s="114">
        <f>IF(OR(BI$13="",BI$17="",BI$14="",BI$15="",BI$16="",BI$18="",BI$19="",BI$20="",BI$21=""),"",SUM($C19:BI19))</f>
        <v>134.94999999999999</v>
      </c>
      <c r="BJ86" s="114">
        <f>IF(OR(BJ$13="",BJ$17="",BJ$14="",BJ$15="",BJ$16="",BJ$18="",BJ$19="",BJ$20="",BJ$21=""),"",SUM($C19:BJ19))</f>
        <v>134.94999999999999</v>
      </c>
      <c r="BK86" s="114">
        <f>IF(OR(BK$13="",BK$17="",BK$14="",BK$15="",BK$16="",BK$18="",BK$19="",BK$20="",BK$21=""),"",SUM($C19:BK19))</f>
        <v>134.94999999999999</v>
      </c>
      <c r="BL86" s="114">
        <f>IF(OR(BL$13="",BL$17="",BL$14="",BL$15="",BL$16="",BL$18="",BL$19="",BL$20="",BL$21=""),"",SUM($C19:BL19))</f>
        <v>137.32</v>
      </c>
      <c r="BM86" s="114">
        <f>IF(OR(BM$13="",BM$17="",BM$14="",BM$15="",BM$16="",BM$18="",BM$19="",BM$20="",BM$21=""),"",SUM($C19:BM19))</f>
        <v>137.32</v>
      </c>
      <c r="BN86" s="114">
        <f>IF(OR(BN$13="",BN$17="",BN$14="",BN$15="",BN$16="",BN$18="",BN$19="",BN$20="",BN$21=""),"",SUM($C19:BN19))</f>
        <v>137.32</v>
      </c>
      <c r="BO86" s="114">
        <f>IF(OR(BO$13="",BO$17="",BO$14="",BO$15="",BO$16="",BO$18="",BO$19="",BO$20="",BO$21=""),"",SUM($C19:BO19))</f>
        <v>137.32</v>
      </c>
      <c r="BP86" s="114">
        <f>IF(OR(BP$13="",BP$17="",BP$14="",BP$15="",BP$16="",BP$18="",BP$19="",BP$20="",BP$21=""),"",SUM($C19:BP19))</f>
        <v>137.32</v>
      </c>
      <c r="BQ86" s="114">
        <f>IF(OR(BQ$13="",BQ$17="",BQ$14="",BQ$15="",BQ$16="",BQ$18="",BQ$19="",BQ$20="",BQ$21=""),"",SUM($C19:BQ19))</f>
        <v>137.32</v>
      </c>
      <c r="BR86" s="114">
        <f>IF(OR(BR$13="",BR$17="",BR$14="",BR$15="",BR$16="",BR$18="",BR$19="",BR$20="",BR$21=""),"",SUM($C19:BR19))</f>
        <v>147.79999999999998</v>
      </c>
      <c r="BS86" s="114">
        <f>IF(OR(BS$13="",BS$17="",BS$14="",BS$15="",BS$16="",BS$18="",BS$19="",BS$20="",BS$21=""),"",SUM($C19:BS19))</f>
        <v>147.79999999999998</v>
      </c>
      <c r="BT86" s="114">
        <f>IF(OR(BT$13="",BT$17="",BT$14="",BT$15="",BT$16="",BT$18="",BT$19="",BT$20="",BT$21=""),"",SUM($C19:BT19))</f>
        <v>147.79999999999998</v>
      </c>
      <c r="BU86" s="114">
        <f>IF(OR(BU$13="",BU$17="",BU$14="",BU$15="",BU$16="",BU$18="",BU$19="",BU$20="",BU$21=""),"",SUM($C19:BU19))</f>
        <v>147.79999999999998</v>
      </c>
      <c r="BV86" s="114">
        <f>IF(OR(BV$13="",BV$17="",BV$14="",BV$15="",BV$16="",BV$18="",BV$19="",BV$20="",BV$21=""),"",SUM($C19:BV19))</f>
        <v>147.79999999999998</v>
      </c>
      <c r="BW86" s="114">
        <f>IF(OR(BW$13="",BW$17="",BW$14="",BW$15="",BW$16="",BW$18="",BW$19="",BW$20="",BW$21=""),"",SUM($C19:BW19))</f>
        <v>147.79999999999998</v>
      </c>
      <c r="BX86" s="114">
        <f>IF(OR(BX$13="",BX$17="",BX$14="",BX$15="",BX$16="",BX$18="",BX$19="",BX$20="",BX$21=""),"",SUM($C19:BX19))</f>
        <v>147.79999999999998</v>
      </c>
      <c r="BY86" s="114">
        <f>IF(OR(BY$13="",BY$17="",BY$14="",BY$15="",BY$16="",BY$18="",BY$19="",BY$20="",BY$21=""),"",SUM($C19:BY19))</f>
        <v>147.79999999999998</v>
      </c>
      <c r="BZ86" s="114">
        <f>IF(OR(BZ$13="",BZ$17="",BZ$14="",BZ$15="",BZ$16="",BZ$18="",BZ$19="",BZ$20="",BZ$21=""),"",SUM($C19:BZ19))</f>
        <v>147.79999999999998</v>
      </c>
      <c r="CA86" s="114">
        <f>IF(OR(CA$13="",CA$17="",CA$14="",CA$15="",CA$16="",CA$18="",CA$19="",CA$20="",CA$21=""),"",SUM($C19:CA19))</f>
        <v>147.79999999999998</v>
      </c>
      <c r="CB86" s="114">
        <f>IF(OR(CB$13="",CB$17="",CB$14="",CB$15="",CB$16="",CB$18="",CB$19="",CB$20="",CB$21=""),"",SUM($C19:CB19))</f>
        <v>147.79999999999998</v>
      </c>
      <c r="CC86" s="114">
        <f>IF(OR(CC$13="",CC$17="",CC$14="",CC$15="",CC$16="",CC$18="",CC$19="",CC$20="",CC$21=""),"",SUM($C19:CC19))</f>
        <v>147.79999999999998</v>
      </c>
      <c r="CD86" s="114">
        <f>IF(OR(CD$13="",CD$17="",CD$14="",CD$15="",CD$16="",CD$18="",CD$19="",CD$20="",CD$21=""),"",SUM($C19:CD19))</f>
        <v>147.79999999999998</v>
      </c>
      <c r="CE86" s="114">
        <f>IF(OR(CE$13="",CE$17="",CE$14="",CE$15="",CE$16="",CE$18="",CE$19="",CE$20="",CE$21=""),"",SUM($C19:CE19))</f>
        <v>147.79999999999998</v>
      </c>
      <c r="CF86" s="114">
        <f>IF(OR(CF$13="",CF$17="",CF$14="",CF$15="",CF$16="",CF$18="",CF$19="",CF$20="",CF$21=""),"",SUM($C19:CF19))</f>
        <v>160.19999999999999</v>
      </c>
      <c r="CG86" s="114">
        <f>IF(OR(CG$13="",CG$17="",CG$14="",CG$15="",CG$16="",CG$18="",CG$19="",CG$20="",CG$21=""),"",SUM($C19:CG19))</f>
        <v>160.19999999999999</v>
      </c>
      <c r="CH86" s="114">
        <f>IF(OR(CH$13="",CH$17="",CH$14="",CH$15="",CH$16="",CH$18="",CH$19="",CH$20="",CH$21=""),"",SUM($C19:CH19))</f>
        <v>160.19999999999999</v>
      </c>
      <c r="CI86" s="114">
        <f>IF(OR(CI$13="",CI$17="",CI$14="",CI$15="",CI$16="",CI$18="",CI$19="",CI$20="",CI$21=""),"",SUM($C19:CI19))</f>
        <v>170.17</v>
      </c>
      <c r="CJ86" s="114">
        <f>IF(OR(CJ$13="",CJ$17="",CJ$14="",CJ$15="",CJ$16="",CJ$18="",CJ$19="",CJ$20="",CJ$21=""),"",SUM($C19:CJ19))</f>
        <v>170.17</v>
      </c>
      <c r="CK86" s="114">
        <f>IF(OR(CK$13="",CK$17="",CK$14="",CK$15="",CK$16="",CK$18="",CK$19="",CK$20="",CK$21=""),"",SUM($C19:CK19))</f>
        <v>170.17</v>
      </c>
      <c r="CL86" s="114">
        <f>IF(OR(CL$13="",CL$17="",CL$14="",CL$15="",CL$16="",CL$18="",CL$19="",CL$20="",CL$21=""),"",SUM($C19:CL19))</f>
        <v>170.17</v>
      </c>
      <c r="CM86" s="114">
        <f>IF(OR(CM$13="",CM$17="",CM$14="",CM$15="",CM$16="",CM$18="",CM$19="",CM$20="",CM$21=""),"",SUM($C19:CM19))</f>
        <v>175.39999999999998</v>
      </c>
      <c r="CN86" s="114">
        <f>IF(OR(CN$13="",CN$17="",CN$14="",CN$15="",CN$16="",CN$18="",CN$19="",CN$20="",CN$21=""),"",SUM($C19:CN19))</f>
        <v>175.39999999999998</v>
      </c>
      <c r="CO86" s="114">
        <f>IF(OR(CO$13="",CO$17="",CO$14="",CO$15="",CO$16="",CO$18="",CO$19="",CO$20="",CO$21=""),"",SUM($C19:CO19))</f>
        <v>190.92</v>
      </c>
      <c r="CP86" s="114">
        <f>IF(OR(CP$13="",CP$17="",CP$14="",CP$15="",CP$16="",CP$18="",CP$19="",CP$20="",CP$21=""),"",SUM($C19:CP19))</f>
        <v>191.29999999999998</v>
      </c>
      <c r="CQ86" s="114">
        <f>IF(OR(CQ$13="",CQ$17="",CQ$14="",CQ$15="",CQ$16="",CQ$18="",CQ$19="",CQ$20="",CQ$21=""),"",SUM($C19:CQ19))</f>
        <v>191.29999999999998</v>
      </c>
      <c r="CR86" s="114">
        <f>IF(OR(CR$13="",CR$17="",CR$14="",CR$15="",CR$16="",CR$18="",CR$19="",CR$20="",CR$21=""),"",SUM($C19:CR19))</f>
        <v>191.29999999999998</v>
      </c>
      <c r="CS86" s="114">
        <f>IF(OR(CS$13="",CS$17="",CS$14="",CS$15="",CS$16="",CS$18="",CS$19="",CS$20="",CS$21=""),"",SUM($C19:CS19))</f>
        <v>201.99999999999997</v>
      </c>
      <c r="CT86" s="114">
        <f>IF(OR(CT$13="",CT$17="",CT$14="",CT$15="",CT$16="",CT$18="",CT$19="",CT$20="",CT$21=""),"",SUM($C19:CT19))</f>
        <v>201.99999999999997</v>
      </c>
      <c r="CU86" s="114">
        <f>IF(OR(CU$13="",CU$17="",CU$14="",CU$15="",CU$16="",CU$18="",CU$19="",CU$20="",CU$21=""),"",SUM($C19:CU19))</f>
        <v>201.99999999999997</v>
      </c>
      <c r="CV86" s="114">
        <f>IF(OR(CV$13="",CV$17="",CV$14="",CV$15="",CV$16="",CV$18="",CV$19="",CV$20="",CV$21=""),"",SUM($C19:CV19))</f>
        <v>201.99999999999997</v>
      </c>
      <c r="CW86" s="114">
        <f>IF(OR(CW$13="",CW$17="",CW$14="",CW$15="",CW$16="",CW$18="",CW$19="",CW$20="",CW$21=""),"",SUM($C19:CW19))</f>
        <v>205.41999999999996</v>
      </c>
      <c r="CX86" s="114">
        <f>IF(OR(CX$13="",CX$17="",CX$14="",CX$15="",CX$16="",CX$18="",CX$19="",CX$20="",CX$21=""),"",SUM($C19:CX19))</f>
        <v>205.41999999999996</v>
      </c>
      <c r="CY86" s="114">
        <f>IF(OR(CY$13="",CY$17="",CY$14="",CY$15="",CY$16="",CY$18="",CY$19="",CY$20="",CY$21=""),"",SUM($C19:CY19))</f>
        <v>205.41999999999996</v>
      </c>
      <c r="CZ86" s="114">
        <f>IF(OR(CZ$13="",CZ$17="",CZ$14="",CZ$15="",CZ$16="",CZ$18="",CZ$19="",CZ$20="",CZ$21=""),"",SUM($C19:CZ19))</f>
        <v>205.41999999999996</v>
      </c>
      <c r="DA86" s="114">
        <f>IF(OR(DA$13="",DA$17="",DA$14="",DA$15="",DA$16="",DA$18="",DA$19="",DA$20="",DA$21=""),"",SUM($C19:DA19))</f>
        <v>206.41999999999996</v>
      </c>
      <c r="DB86" s="114">
        <f>IF(OR(DB$13="",DB$17="",DB$14="",DB$15="",DB$16="",DB$18="",DB$19="",DB$20="",DB$21=""),"",SUM($C19:DB19))</f>
        <v>206.41999999999996</v>
      </c>
      <c r="DC86" s="114">
        <f>IF(OR(DC$13="",DC$17="",DC$14="",DC$15="",DC$16="",DC$18="",DC$19="",DC$20="",DC$21=""),"",SUM($C19:DC19))</f>
        <v>206.41999999999996</v>
      </c>
      <c r="DD86" s="114">
        <f>IF(OR(DD$13="",DD$17="",DD$14="",DD$15="",DD$16="",DD$18="",DD$19="",DD$20="",DD$21=""),"",SUM($C19:DD19))</f>
        <v>206.54999999999995</v>
      </c>
      <c r="DE86" s="114">
        <f>IF(OR(DE$13="",DE$17="",DE$14="",DE$15="",DE$16="",DE$18="",DE$19="",DE$20="",DE$21=""),"",SUM($C19:DE19))</f>
        <v>206.54999999999995</v>
      </c>
      <c r="DF86" s="114">
        <f>IF(OR(DF$13="",DF$17="",DF$14="",DF$15="",DF$16="",DF$18="",DF$19="",DF$20="",DF$21=""),"",SUM($C19:DF19))</f>
        <v>210.71999999999994</v>
      </c>
      <c r="DG86" s="114">
        <f>IF(OR(DG$13="",DG$17="",DG$14="",DG$15="",DG$16="",DG$18="",DG$19="",DG$20="",DG$21=""),"",SUM($C19:DG19))</f>
        <v>210.71999999999994</v>
      </c>
      <c r="DH86" s="114">
        <f>IF(OR(DH$13="",DH$17="",DH$14="",DH$15="",DH$16="",DH$18="",DH$19="",DH$20="",DH$21=""),"",SUM($C19:DH19))</f>
        <v>213.06999999999994</v>
      </c>
      <c r="DI86" s="114">
        <f>IF(OR(DI$13="",DI$17="",DI$14="",DI$15="",DI$16="",DI$18="",DI$19="",DI$20="",DI$21=""),"",SUM($C19:DI19))</f>
        <v>216.64999999999995</v>
      </c>
      <c r="DJ86" s="114">
        <f>IF(OR(DJ$13="",DJ$17="",DJ$14="",DJ$15="",DJ$16="",DJ$18="",DJ$19="",DJ$20="",DJ$21=""),"",SUM($C19:DJ19))</f>
        <v>386.91999999999996</v>
      </c>
      <c r="DK86" s="114">
        <f>IF(OR(DK$13="",DK$17="",DK$14="",DK$15="",DK$16="",DK$18="",DK$19="",DK$20="",DK$21=""),"",SUM($C19:DK19))</f>
        <v>386.91999999999996</v>
      </c>
      <c r="DL86" s="114">
        <f>IF(OR(DL$13="",DL$17="",DL$14="",DL$15="",DL$16="",DL$18="",DL$19="",DL$20="",DL$21=""),"",SUM($C19:DL19))</f>
        <v>386.91999999999996</v>
      </c>
      <c r="DM86" s="114">
        <f>IF(OR(DM$13="",DM$17="",DM$14="",DM$15="",DM$16="",DM$18="",DM$19="",DM$20="",DM$21=""),"",SUM($C19:DM19))</f>
        <v>386.91999999999996</v>
      </c>
      <c r="DN86" s="114">
        <f>IF(OR(DN$13="",DN$17="",DN$14="",DN$15="",DN$16="",DN$18="",DN$19="",DN$20="",DN$21=""),"",SUM($C19:DN19))</f>
        <v>386.91999999999996</v>
      </c>
      <c r="DO86" s="114">
        <f>IF(OR(DO$13="",DO$17="",DO$14="",DO$15="",DO$16="",DO$18="",DO$19="",DO$20="",DO$21=""),"",SUM($C19:DO19))</f>
        <v>386.91999999999996</v>
      </c>
      <c r="DP86" s="114">
        <f>IF(OR(DP$13="",DP$17="",DP$14="",DP$15="",DP$16="",DP$18="",DP$19="",DP$20="",DP$21=""),"",SUM($C19:DP19))</f>
        <v>386.91999999999996</v>
      </c>
      <c r="DQ86" s="114">
        <f>IF(OR(DQ$13="",DQ$17="",DQ$14="",DQ$15="",DQ$16="",DQ$18="",DQ$19="",DQ$20="",DQ$21=""),"",SUM($C19:DQ19))</f>
        <v>386.91999999999996</v>
      </c>
      <c r="DR86" s="114">
        <f>IF(OR(DR$13="",DR$17="",DR$14="",DR$15="",DR$16="",DR$18="",DR$19="",DR$20="",DR$21=""),"",SUM($C19:DR19))</f>
        <v>386.91999999999996</v>
      </c>
      <c r="DS86" s="114">
        <f>IF(OR(DS$13="",DS$17="",DS$14="",DS$15="",DS$16="",DS$18="",DS$19="",DS$20="",DS$21=""),"",SUM($C19:DS19))</f>
        <v>386.91999999999996</v>
      </c>
      <c r="DT86" s="114">
        <f>IF(OR(DT$13="",DT$17="",DT$14="",DT$15="",DT$16="",DT$18="",DT$19="",DT$20="",DT$21=""),"",SUM($C19:DT19))</f>
        <v>387.74999999999994</v>
      </c>
      <c r="DU86" s="114">
        <f>IF(OR(DU$13="",DU$17="",DU$14="",DU$15="",DU$16="",DU$18="",DU$19="",DU$20="",DU$21=""),"",SUM($C19:DU19))</f>
        <v>396.01999999999992</v>
      </c>
      <c r="DV86" s="114">
        <f>IF(OR(DV$13="",DV$17="",DV$14="",DV$15="",DV$16="",DV$18="",DV$19="",DV$20="",DV$21=""),"",SUM($C19:DV19))</f>
        <v>398.71999999999991</v>
      </c>
      <c r="DW86" s="114">
        <f>IF(OR(DW$13="",DW$17="",DW$14="",DW$15="",DW$16="",DW$18="",DW$19="",DW$20="",DW$21=""),"",SUM($C19:DW19))</f>
        <v>438.93999999999994</v>
      </c>
      <c r="DX86" s="114">
        <f>IF(OR(DX$13="",DX$17="",DX$14="",DX$15="",DX$16="",DX$18="",DX$19="",DX$20="",DX$21=""),"",SUM($C19:DX19))</f>
        <v>438.93999999999994</v>
      </c>
      <c r="DY86" s="114">
        <f>IF(OR(DY$13="",DY$17="",DY$14="",DY$15="",DY$16="",DY$18="",DY$19="",DY$20="",DY$21=""),"",SUM($C19:DY19))</f>
        <v>438.93999999999994</v>
      </c>
      <c r="DZ86" s="114">
        <f>IF(OR(DZ$13="",DZ$17="",DZ$14="",DZ$15="",DZ$16="",DZ$18="",DZ$19="",DZ$20="",DZ$21=""),"",SUM($C19:DZ19))</f>
        <v>438.93999999999994</v>
      </c>
      <c r="EA86" s="114">
        <f>IF(OR(EA$13="",EA$17="",EA$14="",EA$15="",EA$16="",EA$18="",EA$19="",EA$20="",EA$21=""),"",SUM($C19:EA19))</f>
        <v>440.08999999999992</v>
      </c>
      <c r="EB86" s="114">
        <f>IF(OR(EB$13="",EB$17="",EB$14="",EB$15="",EB$16="",EB$18="",EB$19="",EB$20="",EB$21=""),"",SUM($C19:EB19))</f>
        <v>440.08999999999992</v>
      </c>
      <c r="EC86" s="114">
        <f>IF(OR(EC$13="",EC$17="",EC$14="",EC$15="",EC$16="",EC$18="",EC$19="",EC$20="",EC$21=""),"",SUM($C19:EC19))</f>
        <v>440.08999999999992</v>
      </c>
      <c r="ED86" s="114">
        <f>IF(OR(ED$13="",ED$17="",ED$14="",ED$15="",ED$16="",ED$18="",ED$19="",ED$20="",ED$21=""),"",SUM($C19:ED19))</f>
        <v>440.08999999999992</v>
      </c>
      <c r="EE86" s="114">
        <f>IF(OR(EE$13="",EE$17="",EE$14="",EE$15="",EE$16="",EE$18="",EE$19="",EE$20="",EE$21=""),"",SUM($C19:EE19))</f>
        <v>440.08999999999992</v>
      </c>
      <c r="EF86" s="114">
        <f>IF(OR(EF$13="",EF$17="",EF$14="",EF$15="",EF$16="",EF$18="",EF$19="",EF$20="",EF$21=""),"",SUM($C19:EF19))</f>
        <v>440.93999999999994</v>
      </c>
      <c r="EG86" s="114">
        <f>IF(OR(EG$13="",EG$17="",EG$14="",EG$15="",EG$16="",EG$18="",EG$19="",EG$20="",EG$21=""),"",SUM($C19:EG19))</f>
        <v>450.63999999999993</v>
      </c>
      <c r="EH86" s="114">
        <f>IF(OR(EH$13="",EH$17="",EH$14="",EH$15="",EH$16="",EH$18="",EH$19="",EH$20="",EH$21=""),"",SUM($C19:EH19))</f>
        <v>450.63999999999993</v>
      </c>
      <c r="EI86" s="114">
        <f>IF(OR(EI$13="",EI$17="",EI$14="",EI$15="",EI$16="",EI$18="",EI$19="",EI$20="",EI$21=""),"",SUM($C19:EI19))</f>
        <v>451.08999999999992</v>
      </c>
      <c r="EJ86" s="114">
        <f>IF(OR(EJ$13="",EJ$17="",EJ$14="",EJ$15="",EJ$16="",EJ$18="",EJ$19="",EJ$20="",EJ$21=""),"",SUM($C19:EJ19))</f>
        <v>451.08999999999992</v>
      </c>
      <c r="EK86" s="114">
        <f>IF(OR(EK$13="",EK$17="",EK$14="",EK$15="",EK$16="",EK$18="",EK$19="",EK$20="",EK$21=""),"",SUM($C19:EK19))</f>
        <v>451.08999999999992</v>
      </c>
      <c r="EL86" s="114">
        <f>IF(OR(EL$13="",EL$17="",EL$14="",EL$15="",EL$16="",EL$18="",EL$19="",EL$20="",EL$21=""),"",SUM($C19:EL19))</f>
        <v>451.08999999999992</v>
      </c>
      <c r="EM86" s="114">
        <f>IF(OR(EM$13="",EM$17="",EM$14="",EM$15="",EM$16="",EM$18="",EM$19="",EM$20="",EM$21=""),"",SUM($C19:EM19))</f>
        <v>451.20999999999992</v>
      </c>
      <c r="EN86" s="114">
        <f>IF(OR(EN$13="",EN$17="",EN$14="",EN$15="",EN$16="",EN$18="",EN$19="",EN$20="",EN$21=""),"",SUM($C19:EN19))</f>
        <v>451.20999999999992</v>
      </c>
      <c r="EO86" s="114">
        <f>IF(OR(EO$13="",EO$17="",EO$14="",EO$15="",EO$16="",EO$18="",EO$19="",EO$20="",EO$21=""),"",SUM($C19:EO19))</f>
        <v>451.20999999999992</v>
      </c>
      <c r="EP86" s="114">
        <f>IF(OR(EP$13="",EP$17="",EP$14="",EP$15="",EP$16="",EP$18="",EP$19="",EP$20="",EP$21=""),"",SUM($C19:EP19))</f>
        <v>451.20999999999992</v>
      </c>
      <c r="EQ86" s="114">
        <f>IF(OR(EQ$13="",EQ$17="",EQ$14="",EQ$15="",EQ$16="",EQ$18="",EQ$19="",EQ$20="",EQ$21=""),"",SUM($C19:EQ19))</f>
        <v>452.1099999999999</v>
      </c>
      <c r="ER86" s="114">
        <f>IF(OR(ER$13="",ER$17="",ER$14="",ER$15="",ER$16="",ER$18="",ER$19="",ER$20="",ER$21=""),"",SUM($C19:ER19))</f>
        <v>452.1099999999999</v>
      </c>
      <c r="ES86" s="114">
        <f>IF(OR(ES$13="",ES$17="",ES$14="",ES$15="",ES$16="",ES$18="",ES$19="",ES$20="",ES$21=""),"",SUM($C19:ES19))</f>
        <v>452.1099999999999</v>
      </c>
      <c r="ET86" s="114">
        <f>IF(OR(ET$13="",ET$17="",ET$14="",ET$15="",ET$16="",ET$18="",ET$19="",ET$20="",ET$21=""),"",SUM($C19:ET19))</f>
        <v>452.1099999999999</v>
      </c>
      <c r="EU86" s="114">
        <f>IF(OR(EU$13="",EU$17="",EU$14="",EU$15="",EU$16="",EU$18="",EU$19="",EU$20="",EU$21=""),"",SUM($C19:EU19))</f>
        <v>455.1099999999999</v>
      </c>
      <c r="EV86" s="114">
        <f>IF(OR(EV$13="",EV$17="",EV$14="",EV$15="",EV$16="",EV$18="",EV$19="",EV$20="",EV$21=""),"",SUM($C19:EV19))</f>
        <v>455.1099999999999</v>
      </c>
      <c r="EW86" s="114">
        <f>IF(OR(EW$13="",EW$17="",EW$14="",EW$15="",EW$16="",EW$18="",EW$19="",EW$20="",EW$21=""),"",SUM($C19:EW19))</f>
        <v>455.1099999999999</v>
      </c>
      <c r="EX86" s="114">
        <f>IF(OR(EX$13="",EX$17="",EX$14="",EX$15="",EX$16="",EX$18="",EX$19="",EX$20="",EX$21=""),"",SUM($C19:EX19))</f>
        <v>455.1099999999999</v>
      </c>
      <c r="EY86" s="114">
        <f>IF(OR(EY$13="",EY$17="",EY$14="",EY$15="",EY$16="",EY$18="",EY$19="",EY$20="",EY$21=""),"",SUM($C19:EY19))</f>
        <v>455.1099999999999</v>
      </c>
      <c r="EZ86" s="114">
        <f>IF(OR(EZ$13="",EZ$17="",EZ$14="",EZ$15="",EZ$16="",EZ$18="",EZ$19="",EZ$20="",EZ$21=""),"",SUM($C19:EZ19))</f>
        <v>455.1099999999999</v>
      </c>
      <c r="FA86" s="114">
        <f>IF(OR(FA$13="",FA$17="",FA$14="",FA$15="",FA$16="",FA$18="",FA$19="",FA$20="",FA$21=""),"",SUM($C19:FA19))</f>
        <v>455.1099999999999</v>
      </c>
      <c r="FB86" s="114">
        <f>IF(OR(FB$13="",FB$17="",FB$14="",FB$15="",FB$16="",FB$18="",FB$19="",FB$20="",FB$21=""),"",SUM($C19:FB19))</f>
        <v>455.1099999999999</v>
      </c>
      <c r="FC86" s="114">
        <f>IF(OR(FC$13="",FC$17="",FC$14="",FC$15="",FC$16="",FC$18="",FC$19="",FC$20="",FC$21=""),"",SUM($C19:FC19))</f>
        <v>455.1099999999999</v>
      </c>
      <c r="FD86" s="114">
        <f>IF(OR(FD$13="",FD$17="",FD$14="",FD$15="",FD$16="",FD$18="",FD$19="",FD$20="",FD$21=""),"",SUM($C19:FD19))</f>
        <v>462.32999999999993</v>
      </c>
      <c r="FE86" s="114">
        <f>IF(OR(FE$13="",FE$17="",FE$14="",FE$15="",FE$16="",FE$18="",FE$19="",FE$20="",FE$21=""),"",SUM($C19:FE19))</f>
        <v>474.12999999999994</v>
      </c>
      <c r="FF86" s="114">
        <f>IF(OR(FF$13="",FF$17="",FF$14="",FF$15="",FF$16="",FF$18="",FF$19="",FF$20="",FF$21=""),"",SUM($C19:FF19))</f>
        <v>474.12999999999994</v>
      </c>
      <c r="FG86" s="114">
        <f>IF(OR(FG$13="",FG$17="",FG$14="",FG$15="",FG$16="",FG$18="",FG$19="",FG$20="",FG$21=""),"",SUM($C19:FG19))</f>
        <v>483.68999999999994</v>
      </c>
      <c r="FH86" s="114">
        <f>IF(OR(FH$13="",FH$17="",FH$14="",FH$15="",FH$16="",FH$18="",FH$19="",FH$20="",FH$21=""),"",SUM($C19:FH19))</f>
        <v>490.75999999999993</v>
      </c>
      <c r="FI86" s="114">
        <f>IF(OR(FI$13="",FI$17="",FI$14="",FI$15="",FI$16="",FI$18="",FI$19="",FI$20="",FI$21=""),"",SUM($C19:FI19))</f>
        <v>492.13999999999993</v>
      </c>
      <c r="FJ86" s="114">
        <f>IF(OR(FJ$13="",FJ$17="",FJ$14="",FJ$15="",FJ$16="",FJ$18="",FJ$19="",FJ$20="",FJ$21=""),"",SUM($C19:FJ19))</f>
        <v>492.13999999999993</v>
      </c>
      <c r="FK86" s="114">
        <f>IF(OR(FK$13="",FK$17="",FK$14="",FK$15="",FK$16="",FK$18="",FK$19="",FK$20="",FK$21=""),"",SUM($C19:FK19))</f>
        <v>492.13999999999993</v>
      </c>
      <c r="FL86" s="114">
        <f>IF(OR(FL$13="",FL$17="",FL$14="",FL$15="",FL$16="",FL$18="",FL$19="",FL$20="",FL$21=""),"",SUM($C19:FL19))</f>
        <v>492.13999999999993</v>
      </c>
      <c r="FM86" s="114">
        <f>IF(OR(FM$13="",FM$17="",FM$14="",FM$15="",FM$16="",FM$18="",FM$19="",FM$20="",FM$21=""),"",SUM($C19:FM19))</f>
        <v>492.13999999999993</v>
      </c>
      <c r="FN86" s="114">
        <f>IF(OR(FN$13="",FN$17="",FN$14="",FN$15="",FN$16="",FN$18="",FN$19="",FN$20="",FN$21=""),"",SUM($C19:FN19))</f>
        <v>492.13999999999993</v>
      </c>
      <c r="FO86" s="114">
        <f>IF(OR(FO$13="",FO$17="",FO$14="",FO$15="",FO$16="",FO$18="",FO$19="",FO$20="",FO$21=""),"",SUM($C19:FO19))</f>
        <v>492.13999999999993</v>
      </c>
      <c r="FP86" s="114">
        <f>IF(OR(FP$13="",FP$17="",FP$14="",FP$15="",FP$16="",FP$18="",FP$19="",FP$20="",FP$21=""),"",SUM($C19:FP19))</f>
        <v>492.13999999999993</v>
      </c>
      <c r="FQ86" s="114">
        <f>IF(OR(FQ$13="",FQ$17="",FQ$14="",FQ$15="",FQ$16="",FQ$18="",FQ$19="",FQ$20="",FQ$21=""),"",SUM($C19:FQ19))</f>
        <v>492.13999999999993</v>
      </c>
      <c r="FR86" s="114">
        <f>IF(OR(FR$13="",FR$17="",FR$14="",FR$15="",FR$16="",FR$18="",FR$19="",FR$20="",FR$21=""),"",SUM($C19:FR19))</f>
        <v>492.13999999999993</v>
      </c>
      <c r="FS86" s="114">
        <f>IF(OR(FS$13="",FS$17="",FS$14="",FS$15="",FS$16="",FS$18="",FS$19="",FS$20="",FS$21=""),"",SUM($C19:FS19))</f>
        <v>492.13999999999993</v>
      </c>
      <c r="FT86" s="114">
        <f>IF(OR(FT$13="",FT$17="",FT$14="",FT$15="",FT$16="",FT$18="",FT$19="",FT$20="",FT$21=""),"",SUM($C19:FT19))</f>
        <v>492.13999999999993</v>
      </c>
      <c r="FU86" s="114">
        <f>IF(OR(FU$13="",FU$17="",FU$14="",FU$15="",FU$16="",FU$18="",FU$19="",FU$20="",FU$21=""),"",SUM($C19:FU19))</f>
        <v>492.13999999999993</v>
      </c>
      <c r="FV86" s="114">
        <f>IF(OR(FV$13="",FV$17="",FV$14="",FV$15="",FV$16="",FV$18="",FV$19="",FV$20="",FV$21=""),"",SUM($C19:FV19))</f>
        <v>492.13999999999993</v>
      </c>
      <c r="FW86" s="114">
        <f>IF(OR(FW$13="",FW$17="",FW$14="",FW$15="",FW$16="",FW$18="",FW$19="",FW$20="",FW$21=""),"",SUM($C19:FW19))</f>
        <v>497.98999999999995</v>
      </c>
      <c r="FX86" s="114">
        <f>IF(OR(FX$13="",FX$17="",FX$14="",FX$15="",FX$16="",FX$18="",FX$19="",FX$20="",FX$21=""),"",SUM($C19:FX19))</f>
        <v>497.98999999999995</v>
      </c>
      <c r="FY86" s="114">
        <f>IF(OR(FY$13="",FY$17="",FY$14="",FY$15="",FY$16="",FY$18="",FY$19="",FY$20="",FY$21=""),"",SUM($C19:FY19))</f>
        <v>497.98999999999995</v>
      </c>
      <c r="FZ86" s="114">
        <f>IF(OR(FZ$13="",FZ$17="",FZ$14="",FZ$15="",FZ$16="",FZ$18="",FZ$19="",FZ$20="",FZ$21=""),"",SUM($C19:FZ19))</f>
        <v>498.16999999999996</v>
      </c>
      <c r="GA86" s="114">
        <f>IF(OR(GA$13="",GA$17="",GA$14="",GA$15="",GA$16="",GA$18="",GA$19="",GA$20="",GA$21=""),"",SUM($C19:GA19))</f>
        <v>498.16999999999996</v>
      </c>
      <c r="GB86" s="114">
        <f>IF(OR(GB$13="",GB$17="",GB$14="",GB$15="",GB$16="",GB$18="",GB$19="",GB$20="",GB$21=""),"",SUM($C19:GB19))</f>
        <v>498.16999999999996</v>
      </c>
      <c r="GC86" s="114">
        <f>IF(OR(GC$13="",GC$17="",GC$14="",GC$15="",GC$16="",GC$18="",GC$19="",GC$20="",GC$21=""),"",SUM($C19:GC19))</f>
        <v>498.16999999999996</v>
      </c>
      <c r="GD86" s="114">
        <f>IF(OR(GD$13="",GD$17="",GD$14="",GD$15="",GD$16="",GD$18="",GD$19="",GD$20="",GD$21=""),"",SUM($C19:GD19))</f>
        <v>498.16999999999996</v>
      </c>
      <c r="GE86" s="114">
        <f>IF(OR(GE$13="",GE$17="",GE$14="",GE$15="",GE$16="",GE$18="",GE$19="",GE$20="",GE$21=""),"",SUM($C19:GE19))</f>
        <v>500.03999999999996</v>
      </c>
      <c r="GF86" s="114">
        <f>IF(OR(GF$13="",GF$17="",GF$14="",GF$15="",GF$16="",GF$18="",GF$19="",GF$20="",GF$21=""),"",SUM($C19:GF19))</f>
        <v>500.03999999999996</v>
      </c>
      <c r="GG86" s="114">
        <f>IF(OR(GG$13="",GG$17="",GG$14="",GG$15="",GG$16="",GG$18="",GG$19="",GG$20="",GG$21=""),"",SUM($C19:GG19))</f>
        <v>500.03999999999996</v>
      </c>
      <c r="GH86" s="114">
        <f>IF(OR(GH$13="",GH$17="",GH$14="",GH$15="",GH$16="",GH$18="",GH$19="",GH$20="",GH$21=""),"",SUM($C19:GH19))</f>
        <v>500.03999999999996</v>
      </c>
      <c r="GI86" s="114">
        <f>IF(OR(GI$13="",GI$17="",GI$14="",GI$15="",GI$16="",GI$18="",GI$19="",GI$20="",GI$21=""),"",SUM($C19:GI19))</f>
        <v>500.03999999999996</v>
      </c>
      <c r="GJ86" s="114">
        <f>IF(OR(GJ$13="",GJ$17="",GJ$14="",GJ$15="",GJ$16="",GJ$18="",GJ$19="",GJ$20="",GJ$21=""),"",SUM($C19:GJ19))</f>
        <v>500.03999999999996</v>
      </c>
      <c r="GK86" s="114">
        <f>IF(OR(GK$13="",GK$17="",GK$14="",GK$15="",GK$16="",GK$18="",GK$19="",GK$20="",GK$21=""),"",SUM($C19:GK19))</f>
        <v>500.03999999999996</v>
      </c>
      <c r="GL86" s="114">
        <f>IF(OR(GL$13="",GL$17="",GL$14="",GL$15="",GL$16="",GL$18="",GL$19="",GL$20="",GL$21=""),"",SUM($C19:GL19))</f>
        <v>500.03999999999996</v>
      </c>
      <c r="GM86" s="114">
        <f>IF(OR(GM$13="",GM$17="",GM$14="",GM$15="",GM$16="",GM$18="",GM$19="",GM$20="",GM$21=""),"",SUM($C19:GM19))</f>
        <v>500.03999999999996</v>
      </c>
      <c r="GN86" s="114">
        <f>IF(OR(GN$13="",GN$17="",GN$14="",GN$15="",GN$16="",GN$18="",GN$19="",GN$20="",GN$21=""),"",SUM($C19:GN19))</f>
        <v>500.03999999999996</v>
      </c>
      <c r="GO86" s="114">
        <f>IF(OR(GO$13="",GO$17="",GO$14="",GO$15="",GO$16="",GO$18="",GO$19="",GO$20="",GO$21=""),"",SUM($C19:GO19))</f>
        <v>500.03999999999996</v>
      </c>
      <c r="GP86" s="114">
        <f>IF(OR(GP$13="",GP$17="",GP$14="",GP$15="",GP$16="",GP$18="",GP$19="",GP$20="",GP$21=""),"",SUM($C19:GP19))</f>
        <v>500.03999999999996</v>
      </c>
      <c r="GQ86" s="114">
        <f>IF(OR(GQ$13="",GQ$17="",GQ$14="",GQ$15="",GQ$16="",GQ$18="",GQ$19="",GQ$20="",GQ$21=""),"",SUM($C19:GQ19))</f>
        <v>502.40999999999997</v>
      </c>
      <c r="GR86" s="114">
        <f>IF(OR(GR$13="",GR$17="",GR$14="",GR$15="",GR$16="",GR$18="",GR$19="",GR$20="",GR$21=""),"",SUM($C19:GR19))</f>
        <v>508.40999999999997</v>
      </c>
      <c r="GS86" s="114">
        <f>IF(OR(GS$13="",GS$17="",GS$14="",GS$15="",GS$16="",GS$18="",GS$19="",GS$20="",GS$21=""),"",SUM($C19:GS19))</f>
        <v>508.40999999999997</v>
      </c>
      <c r="GT86" s="114">
        <f>IF(OR(GT$13="",GT$17="",GT$14="",GT$15="",GT$16="",GT$18="",GT$19="",GT$20="",GT$21=""),"",SUM($C19:GT19))</f>
        <v>515.86</v>
      </c>
      <c r="GU86" s="114">
        <f>IF(OR(GU$13="",GU$17="",GU$14="",GU$15="",GU$16="",GU$18="",GU$19="",GU$20="",GU$21=""),"",SUM($C19:GU19))</f>
        <v>515.86</v>
      </c>
      <c r="GV86" s="114">
        <f>IF(OR(GV$13="",GV$17="",GV$14="",GV$15="",GV$16="",GV$18="",GV$19="",GV$20="",GV$21=""),"",SUM($C19:GV19))</f>
        <v>669.21</v>
      </c>
      <c r="GW86" s="114">
        <f>IF(OR(GW$13="",GW$17="",GW$14="",GW$15="",GW$16="",GW$18="",GW$19="",GW$20="",GW$21=""),"",SUM($C19:GW19))</f>
        <v>669.21</v>
      </c>
      <c r="GX86" s="114">
        <f>IF(OR(GX$13="",GX$17="",GX$14="",GX$15="",GX$16="",GX$18="",GX$19="",GX$20="",GX$21=""),"",SUM($C19:GX19))</f>
        <v>669.21</v>
      </c>
      <c r="GY86" s="114">
        <f>IF(OR(GY$13="",GY$17="",GY$14="",GY$15="",GY$16="",GY$18="",GY$19="",GY$20="",GY$21=""),"",SUM($C19:GY19))</f>
        <v>669.21</v>
      </c>
      <c r="GZ86" s="114">
        <f>IF(OR(GZ$13="",GZ$17="",GZ$14="",GZ$15="",GZ$16="",GZ$18="",GZ$19="",GZ$20="",GZ$21=""),"",SUM($C19:GZ19))</f>
        <v>669.21</v>
      </c>
      <c r="HA86" s="114">
        <f>IF(OR(HA$13="",HA$17="",HA$14="",HA$15="",HA$16="",HA$18="",HA$19="",HA$20="",HA$21=""),"",SUM($C19:HA19))</f>
        <v>669.21</v>
      </c>
      <c r="HB86" s="114">
        <f>IF(OR(HB$13="",HB$17="",HB$14="",HB$15="",HB$16="",HB$18="",HB$19="",HB$20="",HB$21=""),"",SUM($C19:HB19))</f>
        <v>814.31000000000006</v>
      </c>
      <c r="HC86" s="114">
        <f>IF(OR(HC$13="",HC$17="",HC$14="",HC$15="",HC$16="",HC$18="",HC$19="",HC$20="",HC$21=""),"",SUM($C19:HC19))</f>
        <v>814.31000000000006</v>
      </c>
      <c r="HD86" s="114">
        <f>IF(OR(HD$13="",HD$17="",HD$14="",HD$15="",HD$16="",HD$18="",HD$19="",HD$20="",HD$21=""),"",SUM($C19:HD19))</f>
        <v>814.31000000000006</v>
      </c>
      <c r="HE86" s="114">
        <f>IF(OR(HE$13="",HE$17="",HE$14="",HE$15="",HE$16="",HE$18="",HE$19="",HE$20="",HE$21=""),"",SUM($C19:HE19))</f>
        <v>814.31000000000006</v>
      </c>
      <c r="HF86" s="114">
        <f>IF(OR(HF$13="",HF$17="",HF$14="",HF$15="",HF$16="",HF$18="",HF$19="",HF$20="",HF$21=""),"",SUM($C19:HF19))</f>
        <v>814.31000000000006</v>
      </c>
      <c r="HG86" s="114">
        <f>IF(OR(HG$13="",HG$17="",HG$14="",HG$15="",HG$16="",HG$18="",HG$19="",HG$20="",HG$21=""),"",SUM($C19:HG19))</f>
        <v>814.31000000000006</v>
      </c>
      <c r="HH86" s="114">
        <f>IF(OR(HH$13="",HH$17="",HH$14="",HH$15="",HH$16="",HH$18="",HH$19="",HH$20="",HH$21=""),"",SUM($C19:HH19))</f>
        <v>814.31000000000006</v>
      </c>
      <c r="HI86" s="114">
        <f>IF(OR(HI$13="",HI$17="",HI$14="",HI$15="",HI$16="",HI$18="",HI$19="",HI$20="",HI$21=""),"",SUM($C19:HI19))</f>
        <v>814.31000000000006</v>
      </c>
      <c r="HJ86" s="114">
        <f>IF(OR(HJ$13="",HJ$17="",HJ$14="",HJ$15="",HJ$16="",HJ$18="",HJ$19="",HJ$20="",HJ$21=""),"",SUM($C19:HJ19))</f>
        <v>814.31000000000006</v>
      </c>
      <c r="HK86" s="114">
        <f>IF(OR(HK$13="",HK$17="",HK$14="",HK$15="",HK$16="",HK$18="",HK$19="",HK$20="",HK$21=""),"",SUM($C19:HK19))</f>
        <v>815.33416666666676</v>
      </c>
      <c r="HL86" s="114">
        <f>IF(OR(HL$13="",HL$17="",HL$14="",HL$15="",HL$16="",HL$18="",HL$19="",HL$20="",HL$21=""),"",SUM($C19:HL19))</f>
        <v>815.33416666666676</v>
      </c>
      <c r="HM86" s="114">
        <f>IF(OR(HM$13="",HM$17="",HM$14="",HM$15="",HM$16="",HM$18="",HM$19="",HM$20="",HM$21=""),"",SUM($C19:HM19))</f>
        <v>818.84944444444454</v>
      </c>
      <c r="HN86" s="114">
        <f>IF(OR(HN$13="",HN$17="",HN$14="",HN$15="",HN$16="",HN$18="",HN$19="",HN$20="",HN$21=""),"",SUM($C19:HN19))</f>
        <v>819.90972222222229</v>
      </c>
      <c r="HO86" s="114">
        <f>IF(OR(HO$13="",HO$17="",HO$14="",HO$15="",HO$16="",HO$18="",HO$19="",HO$20="",HO$21=""),"",SUM($C19:HO19))</f>
        <v>819.90972222222229</v>
      </c>
      <c r="HP86" s="114">
        <f>IF(OR(HP$13="",HP$17="",HP$14="",HP$15="",HP$16="",HP$18="",HP$19="",HP$20="",HP$21=""),"",SUM($C19:HP19))</f>
        <v>819.90972222222229</v>
      </c>
      <c r="HQ86" s="114">
        <f>IF(OR(HQ$13="",HQ$17="",HQ$14="",HQ$15="",HQ$16="",HQ$18="",HQ$19="",HQ$20="",HQ$21=""),"",SUM($C19:HQ19))</f>
        <v>819.90972222222229</v>
      </c>
      <c r="HR86" s="114">
        <f>IF(OR(HR$13="",HR$17="",HR$14="",HR$15="",HR$16="",HR$18="",HR$19="",HR$20="",HR$21=""),"",SUM($C19:HR19))</f>
        <v>819.90972222222229</v>
      </c>
      <c r="HS86" s="114">
        <f>IF(OR(HS$13="",HS$17="",HS$14="",HS$15="",HS$16="",HS$18="",HS$19="",HS$20="",HS$21=""),"",SUM($C19:HS19))</f>
        <v>845.3463888888889</v>
      </c>
      <c r="HT86" s="114">
        <f>IF(OR(HT$13="",HT$17="",HT$14="",HT$15="",HT$16="",HT$18="",HT$19="",HT$20="",HT$21=""),"",SUM($C19:HT19))</f>
        <v>869.3463888888889</v>
      </c>
      <c r="HU86" s="114">
        <f>IF(OR(HU$13="",HU$17="",HU$14="",HU$15="",HU$16="",HU$18="",HU$19="",HU$20="",HU$21=""),"",SUM($C19:HU19))</f>
        <v>893.3463888888889</v>
      </c>
      <c r="HV86" s="114">
        <f>IF(OR(HV$13="",HV$17="",HV$14="",HV$15="",HV$16="",HV$18="",HV$19="",HV$20="",HV$21=""),"",SUM($C19:HV19))</f>
        <v>913.61333333333334</v>
      </c>
      <c r="HW86" s="114">
        <f>IF(OR(HW$13="",HW$17="",HW$14="",HW$15="",HW$16="",HW$18="",HW$19="",HW$20="",HW$21=""),"",SUM($C19:HW19))</f>
        <v>914.13583333333338</v>
      </c>
      <c r="HX86" s="114">
        <f>IF(OR(HX$13="",HX$17="",HX$14="",HX$15="",HX$16="",HX$18="",HX$19="",HX$20="",HX$21=""),"",SUM($C19:HX19))</f>
        <v>914.13583333333338</v>
      </c>
      <c r="HY86" s="114">
        <f>IF(OR(HY$13="",HY$17="",HY$14="",HY$15="",HY$16="",HY$18="",HY$19="",HY$20="",HY$21=""),"",SUM($C19:HY19))</f>
        <v>917.72416666666675</v>
      </c>
      <c r="HZ86" s="114">
        <f>IF(OR(HZ$13="",HZ$17="",HZ$14="",HZ$15="",HZ$16="",HZ$18="",HZ$19="",HZ$20="",HZ$21=""),"",SUM($C19:HZ19))</f>
        <v>917.72416666666675</v>
      </c>
      <c r="IA86" s="114">
        <f>IF(OR(IA$13="",IA$17="",IA$14="",IA$15="",IA$16="",IA$18="",IA$19="",IA$20="",IA$21=""),"",SUM($C19:IA19))</f>
        <v>917.72416666666675</v>
      </c>
      <c r="IB86" s="114">
        <f>IF(OR(IB$13="",IB$17="",IB$14="",IB$15="",IB$16="",IB$18="",IB$19="",IB$20="",IB$21=""),"",SUM($C19:IB19))</f>
        <v>920.72138888888901</v>
      </c>
      <c r="IC86" s="114">
        <f>IF(OR(IC$13="",IC$17="",IC$14="",IC$15="",IC$16="",IC$18="",IC$19="",IC$20="",IC$21=""),"",SUM($C19:IC19))</f>
        <v>920.72138888888901</v>
      </c>
      <c r="ID86" s="114">
        <f>IF(OR(ID$13="",ID$17="",ID$14="",ID$15="",ID$16="",ID$18="",ID$19="",ID$20="",ID$21=""),"",SUM($C19:ID19))</f>
        <v>1005.351388888889</v>
      </c>
      <c r="IE86" s="114">
        <f>IF(OR(IE$13="",IE$17="",IE$14="",IE$15="",IE$16="",IE$18="",IE$19="",IE$20="",IE$21=""),"",SUM($C19:IE19))</f>
        <v>1005.351388888889</v>
      </c>
      <c r="IF86" s="114">
        <f>IF(OR(IF$13="",IF$17="",IF$14="",IF$15="",IF$16="",IF$18="",IF$19="",IF$20="",IF$21=""),"",SUM($C19:IF19))</f>
        <v>1005.351388888889</v>
      </c>
      <c r="IG86" s="114">
        <f>IF(OR(IG$13="",IG$17="",IG$14="",IG$15="",IG$16="",IG$18="",IG$19="",IG$20="",IG$21=""),"",SUM($C19:IG19))</f>
        <v>1005.351388888889</v>
      </c>
      <c r="IH86" s="114">
        <f>IF(OR(IH$13="",IH$17="",IH$14="",IH$15="",IH$16="",IH$18="",IH$19="",IH$20="",IH$21=""),"",SUM($C19:IH19))</f>
        <v>1007.871388888889</v>
      </c>
      <c r="II86" s="114">
        <f>IF(OR(II$13="",II$17="",II$14="",II$15="",II$16="",II$18="",II$19="",II$20="",II$21=""),"",SUM($C19:II19))</f>
        <v>1007.871388888889</v>
      </c>
      <c r="IJ86" s="114">
        <f>IF(OR(IJ$13="",IJ$17="",IJ$14="",IJ$15="",IJ$16="",IJ$18="",IJ$19="",IJ$20="",IJ$21=""),"",SUM($C19:IJ19))</f>
        <v>1007.871388888889</v>
      </c>
      <c r="IK86" s="114">
        <f>IF(OR(IK$13="",IK$17="",IK$14="",IK$15="",IK$16="",IK$18="",IK$19="",IK$20="",IK$21=""),"",SUM($C19:IK19))</f>
        <v>1007.871388888889</v>
      </c>
      <c r="IL86" s="114">
        <f>IF(OR(IL$13="",IL$17="",IL$14="",IL$15="",IL$16="",IL$18="",IL$19="",IL$20="",IL$21=""),"",SUM($C19:IL19))</f>
        <v>1007.871388888889</v>
      </c>
      <c r="IM86" s="114">
        <f>IF(OR(IM$13="",IM$17="",IM$14="",IM$15="",IM$16="",IM$18="",IM$19="",IM$20="",IM$21=""),"",SUM($C19:IM19))</f>
        <v>1007.871388888889</v>
      </c>
      <c r="IN86" s="114">
        <f>IF(OR(IN$13="",IN$17="",IN$14="",IN$15="",IN$16="",IN$18="",IN$19="",IN$20="",IN$21=""),"",SUM($C19:IN19))</f>
        <v>1007.871388888889</v>
      </c>
      <c r="IO86" s="114">
        <f>IF(OR(IO$13="",IO$17="",IO$14="",IO$15="",IO$16="",IO$18="",IO$19="",IO$20="",IO$21=""),"",SUM($C19:IO19))</f>
        <v>1010.4947222222223</v>
      </c>
      <c r="IP86" s="114">
        <f>IF(OR(IP$13="",IP$17="",IP$14="",IP$15="",IP$16="",IP$18="",IP$19="",IP$20="",IP$21=""),"",SUM($C19:IP19))</f>
        <v>1010.4947222222223</v>
      </c>
      <c r="IQ86" s="114">
        <f>IF(OR(IQ$13="",IQ$17="",IQ$14="",IQ$15="",IQ$16="",IQ$18="",IQ$19="",IQ$20="",IQ$21=""),"",SUM($C19:IQ19))</f>
        <v>1010.4947222222223</v>
      </c>
      <c r="IR86" s="114">
        <f>IF(OR(IR$13="",IR$17="",IR$14="",IR$15="",IR$16="",IR$18="",IR$19="",IR$20="",IR$21=""),"",SUM($C19:IR19))</f>
        <v>1034.4947222222222</v>
      </c>
      <c r="IS86" s="114">
        <f>IF(OR(IS$13="",IS$17="",IS$14="",IS$15="",IS$16="",IS$18="",IS$19="",IS$20="",IS$21=""),"",SUM($C19:IS19))</f>
        <v>1058.4947222222222</v>
      </c>
      <c r="IT86" s="114">
        <f>IF(OR(IT$13="",IT$17="",IT$14="",IT$15="",IT$16="",IT$18="",IT$19="",IT$20="",IT$21=""),"",SUM($C19:IT19))</f>
        <v>1082.4947222222222</v>
      </c>
      <c r="IU86" s="114">
        <f>IF(OR(IU$13="",IU$17="",IU$14="",IU$15="",IU$16="",IU$18="",IU$19="",IU$20="",IU$21=""),"",SUM($C19:IU19))</f>
        <v>1089.4427777777778</v>
      </c>
      <c r="IV86" s="114">
        <f>IF(OR(IV$13="",IV$17="",IV$14="",IV$15="",IV$16="",IV$18="",IV$19="",IV$20="",IV$21=""),"",SUM($C19:IV19))</f>
        <v>1089.4427777777778</v>
      </c>
      <c r="IW86" s="114">
        <f>IF(OR(IW$13="",IW$17="",IW$14="",IW$15="",IW$16="",IW$18="",IW$19="",IW$20="",IW$21=""),"",SUM($C19:IW19))</f>
        <v>1089.4427777777778</v>
      </c>
      <c r="IX86" s="114">
        <f>IF(OR(IX$13="",IX$17="",IX$14="",IX$15="",IX$16="",IX$18="",IX$19="",IX$20="",IX$21=""),"",SUM($C19:IX19))</f>
        <v>1089.4427777777778</v>
      </c>
      <c r="IY86" s="114">
        <f>IF(OR(IY$13="",IY$17="",IY$14="",IY$15="",IY$16="",IY$18="",IY$19="",IY$20="",IY$21=""),"",SUM($C19:IY19))</f>
        <v>1093.078888888889</v>
      </c>
      <c r="IZ86" s="114">
        <f>IF(OR(IZ$13="",IZ$17="",IZ$14="",IZ$15="",IZ$16="",IZ$18="",IZ$19="",IZ$20="",IZ$21=""),"",SUM($C19:IZ19))</f>
        <v>1093.078888888889</v>
      </c>
      <c r="JA86" s="114">
        <f>IF(OR(JA$13="",JA$17="",JA$14="",JA$15="",JA$16="",JA$18="",JA$19="",JA$20="",JA$21=""),"",SUM($C19:JA19))</f>
        <v>1093.1380555555556</v>
      </c>
      <c r="JB86" s="114">
        <f>IF(OR(JB$13="",JB$17="",JB$14="",JB$15="",JB$16="",JB$18="",JB$19="",JB$20="",JB$21=""),"",SUM($C19:JB19))</f>
        <v>1093.1380555555556</v>
      </c>
      <c r="JC86" s="114">
        <f>IF(OR(JC$13="",JC$17="",JC$14="",JC$15="",JC$16="",JC$18="",JC$19="",JC$20="",JC$21=""),"",SUM($C19:JC19))</f>
        <v>1093.2094444444444</v>
      </c>
      <c r="JD86" s="114">
        <f>IF(OR(JD$13="",JD$17="",JD$14="",JD$15="",JD$16="",JD$18="",JD$19="",JD$20="",JD$21=""),"",SUM($C19:JD19))</f>
        <v>1093.2094444444444</v>
      </c>
      <c r="JE86" s="114">
        <f>IF(OR(JE$13="",JE$17="",JE$14="",JE$15="",JE$16="",JE$18="",JE$19="",JE$20="",JE$21=""),"",SUM($C19:JE19))</f>
        <v>1093.2094444444444</v>
      </c>
      <c r="JF86" s="114">
        <f>IF(OR(JF$13="",JF$17="",JF$14="",JF$15="",JF$16="",JF$18="",JF$19="",JF$20="",JF$21=""),"",SUM($C19:JF19))</f>
        <v>1093.2094444444444</v>
      </c>
      <c r="JG86" s="114">
        <f>IF(OR(JG$13="",JG$17="",JG$14="",JG$15="",JG$16="",JG$18="",JG$19="",JG$20="",JG$21=""),"",SUM($C19:JG19))</f>
        <v>1093.2094444444444</v>
      </c>
      <c r="JH86" s="114">
        <f>IF(OR(JH$13="",JH$17="",JH$14="",JH$15="",JH$16="",JH$18="",JH$19="",JH$20="",JH$21=""),"",SUM($C19:JH19))</f>
        <v>1097.4725000000001</v>
      </c>
      <c r="JI86" s="114">
        <f>IF(OR(JI$13="",JI$17="",JI$14="",JI$15="",JI$16="",JI$18="",JI$19="",JI$20="",JI$21=""),"",SUM($C19:JI19))</f>
        <v>1097.4813888888889</v>
      </c>
      <c r="JJ86" s="114">
        <f>IF(OR(JJ$13="",JJ$17="",JJ$14="",JJ$15="",JJ$16="",JJ$18="",JJ$19="",JJ$20="",JJ$21=""),"",SUM($C19:JJ19))</f>
        <v>1097.4813888888889</v>
      </c>
      <c r="JK86" s="114">
        <f>IF(OR(JK$13="",JK$17="",JK$14="",JK$15="",JK$16="",JK$18="",JK$19="",JK$20="",JK$21=""),"",SUM($C19:JK19))</f>
        <v>1100.9127777777778</v>
      </c>
      <c r="JL86" s="114">
        <f>IF(OR(JL$13="",JL$17="",JL$14="",JL$15="",JL$16="",JL$18="",JL$19="",JL$20="",JL$21=""),"",SUM($C19:JL19))</f>
        <v>1105.7152777777778</v>
      </c>
      <c r="JM86" s="114">
        <f>IF(OR(JM$13="",JM$17="",JM$14="",JM$15="",JM$16="",JM$18="",JM$19="",JM$20="",JM$21=""),"",SUM($C19:JM19))</f>
        <v>1109.1652777777779</v>
      </c>
      <c r="JN86" s="114">
        <f>IF(OR(JN$13="",JN$17="",JN$14="",JN$15="",JN$16="",JN$18="",JN$19="",JN$20="",JN$21=""),"",SUM($C19:JN19))</f>
        <v>1109.5852777777779</v>
      </c>
      <c r="JO86" s="114">
        <f>IF(OR(JO$13="",JO$17="",JO$14="",JO$15="",JO$16="",JO$18="",JO$19="",JO$20="",JO$21=""),"",SUM($C19:JO19))</f>
        <v>1110.5852777777779</v>
      </c>
      <c r="JP86" s="114">
        <f>IF(OR(JP$13="",JP$17="",JP$14="",JP$15="",JP$16="",JP$18="",JP$19="",JP$20="",JP$21=""),"",SUM($C19:JP19))</f>
        <v>1111.5852777777779</v>
      </c>
      <c r="JQ86" s="114">
        <f>IF(OR(JQ$13="",JQ$17="",JQ$14="",JQ$15="",JQ$16="",JQ$18="",JQ$19="",JQ$20="",JQ$21=""),"",SUM($C19:JQ19))</f>
        <v>1112.775277777778</v>
      </c>
      <c r="JR86" s="114">
        <f>IF(OR(JR$13="",JR$17="",JR$14="",JR$15="",JR$16="",JR$18="",JR$19="",JR$20="",JR$21=""),"",SUM($C19:JR19))</f>
        <v>1113.775277777778</v>
      </c>
      <c r="JS86" s="114">
        <f>IF(OR(JS$13="",JS$17="",JS$14="",JS$15="",JS$16="",JS$18="",JS$19="",JS$20="",JS$21=""),"",SUM($C19:JS19))</f>
        <v>1122.475277777778</v>
      </c>
      <c r="JT86" s="114">
        <f>IF(OR(JT$13="",JT$17="",JT$14="",JT$15="",JT$16="",JT$18="",JT$19="",JT$20="",JT$21=""),"",SUM($C19:JT19))</f>
        <v>1125.525277777778</v>
      </c>
      <c r="JU86" s="114">
        <f>IF(OR(JU$13="",JU$17="",JU$14="",JU$15="",JU$16="",JU$18="",JU$19="",JU$20="",JU$21=""),"",SUM($C19:JU19))</f>
        <v>1125.525277777778</v>
      </c>
      <c r="JV86" s="114">
        <f>IF(OR(JV$13="",JV$17="",JV$14="",JV$15="",JV$16="",JV$18="",JV$19="",JV$20="",JV$21=""),"",SUM($C19:JV19))</f>
        <v>1126.525277777778</v>
      </c>
      <c r="JW86" s="114">
        <f>IF(OR(JW$13="",JW$17="",JW$14="",JW$15="",JW$16="",JW$18="",JW$19="",JW$20="",JW$21=""),"",SUM($C19:JW19))</f>
        <v>1126.525277777778</v>
      </c>
      <c r="JX86" s="114">
        <f>IF(OR(JX$13="",JX$17="",JX$14="",JX$15="",JX$16="",JX$18="",JX$19="",JX$20="",JX$21=""),"",SUM($C19:JX19))</f>
        <v>1126.525277777778</v>
      </c>
      <c r="JY86" s="114">
        <f>IF(OR(JY$13="",JY$17="",JY$14="",JY$15="",JY$16="",JY$18="",JY$19="",JY$20="",JY$21=""),"",SUM($C19:JY19))</f>
        <v>1126.525277777778</v>
      </c>
      <c r="JZ86" s="114">
        <f>IF(OR(JZ$13="",JZ$17="",JZ$14="",JZ$15="",JZ$16="",JZ$18="",JZ$19="",JZ$20="",JZ$21=""),"",SUM($C19:JZ19))</f>
        <v>1126.525277777778</v>
      </c>
      <c r="KA86" s="114">
        <f>IF(OR(KA$13="",KA$17="",KA$14="",KA$15="",KA$16="",KA$18="",KA$19="",KA$20="",KA$21=""),"",SUM($C19:KA19))</f>
        <v>1126.525277777778</v>
      </c>
      <c r="KB86" s="114">
        <f>IF(OR(KB$13="",KB$17="",KB$14="",KB$15="",KB$16="",KB$18="",KB$19="",KB$20="",KB$21=""),"",SUM($C19:KB19))</f>
        <v>1126.525277777778</v>
      </c>
      <c r="KC86" s="114">
        <f>IF(OR(KC$13="",KC$17="",KC$14="",KC$15="",KC$16="",KC$18="",KC$19="",KC$20="",KC$21=""),"",SUM($C19:KC19))</f>
        <v>1126.525277777778</v>
      </c>
      <c r="KD86" s="114">
        <f>IF(OR(KD$13="",KD$17="",KD$14="",KD$15="",KD$16="",KD$18="",KD$19="",KD$20="",KD$21=""),"",SUM($C19:KD19))</f>
        <v>1126.525277777778</v>
      </c>
      <c r="KE86" s="114">
        <f>IF(OR(KE$13="",KE$17="",KE$14="",KE$15="",KE$16="",KE$18="",KE$19="",KE$20="",KE$21=""),"",SUM($C19:KE19))</f>
        <v>1126.525277777778</v>
      </c>
      <c r="KF86" s="114">
        <f>IF(OR(KF$13="",KF$17="",KF$14="",KF$15="",KF$16="",KF$18="",KF$19="",KF$20="",KF$21=""),"",SUM($C19:KF19))</f>
        <v>1126.525277777778</v>
      </c>
      <c r="KG86" s="114">
        <f>IF(OR(KG$13="",KG$17="",KG$14="",KG$15="",KG$16="",KG$18="",KG$19="",KG$20="",KG$21=""),"",SUM($C19:KG19))</f>
        <v>1126.525277777778</v>
      </c>
      <c r="KH86" s="114">
        <f>IF(OR(KH$13="",KH$17="",KH$14="",KH$15="",KH$16="",KH$18="",KH$19="",KH$20="",KH$21=""),"",SUM($C19:KH19))</f>
        <v>1126.525277777778</v>
      </c>
      <c r="KI86" s="114">
        <f>IF(OR(KI$13="",KI$17="",KI$14="",KI$15="",KI$16="",KI$18="",KI$19="",KI$20="",KI$21=""),"",SUM($C19:KI19))</f>
        <v>1126.525277777778</v>
      </c>
      <c r="KJ86" s="114">
        <f>IF(OR(KJ$13="",KJ$17="",KJ$14="",KJ$15="",KJ$16="",KJ$18="",KJ$19="",KJ$20="",KJ$21=""),"",SUM($C19:KJ19))</f>
        <v>1126.525277777778</v>
      </c>
      <c r="KK86" s="114">
        <f>IF(OR(KK$13="",KK$17="",KK$14="",KK$15="",KK$16="",KK$18="",KK$19="",KK$20="",KK$21=""),"",SUM($C19:KK19))</f>
        <v>1126.525277777778</v>
      </c>
      <c r="KL86" s="114">
        <f>IF(OR(KL$13="",KL$17="",KL$14="",KL$15="",KL$16="",KL$18="",KL$19="",KL$20="",KL$21=""),"",SUM($C19:KL19))</f>
        <v>1126.525277777778</v>
      </c>
      <c r="KM86" s="114">
        <f>IF(OR(KM$13="",KM$17="",KM$14="",KM$15="",KM$16="",KM$18="",KM$19="",KM$20="",KM$21=""),"",SUM($C19:KM19))</f>
        <v>1126.525277777778</v>
      </c>
      <c r="KN86" s="114">
        <f>IF(OR(KN$13="",KN$17="",KN$14="",KN$15="",KN$16="",KN$18="",KN$19="",KN$20="",KN$21=""),"",SUM($C19:KN19))</f>
        <v>1126.525277777778</v>
      </c>
      <c r="KO86" s="114">
        <f>IF(OR(KO$13="",KO$17="",KO$14="",KO$15="",KO$16="",KO$18="",KO$19="",KO$20="",KO$21=""),"",SUM($C19:KO19))</f>
        <v>1126.525277777778</v>
      </c>
      <c r="KP86" s="114">
        <f>IF(OR(KP$13="",KP$17="",KP$14="",KP$15="",KP$16="",KP$18="",KP$19="",KP$20="",KP$21=""),"",SUM($C19:KP19))</f>
        <v>1126.525277777778</v>
      </c>
      <c r="KQ86" s="114">
        <f>IF(OR(KQ$13="",KQ$17="",KQ$14="",KQ$15="",KQ$16="",KQ$18="",KQ$19="",KQ$20="",KQ$21=""),"",SUM($C19:KQ19))</f>
        <v>1126.525277777778</v>
      </c>
      <c r="KR86" s="114">
        <f>IF(OR(KR$13="",KR$17="",KR$14="",KR$15="",KR$16="",KR$18="",KR$19="",KR$20="",KR$21=""),"",SUM($C19:KR19))</f>
        <v>1126.525277777778</v>
      </c>
      <c r="KS86" s="114">
        <f>IF(OR(KS$13="",KS$17="",KS$14="",KS$15="",KS$16="",KS$18="",KS$19="",KS$20="",KS$21=""),"",SUM($C19:KS19))</f>
        <v>1126.525277777778</v>
      </c>
      <c r="KT86" s="114">
        <f>IF(OR(KT$13="",KT$17="",KT$14="",KT$15="",KT$16="",KT$18="",KT$19="",KT$20="",KT$21=""),"",SUM($C19:KT19))</f>
        <v>1126.525277777778</v>
      </c>
      <c r="KU86" s="114" t="str">
        <f>IF(OR(KU$13="",KU$17="",KU$14="",KU$15="",KU$16="",KU$18="",KU$19="",KU$20="",KU$21=""),"",SUM($C19:KU19))</f>
        <v/>
      </c>
      <c r="KV86" s="114" t="str">
        <f>IF(OR(KV$13="",KV$17="",KV$14="",KV$15="",KV$16="",KV$18="",KV$19="",KV$20="",KV$21=""),"",SUM($C19:KV19))</f>
        <v/>
      </c>
      <c r="KW86" s="114" t="str">
        <f>IF(OR(KW$13="",KW$17="",KW$14="",KW$15="",KW$16="",KW$18="",KW$19="",KW$20="",KW$21=""),"",SUM($C19:KW19))</f>
        <v/>
      </c>
      <c r="KX86" s="114" t="str">
        <f>IF(OR(KX$13="",KX$17="",KX$14="",KX$15="",KX$16="",KX$18="",KX$19="",KX$20="",KX$21=""),"",SUM($C19:KX19))</f>
        <v/>
      </c>
      <c r="KY86" s="114" t="str">
        <f>IF(OR(KY$13="",KY$17="",KY$14="",KY$15="",KY$16="",KY$18="",KY$19="",KY$20="",KY$21=""),"",SUM($C19:KY19))</f>
        <v/>
      </c>
      <c r="KZ86" s="114" t="str">
        <f>IF(OR(KZ$13="",KZ$17="",KZ$14="",KZ$15="",KZ$16="",KZ$18="",KZ$19="",KZ$20="",KZ$21=""),"",SUM($C19:KZ19))</f>
        <v/>
      </c>
      <c r="LA86" s="114" t="str">
        <f>IF(OR(LA$13="",LA$17="",LA$14="",LA$15="",LA$16="",LA$18="",LA$19="",LA$20="",LA$21=""),"",SUM($C19:LA19))</f>
        <v/>
      </c>
      <c r="LB86" s="114" t="str">
        <f>IF(OR(LB$13="",LB$17="",LB$14="",LB$15="",LB$16="",LB$18="",LB$19="",LB$20="",LB$21=""),"",SUM($C19:LB19))</f>
        <v/>
      </c>
      <c r="LC86" s="114" t="str">
        <f>IF(OR(LC$13="",LC$17="",LC$14="",LC$15="",LC$16="",LC$18="",LC$19="",LC$20="",LC$21=""),"",SUM($C19:LC19))</f>
        <v/>
      </c>
      <c r="LD86" s="114" t="str">
        <f>IF(OR(LD$13="",LD$17="",LD$14="",LD$15="",LD$16="",LD$18="",LD$19="",LD$20="",LD$21=""),"",SUM($C19:LD19))</f>
        <v/>
      </c>
      <c r="LE86" s="114" t="str">
        <f>IF(OR(LE$13="",LE$17="",LE$14="",LE$15="",LE$16="",LE$18="",LE$19="",LE$20="",LE$21=""),"",SUM($C19:LE19))</f>
        <v/>
      </c>
      <c r="LF86" s="114" t="str">
        <f>IF(OR(LF$13="",LF$17="",LF$14="",LF$15="",LF$16="",LF$18="",LF$19="",LF$20="",LF$21=""),"",SUM($C19:LF19))</f>
        <v/>
      </c>
      <c r="LG86" s="114" t="str">
        <f>IF(OR(LG$13="",LG$17="",LG$14="",LG$15="",LG$16="",LG$18="",LG$19="",LG$20="",LG$21=""),"",SUM($C19:LG19))</f>
        <v/>
      </c>
      <c r="LH86" s="114" t="str">
        <f>IF(OR(LH$13="",LH$17="",LH$14="",LH$15="",LH$16="",LH$18="",LH$19="",LH$20="",LH$21=""),"",SUM($C19:LH19))</f>
        <v/>
      </c>
      <c r="LI86" s="114" t="str">
        <f>IF(OR(LI$13="",LI$17="",LI$14="",LI$15="",LI$16="",LI$18="",LI$19="",LI$20="",LI$21=""),"",SUM($C19:LI19))</f>
        <v/>
      </c>
      <c r="LJ86" s="114" t="str">
        <f>IF(OR(LJ$13="",LJ$17="",LJ$14="",LJ$15="",LJ$16="",LJ$18="",LJ$19="",LJ$20="",LJ$21=""),"",SUM($C19:LJ19))</f>
        <v/>
      </c>
      <c r="LK86" s="114" t="str">
        <f>IF(OR(LK$13="",LK$17="",LK$14="",LK$15="",LK$16="",LK$18="",LK$19="",LK$20="",LK$21=""),"",SUM($C19:LK19))</f>
        <v/>
      </c>
      <c r="LL86" s="114" t="str">
        <f>IF(OR(LL$13="",LL$17="",LL$14="",LL$15="",LL$16="",LL$18="",LL$19="",LL$20="",LL$21=""),"",SUM($C19:LL19))</f>
        <v/>
      </c>
      <c r="LM86" s="114" t="str">
        <f>IF(OR(LM$13="",LM$17="",LM$14="",LM$15="",LM$16="",LM$18="",LM$19="",LM$20="",LM$21=""),"",SUM($C19:LM19))</f>
        <v/>
      </c>
      <c r="LN86" s="114" t="str">
        <f>IF(OR(LN$13="",LN$17="",LN$14="",LN$15="",LN$16="",LN$18="",LN$19="",LN$20="",LN$21=""),"",SUM($C19:LN19))</f>
        <v/>
      </c>
      <c r="LO86" s="114" t="str">
        <f>IF(OR(LO$13="",LO$17="",LO$14="",LO$15="",LO$16="",LO$18="",LO$19="",LO$20="",LO$21=""),"",SUM($C19:LO19))</f>
        <v/>
      </c>
      <c r="LP86" s="114" t="str">
        <f>IF(OR(LP$13="",LP$17="",LP$14="",LP$15="",LP$16="",LP$18="",LP$19="",LP$20="",LP$21=""),"",SUM($C19:LP19))</f>
        <v/>
      </c>
      <c r="LQ86" s="114" t="str">
        <f>IF(OR(LQ$13="",LQ$17="",LQ$14="",LQ$15="",LQ$16="",LQ$18="",LQ$19="",LQ$20="",LQ$21=""),"",SUM($C19:LQ19))</f>
        <v/>
      </c>
      <c r="LR86" s="114" t="str">
        <f>IF(OR(LR$13="",LR$17="",LR$14="",LR$15="",LR$16="",LR$18="",LR$19="",LR$20="",LR$21=""),"",SUM($C19:LR19))</f>
        <v/>
      </c>
      <c r="LS86" s="114" t="str">
        <f>IF(OR(LS$13="",LS$17="",LS$14="",LS$15="",LS$16="",LS$18="",LS$19="",LS$20="",LS$21=""),"",SUM($C19:LS19))</f>
        <v/>
      </c>
      <c r="LT86" s="114" t="str">
        <f>IF(OR(LT$13="",LT$17="",LT$14="",LT$15="",LT$16="",LT$18="",LT$19="",LT$20="",LT$21=""),"",SUM($C19:LT19))</f>
        <v/>
      </c>
      <c r="LU86" s="114" t="str">
        <f>IF(OR(LU$13="",LU$17="",LU$14="",LU$15="",LU$16="",LU$18="",LU$19="",LU$20="",LU$21=""),"",SUM($C19:LU19))</f>
        <v/>
      </c>
      <c r="LV86" s="114" t="str">
        <f>IF(OR(LV$13="",LV$17="",LV$14="",LV$15="",LV$16="",LV$18="",LV$19="",LV$20="",LV$21=""),"",SUM($C19:LV19))</f>
        <v/>
      </c>
      <c r="LW86" s="114" t="str">
        <f>IF(OR(LW$13="",LW$17="",LW$14="",LW$15="",LW$16="",LW$18="",LW$19="",LW$20="",LW$21=""),"",SUM($C19:LW19))</f>
        <v/>
      </c>
      <c r="LX86" s="114" t="str">
        <f>IF(OR(LX$13="",LX$17="",LX$14="",LX$15="",LX$16="",LX$18="",LX$19="",LX$20="",LX$21=""),"",SUM($C19:LX19))</f>
        <v/>
      </c>
      <c r="LY86" s="114" t="str">
        <f>IF(OR(LY$13="",LY$17="",LY$14="",LY$15="",LY$16="",LY$18="",LY$19="",LY$20="",LY$21=""),"",SUM($C19:LY19))</f>
        <v/>
      </c>
      <c r="LZ86" s="114" t="str">
        <f>IF(OR(LZ$13="",LZ$17="",LZ$14="",LZ$15="",LZ$16="",LZ$18="",LZ$19="",LZ$20="",LZ$21=""),"",SUM($C19:LZ19))</f>
        <v/>
      </c>
      <c r="MA86" s="114" t="str">
        <f>IF(OR(MA$13="",MA$17="",MA$14="",MA$15="",MA$16="",MA$18="",MA$19="",MA$20="",MA$21=""),"",SUM($C19:MA19))</f>
        <v/>
      </c>
      <c r="MB86" s="114" t="str">
        <f>IF(OR(MB$13="",MB$17="",MB$14="",MB$15="",MB$16="",MB$18="",MB$19="",MB$20="",MB$21=""),"",SUM($C19:MB19))</f>
        <v/>
      </c>
      <c r="MC86" s="114" t="str">
        <f>IF(OR(MC$13="",MC$17="",MC$14="",MC$15="",MC$16="",MC$18="",MC$19="",MC$20="",MC$21=""),"",SUM($C19:MC19))</f>
        <v/>
      </c>
      <c r="MD86" s="114" t="str">
        <f>IF(OR(MD$13="",MD$17="",MD$14="",MD$15="",MD$16="",MD$18="",MD$19="",MD$20="",MD$21=""),"",SUM($C19:MD19))</f>
        <v/>
      </c>
      <c r="ME86" s="114" t="str">
        <f>IF(OR(ME$13="",ME$17="",ME$14="",ME$15="",ME$16="",ME$18="",ME$19="",ME$20="",ME$21=""),"",SUM($C19:ME19))</f>
        <v/>
      </c>
      <c r="MF86" s="114" t="str">
        <f>IF(OR(MF$13="",MF$17="",MF$14="",MF$15="",MF$16="",MF$18="",MF$19="",MF$20="",MF$21=""),"",SUM($C19:MF19))</f>
        <v/>
      </c>
      <c r="MG86" s="114" t="str">
        <f>IF(OR(MG$13="",MG$17="",MG$14="",MG$15="",MG$16="",MG$18="",MG$19="",MG$20="",MG$21=""),"",SUM($C19:MG19))</f>
        <v/>
      </c>
      <c r="MH86" s="114" t="str">
        <f>IF(OR(MH$13="",MH$17="",MH$14="",MH$15="",MH$16="",MH$18="",MH$19="",MH$20="",MH$21=""),"",SUM($C19:MH19))</f>
        <v/>
      </c>
      <c r="MI86" s="114" t="str">
        <f>IF(OR(MI$13="",MI$17="",MI$14="",MI$15="",MI$16="",MI$18="",MI$19="",MI$20="",MI$21=""),"",SUM($C19:MI19))</f>
        <v/>
      </c>
      <c r="MJ86" s="114" t="str">
        <f>IF(OR(MJ$13="",MJ$17="",MJ$14="",MJ$15="",MJ$16="",MJ$18="",MJ$19="",MJ$20="",MJ$21=""),"",SUM($C19:MJ19))</f>
        <v/>
      </c>
      <c r="MK86" s="114" t="str">
        <f>IF(OR(MK$13="",MK$17="",MK$14="",MK$15="",MK$16="",MK$18="",MK$19="",MK$20="",MK$21=""),"",SUM($C19:MK19))</f>
        <v/>
      </c>
      <c r="ML86" s="114" t="str">
        <f>IF(OR(ML$13="",ML$17="",ML$14="",ML$15="",ML$16="",ML$18="",ML$19="",ML$20="",ML$21=""),"",SUM($C19:ML19))</f>
        <v/>
      </c>
      <c r="MM86" s="114" t="str">
        <f>IF(OR(MM$13="",MM$17="",MM$14="",MM$15="",MM$16="",MM$18="",MM$19="",MM$20="",MM$21=""),"",SUM($C19:MM19))</f>
        <v/>
      </c>
      <c r="MN86" s="114" t="str">
        <f>IF(OR(MN$13="",MN$17="",MN$14="",MN$15="",MN$16="",MN$18="",MN$19="",MN$20="",MN$21=""),"",SUM($C19:MN19))</f>
        <v/>
      </c>
      <c r="MO86" s="114" t="str">
        <f>IF(OR(MO$13="",MO$17="",MO$14="",MO$15="",MO$16="",MO$18="",MO$19="",MO$20="",MO$21=""),"",SUM($C19:MO19))</f>
        <v/>
      </c>
      <c r="MP86" s="114" t="str">
        <f>IF(OR(MP$13="",MP$17="",MP$14="",MP$15="",MP$16="",MP$18="",MP$19="",MP$20="",MP$21=""),"",SUM($C19:MP19))</f>
        <v/>
      </c>
      <c r="MQ86" s="114" t="str">
        <f>IF(OR(MQ$13="",MQ$17="",MQ$14="",MQ$15="",MQ$16="",MQ$18="",MQ$19="",MQ$20="",MQ$21=""),"",SUM($C19:MQ19))</f>
        <v/>
      </c>
      <c r="MR86" s="114" t="str">
        <f>IF(OR(MR$13="",MR$17="",MR$14="",MR$15="",MR$16="",MR$18="",MR$19="",MR$20="",MR$21=""),"",SUM($C19:MR19))</f>
        <v/>
      </c>
      <c r="MS86" s="114" t="str">
        <f>IF(OR(MS$13="",MS$17="",MS$14="",MS$15="",MS$16="",MS$18="",MS$19="",MS$20="",MS$21=""),"",SUM($C19:MS19))</f>
        <v/>
      </c>
      <c r="MT86" s="114" t="str">
        <f>IF(OR(MT$13="",MT$17="",MT$14="",MT$15="",MT$16="",MT$18="",MT$19="",MT$20="",MT$21=""),"",SUM($C19:MT19))</f>
        <v/>
      </c>
      <c r="MU86" s="114" t="str">
        <f>IF(OR(MU$13="",MU$17="",MU$14="",MU$15="",MU$16="",MU$18="",MU$19="",MU$20="",MU$21=""),"",SUM($C19:MU19))</f>
        <v/>
      </c>
      <c r="MV86" s="114" t="str">
        <f>IF(OR(MV$13="",MV$17="",MV$14="",MV$15="",MV$16="",MV$18="",MV$19="",MV$20="",MV$21=""),"",SUM($C19:MV19))</f>
        <v/>
      </c>
      <c r="MW86" s="114" t="str">
        <f>IF(OR(MW$13="",MW$17="",MW$14="",MW$15="",MW$16="",MW$18="",MW$19="",MW$20="",MW$21=""),"",SUM($C19:MW19))</f>
        <v/>
      </c>
      <c r="MX86" s="114" t="str">
        <f>IF(OR(MX$13="",MX$17="",MX$14="",MX$15="",MX$16="",MX$18="",MX$19="",MX$20="",MX$21=""),"",SUM($C19:MX19))</f>
        <v/>
      </c>
      <c r="MY86" s="114" t="str">
        <f>IF(OR(MY$13="",MY$17="",MY$14="",MY$15="",MY$16="",MY$18="",MY$19="",MY$20="",MY$21=""),"",SUM($C19:MY19))</f>
        <v/>
      </c>
      <c r="MZ86" s="114" t="str">
        <f>IF(OR(MZ$13="",MZ$17="",MZ$14="",MZ$15="",MZ$16="",MZ$18="",MZ$19="",MZ$20="",MZ$21=""),"",SUM($C19:MZ19))</f>
        <v/>
      </c>
      <c r="NA86" s="114" t="str">
        <f>IF(OR(NA$13="",NA$17="",NA$14="",NA$15="",NA$16="",NA$18="",NA$19="",NA$20="",NA$21=""),"",SUM($C19:NA19))</f>
        <v/>
      </c>
      <c r="NB86" s="114" t="str">
        <f>IF(OR(NB$13="",NB$17="",NB$14="",NB$15="",NB$16="",NB$18="",NB$19="",NB$20="",NB$21=""),"",SUM($C19:NB19))</f>
        <v/>
      </c>
      <c r="NC86" s="114" t="str">
        <f>IF(OR(NC$13="",NC$17="",NC$14="",NC$15="",NC$16="",NC$18="",NC$19="",NC$20="",NC$21=""),"",SUM($C19:NC19))</f>
        <v/>
      </c>
      <c r="ND86" s="114" t="str">
        <f>IF(OR(ND$13="",ND$17="",ND$14="",ND$15="",ND$16="",ND$18="",ND$19="",ND$20="",ND$21=""),"",SUM($C19:ND19))</f>
        <v/>
      </c>
      <c r="NE86" s="114" t="str">
        <f>IF(OR(NE$13="",NE$17="",NE$14="",NE$15="",NE$16="",NE$18="",NE$19="",NE$20="",NE$21=""),"",SUM($C19:NE19))</f>
        <v/>
      </c>
      <c r="NF86" s="114" t="str">
        <f>IF(OR(NF$13="",NF$17="",NF$14="",NF$15="",NF$16="",NF$18="",NF$19="",NF$20="",NF$21=""),"",SUM($C19:NF19))</f>
        <v/>
      </c>
      <c r="NG86" s="114" t="str">
        <f>IF(OR(NG$13="",NG$17="",NG$14="",NG$15="",NG$16="",NG$18="",NG$19="",NG$20="",NG$21=""),"",SUM($C19:NG19))</f>
        <v/>
      </c>
      <c r="NH86" s="114" t="str">
        <f>IF(OR(NH$13="",NH$17="",NH$14="",NH$15="",NH$16="",NH$18="",NH$19="",NH$20="",NH$21=""),"",SUM($C19:NH19))</f>
        <v/>
      </c>
      <c r="NI86" s="114" t="str">
        <f>IF(OR(NI$13="",NI$17="",NI$14="",NI$15="",NI$16="",NI$18="",NI$19="",NI$20="",NI$21=""),"",SUM($C19:NI19))</f>
        <v/>
      </c>
      <c r="NJ86" s="114" t="str">
        <f>IF(OR(NJ$13="",NJ$17="",NJ$14="",NJ$15="",NJ$16="",NJ$18="",NJ$19="",NJ$20="",NJ$21=""),"",SUM($C19:NJ19))</f>
        <v/>
      </c>
      <c r="NK86" s="114" t="str">
        <f>IF(OR(NK$13="",NK$17="",NK$14="",NK$15="",NK$16="",NK$18="",NK$19="",NK$20="",NK$21=""),"",SUM($C19:NK19))</f>
        <v/>
      </c>
      <c r="NL86" s="114" t="str">
        <f>IF(OR(NL$13="",NL$17="",NL$14="",NL$15="",NL$16="",NL$18="",NL$19="",NL$20="",NL$21=""),"",SUM($C19:NL19))</f>
        <v/>
      </c>
      <c r="NM86" s="114" t="str">
        <f>IF(OR(NM$13="",NM$17="",NM$14="",NM$15="",NM$16="",NM$18="",NM$19="",NM$20="",NM$21=""),"",SUM($C19:NM19))</f>
        <v/>
      </c>
      <c r="NN86" s="114" t="str">
        <f>IF(OR(NN$13="",NN$17="",NN$14="",NN$15="",NN$16="",NN$18="",NN$19="",NN$20="",NN$21=""),"",SUM($C19:NN19))</f>
        <v/>
      </c>
      <c r="NO86" s="114" t="str">
        <f>IF(OR(NO$13="",NO$17="",NO$14="",NO$15="",NO$16="",NO$18="",NO$19="",NO$20="",NO$21=""),"",SUM($C19:NO19))</f>
        <v/>
      </c>
      <c r="NP86" s="114" t="str">
        <f>IF(OR(NP$13="",NP$17="",NP$14="",NP$15="",NP$16="",NP$18="",NP$19="",NP$20="",NP$21=""),"",SUM($C19:NP19))</f>
        <v/>
      </c>
      <c r="NQ86" s="114" t="str">
        <f>IF(OR(NQ$13="",NQ$17="",NQ$14="",NQ$15="",NQ$16="",NQ$18="",NQ$19="",NQ$20="",NQ$21=""),"",SUM($C19:NQ19))</f>
        <v/>
      </c>
      <c r="NR86" s="114" t="str">
        <f>IF(OR(NR$13="",NR$17="",NR$14="",NR$15="",NR$16="",NR$18="",NR$19="",NR$20="",NR$21=""),"",SUM($C19:NR19))</f>
        <v/>
      </c>
      <c r="NS86" s="114" t="str">
        <f>IF(OR(NS$13="",NS$17="",NS$14="",NS$15="",NS$16="",NS$18="",NS$19="",NS$20="",NS$21=""),"",SUM($C19:NS19))</f>
        <v/>
      </c>
      <c r="NT86" s="114" t="str">
        <f>IF(OR(NT$13="",NT$17="",NT$14="",NT$15="",NT$16="",NT$18="",NT$19="",NT$20="",NT$21=""),"",SUM($C19:NT19))</f>
        <v/>
      </c>
      <c r="NU86" s="114" t="str">
        <f>IF(OR(NU$13="",NU$17="",NU$14="",NU$15="",NU$16="",NU$18="",NU$19="",NU$20="",NU$21=""),"",SUM($C19:NU19))</f>
        <v/>
      </c>
      <c r="NV86" s="114" t="str">
        <f>IF(OR(NV$13="",NV$17="",NV$14="",NV$15="",NV$16="",NV$18="",NV$19="",NV$20="",NV$21=""),"",SUM($C19:NV19))</f>
        <v/>
      </c>
      <c r="NW86" s="114" t="str">
        <f>IF(OR(NW$13="",NW$17="",NW$14="",NW$15="",NW$16="",NW$18="",NW$19="",NW$20="",NW$21=""),"",SUM($C19:NW19))</f>
        <v/>
      </c>
      <c r="NX86" s="114" t="str">
        <f>IF(OR(NX$13="",NX$17="",NX$14="",NX$15="",NX$16="",NX$18="",NX$19="",NX$20="",NX$21=""),"",SUM($C19:NX19))</f>
        <v/>
      </c>
      <c r="NY86" s="114" t="str">
        <f>IF(OR(NY$13="",NY$17="",NY$14="",NY$15="",NY$16="",NY$18="",NY$19="",NY$20="",NY$21=""),"",SUM($C19:NY19))</f>
        <v/>
      </c>
      <c r="NZ86" s="114" t="str">
        <f>IF(OR(NZ$13="",NZ$17="",NZ$14="",NZ$15="",NZ$16="",NZ$18="",NZ$19="",NZ$20="",NZ$21=""),"",SUM($C19:NZ19))</f>
        <v/>
      </c>
      <c r="OA86" s="114" t="str">
        <f>IF(OR(OA$13="",OA$17="",OA$14="",OA$15="",OA$16="",OA$18="",OA$19="",OA$20="",OA$21=""),"",SUM($C19:OA19))</f>
        <v/>
      </c>
      <c r="OB86" s="114" t="str">
        <f>IF(OR(OB$13="",OB$17="",OB$14="",OB$15="",OB$16="",OB$18="",OB$19="",OB$20="",OB$21=""),"",SUM($C19:OB19))</f>
        <v/>
      </c>
      <c r="OC86" s="114" t="str">
        <f>IF(OR(OC$13="",OC$17="",OC$14="",OC$15="",OC$16="",OC$18="",OC$19="",OC$20="",OC$21=""),"",SUM($C19:OC19))</f>
        <v/>
      </c>
      <c r="OD86" s="114" t="str">
        <f>IF(OR(OD$13="",OD$17="",OD$14="",OD$15="",OD$16="",OD$18="",OD$19="",OD$20="",OD$21=""),"",SUM($C19:OD19))</f>
        <v/>
      </c>
      <c r="OE86" s="114" t="str">
        <f>IF(OR(OE$13="",OE$17="",OE$14="",OE$15="",OE$16="",OE$18="",OE$19="",OE$20="",OE$21=""),"",SUM($C19:OE19))</f>
        <v/>
      </c>
      <c r="OF86" s="114" t="str">
        <f>IF(OR(OF$13="",OF$17="",OF$14="",OF$15="",OF$16="",OF$18="",OF$19="",OF$20="",OF$21=""),"",SUM($C19:OF19))</f>
        <v/>
      </c>
      <c r="OG86" s="114" t="str">
        <f>IF(OR(OG$13="",OG$17="",OG$14="",OG$15="",OG$16="",OG$18="",OG$19="",OG$20="",OG$21=""),"",SUM($C19:OG19))</f>
        <v/>
      </c>
      <c r="OH86" s="114" t="str">
        <f>IF(OR(OH$13="",OH$17="",OH$14="",OH$15="",OH$16="",OH$18="",OH$19="",OH$20="",OH$21=""),"",SUM($C19:OH19))</f>
        <v/>
      </c>
      <c r="OI86" s="114" t="str">
        <f>IF(OR(OI$13="",OI$17="",OI$14="",OI$15="",OI$16="",OI$18="",OI$19="",OI$20="",OI$21=""),"",SUM($C19:OI19))</f>
        <v/>
      </c>
      <c r="OJ86" s="114" t="str">
        <f>IF(OR(OJ$13="",OJ$17="",OJ$14="",OJ$15="",OJ$16="",OJ$18="",OJ$19="",OJ$20="",OJ$21=""),"",SUM($C19:OJ19))</f>
        <v/>
      </c>
      <c r="OK86" s="114" t="str">
        <f>IF(OR(OK$13="",OK$17="",OK$14="",OK$15="",OK$16="",OK$18="",OK$19="",OK$20="",OK$21=""),"",SUM($C19:OK19))</f>
        <v/>
      </c>
      <c r="OL86" s="114" t="str">
        <f>IF(OR(OL$13="",OL$17="",OL$14="",OL$15="",OL$16="",OL$18="",OL$19="",OL$20="",OL$21=""),"",SUM($C19:OL19))</f>
        <v/>
      </c>
      <c r="OM86" s="114" t="str">
        <f>IF(OR(OM$13="",OM$17="",OM$14="",OM$15="",OM$16="",OM$18="",OM$19="",OM$20="",OM$21=""),"",SUM($C19:OM19))</f>
        <v/>
      </c>
      <c r="ON86" s="114" t="str">
        <f>IF(OR(ON$13="",ON$17="",ON$14="",ON$15="",ON$16="",ON$18="",ON$19="",ON$20="",ON$21=""),"",SUM($C19:ON19))</f>
        <v/>
      </c>
      <c r="OO86" s="114" t="str">
        <f>IF(OR(OO$13="",OO$17="",OO$14="",OO$15="",OO$16="",OO$18="",OO$19="",OO$20="",OO$21=""),"",SUM($C19:OO19))</f>
        <v/>
      </c>
      <c r="OP86" s="114" t="str">
        <f>IF(OR(OP$13="",OP$17="",OP$14="",OP$15="",OP$16="",OP$18="",OP$19="",OP$20="",OP$21=""),"",SUM($C19:OP19))</f>
        <v/>
      </c>
      <c r="OQ86" s="114" t="str">
        <f>IF(OR(OQ$13="",OQ$17="",OQ$14="",OQ$15="",OQ$16="",OQ$18="",OQ$19="",OQ$20="",OQ$21=""),"",SUM($C19:OQ19))</f>
        <v/>
      </c>
      <c r="OR86" s="114" t="str">
        <f>IF(OR(OR$13="",OR$17="",OR$14="",OR$15="",OR$16="",OR$18="",OR$19="",OR$20="",OR$21=""),"",SUM($C19:OR19))</f>
        <v/>
      </c>
      <c r="OS86" s="114" t="str">
        <f>IF(OR(OS$13="",OS$17="",OS$14="",OS$15="",OS$16="",OS$18="",OS$19="",OS$20="",OS$21=""),"",SUM($C19:OS19))</f>
        <v/>
      </c>
      <c r="OT86" s="114" t="str">
        <f>IF(OR(OT$13="",OT$17="",OT$14="",OT$15="",OT$16="",OT$18="",OT$19="",OT$20="",OT$21=""),"",SUM($C19:OT19))</f>
        <v/>
      </c>
      <c r="OU86" s="114" t="str">
        <f>IF(OR(OU$13="",OU$17="",OU$14="",OU$15="",OU$16="",OU$18="",OU$19="",OU$20="",OU$21=""),"",SUM($C19:OU19))</f>
        <v/>
      </c>
      <c r="OV86" s="114" t="str">
        <f>IF(OR(OV$13="",OV$17="",OV$14="",OV$15="",OV$16="",OV$18="",OV$19="",OV$20="",OV$21=""),"",SUM($C19:OV19))</f>
        <v/>
      </c>
      <c r="OW86" s="114" t="str">
        <f>IF(OR(OW$13="",OW$17="",OW$14="",OW$15="",OW$16="",OW$18="",OW$19="",OW$20="",OW$21=""),"",SUM($C19:OW19))</f>
        <v/>
      </c>
      <c r="OX86" s="114" t="str">
        <f>IF(OR(OX$13="",OX$17="",OX$14="",OX$15="",OX$16="",OX$18="",OX$19="",OX$20="",OX$21=""),"",SUM($C19:OX19))</f>
        <v/>
      </c>
      <c r="OY86" s="114" t="str">
        <f>IF(OR(OY$13="",OY$17="",OY$14="",OY$15="",OY$16="",OY$18="",OY$19="",OY$20="",OY$21=""),"",SUM($C19:OY19))</f>
        <v/>
      </c>
      <c r="OZ86" s="114" t="str">
        <f>IF(OR(OZ$13="",OZ$17="",OZ$14="",OZ$15="",OZ$16="",OZ$18="",OZ$19="",OZ$20="",OZ$21=""),"",SUM($C19:OZ19))</f>
        <v/>
      </c>
      <c r="PA86" s="114" t="str">
        <f>IF(OR(PA$13="",PA$17="",PA$14="",PA$15="",PA$16="",PA$18="",PA$19="",PA$20="",PA$21=""),"",SUM($C19:PA19))</f>
        <v/>
      </c>
      <c r="PB86" s="114" t="str">
        <f>IF(OR(PB$13="",PB$17="",PB$14="",PB$15="",PB$16="",PB$18="",PB$19="",PB$20="",PB$21=""),"",SUM($C19:PB19))</f>
        <v/>
      </c>
      <c r="PC86" s="114" t="str">
        <f>IF(OR(PC$13="",PC$17="",PC$14="",PC$15="",PC$16="",PC$18="",PC$19="",PC$20="",PC$21=""),"",SUM($C19:PC19))</f>
        <v/>
      </c>
      <c r="PD86" s="114" t="str">
        <f>IF(OR(PD$13="",PD$17="",PD$14="",PD$15="",PD$16="",PD$18="",PD$19="",PD$20="",PD$21=""),"",SUM($C19:PD19))</f>
        <v/>
      </c>
      <c r="PE86" s="114" t="str">
        <f>IF(OR(PE$13="",PE$17="",PE$14="",PE$15="",PE$16="",PE$18="",PE$19="",PE$20="",PE$21=""),"",SUM($C19:PE19))</f>
        <v/>
      </c>
      <c r="PF86" s="114" t="str">
        <f>IF(OR(PF$13="",PF$17="",PF$14="",PF$15="",PF$16="",PF$18="",PF$19="",PF$20="",PF$21=""),"",SUM($C19:PF19))</f>
        <v/>
      </c>
      <c r="PG86" s="114" t="str">
        <f>IF(OR(PG$13="",PG$17="",PG$14="",PG$15="",PG$16="",PG$18="",PG$19="",PG$20="",PG$21=""),"",SUM($C19:PG19))</f>
        <v/>
      </c>
      <c r="PH86" s="114" t="str">
        <f>IF(OR(PH$13="",PH$17="",PH$14="",PH$15="",PH$16="",PH$18="",PH$19="",PH$20="",PH$21=""),"",SUM($C19:PH19))</f>
        <v/>
      </c>
      <c r="PI86" s="114" t="str">
        <f>IF(OR(PI$13="",PI$17="",PI$14="",PI$15="",PI$16="",PI$18="",PI$19="",PI$20="",PI$21=""),"",SUM($C19:PI19))</f>
        <v/>
      </c>
      <c r="PJ86" s="114" t="str">
        <f>IF(OR(PJ$13="",PJ$17="",PJ$14="",PJ$15="",PJ$16="",PJ$18="",PJ$19="",PJ$20="",PJ$21=""),"",SUM($C19:PJ19))</f>
        <v/>
      </c>
      <c r="PK86" s="114" t="str">
        <f>IF(OR(PK$13="",PK$17="",PK$14="",PK$15="",PK$16="",PK$18="",PK$19="",PK$20="",PK$21=""),"",SUM($C19:PK19))</f>
        <v/>
      </c>
      <c r="PL86" s="114" t="str">
        <f>IF(OR(PL$13="",PL$17="",PL$14="",PL$15="",PL$16="",PL$18="",PL$19="",PL$20="",PL$21=""),"",SUM($C19:PL19))</f>
        <v/>
      </c>
      <c r="PM86" s="114" t="str">
        <f>IF(OR(PM$13="",PM$17="",PM$14="",PM$15="",PM$16="",PM$18="",PM$19="",PM$20="",PM$21=""),"",SUM($C19:PM19))</f>
        <v/>
      </c>
      <c r="PN86" s="114" t="str">
        <f>IF(OR(PN$13="",PN$17="",PN$14="",PN$15="",PN$16="",PN$18="",PN$19="",PN$20="",PN$21=""),"",SUM($C19:PN19))</f>
        <v/>
      </c>
      <c r="PO86" s="114" t="str">
        <f>IF(OR(PO$13="",PO$17="",PO$14="",PO$15="",PO$16="",PO$18="",PO$19="",PO$20="",PO$21=""),"",SUM($C19:PO19))</f>
        <v/>
      </c>
      <c r="PP86" s="114" t="str">
        <f>IF(OR(PP$13="",PP$17="",PP$14="",PP$15="",PP$16="",PP$18="",PP$19="",PP$20="",PP$21=""),"",SUM($C19:PP19))</f>
        <v/>
      </c>
      <c r="PQ86" s="114" t="str">
        <f>IF(OR(PQ$13="",PQ$17="",PQ$14="",PQ$15="",PQ$16="",PQ$18="",PQ$19="",PQ$20="",PQ$21=""),"",SUM($C19:PQ19))</f>
        <v/>
      </c>
      <c r="PR86" s="114" t="str">
        <f>IF(OR(PR$13="",PR$17="",PR$14="",PR$15="",PR$16="",PR$18="",PR$19="",PR$20="",PR$21=""),"",SUM($C19:PR19))</f>
        <v/>
      </c>
      <c r="PS86" s="114" t="str">
        <f>IF(OR(PS$13="",PS$17="",PS$14="",PS$15="",PS$16="",PS$18="",PS$19="",PS$20="",PS$21=""),"",SUM($C19:PS19))</f>
        <v/>
      </c>
      <c r="PT86" s="114" t="str">
        <f>IF(OR(PT$13="",PT$17="",PT$14="",PT$15="",PT$16="",PT$18="",PT$19="",PT$20="",PT$21=""),"",SUM($C19:PT19))</f>
        <v/>
      </c>
      <c r="PU86" s="114" t="str">
        <f>IF(OR(PU$13="",PU$17="",PU$14="",PU$15="",PU$16="",PU$18="",PU$19="",PU$20="",PU$21=""),"",SUM($C19:PU19))</f>
        <v/>
      </c>
      <c r="PV86" s="114" t="str">
        <f>IF(OR(PV$13="",PV$17="",PV$14="",PV$15="",PV$16="",PV$18="",PV$19="",PV$20="",PV$21=""),"",SUM($C19:PV19))</f>
        <v/>
      </c>
      <c r="PW86" s="114" t="str">
        <f>IF(OR(PW$13="",PW$17="",PW$14="",PW$15="",PW$16="",PW$18="",PW$19="",PW$20="",PW$21=""),"",SUM($C19:PW19))</f>
        <v/>
      </c>
      <c r="PX86" s="114" t="str">
        <f>IF(OR(PX$13="",PX$17="",PX$14="",PX$15="",PX$16="",PX$18="",PX$19="",PX$20="",PX$21=""),"",SUM($C19:PX19))</f>
        <v/>
      </c>
      <c r="PY86" s="114" t="str">
        <f>IF(OR(PY$13="",PY$17="",PY$14="",PY$15="",PY$16="",PY$18="",PY$19="",PY$20="",PY$21=""),"",SUM($C19:PY19))</f>
        <v/>
      </c>
      <c r="PZ86" s="114" t="str">
        <f>IF(OR(PZ$13="",PZ$17="",PZ$14="",PZ$15="",PZ$16="",PZ$18="",PZ$19="",PZ$20="",PZ$21=""),"",SUM($C19:PZ19))</f>
        <v/>
      </c>
      <c r="QA86" s="114" t="str">
        <f>IF(OR(QA$13="",QA$17="",QA$14="",QA$15="",QA$16="",QA$18="",QA$19="",QA$20="",QA$21=""),"",SUM($C19:QA19))</f>
        <v/>
      </c>
      <c r="QB86" s="114" t="str">
        <f>IF(OR(QB$13="",QB$17="",QB$14="",QB$15="",QB$16="",QB$18="",QB$19="",QB$20="",QB$21=""),"",SUM($C19:QB19))</f>
        <v/>
      </c>
      <c r="QC86" s="114" t="str">
        <f>IF(OR(QC$13="",QC$17="",QC$14="",QC$15="",QC$16="",QC$18="",QC$19="",QC$20="",QC$21=""),"",SUM($C19:QC19))</f>
        <v/>
      </c>
      <c r="QD86" s="114" t="str">
        <f>IF(OR(QD$13="",QD$17="",QD$14="",QD$15="",QD$16="",QD$18="",QD$19="",QD$20="",QD$21=""),"",SUM($C19:QD19))</f>
        <v/>
      </c>
      <c r="QE86" s="114" t="str">
        <f>IF(OR(QE$13="",QE$17="",QE$14="",QE$15="",QE$16="",QE$18="",QE$19="",QE$20="",QE$21=""),"",SUM($C19:QE19))</f>
        <v/>
      </c>
      <c r="QF86" s="114" t="str">
        <f>IF(OR(QF$13="",QF$17="",QF$14="",QF$15="",QF$16="",QF$18="",QF$19="",QF$20="",QF$21=""),"",SUM($C19:QF19))</f>
        <v/>
      </c>
      <c r="QG86" s="114" t="str">
        <f>IF(OR(QG$13="",QG$17="",QG$14="",QG$15="",QG$16="",QG$18="",QG$19="",QG$20="",QG$21=""),"",SUM($C19:QG19))</f>
        <v/>
      </c>
      <c r="QH86" s="114" t="str">
        <f>IF(OR(QH$13="",QH$17="",QH$14="",QH$15="",QH$16="",QH$18="",QH$19="",QH$20="",QH$21=""),"",SUM($C19:QH19))</f>
        <v/>
      </c>
      <c r="QI86" s="114" t="str">
        <f>IF(OR(QI$13="",QI$17="",QI$14="",QI$15="",QI$16="",QI$18="",QI$19="",QI$20="",QI$21=""),"",SUM($C19:QI19))</f>
        <v/>
      </c>
      <c r="QJ86" s="114" t="str">
        <f>IF(OR(QJ$13="",QJ$17="",QJ$14="",QJ$15="",QJ$16="",QJ$18="",QJ$19="",QJ$20="",QJ$21=""),"",SUM($C19:QJ19))</f>
        <v/>
      </c>
      <c r="QK86" s="114" t="str">
        <f>IF(OR(QK$13="",QK$17="",QK$14="",QK$15="",QK$16="",QK$18="",QK$19="",QK$20="",QK$21=""),"",SUM($C19:QK19))</f>
        <v/>
      </c>
      <c r="QL86" s="114" t="str">
        <f>IF(OR(QL$13="",QL$17="",QL$14="",QL$15="",QL$16="",QL$18="",QL$19="",QL$20="",QL$21=""),"",SUM($C19:QL19))</f>
        <v/>
      </c>
      <c r="QM86" s="114" t="str">
        <f>IF(OR(QM$13="",QM$17="",QM$14="",QM$15="",QM$16="",QM$18="",QM$19="",QM$20="",QM$21=""),"",SUM($C19:QM19))</f>
        <v/>
      </c>
      <c r="QN86" s="114" t="str">
        <f>IF(OR(QN$13="",QN$17="",QN$14="",QN$15="",QN$16="",QN$18="",QN$19="",QN$20="",QN$21=""),"",SUM($C19:QN19))</f>
        <v/>
      </c>
      <c r="QO86" s="114" t="str">
        <f>IF(OR(QO$13="",QO$17="",QO$14="",QO$15="",QO$16="",QO$18="",QO$19="",QO$20="",QO$21=""),"",SUM($C19:QO19))</f>
        <v/>
      </c>
      <c r="QP86" s="114" t="str">
        <f>IF(OR(QP$13="",QP$17="",QP$14="",QP$15="",QP$16="",QP$18="",QP$19="",QP$20="",QP$21=""),"",SUM($C19:QP19))</f>
        <v/>
      </c>
      <c r="QQ86" s="114" t="str">
        <f>IF(OR(QQ$13="",QQ$17="",QQ$14="",QQ$15="",QQ$16="",QQ$18="",QQ$19="",QQ$20="",QQ$21=""),"",SUM($C19:QQ19))</f>
        <v/>
      </c>
      <c r="QR86" s="114" t="str">
        <f>IF(OR(QR$13="",QR$17="",QR$14="",QR$15="",QR$16="",QR$18="",QR$19="",QR$20="",QR$21=""),"",SUM($C19:QR19))</f>
        <v/>
      </c>
      <c r="QS86" s="114" t="str">
        <f>IF(OR(QS$13="",QS$17="",QS$14="",QS$15="",QS$16="",QS$18="",QS$19="",QS$20="",QS$21=""),"",SUM($C19:QS19))</f>
        <v/>
      </c>
      <c r="QT86" s="114" t="str">
        <f>IF(OR(QT$13="",QT$17="",QT$14="",QT$15="",QT$16="",QT$18="",QT$19="",QT$20="",QT$21=""),"",SUM($C19:QT19))</f>
        <v/>
      </c>
      <c r="QU86" s="114" t="str">
        <f>IF(OR(QU$13="",QU$17="",QU$14="",QU$15="",QU$16="",QU$18="",QU$19="",QU$20="",QU$21=""),"",SUM($C19:QU19))</f>
        <v/>
      </c>
      <c r="QV86" s="114" t="str">
        <f>IF(OR(QV$13="",QV$17="",QV$14="",QV$15="",QV$16="",QV$18="",QV$19="",QV$20="",QV$21=""),"",SUM($C19:QV19))</f>
        <v/>
      </c>
      <c r="QW86" s="114" t="str">
        <f>IF(OR(QW$13="",QW$17="",QW$14="",QW$15="",QW$16="",QW$18="",QW$19="",QW$20="",QW$21=""),"",SUM($C19:QW19))</f>
        <v/>
      </c>
      <c r="QX86" s="114" t="str">
        <f>IF(OR(QX$13="",QX$17="",QX$14="",QX$15="",QX$16="",QX$18="",QX$19="",QX$20="",QX$21=""),"",SUM($C19:QX19))</f>
        <v/>
      </c>
      <c r="QY86" s="114" t="str">
        <f>IF(OR(QY$13="",QY$17="",QY$14="",QY$15="",QY$16="",QY$18="",QY$19="",QY$20="",QY$21=""),"",SUM($C19:QY19))</f>
        <v/>
      </c>
      <c r="QZ86" s="114" t="str">
        <f>IF(OR(QZ$13="",QZ$17="",QZ$14="",QZ$15="",QZ$16="",QZ$18="",QZ$19="",QZ$20="",QZ$21=""),"",SUM($C19:QZ19))</f>
        <v/>
      </c>
      <c r="RA86" s="114" t="str">
        <f>IF(OR(RA$13="",RA$17="",RA$14="",RA$15="",RA$16="",RA$18="",RA$19="",RA$20="",RA$21=""),"",SUM($C19:RA19))</f>
        <v/>
      </c>
      <c r="RB86" s="114" t="str">
        <f>IF(OR(RB$13="",RB$17="",RB$14="",RB$15="",RB$16="",RB$18="",RB$19="",RB$20="",RB$21=""),"",SUM($C19:RB19))</f>
        <v/>
      </c>
      <c r="RC86" s="114" t="str">
        <f>IF(OR(RC$13="",RC$17="",RC$14="",RC$15="",RC$16="",RC$18="",RC$19="",RC$20="",RC$21=""),"",SUM($C19:RC19))</f>
        <v/>
      </c>
      <c r="RD86" s="114" t="str">
        <f>IF(OR(RD$13="",RD$17="",RD$14="",RD$15="",RD$16="",RD$18="",RD$19="",RD$20="",RD$21=""),"",SUM($C19:RD19))</f>
        <v/>
      </c>
      <c r="RE86" s="114" t="str">
        <f>IF(OR(RE$13="",RE$17="",RE$14="",RE$15="",RE$16="",RE$18="",RE$19="",RE$20="",RE$21=""),"",SUM($C19:RE19))</f>
        <v/>
      </c>
      <c r="RF86" s="114" t="str">
        <f>IF(OR(RF$13="",RF$17="",RF$14="",RF$15="",RF$16="",RF$18="",RF$19="",RF$20="",RF$21=""),"",SUM($C19:RF19))</f>
        <v/>
      </c>
      <c r="RG86" s="114" t="str">
        <f>IF(OR(RG$13="",RG$17="",RG$14="",RG$15="",RG$16="",RG$18="",RG$19="",RG$20="",RG$21=""),"",SUM($C19:RG19))</f>
        <v/>
      </c>
      <c r="RH86" s="114" t="str">
        <f>IF(OR(RH$13="",RH$17="",RH$14="",RH$15="",RH$16="",RH$18="",RH$19="",RH$20="",RH$21=""),"",SUM($C19:RH19))</f>
        <v/>
      </c>
      <c r="RI86" s="114" t="str">
        <f>IF(OR(RI$13="",RI$17="",RI$14="",RI$15="",RI$16="",RI$18="",RI$19="",RI$20="",RI$21=""),"",SUM($C19:RI19))</f>
        <v/>
      </c>
      <c r="RJ86" s="114" t="str">
        <f>IF(OR(RJ$13="",RJ$17="",RJ$14="",RJ$15="",RJ$16="",RJ$18="",RJ$19="",RJ$20="",RJ$21=""),"",SUM($C19:RJ19))</f>
        <v/>
      </c>
      <c r="RK86" s="114" t="str">
        <f>IF(OR(RK$13="",RK$17="",RK$14="",RK$15="",RK$16="",RK$18="",RK$19="",RK$20="",RK$21=""),"",SUM($C19:RK19))</f>
        <v/>
      </c>
      <c r="RL86" s="114" t="str">
        <f>IF(OR(RL$13="",RL$17="",RL$14="",RL$15="",RL$16="",RL$18="",RL$19="",RL$20="",RL$21=""),"",SUM($C19:RL19))</f>
        <v/>
      </c>
      <c r="RM86" s="114" t="str">
        <f>IF(OR(RM$13="",RM$17="",RM$14="",RM$15="",RM$16="",RM$18="",RM$19="",RM$20="",RM$21=""),"",SUM($C19:RM19))</f>
        <v/>
      </c>
      <c r="RN86" s="114" t="str">
        <f>IF(OR(RN$13="",RN$17="",RN$14="",RN$15="",RN$16="",RN$18="",RN$19="",RN$20="",RN$21=""),"",SUM($C19:RN19))</f>
        <v/>
      </c>
      <c r="RO86" s="114" t="str">
        <f>IF(OR(RO$13="",RO$17="",RO$14="",RO$15="",RO$16="",RO$18="",RO$19="",RO$20="",RO$21=""),"",SUM($C19:RO19))</f>
        <v/>
      </c>
      <c r="RP86" s="114" t="str">
        <f>IF(OR(RP$13="",RP$17="",RP$14="",RP$15="",RP$16="",RP$18="",RP$19="",RP$20="",RP$21=""),"",SUM($C19:RP19))</f>
        <v/>
      </c>
      <c r="RQ86" s="114" t="str">
        <f>IF(OR(RQ$13="",RQ$17="",RQ$14="",RQ$15="",RQ$16="",RQ$18="",RQ$19="",RQ$20="",RQ$21=""),"",SUM($C19:RQ19))</f>
        <v/>
      </c>
      <c r="RR86" s="114" t="str">
        <f>IF(OR(RR$13="",RR$17="",RR$14="",RR$15="",RR$16="",RR$18="",RR$19="",RR$20="",RR$21=""),"",SUM($C19:RR19))</f>
        <v/>
      </c>
      <c r="RS86" s="114" t="str">
        <f>IF(OR(RS$13="",RS$17="",RS$14="",RS$15="",RS$16="",RS$18="",RS$19="",RS$20="",RS$21=""),"",SUM($C19:RS19))</f>
        <v/>
      </c>
      <c r="RT86" s="114" t="str">
        <f>IF(OR(RT$13="",RT$17="",RT$14="",RT$15="",RT$16="",RT$18="",RT$19="",RT$20="",RT$21=""),"",SUM($C19:RT19))</f>
        <v/>
      </c>
      <c r="RU86" s="114" t="str">
        <f>IF(OR(RU$13="",RU$17="",RU$14="",RU$15="",RU$16="",RU$18="",RU$19="",RU$20="",RU$21=""),"",SUM($C19:RU19))</f>
        <v/>
      </c>
      <c r="RV86" s="114" t="str">
        <f>IF(OR(RV$13="",RV$17="",RV$14="",RV$15="",RV$16="",RV$18="",RV$19="",RV$20="",RV$21=""),"",SUM($C19:RV19))</f>
        <v/>
      </c>
      <c r="RW86" s="114" t="str">
        <f>IF(OR(RW$13="",RW$17="",RW$14="",RW$15="",RW$16="",RW$18="",RW$19="",RW$20="",RW$21=""),"",SUM($C19:RW19))</f>
        <v/>
      </c>
      <c r="RX86" s="114" t="str">
        <f>IF(OR(RX$13="",RX$17="",RX$14="",RX$15="",RX$16="",RX$18="",RX$19="",RX$20="",RX$21=""),"",SUM($C19:RX19))</f>
        <v/>
      </c>
      <c r="RY86" s="114" t="str">
        <f>IF(OR(RY$13="",RY$17="",RY$14="",RY$15="",RY$16="",RY$18="",RY$19="",RY$20="",RY$21=""),"",SUM($C19:RY19))</f>
        <v/>
      </c>
      <c r="RZ86" s="114" t="str">
        <f>IF(OR(RZ$13="",RZ$17="",RZ$14="",RZ$15="",RZ$16="",RZ$18="",RZ$19="",RZ$20="",RZ$21=""),"",SUM($C19:RZ19))</f>
        <v/>
      </c>
      <c r="SA86" s="114" t="str">
        <f>IF(OR(SA$13="",SA$17="",SA$14="",SA$15="",SA$16="",SA$18="",SA$19="",SA$20="",SA$21=""),"",SUM($C19:SA19))</f>
        <v/>
      </c>
      <c r="SB86" s="114" t="str">
        <f>IF(OR(SB$13="",SB$17="",SB$14="",SB$15="",SB$16="",SB$18="",SB$19="",SB$20="",SB$21=""),"",SUM($C19:SB19))</f>
        <v/>
      </c>
      <c r="SC86" s="114" t="str">
        <f>IF(OR(SC$13="",SC$17="",SC$14="",SC$15="",SC$16="",SC$18="",SC$19="",SC$20="",SC$21=""),"",SUM($C19:SC19))</f>
        <v/>
      </c>
      <c r="SD86" s="114" t="str">
        <f>IF(OR(SD$13="",SD$17="",SD$14="",SD$15="",SD$16="",SD$18="",SD$19="",SD$20="",SD$21=""),"",SUM($C19:SD19))</f>
        <v/>
      </c>
      <c r="SE86" s="114" t="str">
        <f>IF(OR(SE$13="",SE$17="",SE$14="",SE$15="",SE$16="",SE$18="",SE$19="",SE$20="",SE$21=""),"",SUM($C19:SE19))</f>
        <v/>
      </c>
      <c r="SF86" s="114" t="str">
        <f>IF(OR(SF$13="",SF$17="",SF$14="",SF$15="",SF$16="",SF$18="",SF$19="",SF$20="",SF$21=""),"",SUM($C19:SF19))</f>
        <v/>
      </c>
      <c r="SG86" s="114" t="str">
        <f>IF(OR(SG$13="",SG$17="",SG$14="",SG$15="",SG$16="",SG$18="",SG$19="",SG$20="",SG$21=""),"",SUM($C19:SG19))</f>
        <v/>
      </c>
      <c r="SH86" s="114" t="str">
        <f>IF(OR(SH$13="",SH$17="",SH$14="",SH$15="",SH$16="",SH$18="",SH$19="",SH$20="",SH$21=""),"",SUM($C19:SH19))</f>
        <v/>
      </c>
      <c r="SI86" s="114" t="str">
        <f>IF(OR(SI$13="",SI$17="",SI$14="",SI$15="",SI$16="",SI$18="",SI$19="",SI$20="",SI$21=""),"",SUM($C19:SI19))</f>
        <v/>
      </c>
      <c r="SJ86" s="114" t="str">
        <f>IF(OR(SJ$13="",SJ$17="",SJ$14="",SJ$15="",SJ$16="",SJ$18="",SJ$19="",SJ$20="",SJ$21=""),"",SUM($C19:SJ19))</f>
        <v/>
      </c>
      <c r="SK86" s="114" t="str">
        <f>IF(OR(SK$13="",SK$17="",SK$14="",SK$15="",SK$16="",SK$18="",SK$19="",SK$20="",SK$21=""),"",SUM($C19:SK19))</f>
        <v/>
      </c>
      <c r="SL86" s="114" t="str">
        <f>IF(OR(SL$13="",SL$17="",SL$14="",SL$15="",SL$16="",SL$18="",SL$19="",SL$20="",SL$21=""),"",SUM($C19:SL19))</f>
        <v/>
      </c>
      <c r="SM86" s="114" t="str">
        <f>IF(OR(SM$13="",SM$17="",SM$14="",SM$15="",SM$16="",SM$18="",SM$19="",SM$20="",SM$21=""),"",SUM($C19:SM19))</f>
        <v/>
      </c>
      <c r="SN86" s="114" t="str">
        <f>IF(OR(SN$13="",SN$17="",SN$14="",SN$15="",SN$16="",SN$18="",SN$19="",SN$20="",SN$21=""),"",SUM($C19:SN19))</f>
        <v/>
      </c>
      <c r="SO86" s="114" t="str">
        <f>IF(OR(SO$13="",SO$17="",SO$14="",SO$15="",SO$16="",SO$18="",SO$19="",SO$20="",SO$21=""),"",SUM($C19:SO19))</f>
        <v/>
      </c>
      <c r="SP86" s="114" t="str">
        <f>IF(OR(SP$13="",SP$17="",SP$14="",SP$15="",SP$16="",SP$18="",SP$19="",SP$20="",SP$21=""),"",SUM($C19:SP19))</f>
        <v/>
      </c>
      <c r="SQ86" s="114" t="str">
        <f>IF(OR(SQ$13="",SQ$17="",SQ$14="",SQ$15="",SQ$16="",SQ$18="",SQ$19="",SQ$20="",SQ$21=""),"",SUM($C19:SQ19))</f>
        <v/>
      </c>
      <c r="SR86" s="114" t="str">
        <f>IF(OR(SR$13="",SR$17="",SR$14="",SR$15="",SR$16="",SR$18="",SR$19="",SR$20="",SR$21=""),"",SUM($C19:SR19))</f>
        <v/>
      </c>
      <c r="SS86" s="114" t="str">
        <f>IF(OR(SS$13="",SS$17="",SS$14="",SS$15="",SS$16="",SS$18="",SS$19="",SS$20="",SS$21=""),"",SUM($C19:SS19))</f>
        <v/>
      </c>
      <c r="ST86" s="114" t="str">
        <f>IF(OR(ST$13="",ST$17="",ST$14="",ST$15="",ST$16="",ST$18="",ST$19="",ST$20="",ST$21=""),"",SUM($C19:ST19))</f>
        <v/>
      </c>
      <c r="SU86" s="114" t="str">
        <f>IF(OR(SU$13="",SU$17="",SU$14="",SU$15="",SU$16="",SU$18="",SU$19="",SU$20="",SU$21=""),"",SUM($C19:SU19))</f>
        <v/>
      </c>
      <c r="SV86" s="114" t="str">
        <f>IF(OR(SV$13="",SV$17="",SV$14="",SV$15="",SV$16="",SV$18="",SV$19="",SV$20="",SV$21=""),"",SUM($C19:SV19))</f>
        <v/>
      </c>
      <c r="SW86" s="114" t="str">
        <f>IF(OR(SW$13="",SW$17="",SW$14="",SW$15="",SW$16="",SW$18="",SW$19="",SW$20="",SW$21=""),"",SUM($C19:SW19))</f>
        <v/>
      </c>
    </row>
    <row r="87" spans="1:517" ht="24.6" customHeight="1" x14ac:dyDescent="0.2">
      <c r="A87" s="94">
        <v>777</v>
      </c>
      <c r="B87" s="119" t="s">
        <v>84</v>
      </c>
      <c r="C87" s="114">
        <f>IF(OR(C$13="",C$17="",C$14="",C$15="",C$16="",C$18="",C$19="",C$20="",C$21=""),"",SUM($C20:C20))</f>
        <v>0</v>
      </c>
      <c r="D87" s="114">
        <f>IF(OR(D$13="",D$17="",D$14="",D$15="",D$16="",D$18="",D$19="",D$20="",D$21=""),"",SUM($C20:D20))</f>
        <v>0</v>
      </c>
      <c r="E87" s="114">
        <f>IF(OR(E$13="",E$17="",E$14="",E$15="",E$16="",E$18="",E$19="",E$20="",E$21=""),"",SUM($C20:E20))</f>
        <v>4.0500000000000007</v>
      </c>
      <c r="F87" s="114">
        <f>IF(OR(F$13="",F$17="",F$14="",F$15="",F$16="",F$18="",F$19="",F$20="",F$21=""),"",SUM($C20:F20))</f>
        <v>4.0500000000000007</v>
      </c>
      <c r="G87" s="114">
        <f>IF(OR(G$13="",G$17="",G$14="",G$15="",G$16="",G$18="",G$19="",G$20="",G$21=""),"",SUM($C20:G20))</f>
        <v>4.0500000000000007</v>
      </c>
      <c r="H87" s="114">
        <f>IF(OR(H$13="",H$17="",H$14="",H$15="",H$16="",H$18="",H$19="",H$20="",H$21=""),"",SUM($C20:H20))</f>
        <v>8.2700000000000014</v>
      </c>
      <c r="I87" s="114">
        <f>IF(OR(I$13="",I$17="",I$14="",I$15="",I$16="",I$18="",I$19="",I$20="",I$21=""),"",SUM($C20:I20))</f>
        <v>18.090000000000003</v>
      </c>
      <c r="J87" s="114">
        <f>IF(OR(J$13="",J$17="",J$14="",J$15="",J$16="",J$18="",J$19="",J$20="",J$21=""),"",SUM($C20:J20))</f>
        <v>36.24</v>
      </c>
      <c r="K87" s="114">
        <f>IF(OR(K$13="",K$17="",K$14="",K$15="",K$16="",K$18="",K$19="",K$20="",K$21=""),"",SUM($C20:K20))</f>
        <v>36.24</v>
      </c>
      <c r="L87" s="114">
        <f>IF(OR(L$13="",L$17="",L$14="",L$15="",L$16="",L$18="",L$19="",L$20="",L$21=""),"",SUM($C20:L20))</f>
        <v>36.24</v>
      </c>
      <c r="M87" s="114">
        <f>IF(OR(M$13="",M$17="",M$14="",M$15="",M$16="",M$18="",M$19="",M$20="",M$21=""),"",SUM($C20:M20))</f>
        <v>94.17</v>
      </c>
      <c r="N87" s="114">
        <f>IF(OR(N$13="",N$17="",N$14="",N$15="",N$16="",N$18="",N$19="",N$20="",N$21=""),"",SUM($C20:N20))</f>
        <v>94.17</v>
      </c>
      <c r="O87" s="114">
        <f>IF(OR(O$13="",O$17="",O$14="",O$15="",O$16="",O$18="",O$19="",O$20="",O$21=""),"",SUM($C20:O20))</f>
        <v>94.17</v>
      </c>
      <c r="P87" s="114">
        <f>IF(OR(P$13="",P$17="",P$14="",P$15="",P$16="",P$18="",P$19="",P$20="",P$21=""),"",SUM($C20:P20))</f>
        <v>105.45</v>
      </c>
      <c r="Q87" s="114">
        <f>IF(OR(Q$13="",Q$17="",Q$14="",Q$15="",Q$16="",Q$18="",Q$19="",Q$20="",Q$21=""),"",SUM($C20:Q20))</f>
        <v>120.77000000000001</v>
      </c>
      <c r="R87" s="114">
        <f>IF(OR(R$13="",R$17="",R$14="",R$15="",R$16="",R$18="",R$19="",R$20="",R$21=""),"",SUM($C20:R20))</f>
        <v>120.77000000000001</v>
      </c>
      <c r="S87" s="114">
        <f>IF(OR(S$13="",S$17="",S$14="",S$15="",S$16="",S$18="",S$19="",S$20="",S$21=""),"",SUM($C20:S20))</f>
        <v>120.77000000000001</v>
      </c>
      <c r="T87" s="114">
        <f>IF(OR(T$13="",T$17="",T$14="",T$15="",T$16="",T$18="",T$19="",T$20="",T$21=""),"",SUM($C20:T20))</f>
        <v>128.80000000000001</v>
      </c>
      <c r="U87" s="114">
        <f>IF(OR(U$13="",U$17="",U$14="",U$15="",U$16="",U$18="",U$19="",U$20="",U$21=""),"",SUM($C20:U20))</f>
        <v>136.60000000000002</v>
      </c>
      <c r="V87" s="114">
        <f>IF(OR(V$13="",V$17="",V$14="",V$15="",V$16="",V$18="",V$19="",V$20="",V$21=""),"",SUM($C20:V20))</f>
        <v>139.50000000000003</v>
      </c>
      <c r="W87" s="114">
        <f>IF(OR(W$13="",W$17="",W$14="",W$15="",W$16="",W$18="",W$19="",W$20="",W$21=""),"",SUM($C20:W20))</f>
        <v>141.70000000000002</v>
      </c>
      <c r="X87" s="114">
        <f>IF(OR(X$13="",X$17="",X$14="",X$15="",X$16="",X$18="",X$19="",X$20="",X$21=""),"",SUM($C20:X20))</f>
        <v>142.72000000000003</v>
      </c>
      <c r="Y87" s="114">
        <f>IF(OR(Y$13="",Y$17="",Y$14="",Y$15="",Y$16="",Y$18="",Y$19="",Y$20="",Y$21=""),"",SUM($C20:Y20))</f>
        <v>144.47000000000003</v>
      </c>
      <c r="Z87" s="114">
        <f>IF(OR(Z$13="",Z$17="",Z$14="",Z$15="",Z$16="",Z$18="",Z$19="",Z$20="",Z$21=""),"",SUM($C20:Z20))</f>
        <v>144.47000000000003</v>
      </c>
      <c r="AA87" s="114">
        <f>IF(OR(AA$13="",AA$17="",AA$14="",AA$15="",AA$16="",AA$18="",AA$19="",AA$20="",AA$21=""),"",SUM($C20:AA20))</f>
        <v>144.47000000000003</v>
      </c>
      <c r="AB87" s="114">
        <f>IF(OR(AB$13="",AB$17="",AB$14="",AB$15="",AB$16="",AB$18="",AB$19="",AB$20="",AB$21=""),"",SUM($C20:AB20))</f>
        <v>144.47000000000003</v>
      </c>
      <c r="AC87" s="114">
        <f>IF(OR(AC$13="",AC$17="",AC$14="",AC$15="",AC$16="",AC$18="",AC$19="",AC$20="",AC$21=""),"",SUM($C20:AC20))</f>
        <v>144.47000000000003</v>
      </c>
      <c r="AD87" s="114">
        <f>IF(OR(AD$13="",AD$17="",AD$14="",AD$15="",AD$16="",AD$18="",AD$19="",AD$20="",AD$21=""),"",SUM($C20:AD20))</f>
        <v>144.47000000000003</v>
      </c>
      <c r="AE87" s="114">
        <f>IF(OR(AE$13="",AE$17="",AE$14="",AE$15="",AE$16="",AE$18="",AE$19="",AE$20="",AE$21=""),"",SUM($C20:AE20))</f>
        <v>144.47000000000003</v>
      </c>
      <c r="AF87" s="114">
        <f>IF(OR(AF$13="",AF$17="",AF$14="",AF$15="",AF$16="",AF$18="",AF$19="",AF$20="",AF$21=""),"",SUM($C20:AF20))</f>
        <v>144.47000000000003</v>
      </c>
      <c r="AG87" s="114">
        <f>IF(OR(AG$13="",AG$17="",AG$14="",AG$15="",AG$16="",AG$18="",AG$19="",AG$20="",AG$21=""),"",SUM($C20:AG20))</f>
        <v>145.76000000000002</v>
      </c>
      <c r="AH87" s="114">
        <f>IF(OR(AH$13="",AH$17="",AH$14="",AH$15="",AH$16="",AH$18="",AH$19="",AH$20="",AH$21=""),"",SUM($C20:AH20))</f>
        <v>152.14000000000001</v>
      </c>
      <c r="AI87" s="114">
        <f>IF(OR(AI$13="",AI$17="",AI$14="",AI$15="",AI$16="",AI$18="",AI$19="",AI$20="",AI$21=""),"",SUM($C20:AI20))</f>
        <v>152.14000000000001</v>
      </c>
      <c r="AJ87" s="114">
        <f>IF(OR(AJ$13="",AJ$17="",AJ$14="",AJ$15="",AJ$16="",AJ$18="",AJ$19="",AJ$20="",AJ$21=""),"",SUM($C20:AJ20))</f>
        <v>152.14000000000001</v>
      </c>
      <c r="AK87" s="114">
        <f>IF(OR(AK$13="",AK$17="",AK$14="",AK$15="",AK$16="",AK$18="",AK$19="",AK$20="",AK$21=""),"",SUM($C20:AK20))</f>
        <v>152.14000000000001</v>
      </c>
      <c r="AL87" s="114">
        <f>IF(OR(AL$13="",AL$17="",AL$14="",AL$15="",AL$16="",AL$18="",AL$19="",AL$20="",AL$21=""),"",SUM($C20:AL20))</f>
        <v>152.14000000000001</v>
      </c>
      <c r="AM87" s="114">
        <f>IF(OR(AM$13="",AM$17="",AM$14="",AM$15="",AM$16="",AM$18="",AM$19="",AM$20="",AM$21=""),"",SUM($C20:AM20))</f>
        <v>152.14000000000001</v>
      </c>
      <c r="AN87" s="114">
        <f>IF(OR(AN$13="",AN$17="",AN$14="",AN$15="",AN$16="",AN$18="",AN$19="",AN$20="",AN$21=""),"",SUM($C20:AN20))</f>
        <v>153.98000000000002</v>
      </c>
      <c r="AO87" s="114">
        <f>IF(OR(AO$13="",AO$17="",AO$14="",AO$15="",AO$16="",AO$18="",AO$19="",AO$20="",AO$21=""),"",SUM($C20:AO20))</f>
        <v>153.98000000000002</v>
      </c>
      <c r="AP87" s="114">
        <f>IF(OR(AP$13="",AP$17="",AP$14="",AP$15="",AP$16="",AP$18="",AP$19="",AP$20="",AP$21=""),"",SUM($C20:AP20))</f>
        <v>153.98000000000002</v>
      </c>
      <c r="AQ87" s="114">
        <f>IF(OR(AQ$13="",AQ$17="",AQ$14="",AQ$15="",AQ$16="",AQ$18="",AQ$19="",AQ$20="",AQ$21=""),"",SUM($C20:AQ20))</f>
        <v>155.70000000000002</v>
      </c>
      <c r="AR87" s="114">
        <f>IF(OR(AR$13="",AR$17="",AR$14="",AR$15="",AR$16="",AR$18="",AR$19="",AR$20="",AR$21=""),"",SUM($C20:AR20))</f>
        <v>155.70000000000002</v>
      </c>
      <c r="AS87" s="114">
        <f>IF(OR(AS$13="",AS$17="",AS$14="",AS$15="",AS$16="",AS$18="",AS$19="",AS$20="",AS$21=""),"",SUM($C20:AS20))</f>
        <v>155.70000000000002</v>
      </c>
      <c r="AT87" s="114">
        <f>IF(OR(AT$13="",AT$17="",AT$14="",AT$15="",AT$16="",AT$18="",AT$19="",AT$20="",AT$21=""),"",SUM($C20:AT20))</f>
        <v>155.70000000000002</v>
      </c>
      <c r="AU87" s="114">
        <f>IF(OR(AU$13="",AU$17="",AU$14="",AU$15="",AU$16="",AU$18="",AU$19="",AU$20="",AU$21=""),"",SUM($C20:AU20))</f>
        <v>155.70000000000002</v>
      </c>
      <c r="AV87" s="114">
        <f>IF(OR(AV$13="",AV$17="",AV$14="",AV$15="",AV$16="",AV$18="",AV$19="",AV$20="",AV$21=""),"",SUM($C20:AV20))</f>
        <v>155.70000000000002</v>
      </c>
      <c r="AW87" s="114">
        <f>IF(OR(AW$13="",AW$17="",AW$14="",AW$15="",AW$16="",AW$18="",AW$19="",AW$20="",AW$21=""),"",SUM($C20:AW20))</f>
        <v>155.70000000000002</v>
      </c>
      <c r="AX87" s="114">
        <f>IF(OR(AX$13="",AX$17="",AX$14="",AX$15="",AX$16="",AX$18="",AX$19="",AX$20="",AX$21=""),"",SUM($C20:AX20))</f>
        <v>155.70000000000002</v>
      </c>
      <c r="AY87" s="114">
        <f>IF(OR(AY$13="",AY$17="",AY$14="",AY$15="",AY$16="",AY$18="",AY$19="",AY$20="",AY$21=""),"",SUM($C20:AY20))</f>
        <v>155.70000000000002</v>
      </c>
      <c r="AZ87" s="114">
        <f>IF(OR(AZ$13="",AZ$17="",AZ$14="",AZ$15="",AZ$16="",AZ$18="",AZ$19="",AZ$20="",AZ$21=""),"",SUM($C20:AZ20))</f>
        <v>155.70000000000002</v>
      </c>
      <c r="BA87" s="114">
        <f>IF(OR(BA$13="",BA$17="",BA$14="",BA$15="",BA$16="",BA$18="",BA$19="",BA$20="",BA$21=""),"",SUM($C20:BA20))</f>
        <v>166.60000000000002</v>
      </c>
      <c r="BB87" s="114">
        <f>IF(OR(BB$13="",BB$17="",BB$14="",BB$15="",BB$16="",BB$18="",BB$19="",BB$20="",BB$21=""),"",SUM($C20:BB20))</f>
        <v>166.60000000000002</v>
      </c>
      <c r="BC87" s="114">
        <f>IF(OR(BC$13="",BC$17="",BC$14="",BC$15="",BC$16="",BC$18="",BC$19="",BC$20="",BC$21=""),"",SUM($C20:BC20))</f>
        <v>166.60000000000002</v>
      </c>
      <c r="BD87" s="114">
        <f>IF(OR(BD$13="",BD$17="",BD$14="",BD$15="",BD$16="",BD$18="",BD$19="",BD$20="",BD$21=""),"",SUM($C20:BD20))</f>
        <v>170.87000000000003</v>
      </c>
      <c r="BE87" s="114">
        <f>IF(OR(BE$13="",BE$17="",BE$14="",BE$15="",BE$16="",BE$18="",BE$19="",BE$20="",BE$21=""),"",SUM($C20:BE20))</f>
        <v>170.87000000000003</v>
      </c>
      <c r="BF87" s="114">
        <f>IF(OR(BF$13="",BF$17="",BF$14="",BF$15="",BF$16="",BF$18="",BF$19="",BF$20="",BF$21=""),"",SUM($C20:BF20))</f>
        <v>170.87000000000003</v>
      </c>
      <c r="BG87" s="114">
        <f>IF(OR(BG$13="",BG$17="",BG$14="",BG$15="",BG$16="",BG$18="",BG$19="",BG$20="",BG$21=""),"",SUM($C20:BG20))</f>
        <v>170.87000000000003</v>
      </c>
      <c r="BH87" s="114">
        <f>IF(OR(BH$13="",BH$17="",BH$14="",BH$15="",BH$16="",BH$18="",BH$19="",BH$20="",BH$21=""),"",SUM($C20:BH20))</f>
        <v>170.87000000000003</v>
      </c>
      <c r="BI87" s="114">
        <f>IF(OR(BI$13="",BI$17="",BI$14="",BI$15="",BI$16="",BI$18="",BI$19="",BI$20="",BI$21=""),"",SUM($C20:BI20))</f>
        <v>170.87000000000003</v>
      </c>
      <c r="BJ87" s="114">
        <f>IF(OR(BJ$13="",BJ$17="",BJ$14="",BJ$15="",BJ$16="",BJ$18="",BJ$19="",BJ$20="",BJ$21=""),"",SUM($C20:BJ20))</f>
        <v>177.47000000000003</v>
      </c>
      <c r="BK87" s="114">
        <f>IF(OR(BK$13="",BK$17="",BK$14="",BK$15="",BK$16="",BK$18="",BK$19="",BK$20="",BK$21=""),"",SUM($C20:BK20))</f>
        <v>177.47000000000003</v>
      </c>
      <c r="BL87" s="114">
        <f>IF(OR(BL$13="",BL$17="",BL$14="",BL$15="",BL$16="",BL$18="",BL$19="",BL$20="",BL$21=""),"",SUM($C20:BL20))</f>
        <v>178.55000000000004</v>
      </c>
      <c r="BM87" s="114">
        <f>IF(OR(BM$13="",BM$17="",BM$14="",BM$15="",BM$16="",BM$18="",BM$19="",BM$20="",BM$21=""),"",SUM($C20:BM20))</f>
        <v>183.42000000000004</v>
      </c>
      <c r="BN87" s="114">
        <f>IF(OR(BN$13="",BN$17="",BN$14="",BN$15="",BN$16="",BN$18="",BN$19="",BN$20="",BN$21=""),"",SUM($C20:BN20))</f>
        <v>183.42000000000004</v>
      </c>
      <c r="BO87" s="114">
        <f>IF(OR(BO$13="",BO$17="",BO$14="",BO$15="",BO$16="",BO$18="",BO$19="",BO$20="",BO$21=""),"",SUM($C20:BO20))</f>
        <v>188.29000000000005</v>
      </c>
      <c r="BP87" s="114">
        <f>IF(OR(BP$13="",BP$17="",BP$14="",BP$15="",BP$16="",BP$18="",BP$19="",BP$20="",BP$21=""),"",SUM($C20:BP20))</f>
        <v>194.16000000000005</v>
      </c>
      <c r="BQ87" s="114">
        <f>IF(OR(BQ$13="",BQ$17="",BQ$14="",BQ$15="",BQ$16="",BQ$18="",BQ$19="",BQ$20="",BQ$21=""),"",SUM($C20:BQ20))</f>
        <v>194.16000000000005</v>
      </c>
      <c r="BR87" s="114">
        <f>IF(OR(BR$13="",BR$17="",BR$14="",BR$15="",BR$16="",BR$18="",BR$19="",BR$20="",BR$21=""),"",SUM($C20:BR20))</f>
        <v>194.16000000000005</v>
      </c>
      <c r="BS87" s="114">
        <f>IF(OR(BS$13="",BS$17="",BS$14="",BS$15="",BS$16="",BS$18="",BS$19="",BS$20="",BS$21=""),"",SUM($C20:BS20))</f>
        <v>195.71000000000006</v>
      </c>
      <c r="BT87" s="114">
        <f>IF(OR(BT$13="",BT$17="",BT$14="",BT$15="",BT$16="",BT$18="",BT$19="",BT$20="",BT$21=""),"",SUM($C20:BT20))</f>
        <v>215.34000000000006</v>
      </c>
      <c r="BU87" s="114">
        <f>IF(OR(BU$13="",BU$17="",BU$14="",BU$15="",BU$16="",BU$18="",BU$19="",BU$20="",BU$21=""),"",SUM($C20:BU20))</f>
        <v>215.34000000000006</v>
      </c>
      <c r="BV87" s="114">
        <f>IF(OR(BV$13="",BV$17="",BV$14="",BV$15="",BV$16="",BV$18="",BV$19="",BV$20="",BV$21=""),"",SUM($C20:BV20))</f>
        <v>215.34000000000006</v>
      </c>
      <c r="BW87" s="114">
        <f>IF(OR(BW$13="",BW$17="",BW$14="",BW$15="",BW$16="",BW$18="",BW$19="",BW$20="",BW$21=""),"",SUM($C20:BW20))</f>
        <v>215.34000000000006</v>
      </c>
      <c r="BX87" s="114">
        <f>IF(OR(BX$13="",BX$17="",BX$14="",BX$15="",BX$16="",BX$18="",BX$19="",BX$20="",BX$21=""),"",SUM($C20:BX20))</f>
        <v>215.34000000000006</v>
      </c>
      <c r="BY87" s="114">
        <f>IF(OR(BY$13="",BY$17="",BY$14="",BY$15="",BY$16="",BY$18="",BY$19="",BY$20="",BY$21=""),"",SUM($C20:BY20))</f>
        <v>215.34000000000006</v>
      </c>
      <c r="BZ87" s="114">
        <f>IF(OR(BZ$13="",BZ$17="",BZ$14="",BZ$15="",BZ$16="",BZ$18="",BZ$19="",BZ$20="",BZ$21=""),"",SUM($C20:BZ20))</f>
        <v>215.34000000000006</v>
      </c>
      <c r="CA87" s="114">
        <f>IF(OR(CA$13="",CA$17="",CA$14="",CA$15="",CA$16="",CA$18="",CA$19="",CA$20="",CA$21=""),"",SUM($C20:CA20))</f>
        <v>215.34000000000006</v>
      </c>
      <c r="CB87" s="114">
        <f>IF(OR(CB$13="",CB$17="",CB$14="",CB$15="",CB$16="",CB$18="",CB$19="",CB$20="",CB$21=""),"",SUM($C20:CB20))</f>
        <v>215.34000000000006</v>
      </c>
      <c r="CC87" s="114">
        <f>IF(OR(CC$13="",CC$17="",CC$14="",CC$15="",CC$16="",CC$18="",CC$19="",CC$20="",CC$21=""),"",SUM($C20:CC20))</f>
        <v>215.34000000000006</v>
      </c>
      <c r="CD87" s="114">
        <f>IF(OR(CD$13="",CD$17="",CD$14="",CD$15="",CD$16="",CD$18="",CD$19="",CD$20="",CD$21=""),"",SUM($C20:CD20))</f>
        <v>215.34000000000006</v>
      </c>
      <c r="CE87" s="114">
        <f>IF(OR(CE$13="",CE$17="",CE$14="",CE$15="",CE$16="",CE$18="",CE$19="",CE$20="",CE$21=""),"",SUM($C20:CE20))</f>
        <v>215.34000000000006</v>
      </c>
      <c r="CF87" s="114">
        <f>IF(OR(CF$13="",CF$17="",CF$14="",CF$15="",CF$16="",CF$18="",CF$19="",CF$20="",CF$21=""),"",SUM($C20:CF20))</f>
        <v>219.54000000000005</v>
      </c>
      <c r="CG87" s="114">
        <f>IF(OR(CG$13="",CG$17="",CG$14="",CG$15="",CG$16="",CG$18="",CG$19="",CG$20="",CG$21=""),"",SUM($C20:CG20))</f>
        <v>219.54000000000005</v>
      </c>
      <c r="CH87" s="114">
        <f>IF(OR(CH$13="",CH$17="",CH$14="",CH$15="",CH$16="",CH$18="",CH$19="",CH$20="",CH$21=""),"",SUM($C20:CH20))</f>
        <v>219.54000000000005</v>
      </c>
      <c r="CI87" s="114">
        <f>IF(OR(CI$13="",CI$17="",CI$14="",CI$15="",CI$16="",CI$18="",CI$19="",CI$20="",CI$21=""),"",SUM($C20:CI20))</f>
        <v>219.54000000000005</v>
      </c>
      <c r="CJ87" s="114">
        <f>IF(OR(CJ$13="",CJ$17="",CJ$14="",CJ$15="",CJ$16="",CJ$18="",CJ$19="",CJ$20="",CJ$21=""),"",SUM($C20:CJ20))</f>
        <v>219.54000000000005</v>
      </c>
      <c r="CK87" s="114">
        <f>IF(OR(CK$13="",CK$17="",CK$14="",CK$15="",CK$16="",CK$18="",CK$19="",CK$20="",CK$21=""),"",SUM($C20:CK20))</f>
        <v>220.54000000000005</v>
      </c>
      <c r="CL87" s="114">
        <f>IF(OR(CL$13="",CL$17="",CL$14="",CL$15="",CL$16="",CL$18="",CL$19="",CL$20="",CL$21=""),"",SUM($C20:CL20))</f>
        <v>220.54000000000005</v>
      </c>
      <c r="CM87" s="114">
        <f>IF(OR(CM$13="",CM$17="",CM$14="",CM$15="",CM$16="",CM$18="",CM$19="",CM$20="",CM$21=""),"",SUM($C20:CM20))</f>
        <v>220.54000000000005</v>
      </c>
      <c r="CN87" s="114">
        <f>IF(OR(CN$13="",CN$17="",CN$14="",CN$15="",CN$16="",CN$18="",CN$19="",CN$20="",CN$21=""),"",SUM($C20:CN20))</f>
        <v>220.54000000000005</v>
      </c>
      <c r="CO87" s="114">
        <f>IF(OR(CO$13="",CO$17="",CO$14="",CO$15="",CO$16="",CO$18="",CO$19="",CO$20="",CO$21=""),"",SUM($C20:CO20))</f>
        <v>220.54000000000005</v>
      </c>
      <c r="CP87" s="114">
        <f>IF(OR(CP$13="",CP$17="",CP$14="",CP$15="",CP$16="",CP$18="",CP$19="",CP$20="",CP$21=""),"",SUM($C20:CP20))</f>
        <v>221.34000000000006</v>
      </c>
      <c r="CQ87" s="114">
        <f>IF(OR(CQ$13="",CQ$17="",CQ$14="",CQ$15="",CQ$16="",CQ$18="",CQ$19="",CQ$20="",CQ$21=""),"",SUM($C20:CQ20))</f>
        <v>223.24000000000007</v>
      </c>
      <c r="CR87" s="114">
        <f>IF(OR(CR$13="",CR$17="",CR$14="",CR$15="",CR$16="",CR$18="",CR$19="",CR$20="",CR$21=""),"",SUM($C20:CR20))</f>
        <v>223.24000000000007</v>
      </c>
      <c r="CS87" s="114">
        <f>IF(OR(CS$13="",CS$17="",CS$14="",CS$15="",CS$16="",CS$18="",CS$19="",CS$20="",CS$21=""),"",SUM($C20:CS20))</f>
        <v>223.24000000000007</v>
      </c>
      <c r="CT87" s="114">
        <f>IF(OR(CT$13="",CT$17="",CT$14="",CT$15="",CT$16="",CT$18="",CT$19="",CT$20="",CT$21=""),"",SUM($C20:CT20))</f>
        <v>227.06000000000006</v>
      </c>
      <c r="CU87" s="114">
        <f>IF(OR(CU$13="",CU$17="",CU$14="",CU$15="",CU$16="",CU$18="",CU$19="",CU$20="",CU$21=""),"",SUM($C20:CU20))</f>
        <v>227.06000000000006</v>
      </c>
      <c r="CV87" s="114">
        <f>IF(OR(CV$13="",CV$17="",CV$14="",CV$15="",CV$16="",CV$18="",CV$19="",CV$20="",CV$21=""),"",SUM($C20:CV20))</f>
        <v>231.31000000000006</v>
      </c>
      <c r="CW87" s="114">
        <f>IF(OR(CW$13="",CW$17="",CW$14="",CW$15="",CW$16="",CW$18="",CW$19="",CW$20="",CW$21=""),"",SUM($C20:CW20))</f>
        <v>232.81000000000006</v>
      </c>
      <c r="CX87" s="114">
        <f>IF(OR(CX$13="",CX$17="",CX$14="",CX$15="",CX$16="",CX$18="",CX$19="",CX$20="",CX$21=""),"",SUM($C20:CX20))</f>
        <v>232.81000000000006</v>
      </c>
      <c r="CY87" s="114">
        <f>IF(OR(CY$13="",CY$17="",CY$14="",CY$15="",CY$16="",CY$18="",CY$19="",CY$20="",CY$21=""),"",SUM($C20:CY20))</f>
        <v>232.81000000000006</v>
      </c>
      <c r="CZ87" s="114">
        <f>IF(OR(CZ$13="",CZ$17="",CZ$14="",CZ$15="",CZ$16="",CZ$18="",CZ$19="",CZ$20="",CZ$21=""),"",SUM($C20:CZ20))</f>
        <v>232.81000000000006</v>
      </c>
      <c r="DA87" s="114">
        <f>IF(OR(DA$13="",DA$17="",DA$14="",DA$15="",DA$16="",DA$18="",DA$19="",DA$20="",DA$21=""),"",SUM($C20:DA20))</f>
        <v>232.81000000000006</v>
      </c>
      <c r="DB87" s="114">
        <f>IF(OR(DB$13="",DB$17="",DB$14="",DB$15="",DB$16="",DB$18="",DB$19="",DB$20="",DB$21=""),"",SUM($C20:DB20))</f>
        <v>232.81000000000006</v>
      </c>
      <c r="DC87" s="114">
        <f>IF(OR(DC$13="",DC$17="",DC$14="",DC$15="",DC$16="",DC$18="",DC$19="",DC$20="",DC$21=""),"",SUM($C20:DC20))</f>
        <v>232.81000000000006</v>
      </c>
      <c r="DD87" s="114">
        <f>IF(OR(DD$13="",DD$17="",DD$14="",DD$15="",DD$16="",DD$18="",DD$19="",DD$20="",DD$21=""),"",SUM($C20:DD20))</f>
        <v>235.69000000000005</v>
      </c>
      <c r="DE87" s="114">
        <f>IF(OR(DE$13="",DE$17="",DE$14="",DE$15="",DE$16="",DE$18="",DE$19="",DE$20="",DE$21=""),"",SUM($C20:DE20))</f>
        <v>256.91000000000008</v>
      </c>
      <c r="DF87" s="114">
        <f>IF(OR(DF$13="",DF$17="",DF$14="",DF$15="",DF$16="",DF$18="",DF$19="",DF$20="",DF$21=""),"",SUM($C20:DF20))</f>
        <v>286.56000000000006</v>
      </c>
      <c r="DG87" s="114">
        <f>IF(OR(DG$13="",DG$17="",DG$14="",DG$15="",DG$16="",DG$18="",DG$19="",DG$20="",DG$21=""),"",SUM($C20:DG20))</f>
        <v>286.56000000000006</v>
      </c>
      <c r="DH87" s="114">
        <f>IF(OR(DH$13="",DH$17="",DH$14="",DH$15="",DH$16="",DH$18="",DH$19="",DH$20="",DH$21=""),"",SUM($C20:DH20))</f>
        <v>286.56000000000006</v>
      </c>
      <c r="DI87" s="114">
        <f>IF(OR(DI$13="",DI$17="",DI$14="",DI$15="",DI$16="",DI$18="",DI$19="",DI$20="",DI$21=""),"",SUM($C20:DI20))</f>
        <v>286.96000000000004</v>
      </c>
      <c r="DJ87" s="114">
        <f>IF(OR(DJ$13="",DJ$17="",DJ$14="",DJ$15="",DJ$16="",DJ$18="",DJ$19="",DJ$20="",DJ$21=""),"",SUM($C20:DJ20))</f>
        <v>296.26000000000005</v>
      </c>
      <c r="DK87" s="114">
        <f>IF(OR(DK$13="",DK$17="",DK$14="",DK$15="",DK$16="",DK$18="",DK$19="",DK$20="",DK$21=""),"",SUM($C20:DK20))</f>
        <v>296.26000000000005</v>
      </c>
      <c r="DL87" s="114">
        <f>IF(OR(DL$13="",DL$17="",DL$14="",DL$15="",DL$16="",DL$18="",DL$19="",DL$20="",DL$21=""),"",SUM($C20:DL20))</f>
        <v>296.26000000000005</v>
      </c>
      <c r="DM87" s="114">
        <f>IF(OR(DM$13="",DM$17="",DM$14="",DM$15="",DM$16="",DM$18="",DM$19="",DM$20="",DM$21=""),"",SUM($C20:DM20))</f>
        <v>296.26000000000005</v>
      </c>
      <c r="DN87" s="114">
        <f>IF(OR(DN$13="",DN$17="",DN$14="",DN$15="",DN$16="",DN$18="",DN$19="",DN$20="",DN$21=""),"",SUM($C20:DN20))</f>
        <v>300.54000000000002</v>
      </c>
      <c r="DO87" s="114">
        <f>IF(OR(DO$13="",DO$17="",DO$14="",DO$15="",DO$16="",DO$18="",DO$19="",DO$20="",DO$21=""),"",SUM($C20:DO20))</f>
        <v>300.54000000000002</v>
      </c>
      <c r="DP87" s="114">
        <f>IF(OR(DP$13="",DP$17="",DP$14="",DP$15="",DP$16="",DP$18="",DP$19="",DP$20="",DP$21=""),"",SUM($C20:DP20))</f>
        <v>301.62</v>
      </c>
      <c r="DQ87" s="114">
        <f>IF(OR(DQ$13="",DQ$17="",DQ$14="",DQ$15="",DQ$16="",DQ$18="",DQ$19="",DQ$20="",DQ$21=""),"",SUM($C20:DQ20))</f>
        <v>303.85000000000002</v>
      </c>
      <c r="DR87" s="114">
        <f>IF(OR(DR$13="",DR$17="",DR$14="",DR$15="",DR$16="",DR$18="",DR$19="",DR$20="",DR$21=""),"",SUM($C20:DR20))</f>
        <v>304.22000000000003</v>
      </c>
      <c r="DS87" s="114">
        <f>IF(OR(DS$13="",DS$17="",DS$14="",DS$15="",DS$16="",DS$18="",DS$19="",DS$20="",DS$21=""),"",SUM($C20:DS20))</f>
        <v>305.49</v>
      </c>
      <c r="DT87" s="114">
        <f>IF(OR(DT$13="",DT$17="",DT$14="",DT$15="",DT$16="",DT$18="",DT$19="",DT$20="",DT$21=""),"",SUM($C20:DT20))</f>
        <v>305.49</v>
      </c>
      <c r="DU87" s="114">
        <f>IF(OR(DU$13="",DU$17="",DU$14="",DU$15="",DU$16="",DU$18="",DU$19="",DU$20="",DU$21=""),"",SUM($C20:DU20))</f>
        <v>311.39</v>
      </c>
      <c r="DV87" s="114">
        <f>IF(OR(DV$13="",DV$17="",DV$14="",DV$15="",DV$16="",DV$18="",DV$19="",DV$20="",DV$21=""),"",SUM($C20:DV20))</f>
        <v>312.68</v>
      </c>
      <c r="DW87" s="114">
        <f>IF(OR(DW$13="",DW$17="",DW$14="",DW$15="",DW$16="",DW$18="",DW$19="",DW$20="",DW$21=""),"",SUM($C20:DW20))</f>
        <v>312.68</v>
      </c>
      <c r="DX87" s="114">
        <f>IF(OR(DX$13="",DX$17="",DX$14="",DX$15="",DX$16="",DX$18="",DX$19="",DX$20="",DX$21=""),"",SUM($C20:DX20))</f>
        <v>312.68</v>
      </c>
      <c r="DY87" s="114">
        <f>IF(OR(DY$13="",DY$17="",DY$14="",DY$15="",DY$16="",DY$18="",DY$19="",DY$20="",DY$21=""),"",SUM($C20:DY20))</f>
        <v>312.68</v>
      </c>
      <c r="DZ87" s="114">
        <f>IF(OR(DZ$13="",DZ$17="",DZ$14="",DZ$15="",DZ$16="",DZ$18="",DZ$19="",DZ$20="",DZ$21=""),"",SUM($C20:DZ20))</f>
        <v>312.68</v>
      </c>
      <c r="EA87" s="114">
        <f>IF(OR(EA$13="",EA$17="",EA$14="",EA$15="",EA$16="",EA$18="",EA$19="",EA$20="",EA$21=""),"",SUM($C20:EA20))</f>
        <v>312.68</v>
      </c>
      <c r="EB87" s="114">
        <f>IF(OR(EB$13="",EB$17="",EB$14="",EB$15="",EB$16="",EB$18="",EB$19="",EB$20="",EB$21=""),"",SUM($C20:EB20))</f>
        <v>318.3</v>
      </c>
      <c r="EC87" s="114">
        <f>IF(OR(EC$13="",EC$17="",EC$14="",EC$15="",EC$16="",EC$18="",EC$19="",EC$20="",EC$21=""),"",SUM($C20:EC20))</f>
        <v>318.3</v>
      </c>
      <c r="ED87" s="114">
        <f>IF(OR(ED$13="",ED$17="",ED$14="",ED$15="",ED$16="",ED$18="",ED$19="",ED$20="",ED$21=""),"",SUM($C20:ED20))</f>
        <v>318.3</v>
      </c>
      <c r="EE87" s="114">
        <f>IF(OR(EE$13="",EE$17="",EE$14="",EE$15="",EE$16="",EE$18="",EE$19="",EE$20="",EE$21=""),"",SUM($C20:EE20))</f>
        <v>318.3</v>
      </c>
      <c r="EF87" s="114">
        <f>IF(OR(EF$13="",EF$17="",EF$14="",EF$15="",EF$16="",EF$18="",EF$19="",EF$20="",EF$21=""),"",SUM($C20:EF20))</f>
        <v>325.3</v>
      </c>
      <c r="EG87" s="114">
        <f>IF(OR(EG$13="",EG$17="",EG$14="",EG$15="",EG$16="",EG$18="",EG$19="",EG$20="",EG$21=""),"",SUM($C20:EG20))</f>
        <v>347.64</v>
      </c>
      <c r="EH87" s="114">
        <f>IF(OR(EH$13="",EH$17="",EH$14="",EH$15="",EH$16="",EH$18="",EH$19="",EH$20="",EH$21=""),"",SUM($C20:EH20))</f>
        <v>357.8</v>
      </c>
      <c r="EI87" s="114">
        <f>IF(OR(EI$13="",EI$17="",EI$14="",EI$15="",EI$16="",EI$18="",EI$19="",EI$20="",EI$21=""),"",SUM($C20:EI20))</f>
        <v>375.87</v>
      </c>
      <c r="EJ87" s="114">
        <f>IF(OR(EJ$13="",EJ$17="",EJ$14="",EJ$15="",EJ$16="",EJ$18="",EJ$19="",EJ$20="",EJ$21=""),"",SUM($C20:EJ20))</f>
        <v>375.87</v>
      </c>
      <c r="EK87" s="114">
        <f>IF(OR(EK$13="",EK$17="",EK$14="",EK$15="",EK$16="",EK$18="",EK$19="",EK$20="",EK$21=""),"",SUM($C20:EK20))</f>
        <v>375.87</v>
      </c>
      <c r="EL87" s="114">
        <f>IF(OR(EL$13="",EL$17="",EL$14="",EL$15="",EL$16="",EL$18="",EL$19="",EL$20="",EL$21=""),"",SUM($C20:EL20))</f>
        <v>399.87</v>
      </c>
      <c r="EM87" s="114">
        <f>IF(OR(EM$13="",EM$17="",EM$14="",EM$15="",EM$16="",EM$18="",EM$19="",EM$20="",EM$21=""),"",SUM($C20:EM20))</f>
        <v>423.87</v>
      </c>
      <c r="EN87" s="114">
        <f>IF(OR(EN$13="",EN$17="",EN$14="",EN$15="",EN$16="",EN$18="",EN$19="",EN$20="",EN$21=""),"",SUM($C20:EN20))</f>
        <v>447.87</v>
      </c>
      <c r="EO87" s="114">
        <f>IF(OR(EO$13="",EO$17="",EO$14="",EO$15="",EO$16="",EO$18="",EO$19="",EO$20="",EO$21=""),"",SUM($C20:EO20))</f>
        <v>459.87</v>
      </c>
      <c r="EP87" s="114">
        <f>IF(OR(EP$13="",EP$17="",EP$14="",EP$15="",EP$16="",EP$18="",EP$19="",EP$20="",EP$21=""),"",SUM($C20:EP20))</f>
        <v>459.87</v>
      </c>
      <c r="EQ87" s="114">
        <f>IF(OR(EQ$13="",EQ$17="",EQ$14="",EQ$15="",EQ$16="",EQ$18="",EQ$19="",EQ$20="",EQ$21=""),"",SUM($C20:EQ20))</f>
        <v>459.87</v>
      </c>
      <c r="ER87" s="114">
        <f>IF(OR(ER$13="",ER$17="",ER$14="",ER$15="",ER$16="",ER$18="",ER$19="",ER$20="",ER$21=""),"",SUM($C20:ER20))</f>
        <v>459.87</v>
      </c>
      <c r="ES87" s="114">
        <f>IF(OR(ES$13="",ES$17="",ES$14="",ES$15="",ES$16="",ES$18="",ES$19="",ES$20="",ES$21=""),"",SUM($C20:ES20))</f>
        <v>465.65</v>
      </c>
      <c r="ET87" s="114">
        <f>IF(OR(ET$13="",ET$17="",ET$14="",ET$15="",ET$16="",ET$18="",ET$19="",ET$20="",ET$21=""),"",SUM($C20:ET20))</f>
        <v>474.34999999999997</v>
      </c>
      <c r="EU87" s="114">
        <f>IF(OR(EU$13="",EU$17="",EU$14="",EU$15="",EU$16="",EU$18="",EU$19="",EU$20="",EU$21=""),"",SUM($C20:EU20))</f>
        <v>474.34999999999997</v>
      </c>
      <c r="EV87" s="114">
        <f>IF(OR(EV$13="",EV$17="",EV$14="",EV$15="",EV$16="",EV$18="",EV$19="",EV$20="",EV$21=""),"",SUM($C20:EV20))</f>
        <v>474.34999999999997</v>
      </c>
      <c r="EW87" s="114">
        <f>IF(OR(EW$13="",EW$17="",EW$14="",EW$15="",EW$16="",EW$18="",EW$19="",EW$20="",EW$21=""),"",SUM($C20:EW20))</f>
        <v>474.34999999999997</v>
      </c>
      <c r="EX87" s="114">
        <f>IF(OR(EX$13="",EX$17="",EX$14="",EX$15="",EX$16="",EX$18="",EX$19="",EX$20="",EX$21=""),"",SUM($C20:EX20))</f>
        <v>474.34999999999997</v>
      </c>
      <c r="EY87" s="114">
        <f>IF(OR(EY$13="",EY$17="",EY$14="",EY$15="",EY$16="",EY$18="",EY$19="",EY$20="",EY$21=""),"",SUM($C20:EY20))</f>
        <v>474.34999999999997</v>
      </c>
      <c r="EZ87" s="114">
        <f>IF(OR(EZ$13="",EZ$17="",EZ$14="",EZ$15="",EZ$16="",EZ$18="",EZ$19="",EZ$20="",EZ$21=""),"",SUM($C20:EZ20))</f>
        <v>474.34999999999997</v>
      </c>
      <c r="FA87" s="114">
        <f>IF(OR(FA$13="",FA$17="",FA$14="",FA$15="",FA$16="",FA$18="",FA$19="",FA$20="",FA$21=""),"",SUM($C20:FA20))</f>
        <v>474.34999999999997</v>
      </c>
      <c r="FB87" s="114">
        <f>IF(OR(FB$13="",FB$17="",FB$14="",FB$15="",FB$16="",FB$18="",FB$19="",FB$20="",FB$21=""),"",SUM($C20:FB20))</f>
        <v>474.34999999999997</v>
      </c>
      <c r="FC87" s="114">
        <f>IF(OR(FC$13="",FC$17="",FC$14="",FC$15="",FC$16="",FC$18="",FC$19="",FC$20="",FC$21=""),"",SUM($C20:FC20))</f>
        <v>474.34999999999997</v>
      </c>
      <c r="FD87" s="114">
        <f>IF(OR(FD$13="",FD$17="",FD$14="",FD$15="",FD$16="",FD$18="",FD$19="",FD$20="",FD$21=""),"",SUM($C20:FD20))</f>
        <v>483.42999999999995</v>
      </c>
      <c r="FE87" s="114">
        <f>IF(OR(FE$13="",FE$17="",FE$14="",FE$15="",FE$16="",FE$18="",FE$19="",FE$20="",FE$21=""),"",SUM($C20:FE20))</f>
        <v>498.07999999999993</v>
      </c>
      <c r="FF87" s="114">
        <f>IF(OR(FF$13="",FF$17="",FF$14="",FF$15="",FF$16="",FF$18="",FF$19="",FF$20="",FF$21=""),"",SUM($C20:FF20))</f>
        <v>498.07999999999993</v>
      </c>
      <c r="FG87" s="114">
        <f>IF(OR(FG$13="",FG$17="",FG$14="",FG$15="",FG$16="",FG$18="",FG$19="",FG$20="",FG$21=""),"",SUM($C20:FG20))</f>
        <v>498.07999999999993</v>
      </c>
      <c r="FH87" s="114">
        <f>IF(OR(FH$13="",FH$17="",FH$14="",FH$15="",FH$16="",FH$18="",FH$19="",FH$20="",FH$21=""),"",SUM($C20:FH20))</f>
        <v>498.07999999999993</v>
      </c>
      <c r="FI87" s="114">
        <f>IF(OR(FI$13="",FI$17="",FI$14="",FI$15="",FI$16="",FI$18="",FI$19="",FI$20="",FI$21=""),"",SUM($C20:FI20))</f>
        <v>498.07999999999993</v>
      </c>
      <c r="FJ87" s="114">
        <f>IF(OR(FJ$13="",FJ$17="",FJ$14="",FJ$15="",FJ$16="",FJ$18="",FJ$19="",FJ$20="",FJ$21=""),"",SUM($C20:FJ20))</f>
        <v>500.7299999999999</v>
      </c>
      <c r="FK87" s="114">
        <f>IF(OR(FK$13="",FK$17="",FK$14="",FK$15="",FK$16="",FK$18="",FK$19="",FK$20="",FK$21=""),"",SUM($C20:FK20))</f>
        <v>500.7299999999999</v>
      </c>
      <c r="FL87" s="114">
        <f>IF(OR(FL$13="",FL$17="",FL$14="",FL$15="",FL$16="",FL$18="",FL$19="",FL$20="",FL$21=""),"",SUM($C20:FL20))</f>
        <v>500.7299999999999</v>
      </c>
      <c r="FM87" s="114">
        <f>IF(OR(FM$13="",FM$17="",FM$14="",FM$15="",FM$16="",FM$18="",FM$19="",FM$20="",FM$21=""),"",SUM($C20:FM20))</f>
        <v>500.7299999999999</v>
      </c>
      <c r="FN87" s="114">
        <f>IF(OR(FN$13="",FN$17="",FN$14="",FN$15="",FN$16="",FN$18="",FN$19="",FN$20="",FN$21=""),"",SUM($C20:FN20))</f>
        <v>500.7299999999999</v>
      </c>
      <c r="FO87" s="114">
        <f>IF(OR(FO$13="",FO$17="",FO$14="",FO$15="",FO$16="",FO$18="",FO$19="",FO$20="",FO$21=""),"",SUM($C20:FO20))</f>
        <v>504.74999999999989</v>
      </c>
      <c r="FP87" s="114">
        <f>IF(OR(FP$13="",FP$17="",FP$14="",FP$15="",FP$16="",FP$18="",FP$19="",FP$20="",FP$21=""),"",SUM($C20:FP20))</f>
        <v>504.74999999999989</v>
      </c>
      <c r="FQ87" s="114">
        <f>IF(OR(FQ$13="",FQ$17="",FQ$14="",FQ$15="",FQ$16="",FQ$18="",FQ$19="",FQ$20="",FQ$21=""),"",SUM($C20:FQ20))</f>
        <v>504.74999999999989</v>
      </c>
      <c r="FR87" s="114">
        <f>IF(OR(FR$13="",FR$17="",FR$14="",FR$15="",FR$16="",FR$18="",FR$19="",FR$20="",FR$21=""),"",SUM($C20:FR20))</f>
        <v>504.74999999999989</v>
      </c>
      <c r="FS87" s="114">
        <f>IF(OR(FS$13="",FS$17="",FS$14="",FS$15="",FS$16="",FS$18="",FS$19="",FS$20="",FS$21=""),"",SUM($C20:FS20))</f>
        <v>522.84999999999991</v>
      </c>
      <c r="FT87" s="114">
        <f>IF(OR(FT$13="",FT$17="",FT$14="",FT$15="",FT$16="",FT$18="",FT$19="",FT$20="",FT$21=""),"",SUM($C20:FT20))</f>
        <v>535.02999999999986</v>
      </c>
      <c r="FU87" s="114">
        <f>IF(OR(FU$13="",FU$17="",FU$14="",FU$15="",FU$16="",FU$18="",FU$19="",FU$20="",FU$21=""),"",SUM($C20:FU20))</f>
        <v>535.02999999999986</v>
      </c>
      <c r="FV87" s="114">
        <f>IF(OR(FV$13="",FV$17="",FV$14="",FV$15="",FV$16="",FV$18="",FV$19="",FV$20="",FV$21=""),"",SUM($C20:FV20))</f>
        <v>540.15999999999985</v>
      </c>
      <c r="FW87" s="114">
        <f>IF(OR(FW$13="",FW$17="",FW$14="",FW$15="",FW$16="",FW$18="",FW$19="",FW$20="",FW$21=""),"",SUM($C20:FW20))</f>
        <v>547.52999999999986</v>
      </c>
      <c r="FX87" s="114">
        <f>IF(OR(FX$13="",FX$17="",FX$14="",FX$15="",FX$16="",FX$18="",FX$19="",FX$20="",FX$21=""),"",SUM($C20:FX20))</f>
        <v>547.52999999999986</v>
      </c>
      <c r="FY87" s="114">
        <f>IF(OR(FY$13="",FY$17="",FY$14="",FY$15="",FY$16="",FY$18="",FY$19="",FY$20="",FY$21=""),"",SUM($C20:FY20))</f>
        <v>547.52999999999986</v>
      </c>
      <c r="FZ87" s="114">
        <f>IF(OR(FZ$13="",FZ$17="",FZ$14="",FZ$15="",FZ$16="",FZ$18="",FZ$19="",FZ$20="",FZ$21=""),"",SUM($C20:FZ20))</f>
        <v>547.52999999999986</v>
      </c>
      <c r="GA87" s="114">
        <f>IF(OR(GA$13="",GA$17="",GA$14="",GA$15="",GA$16="",GA$18="",GA$19="",GA$20="",GA$21=""),"",SUM($C20:GA20))</f>
        <v>547.52999999999986</v>
      </c>
      <c r="GB87" s="114">
        <f>IF(OR(GB$13="",GB$17="",GB$14="",GB$15="",GB$16="",GB$18="",GB$19="",GB$20="",GB$21=""),"",SUM($C20:GB20))</f>
        <v>547.52999999999986</v>
      </c>
      <c r="GC87" s="114">
        <f>IF(OR(GC$13="",GC$17="",GC$14="",GC$15="",GC$16="",GC$18="",GC$19="",GC$20="",GC$21=""),"",SUM($C20:GC20))</f>
        <v>547.52999999999986</v>
      </c>
      <c r="GD87" s="114">
        <f>IF(OR(GD$13="",GD$17="",GD$14="",GD$15="",GD$16="",GD$18="",GD$19="",GD$20="",GD$21=""),"",SUM($C20:GD20))</f>
        <v>547.52999999999986</v>
      </c>
      <c r="GE87" s="114">
        <f>IF(OR(GE$13="",GE$17="",GE$14="",GE$15="",GE$16="",GE$18="",GE$19="",GE$20="",GE$21=""),"",SUM($C20:GE20))</f>
        <v>547.52999999999986</v>
      </c>
      <c r="GF87" s="114">
        <f>IF(OR(GF$13="",GF$17="",GF$14="",GF$15="",GF$16="",GF$18="",GF$19="",GF$20="",GF$21=""),"",SUM($C20:GF20))</f>
        <v>547.52999999999986</v>
      </c>
      <c r="GG87" s="114">
        <f>IF(OR(GG$13="",GG$17="",GG$14="",GG$15="",GG$16="",GG$18="",GG$19="",GG$20="",GG$21=""),"",SUM($C20:GG20))</f>
        <v>547.52999999999986</v>
      </c>
      <c r="GH87" s="114">
        <f>IF(OR(GH$13="",GH$17="",GH$14="",GH$15="",GH$16="",GH$18="",GH$19="",GH$20="",GH$21=""),"",SUM($C20:GH20))</f>
        <v>547.52999999999986</v>
      </c>
      <c r="GI87" s="114">
        <f>IF(OR(GI$13="",GI$17="",GI$14="",GI$15="",GI$16="",GI$18="",GI$19="",GI$20="",GI$21=""),"",SUM($C20:GI20))</f>
        <v>547.52999999999986</v>
      </c>
      <c r="GJ87" s="114">
        <f>IF(OR(GJ$13="",GJ$17="",GJ$14="",GJ$15="",GJ$16="",GJ$18="",GJ$19="",GJ$20="",GJ$21=""),"",SUM($C20:GJ20))</f>
        <v>547.52999999999986</v>
      </c>
      <c r="GK87" s="114">
        <f>IF(OR(GK$13="",GK$17="",GK$14="",GK$15="",GK$16="",GK$18="",GK$19="",GK$20="",GK$21=""),"",SUM($C20:GK20))</f>
        <v>553.84999999999991</v>
      </c>
      <c r="GL87" s="114">
        <f>IF(OR(GL$13="",GL$17="",GL$14="",GL$15="",GL$16="",GL$18="",GL$19="",GL$20="",GL$21=""),"",SUM($C20:GL20))</f>
        <v>553.84999999999991</v>
      </c>
      <c r="GM87" s="114">
        <f>IF(OR(GM$13="",GM$17="",GM$14="",GM$15="",GM$16="",GM$18="",GM$19="",GM$20="",GM$21=""),"",SUM($C20:GM20))</f>
        <v>553.84999999999991</v>
      </c>
      <c r="GN87" s="114">
        <f>IF(OR(GN$13="",GN$17="",GN$14="",GN$15="",GN$16="",GN$18="",GN$19="",GN$20="",GN$21=""),"",SUM($C20:GN20))</f>
        <v>553.84999999999991</v>
      </c>
      <c r="GO87" s="114">
        <f>IF(OR(GO$13="",GO$17="",GO$14="",GO$15="",GO$16="",GO$18="",GO$19="",GO$20="",GO$21=""),"",SUM($C20:GO20))</f>
        <v>553.84999999999991</v>
      </c>
      <c r="GP87" s="114">
        <f>IF(OR(GP$13="",GP$17="",GP$14="",GP$15="",GP$16="",GP$18="",GP$19="",GP$20="",GP$21=""),"",SUM($C20:GP20))</f>
        <v>553.84999999999991</v>
      </c>
      <c r="GQ87" s="114">
        <f>IF(OR(GQ$13="",GQ$17="",GQ$14="",GQ$15="",GQ$16="",GQ$18="",GQ$19="",GQ$20="",GQ$21=""),"",SUM($C20:GQ20))</f>
        <v>553.84999999999991</v>
      </c>
      <c r="GR87" s="114">
        <f>IF(OR(GR$13="",GR$17="",GR$14="",GR$15="",GR$16="",GR$18="",GR$19="",GR$20="",GR$21=""),"",SUM($C20:GR20))</f>
        <v>553.84999999999991</v>
      </c>
      <c r="GS87" s="114">
        <f>IF(OR(GS$13="",GS$17="",GS$14="",GS$15="",GS$16="",GS$18="",GS$19="",GS$20="",GS$21=""),"",SUM($C20:GS20))</f>
        <v>553.84999999999991</v>
      </c>
      <c r="GT87" s="114">
        <f>IF(OR(GT$13="",GT$17="",GT$14="",GT$15="",GT$16="",GT$18="",GT$19="",GT$20="",GT$21=""),"",SUM($C20:GT20))</f>
        <v>553.84999999999991</v>
      </c>
      <c r="GU87" s="114">
        <f>IF(OR(GU$13="",GU$17="",GU$14="",GU$15="",GU$16="",GU$18="",GU$19="",GU$20="",GU$21=""),"",SUM($C20:GU20))</f>
        <v>553.84999999999991</v>
      </c>
      <c r="GV87" s="114">
        <f>IF(OR(GV$13="",GV$17="",GV$14="",GV$15="",GV$16="",GV$18="",GV$19="",GV$20="",GV$21=""),"",SUM($C20:GV20))</f>
        <v>553.84999999999991</v>
      </c>
      <c r="GW87" s="114">
        <f>IF(OR(GW$13="",GW$17="",GW$14="",GW$15="",GW$16="",GW$18="",GW$19="",GW$20="",GW$21=""),"",SUM($C20:GW20))</f>
        <v>553.84999999999991</v>
      </c>
      <c r="GX87" s="114">
        <f>IF(OR(GX$13="",GX$17="",GX$14="",GX$15="",GX$16="",GX$18="",GX$19="",GX$20="",GX$21=""),"",SUM($C20:GX20))</f>
        <v>553.84999999999991</v>
      </c>
      <c r="GY87" s="114">
        <f>IF(OR(GY$13="",GY$17="",GY$14="",GY$15="",GY$16="",GY$18="",GY$19="",GY$20="",GY$21=""),"",SUM($C20:GY20))</f>
        <v>553.84999999999991</v>
      </c>
      <c r="GZ87" s="114">
        <f>IF(OR(GZ$13="",GZ$17="",GZ$14="",GZ$15="",GZ$16="",GZ$18="",GZ$19="",GZ$20="",GZ$21=""),"",SUM($C20:GZ20))</f>
        <v>553.84999999999991</v>
      </c>
      <c r="HA87" s="114">
        <f>IF(OR(HA$13="",HA$17="",HA$14="",HA$15="",HA$16="",HA$18="",HA$19="",HA$20="",HA$21=""),"",SUM($C20:HA20))</f>
        <v>553.84999999999991</v>
      </c>
      <c r="HB87" s="114">
        <f>IF(OR(HB$13="",HB$17="",HB$14="",HB$15="",HB$16="",HB$18="",HB$19="",HB$20="",HB$21=""),"",SUM($C20:HB20))</f>
        <v>553.84999999999991</v>
      </c>
      <c r="HC87" s="114">
        <f>IF(OR(HC$13="",HC$17="",HC$14="",HC$15="",HC$16="",HC$18="",HC$19="",HC$20="",HC$21=""),"",SUM($C20:HC20))</f>
        <v>553.84999999999991</v>
      </c>
      <c r="HD87" s="114">
        <f>IF(OR(HD$13="",HD$17="",HD$14="",HD$15="",HD$16="",HD$18="",HD$19="",HD$20="",HD$21=""),"",SUM($C20:HD20))</f>
        <v>553.84999999999991</v>
      </c>
      <c r="HE87" s="114">
        <f>IF(OR(HE$13="",HE$17="",HE$14="",HE$15="",HE$16="",HE$18="",HE$19="",HE$20="",HE$21=""),"",SUM($C20:HE20))</f>
        <v>553.84999999999991</v>
      </c>
      <c r="HF87" s="114">
        <f>IF(OR(HF$13="",HF$17="",HF$14="",HF$15="",HF$16="",HF$18="",HF$19="",HF$20="",HF$21=""),"",SUM($C20:HF20))</f>
        <v>553.84999999999991</v>
      </c>
      <c r="HG87" s="114">
        <f>IF(OR(HG$13="",HG$17="",HG$14="",HG$15="",HG$16="",HG$18="",HG$19="",HG$20="",HG$21=""),"",SUM($C20:HG20))</f>
        <v>553.84999999999991</v>
      </c>
      <c r="HH87" s="114">
        <f>IF(OR(HH$13="",HH$17="",HH$14="",HH$15="",HH$16="",HH$18="",HH$19="",HH$20="",HH$21=""),"",SUM($C20:HH20))</f>
        <v>553.84999999999991</v>
      </c>
      <c r="HI87" s="114">
        <f>IF(OR(HI$13="",HI$17="",HI$14="",HI$15="",HI$16="",HI$18="",HI$19="",HI$20="",HI$21=""),"",SUM($C20:HI20))</f>
        <v>553.84999999999991</v>
      </c>
      <c r="HJ87" s="114">
        <f>IF(OR(HJ$13="",HJ$17="",HJ$14="",HJ$15="",HJ$16="",HJ$18="",HJ$19="",HJ$20="",HJ$21=""),"",SUM($C20:HJ20))</f>
        <v>553.84999999999991</v>
      </c>
      <c r="HK87" s="114">
        <f>IF(OR(HK$13="",HK$17="",HK$14="",HK$15="",HK$16="",HK$18="",HK$19="",HK$20="",HK$21=""),"",SUM($C20:HK20))</f>
        <v>553.84999999999991</v>
      </c>
      <c r="HL87" s="114">
        <f>IF(OR(HL$13="",HL$17="",HL$14="",HL$15="",HL$16="",HL$18="",HL$19="",HL$20="",HL$21=""),"",SUM($C20:HL20))</f>
        <v>553.84999999999991</v>
      </c>
      <c r="HM87" s="114">
        <f>IF(OR(HM$13="",HM$17="",HM$14="",HM$15="",HM$16="",HM$18="",HM$19="",HM$20="",HM$21=""),"",SUM($C20:HM20))</f>
        <v>558.10472222222211</v>
      </c>
      <c r="HN87" s="114">
        <f>IF(OR(HN$13="",HN$17="",HN$14="",HN$15="",HN$16="",HN$18="",HN$19="",HN$20="",HN$21=""),"",SUM($C20:HN20))</f>
        <v>558.10472222222211</v>
      </c>
      <c r="HO87" s="114">
        <f>IF(OR(HO$13="",HO$17="",HO$14="",HO$15="",HO$16="",HO$18="",HO$19="",HO$20="",HO$21=""),"",SUM($C20:HO20))</f>
        <v>558.10472222222211</v>
      </c>
      <c r="HP87" s="114">
        <f>IF(OR(HP$13="",HP$17="",HP$14="",HP$15="",HP$16="",HP$18="",HP$19="",HP$20="",HP$21=""),"",SUM($C20:HP20))</f>
        <v>558.10472222222211</v>
      </c>
      <c r="HQ87" s="114">
        <f>IF(OR(HQ$13="",HQ$17="",HQ$14="",HQ$15="",HQ$16="",HQ$18="",HQ$19="",HQ$20="",HQ$21=""),"",SUM($C20:HQ20))</f>
        <v>558.10472222222211</v>
      </c>
      <c r="HR87" s="114">
        <f>IF(OR(HR$13="",HR$17="",HR$14="",HR$15="",HR$16="",HR$18="",HR$19="",HR$20="",HR$21=""),"",SUM($C20:HR20))</f>
        <v>558.10472222222211</v>
      </c>
      <c r="HS87" s="114">
        <f>IF(OR(HS$13="",HS$17="",HS$14="",HS$15="",HS$16="",HS$18="",HS$19="",HS$20="",HS$21=""),"",SUM($C20:HS20))</f>
        <v>558.10472222222211</v>
      </c>
      <c r="HT87" s="114">
        <f>IF(OR(HT$13="",HT$17="",HT$14="",HT$15="",HT$16="",HT$18="",HT$19="",HT$20="",HT$21=""),"",SUM($C20:HT20))</f>
        <v>558.10472222222211</v>
      </c>
      <c r="HU87" s="114">
        <f>IF(OR(HU$13="",HU$17="",HU$14="",HU$15="",HU$16="",HU$18="",HU$19="",HU$20="",HU$21=""),"",SUM($C20:HU20))</f>
        <v>558.10472222222211</v>
      </c>
      <c r="HV87" s="114">
        <f>IF(OR(HV$13="",HV$17="",HV$14="",HV$15="",HV$16="",HV$18="",HV$19="",HV$20="",HV$21=""),"",SUM($C20:HV20))</f>
        <v>560.34638888888878</v>
      </c>
      <c r="HW87" s="114">
        <f>IF(OR(HW$13="",HW$17="",HW$14="",HW$15="",HW$16="",HW$18="",HW$19="",HW$20="",HW$21=""),"",SUM($C20:HW20))</f>
        <v>560.77166666666653</v>
      </c>
      <c r="HX87" s="114">
        <f>IF(OR(HX$13="",HX$17="",HX$14="",HX$15="",HX$16="",HX$18="",HX$19="",HX$20="",HX$21=""),"",SUM($C20:HX20))</f>
        <v>578.77277777777761</v>
      </c>
      <c r="HY87" s="114">
        <f>IF(OR(HY$13="",HY$17="",HY$14="",HY$15="",HY$16="",HY$18="",HY$19="",HY$20="",HY$21=""),"",SUM($C20:HY20))</f>
        <v>602.77277777777761</v>
      </c>
      <c r="HZ87" s="114">
        <f>IF(OR(HZ$13="",HZ$17="",HZ$14="",HZ$15="",HZ$16="",HZ$18="",HZ$19="",HZ$20="",HZ$21=""),"",SUM($C20:HZ20))</f>
        <v>605.57305555555536</v>
      </c>
      <c r="IA87" s="114">
        <f>IF(OR(IA$13="",IA$17="",IA$14="",IA$15="",IA$16="",IA$18="",IA$19="",IA$20="",IA$21=""),"",SUM($C20:IA20))</f>
        <v>605.57305555555536</v>
      </c>
      <c r="IB87" s="114">
        <f>IF(OR(IB$13="",IB$17="",IB$14="",IB$15="",IB$16="",IB$18="",IB$19="",IB$20="",IB$21=""),"",SUM($C20:IB20))</f>
        <v>605.57305555555536</v>
      </c>
      <c r="IC87" s="114">
        <f>IF(OR(IC$13="",IC$17="",IC$14="",IC$15="",IC$16="",IC$18="",IC$19="",IC$20="",IC$21=""),"",SUM($C20:IC20))</f>
        <v>605.57305555555536</v>
      </c>
      <c r="ID87" s="114">
        <f>IF(OR(ID$13="",ID$17="",ID$14="",ID$15="",ID$16="",ID$18="",ID$19="",ID$20="",ID$21=""),"",SUM($C20:ID20))</f>
        <v>606.54305555555538</v>
      </c>
      <c r="IE87" s="114">
        <f>IF(OR(IE$13="",IE$17="",IE$14="",IE$15="",IE$16="",IE$18="",IE$19="",IE$20="",IE$21=""),"",SUM($C20:IE20))</f>
        <v>624.79305555555538</v>
      </c>
      <c r="IF87" s="114">
        <f>IF(OR(IF$13="",IF$17="",IF$14="",IF$15="",IF$16="",IF$18="",IF$19="",IF$20="",IF$21=""),"",SUM($C20:IF20))</f>
        <v>624.79305555555538</v>
      </c>
      <c r="IG87" s="114">
        <f>IF(OR(IG$13="",IG$17="",IG$14="",IG$15="",IG$16="",IG$18="",IG$19="",IG$20="",IG$21=""),"",SUM($C20:IG20))</f>
        <v>624.79305555555538</v>
      </c>
      <c r="IH87" s="114">
        <f>IF(OR(IH$13="",IH$17="",IH$14="",IH$15="",IH$16="",IH$18="",IH$19="",IH$20="",IH$21=""),"",SUM($C20:IH20))</f>
        <v>624.79305555555538</v>
      </c>
      <c r="II87" s="114">
        <f>IF(OR(II$13="",II$17="",II$14="",II$15="",II$16="",II$18="",II$19="",II$20="",II$21=""),"",SUM($C20:II20))</f>
        <v>624.79305555555538</v>
      </c>
      <c r="IJ87" s="114">
        <f>IF(OR(IJ$13="",IJ$17="",IJ$14="",IJ$15="",IJ$16="",IJ$18="",IJ$19="",IJ$20="",IJ$21=""),"",SUM($C20:IJ20))</f>
        <v>644.5230555555554</v>
      </c>
      <c r="IK87" s="114">
        <f>IF(OR(IK$13="",IK$17="",IK$14="",IK$15="",IK$16="",IK$18="",IK$19="",IK$20="",IK$21=""),"",SUM($C20:IK20))</f>
        <v>646.40972222222206</v>
      </c>
      <c r="IL87" s="114">
        <f>IF(OR(IL$13="",IL$17="",IL$14="",IL$15="",IL$16="",IL$18="",IL$19="",IL$20="",IL$21=""),"",SUM($C20:IL20))</f>
        <v>655.78444444444426</v>
      </c>
      <c r="IM87" s="114">
        <f>IF(OR(IM$13="",IM$17="",IM$14="",IM$15="",IM$16="",IM$18="",IM$19="",IM$20="",IM$21=""),"",SUM($C20:IM20))</f>
        <v>657.54888888888865</v>
      </c>
      <c r="IN87" s="114">
        <f>IF(OR(IN$13="",IN$17="",IN$14="",IN$15="",IN$16="",IN$18="",IN$19="",IN$20="",IN$21=""),"",SUM($C20:IN20))</f>
        <v>657.54888888888865</v>
      </c>
      <c r="IO87" s="114">
        <f>IF(OR(IO$13="",IO$17="",IO$14="",IO$15="",IO$16="",IO$18="",IO$19="",IO$20="",IO$21=""),"",SUM($C20:IO20))</f>
        <v>667.66888888888866</v>
      </c>
      <c r="IP87" s="114">
        <f>IF(OR(IP$13="",IP$17="",IP$14="",IP$15="",IP$16="",IP$18="",IP$19="",IP$20="",IP$21=""),"",SUM($C20:IP20))</f>
        <v>674.49083333333306</v>
      </c>
      <c r="IQ87" s="114">
        <f>IF(OR(IQ$13="",IQ$17="",IQ$14="",IQ$15="",IQ$16="",IQ$18="",IQ$19="",IQ$20="",IQ$21=""),"",SUM($C20:IQ20))</f>
        <v>693.37222222222192</v>
      </c>
      <c r="IR87" s="114">
        <f>IF(OR(IR$13="",IR$17="",IR$14="",IR$15="",IR$16="",IR$18="",IR$19="",IR$20="",IR$21=""),"",SUM($C20:IR20))</f>
        <v>693.37222222222192</v>
      </c>
      <c r="IS87" s="114">
        <f>IF(OR(IS$13="",IS$17="",IS$14="",IS$15="",IS$16="",IS$18="",IS$19="",IS$20="",IS$21=""),"",SUM($C20:IS20))</f>
        <v>706.32944444444411</v>
      </c>
      <c r="IT87" s="114">
        <f>IF(OR(IT$13="",IT$17="",IT$14="",IT$15="",IT$16="",IT$18="",IT$19="",IT$20="",IT$21=""),"",SUM($C20:IT20))</f>
        <v>724.42888888888854</v>
      </c>
      <c r="IU87" s="114">
        <f>IF(OR(IU$13="",IU$17="",IU$14="",IU$15="",IU$16="",IU$18="",IU$19="",IU$20="",IU$21=""),"",SUM($C20:IU20))</f>
        <v>745.96972222222189</v>
      </c>
      <c r="IV87" s="114">
        <f>IF(OR(IV$13="",IV$17="",IV$14="",IV$15="",IV$16="",IV$18="",IV$19="",IV$20="",IV$21=""),"",SUM($C20:IV20))</f>
        <v>749.36638888888854</v>
      </c>
      <c r="IW87" s="114">
        <f>IF(OR(IW$13="",IW$17="",IW$14="",IW$15="",IW$16="",IW$18="",IW$19="",IW$20="",IW$21=""),"",SUM($C20:IW20))</f>
        <v>749.36638888888854</v>
      </c>
      <c r="IX87" s="114">
        <f>IF(OR(IX$13="",IX$17="",IX$14="",IX$15="",IX$16="",IX$18="",IX$19="",IX$20="",IX$21=""),"",SUM($C20:IX20))</f>
        <v>752.93361111111074</v>
      </c>
      <c r="IY87" s="114">
        <f>IF(OR(IY$13="",IY$17="",IY$14="",IY$15="",IY$16="",IY$18="",IY$19="",IY$20="",IY$21=""),"",SUM($C20:IY20))</f>
        <v>752.93361111111074</v>
      </c>
      <c r="IZ87" s="114">
        <f>IF(OR(IZ$13="",IZ$17="",IZ$14="",IZ$15="",IZ$16="",IZ$18="",IZ$19="",IZ$20="",IZ$21=""),"",SUM($C20:IZ20))</f>
        <v>752.93361111111074</v>
      </c>
      <c r="JA87" s="114">
        <f>IF(OR(JA$13="",JA$17="",JA$14="",JA$15="",JA$16="",JA$18="",JA$19="",JA$20="",JA$21=""),"",SUM($C20:JA20))</f>
        <v>752.93361111111074</v>
      </c>
      <c r="JB87" s="114">
        <f>IF(OR(JB$13="",JB$17="",JB$14="",JB$15="",JB$16="",JB$18="",JB$19="",JB$20="",JB$21=""),"",SUM($C20:JB20))</f>
        <v>752.93361111111074</v>
      </c>
      <c r="JC87" s="114">
        <f>IF(OR(JC$13="",JC$17="",JC$14="",JC$15="",JC$16="",JC$18="",JC$19="",JC$20="",JC$21=""),"",SUM($C20:JC20))</f>
        <v>754.00305555555519</v>
      </c>
      <c r="JD87" s="114">
        <f>IF(OR(JD$13="",JD$17="",JD$14="",JD$15="",JD$16="",JD$18="",JD$19="",JD$20="",JD$21=""),"",SUM($C20:JD20))</f>
        <v>754.19749999999965</v>
      </c>
      <c r="JE87" s="114">
        <f>IF(OR(JE$13="",JE$17="",JE$14="",JE$15="",JE$16="",JE$18="",JE$19="",JE$20="",JE$21=""),"",SUM($C20:JE20))</f>
        <v>754.19749999999965</v>
      </c>
      <c r="JF87" s="114">
        <f>IF(OR(JF$13="",JF$17="",JF$14="",JF$15="",JF$16="",JF$18="",JF$19="",JF$20="",JF$21=""),"",SUM($C20:JF20))</f>
        <v>754.19749999999965</v>
      </c>
      <c r="JG87" s="114">
        <f>IF(OR(JG$13="",JG$17="",JG$14="",JG$15="",JG$16="",JG$18="",JG$19="",JG$20="",JG$21=""),"",SUM($C20:JG20))</f>
        <v>756.74138888888854</v>
      </c>
      <c r="JH87" s="114">
        <f>IF(OR(JH$13="",JH$17="",JH$14="",JH$15="",JH$16="",JH$18="",JH$19="",JH$20="",JH$21=""),"",SUM($C20:JH20))</f>
        <v>762.79083333333301</v>
      </c>
      <c r="JI87" s="114">
        <f>IF(OR(JI$13="",JI$17="",JI$14="",JI$15="",JI$16="",JI$18="",JI$19="",JI$20="",JI$21=""),"",SUM($C20:JI20))</f>
        <v>763.13527777777745</v>
      </c>
      <c r="JJ87" s="114">
        <f>IF(OR(JJ$13="",JJ$17="",JJ$14="",JJ$15="",JJ$16="",JJ$18="",JJ$19="",JJ$20="",JJ$21=""),"",SUM($C20:JJ20))</f>
        <v>766.06888888888852</v>
      </c>
      <c r="JK87" s="114">
        <f>IF(OR(JK$13="",JK$17="",JK$14="",JK$15="",JK$16="",JK$18="",JK$19="",JK$20="",JK$21=""),"",SUM($C20:JK20))</f>
        <v>766.06888888888852</v>
      </c>
      <c r="JL87" s="114">
        <f>IF(OR(JL$13="",JL$17="",JL$14="",JL$15="",JL$16="",JL$18="",JL$19="",JL$20="",JL$21=""),"",SUM($C20:JL20))</f>
        <v>766.12416666666627</v>
      </c>
      <c r="JM87" s="114">
        <f>IF(OR(JM$13="",JM$17="",JM$14="",JM$15="",JM$16="",JM$18="",JM$19="",JM$20="",JM$21=""),"",SUM($C20:JM20))</f>
        <v>771.60805555555521</v>
      </c>
      <c r="JN87" s="114">
        <f>IF(OR(JN$13="",JN$17="",JN$14="",JN$15="",JN$16="",JN$18="",JN$19="",JN$20="",JN$21=""),"",SUM($C20:JN20))</f>
        <v>786.84805555555522</v>
      </c>
      <c r="JO87" s="114">
        <f>IF(OR(JO$13="",JO$17="",JO$14="",JO$15="",JO$16="",JO$18="",JO$19="",JO$20="",JO$21=""),"",SUM($C20:JO20))</f>
        <v>787.84805555555522</v>
      </c>
      <c r="JP87" s="114">
        <f>IF(OR(JP$13="",JP$17="",JP$14="",JP$15="",JP$16="",JP$18="",JP$19="",JP$20="",JP$21=""),"",SUM($C20:JP20))</f>
        <v>788.84805555555522</v>
      </c>
      <c r="JQ87" s="114">
        <f>IF(OR(JQ$13="",JQ$17="",JQ$14="",JQ$15="",JQ$16="",JQ$18="",JQ$19="",JQ$20="",JQ$21=""),"",SUM($C20:JQ20))</f>
        <v>789.84805555555522</v>
      </c>
      <c r="JR87" s="114">
        <f>IF(OR(JR$13="",JR$17="",JR$14="",JR$15="",JR$16="",JR$18="",JR$19="",JR$20="",JR$21=""),"",SUM($C20:JR20))</f>
        <v>790.84805555555522</v>
      </c>
      <c r="JS87" s="114">
        <f>IF(OR(JS$13="",JS$17="",JS$14="",JS$15="",JS$16="",JS$18="",JS$19="",JS$20="",JS$21=""),"",SUM($C20:JS20))</f>
        <v>791.84805555555522</v>
      </c>
      <c r="JT87" s="114">
        <f>IF(OR(JT$13="",JT$17="",JT$14="",JT$15="",JT$16="",JT$18="",JT$19="",JT$20="",JT$21=""),"",SUM($C20:JT20))</f>
        <v>795.79805555555527</v>
      </c>
      <c r="JU87" s="114">
        <f>IF(OR(JU$13="",JU$17="",JU$14="",JU$15="",JU$16="",JU$18="",JU$19="",JU$20="",JU$21=""),"",SUM($C20:JU20))</f>
        <v>795.92805555555526</v>
      </c>
      <c r="JV87" s="114">
        <f>IF(OR(JV$13="",JV$17="",JV$14="",JV$15="",JV$16="",JV$18="",JV$19="",JV$20="",JV$21=""),"",SUM($C20:JV20))</f>
        <v>796.92805555555526</v>
      </c>
      <c r="JW87" s="114">
        <f>IF(OR(JW$13="",JW$17="",JW$14="",JW$15="",JW$16="",JW$18="",JW$19="",JW$20="",JW$21=""),"",SUM($C20:JW20))</f>
        <v>796.92805555555526</v>
      </c>
      <c r="JX87" s="114">
        <f>IF(OR(JX$13="",JX$17="",JX$14="",JX$15="",JX$16="",JX$18="",JX$19="",JX$20="",JX$21=""),"",SUM($C20:JX20))</f>
        <v>796.92805555555526</v>
      </c>
      <c r="JY87" s="114">
        <f>IF(OR(JY$13="",JY$17="",JY$14="",JY$15="",JY$16="",JY$18="",JY$19="",JY$20="",JY$21=""),"",SUM($C20:JY20))</f>
        <v>796.92805555555526</v>
      </c>
      <c r="JZ87" s="114">
        <f>IF(OR(JZ$13="",JZ$17="",JZ$14="",JZ$15="",JZ$16="",JZ$18="",JZ$19="",JZ$20="",JZ$21=""),"",SUM($C20:JZ20))</f>
        <v>796.92805555555526</v>
      </c>
      <c r="KA87" s="114">
        <f>IF(OR(KA$13="",KA$17="",KA$14="",KA$15="",KA$16="",KA$18="",KA$19="",KA$20="",KA$21=""),"",SUM($C20:KA20))</f>
        <v>796.92805555555526</v>
      </c>
      <c r="KB87" s="114">
        <f>IF(OR(KB$13="",KB$17="",KB$14="",KB$15="",KB$16="",KB$18="",KB$19="",KB$20="",KB$21=""),"",SUM($C20:KB20))</f>
        <v>796.92805555555526</v>
      </c>
      <c r="KC87" s="114">
        <f>IF(OR(KC$13="",KC$17="",KC$14="",KC$15="",KC$16="",KC$18="",KC$19="",KC$20="",KC$21=""),"",SUM($C20:KC20))</f>
        <v>796.92805555555526</v>
      </c>
      <c r="KD87" s="114">
        <f>IF(OR(KD$13="",KD$17="",KD$14="",KD$15="",KD$16="",KD$18="",KD$19="",KD$20="",KD$21=""),"",SUM($C20:KD20))</f>
        <v>796.92805555555526</v>
      </c>
      <c r="KE87" s="114">
        <f>IF(OR(KE$13="",KE$17="",KE$14="",KE$15="",KE$16="",KE$18="",KE$19="",KE$20="",KE$21=""),"",SUM($C20:KE20))</f>
        <v>796.92805555555526</v>
      </c>
      <c r="KF87" s="114">
        <f>IF(OR(KF$13="",KF$17="",KF$14="",KF$15="",KF$16="",KF$18="",KF$19="",KF$20="",KF$21=""),"",SUM($C20:KF20))</f>
        <v>796.92805555555526</v>
      </c>
      <c r="KG87" s="114">
        <f>IF(OR(KG$13="",KG$17="",KG$14="",KG$15="",KG$16="",KG$18="",KG$19="",KG$20="",KG$21=""),"",SUM($C20:KG20))</f>
        <v>796.92805555555526</v>
      </c>
      <c r="KH87" s="114">
        <f>IF(OR(KH$13="",KH$17="",KH$14="",KH$15="",KH$16="",KH$18="",KH$19="",KH$20="",KH$21=""),"",SUM($C20:KH20))</f>
        <v>796.92805555555526</v>
      </c>
      <c r="KI87" s="114">
        <f>IF(OR(KI$13="",KI$17="",KI$14="",KI$15="",KI$16="",KI$18="",KI$19="",KI$20="",KI$21=""),"",SUM($C20:KI20))</f>
        <v>796.92805555555526</v>
      </c>
      <c r="KJ87" s="114">
        <f>IF(OR(KJ$13="",KJ$17="",KJ$14="",KJ$15="",KJ$16="",KJ$18="",KJ$19="",KJ$20="",KJ$21=""),"",SUM($C20:KJ20))</f>
        <v>796.92805555555526</v>
      </c>
      <c r="KK87" s="114">
        <f>IF(OR(KK$13="",KK$17="",KK$14="",KK$15="",KK$16="",KK$18="",KK$19="",KK$20="",KK$21=""),"",SUM($C20:KK20))</f>
        <v>796.92805555555526</v>
      </c>
      <c r="KL87" s="114">
        <f>IF(OR(KL$13="",KL$17="",KL$14="",KL$15="",KL$16="",KL$18="",KL$19="",KL$20="",KL$21=""),"",SUM($C20:KL20))</f>
        <v>796.92805555555526</v>
      </c>
      <c r="KM87" s="114">
        <f>IF(OR(KM$13="",KM$17="",KM$14="",KM$15="",KM$16="",KM$18="",KM$19="",KM$20="",KM$21=""),"",SUM($C20:KM20))</f>
        <v>796.92805555555526</v>
      </c>
      <c r="KN87" s="114">
        <f>IF(OR(KN$13="",KN$17="",KN$14="",KN$15="",KN$16="",KN$18="",KN$19="",KN$20="",KN$21=""),"",SUM($C20:KN20))</f>
        <v>796.92805555555526</v>
      </c>
      <c r="KO87" s="114">
        <f>IF(OR(KO$13="",KO$17="",KO$14="",KO$15="",KO$16="",KO$18="",KO$19="",KO$20="",KO$21=""),"",SUM($C20:KO20))</f>
        <v>796.92805555555526</v>
      </c>
      <c r="KP87" s="114">
        <f>IF(OR(KP$13="",KP$17="",KP$14="",KP$15="",KP$16="",KP$18="",KP$19="",KP$20="",KP$21=""),"",SUM($C20:KP20))</f>
        <v>796.92805555555526</v>
      </c>
      <c r="KQ87" s="114">
        <f>IF(OR(KQ$13="",KQ$17="",KQ$14="",KQ$15="",KQ$16="",KQ$18="",KQ$19="",KQ$20="",KQ$21=""),"",SUM($C20:KQ20))</f>
        <v>796.92805555555526</v>
      </c>
      <c r="KR87" s="114">
        <f>IF(OR(KR$13="",KR$17="",KR$14="",KR$15="",KR$16="",KR$18="",KR$19="",KR$20="",KR$21=""),"",SUM($C20:KR20))</f>
        <v>796.92805555555526</v>
      </c>
      <c r="KS87" s="114">
        <f>IF(OR(KS$13="",KS$17="",KS$14="",KS$15="",KS$16="",KS$18="",KS$19="",KS$20="",KS$21=""),"",SUM($C20:KS20))</f>
        <v>796.92805555555526</v>
      </c>
      <c r="KT87" s="114">
        <f>IF(OR(KT$13="",KT$17="",KT$14="",KT$15="",KT$16="",KT$18="",KT$19="",KT$20="",KT$21=""),"",SUM($C20:KT20))</f>
        <v>796.92805555555526</v>
      </c>
      <c r="KU87" s="114" t="str">
        <f>IF(OR(KU$13="",KU$17="",KU$14="",KU$15="",KU$16="",KU$18="",KU$19="",KU$20="",KU$21=""),"",SUM($C20:KU20))</f>
        <v/>
      </c>
      <c r="KV87" s="114" t="str">
        <f>IF(OR(KV$13="",KV$17="",KV$14="",KV$15="",KV$16="",KV$18="",KV$19="",KV$20="",KV$21=""),"",SUM($C20:KV20))</f>
        <v/>
      </c>
      <c r="KW87" s="114" t="str">
        <f>IF(OR(KW$13="",KW$17="",KW$14="",KW$15="",KW$16="",KW$18="",KW$19="",KW$20="",KW$21=""),"",SUM($C20:KW20))</f>
        <v/>
      </c>
      <c r="KX87" s="114" t="str">
        <f>IF(OR(KX$13="",KX$17="",KX$14="",KX$15="",KX$16="",KX$18="",KX$19="",KX$20="",KX$21=""),"",SUM($C20:KX20))</f>
        <v/>
      </c>
      <c r="KY87" s="114" t="str">
        <f>IF(OR(KY$13="",KY$17="",KY$14="",KY$15="",KY$16="",KY$18="",KY$19="",KY$20="",KY$21=""),"",SUM($C20:KY20))</f>
        <v/>
      </c>
      <c r="KZ87" s="114" t="str">
        <f>IF(OR(KZ$13="",KZ$17="",KZ$14="",KZ$15="",KZ$16="",KZ$18="",KZ$19="",KZ$20="",KZ$21=""),"",SUM($C20:KZ20))</f>
        <v/>
      </c>
      <c r="LA87" s="114" t="str">
        <f>IF(OR(LA$13="",LA$17="",LA$14="",LA$15="",LA$16="",LA$18="",LA$19="",LA$20="",LA$21=""),"",SUM($C20:LA20))</f>
        <v/>
      </c>
      <c r="LB87" s="114" t="str">
        <f>IF(OR(LB$13="",LB$17="",LB$14="",LB$15="",LB$16="",LB$18="",LB$19="",LB$20="",LB$21=""),"",SUM($C20:LB20))</f>
        <v/>
      </c>
      <c r="LC87" s="114" t="str">
        <f>IF(OR(LC$13="",LC$17="",LC$14="",LC$15="",LC$16="",LC$18="",LC$19="",LC$20="",LC$21=""),"",SUM($C20:LC20))</f>
        <v/>
      </c>
      <c r="LD87" s="114" t="str">
        <f>IF(OR(LD$13="",LD$17="",LD$14="",LD$15="",LD$16="",LD$18="",LD$19="",LD$20="",LD$21=""),"",SUM($C20:LD20))</f>
        <v/>
      </c>
      <c r="LE87" s="114" t="str">
        <f>IF(OR(LE$13="",LE$17="",LE$14="",LE$15="",LE$16="",LE$18="",LE$19="",LE$20="",LE$21=""),"",SUM($C20:LE20))</f>
        <v/>
      </c>
      <c r="LF87" s="114" t="str">
        <f>IF(OR(LF$13="",LF$17="",LF$14="",LF$15="",LF$16="",LF$18="",LF$19="",LF$20="",LF$21=""),"",SUM($C20:LF20))</f>
        <v/>
      </c>
      <c r="LG87" s="114" t="str">
        <f>IF(OR(LG$13="",LG$17="",LG$14="",LG$15="",LG$16="",LG$18="",LG$19="",LG$20="",LG$21=""),"",SUM($C20:LG20))</f>
        <v/>
      </c>
      <c r="LH87" s="114" t="str">
        <f>IF(OR(LH$13="",LH$17="",LH$14="",LH$15="",LH$16="",LH$18="",LH$19="",LH$20="",LH$21=""),"",SUM($C20:LH20))</f>
        <v/>
      </c>
      <c r="LI87" s="114" t="str">
        <f>IF(OR(LI$13="",LI$17="",LI$14="",LI$15="",LI$16="",LI$18="",LI$19="",LI$20="",LI$21=""),"",SUM($C20:LI20))</f>
        <v/>
      </c>
      <c r="LJ87" s="114" t="str">
        <f>IF(OR(LJ$13="",LJ$17="",LJ$14="",LJ$15="",LJ$16="",LJ$18="",LJ$19="",LJ$20="",LJ$21=""),"",SUM($C20:LJ20))</f>
        <v/>
      </c>
      <c r="LK87" s="114" t="str">
        <f>IF(OR(LK$13="",LK$17="",LK$14="",LK$15="",LK$16="",LK$18="",LK$19="",LK$20="",LK$21=""),"",SUM($C20:LK20))</f>
        <v/>
      </c>
      <c r="LL87" s="114" t="str">
        <f>IF(OR(LL$13="",LL$17="",LL$14="",LL$15="",LL$16="",LL$18="",LL$19="",LL$20="",LL$21=""),"",SUM($C20:LL20))</f>
        <v/>
      </c>
      <c r="LM87" s="114" t="str">
        <f>IF(OR(LM$13="",LM$17="",LM$14="",LM$15="",LM$16="",LM$18="",LM$19="",LM$20="",LM$21=""),"",SUM($C20:LM20))</f>
        <v/>
      </c>
      <c r="LN87" s="114" t="str">
        <f>IF(OR(LN$13="",LN$17="",LN$14="",LN$15="",LN$16="",LN$18="",LN$19="",LN$20="",LN$21=""),"",SUM($C20:LN20))</f>
        <v/>
      </c>
      <c r="LO87" s="114" t="str">
        <f>IF(OR(LO$13="",LO$17="",LO$14="",LO$15="",LO$16="",LO$18="",LO$19="",LO$20="",LO$21=""),"",SUM($C20:LO20))</f>
        <v/>
      </c>
      <c r="LP87" s="114" t="str">
        <f>IF(OR(LP$13="",LP$17="",LP$14="",LP$15="",LP$16="",LP$18="",LP$19="",LP$20="",LP$21=""),"",SUM($C20:LP20))</f>
        <v/>
      </c>
      <c r="LQ87" s="114" t="str">
        <f>IF(OR(LQ$13="",LQ$17="",LQ$14="",LQ$15="",LQ$16="",LQ$18="",LQ$19="",LQ$20="",LQ$21=""),"",SUM($C20:LQ20))</f>
        <v/>
      </c>
      <c r="LR87" s="114" t="str">
        <f>IF(OR(LR$13="",LR$17="",LR$14="",LR$15="",LR$16="",LR$18="",LR$19="",LR$20="",LR$21=""),"",SUM($C20:LR20))</f>
        <v/>
      </c>
      <c r="LS87" s="114" t="str">
        <f>IF(OR(LS$13="",LS$17="",LS$14="",LS$15="",LS$16="",LS$18="",LS$19="",LS$20="",LS$21=""),"",SUM($C20:LS20))</f>
        <v/>
      </c>
      <c r="LT87" s="114" t="str">
        <f>IF(OR(LT$13="",LT$17="",LT$14="",LT$15="",LT$16="",LT$18="",LT$19="",LT$20="",LT$21=""),"",SUM($C20:LT20))</f>
        <v/>
      </c>
      <c r="LU87" s="114" t="str">
        <f>IF(OR(LU$13="",LU$17="",LU$14="",LU$15="",LU$16="",LU$18="",LU$19="",LU$20="",LU$21=""),"",SUM($C20:LU20))</f>
        <v/>
      </c>
      <c r="LV87" s="114" t="str">
        <f>IF(OR(LV$13="",LV$17="",LV$14="",LV$15="",LV$16="",LV$18="",LV$19="",LV$20="",LV$21=""),"",SUM($C20:LV20))</f>
        <v/>
      </c>
      <c r="LW87" s="114" t="str">
        <f>IF(OR(LW$13="",LW$17="",LW$14="",LW$15="",LW$16="",LW$18="",LW$19="",LW$20="",LW$21=""),"",SUM($C20:LW20))</f>
        <v/>
      </c>
      <c r="LX87" s="114" t="str">
        <f>IF(OR(LX$13="",LX$17="",LX$14="",LX$15="",LX$16="",LX$18="",LX$19="",LX$20="",LX$21=""),"",SUM($C20:LX20))</f>
        <v/>
      </c>
      <c r="LY87" s="114" t="str">
        <f>IF(OR(LY$13="",LY$17="",LY$14="",LY$15="",LY$16="",LY$18="",LY$19="",LY$20="",LY$21=""),"",SUM($C20:LY20))</f>
        <v/>
      </c>
      <c r="LZ87" s="114" t="str">
        <f>IF(OR(LZ$13="",LZ$17="",LZ$14="",LZ$15="",LZ$16="",LZ$18="",LZ$19="",LZ$20="",LZ$21=""),"",SUM($C20:LZ20))</f>
        <v/>
      </c>
      <c r="MA87" s="114" t="str">
        <f>IF(OR(MA$13="",MA$17="",MA$14="",MA$15="",MA$16="",MA$18="",MA$19="",MA$20="",MA$21=""),"",SUM($C20:MA20))</f>
        <v/>
      </c>
      <c r="MB87" s="114" t="str">
        <f>IF(OR(MB$13="",MB$17="",MB$14="",MB$15="",MB$16="",MB$18="",MB$19="",MB$20="",MB$21=""),"",SUM($C20:MB20))</f>
        <v/>
      </c>
      <c r="MC87" s="114" t="str">
        <f>IF(OR(MC$13="",MC$17="",MC$14="",MC$15="",MC$16="",MC$18="",MC$19="",MC$20="",MC$21=""),"",SUM($C20:MC20))</f>
        <v/>
      </c>
      <c r="MD87" s="114" t="str">
        <f>IF(OR(MD$13="",MD$17="",MD$14="",MD$15="",MD$16="",MD$18="",MD$19="",MD$20="",MD$21=""),"",SUM($C20:MD20))</f>
        <v/>
      </c>
      <c r="ME87" s="114" t="str">
        <f>IF(OR(ME$13="",ME$17="",ME$14="",ME$15="",ME$16="",ME$18="",ME$19="",ME$20="",ME$21=""),"",SUM($C20:ME20))</f>
        <v/>
      </c>
      <c r="MF87" s="114" t="str">
        <f>IF(OR(MF$13="",MF$17="",MF$14="",MF$15="",MF$16="",MF$18="",MF$19="",MF$20="",MF$21=""),"",SUM($C20:MF20))</f>
        <v/>
      </c>
      <c r="MG87" s="114" t="str">
        <f>IF(OR(MG$13="",MG$17="",MG$14="",MG$15="",MG$16="",MG$18="",MG$19="",MG$20="",MG$21=""),"",SUM($C20:MG20))</f>
        <v/>
      </c>
      <c r="MH87" s="114" t="str">
        <f>IF(OR(MH$13="",MH$17="",MH$14="",MH$15="",MH$16="",MH$18="",MH$19="",MH$20="",MH$21=""),"",SUM($C20:MH20))</f>
        <v/>
      </c>
      <c r="MI87" s="114" t="str">
        <f>IF(OR(MI$13="",MI$17="",MI$14="",MI$15="",MI$16="",MI$18="",MI$19="",MI$20="",MI$21=""),"",SUM($C20:MI20))</f>
        <v/>
      </c>
      <c r="MJ87" s="114" t="str">
        <f>IF(OR(MJ$13="",MJ$17="",MJ$14="",MJ$15="",MJ$16="",MJ$18="",MJ$19="",MJ$20="",MJ$21=""),"",SUM($C20:MJ20))</f>
        <v/>
      </c>
      <c r="MK87" s="114" t="str">
        <f>IF(OR(MK$13="",MK$17="",MK$14="",MK$15="",MK$16="",MK$18="",MK$19="",MK$20="",MK$21=""),"",SUM($C20:MK20))</f>
        <v/>
      </c>
      <c r="ML87" s="114" t="str">
        <f>IF(OR(ML$13="",ML$17="",ML$14="",ML$15="",ML$16="",ML$18="",ML$19="",ML$20="",ML$21=""),"",SUM($C20:ML20))</f>
        <v/>
      </c>
      <c r="MM87" s="114" t="str">
        <f>IF(OR(MM$13="",MM$17="",MM$14="",MM$15="",MM$16="",MM$18="",MM$19="",MM$20="",MM$21=""),"",SUM($C20:MM20))</f>
        <v/>
      </c>
      <c r="MN87" s="114" t="str">
        <f>IF(OR(MN$13="",MN$17="",MN$14="",MN$15="",MN$16="",MN$18="",MN$19="",MN$20="",MN$21=""),"",SUM($C20:MN20))</f>
        <v/>
      </c>
      <c r="MO87" s="114" t="str">
        <f>IF(OR(MO$13="",MO$17="",MO$14="",MO$15="",MO$16="",MO$18="",MO$19="",MO$20="",MO$21=""),"",SUM($C20:MO20))</f>
        <v/>
      </c>
      <c r="MP87" s="114" t="str">
        <f>IF(OR(MP$13="",MP$17="",MP$14="",MP$15="",MP$16="",MP$18="",MP$19="",MP$20="",MP$21=""),"",SUM($C20:MP20))</f>
        <v/>
      </c>
      <c r="MQ87" s="114" t="str">
        <f>IF(OR(MQ$13="",MQ$17="",MQ$14="",MQ$15="",MQ$16="",MQ$18="",MQ$19="",MQ$20="",MQ$21=""),"",SUM($C20:MQ20))</f>
        <v/>
      </c>
      <c r="MR87" s="114" t="str">
        <f>IF(OR(MR$13="",MR$17="",MR$14="",MR$15="",MR$16="",MR$18="",MR$19="",MR$20="",MR$21=""),"",SUM($C20:MR20))</f>
        <v/>
      </c>
      <c r="MS87" s="114" t="str">
        <f>IF(OR(MS$13="",MS$17="",MS$14="",MS$15="",MS$16="",MS$18="",MS$19="",MS$20="",MS$21=""),"",SUM($C20:MS20))</f>
        <v/>
      </c>
      <c r="MT87" s="114" t="str">
        <f>IF(OR(MT$13="",MT$17="",MT$14="",MT$15="",MT$16="",MT$18="",MT$19="",MT$20="",MT$21=""),"",SUM($C20:MT20))</f>
        <v/>
      </c>
      <c r="MU87" s="114" t="str">
        <f>IF(OR(MU$13="",MU$17="",MU$14="",MU$15="",MU$16="",MU$18="",MU$19="",MU$20="",MU$21=""),"",SUM($C20:MU20))</f>
        <v/>
      </c>
      <c r="MV87" s="114" t="str">
        <f>IF(OR(MV$13="",MV$17="",MV$14="",MV$15="",MV$16="",MV$18="",MV$19="",MV$20="",MV$21=""),"",SUM($C20:MV20))</f>
        <v/>
      </c>
      <c r="MW87" s="114" t="str">
        <f>IF(OR(MW$13="",MW$17="",MW$14="",MW$15="",MW$16="",MW$18="",MW$19="",MW$20="",MW$21=""),"",SUM($C20:MW20))</f>
        <v/>
      </c>
      <c r="MX87" s="114" t="str">
        <f>IF(OR(MX$13="",MX$17="",MX$14="",MX$15="",MX$16="",MX$18="",MX$19="",MX$20="",MX$21=""),"",SUM($C20:MX20))</f>
        <v/>
      </c>
      <c r="MY87" s="114" t="str">
        <f>IF(OR(MY$13="",MY$17="",MY$14="",MY$15="",MY$16="",MY$18="",MY$19="",MY$20="",MY$21=""),"",SUM($C20:MY20))</f>
        <v/>
      </c>
      <c r="MZ87" s="114" t="str">
        <f>IF(OR(MZ$13="",MZ$17="",MZ$14="",MZ$15="",MZ$16="",MZ$18="",MZ$19="",MZ$20="",MZ$21=""),"",SUM($C20:MZ20))</f>
        <v/>
      </c>
      <c r="NA87" s="114" t="str">
        <f>IF(OR(NA$13="",NA$17="",NA$14="",NA$15="",NA$16="",NA$18="",NA$19="",NA$20="",NA$21=""),"",SUM($C20:NA20))</f>
        <v/>
      </c>
      <c r="NB87" s="114" t="str">
        <f>IF(OR(NB$13="",NB$17="",NB$14="",NB$15="",NB$16="",NB$18="",NB$19="",NB$20="",NB$21=""),"",SUM($C20:NB20))</f>
        <v/>
      </c>
      <c r="NC87" s="114" t="str">
        <f>IF(OR(NC$13="",NC$17="",NC$14="",NC$15="",NC$16="",NC$18="",NC$19="",NC$20="",NC$21=""),"",SUM($C20:NC20))</f>
        <v/>
      </c>
      <c r="ND87" s="114" t="str">
        <f>IF(OR(ND$13="",ND$17="",ND$14="",ND$15="",ND$16="",ND$18="",ND$19="",ND$20="",ND$21=""),"",SUM($C20:ND20))</f>
        <v/>
      </c>
      <c r="NE87" s="114" t="str">
        <f>IF(OR(NE$13="",NE$17="",NE$14="",NE$15="",NE$16="",NE$18="",NE$19="",NE$20="",NE$21=""),"",SUM($C20:NE20))</f>
        <v/>
      </c>
      <c r="NF87" s="114" t="str">
        <f>IF(OR(NF$13="",NF$17="",NF$14="",NF$15="",NF$16="",NF$18="",NF$19="",NF$20="",NF$21=""),"",SUM($C20:NF20))</f>
        <v/>
      </c>
      <c r="NG87" s="114" t="str">
        <f>IF(OR(NG$13="",NG$17="",NG$14="",NG$15="",NG$16="",NG$18="",NG$19="",NG$20="",NG$21=""),"",SUM($C20:NG20))</f>
        <v/>
      </c>
      <c r="NH87" s="114" t="str">
        <f>IF(OR(NH$13="",NH$17="",NH$14="",NH$15="",NH$16="",NH$18="",NH$19="",NH$20="",NH$21=""),"",SUM($C20:NH20))</f>
        <v/>
      </c>
      <c r="NI87" s="114" t="str">
        <f>IF(OR(NI$13="",NI$17="",NI$14="",NI$15="",NI$16="",NI$18="",NI$19="",NI$20="",NI$21=""),"",SUM($C20:NI20))</f>
        <v/>
      </c>
      <c r="NJ87" s="114" t="str">
        <f>IF(OR(NJ$13="",NJ$17="",NJ$14="",NJ$15="",NJ$16="",NJ$18="",NJ$19="",NJ$20="",NJ$21=""),"",SUM($C20:NJ20))</f>
        <v/>
      </c>
      <c r="NK87" s="114" t="str">
        <f>IF(OR(NK$13="",NK$17="",NK$14="",NK$15="",NK$16="",NK$18="",NK$19="",NK$20="",NK$21=""),"",SUM($C20:NK20))</f>
        <v/>
      </c>
      <c r="NL87" s="114" t="str">
        <f>IF(OR(NL$13="",NL$17="",NL$14="",NL$15="",NL$16="",NL$18="",NL$19="",NL$20="",NL$21=""),"",SUM($C20:NL20))</f>
        <v/>
      </c>
      <c r="NM87" s="114" t="str">
        <f>IF(OR(NM$13="",NM$17="",NM$14="",NM$15="",NM$16="",NM$18="",NM$19="",NM$20="",NM$21=""),"",SUM($C20:NM20))</f>
        <v/>
      </c>
      <c r="NN87" s="114" t="str">
        <f>IF(OR(NN$13="",NN$17="",NN$14="",NN$15="",NN$16="",NN$18="",NN$19="",NN$20="",NN$21=""),"",SUM($C20:NN20))</f>
        <v/>
      </c>
      <c r="NO87" s="114" t="str">
        <f>IF(OR(NO$13="",NO$17="",NO$14="",NO$15="",NO$16="",NO$18="",NO$19="",NO$20="",NO$21=""),"",SUM($C20:NO20))</f>
        <v/>
      </c>
      <c r="NP87" s="114" t="str">
        <f>IF(OR(NP$13="",NP$17="",NP$14="",NP$15="",NP$16="",NP$18="",NP$19="",NP$20="",NP$21=""),"",SUM($C20:NP20))</f>
        <v/>
      </c>
      <c r="NQ87" s="114" t="str">
        <f>IF(OR(NQ$13="",NQ$17="",NQ$14="",NQ$15="",NQ$16="",NQ$18="",NQ$19="",NQ$20="",NQ$21=""),"",SUM($C20:NQ20))</f>
        <v/>
      </c>
      <c r="NR87" s="114" t="str">
        <f>IF(OR(NR$13="",NR$17="",NR$14="",NR$15="",NR$16="",NR$18="",NR$19="",NR$20="",NR$21=""),"",SUM($C20:NR20))</f>
        <v/>
      </c>
      <c r="NS87" s="114" t="str">
        <f>IF(OR(NS$13="",NS$17="",NS$14="",NS$15="",NS$16="",NS$18="",NS$19="",NS$20="",NS$21=""),"",SUM($C20:NS20))</f>
        <v/>
      </c>
      <c r="NT87" s="114" t="str">
        <f>IF(OR(NT$13="",NT$17="",NT$14="",NT$15="",NT$16="",NT$18="",NT$19="",NT$20="",NT$21=""),"",SUM($C20:NT20))</f>
        <v/>
      </c>
      <c r="NU87" s="114" t="str">
        <f>IF(OR(NU$13="",NU$17="",NU$14="",NU$15="",NU$16="",NU$18="",NU$19="",NU$20="",NU$21=""),"",SUM($C20:NU20))</f>
        <v/>
      </c>
      <c r="NV87" s="114" t="str">
        <f>IF(OR(NV$13="",NV$17="",NV$14="",NV$15="",NV$16="",NV$18="",NV$19="",NV$20="",NV$21=""),"",SUM($C20:NV20))</f>
        <v/>
      </c>
      <c r="NW87" s="114" t="str">
        <f>IF(OR(NW$13="",NW$17="",NW$14="",NW$15="",NW$16="",NW$18="",NW$19="",NW$20="",NW$21=""),"",SUM($C20:NW20))</f>
        <v/>
      </c>
      <c r="NX87" s="114" t="str">
        <f>IF(OR(NX$13="",NX$17="",NX$14="",NX$15="",NX$16="",NX$18="",NX$19="",NX$20="",NX$21=""),"",SUM($C20:NX20))</f>
        <v/>
      </c>
      <c r="NY87" s="114" t="str">
        <f>IF(OR(NY$13="",NY$17="",NY$14="",NY$15="",NY$16="",NY$18="",NY$19="",NY$20="",NY$21=""),"",SUM($C20:NY20))</f>
        <v/>
      </c>
      <c r="NZ87" s="114" t="str">
        <f>IF(OR(NZ$13="",NZ$17="",NZ$14="",NZ$15="",NZ$16="",NZ$18="",NZ$19="",NZ$20="",NZ$21=""),"",SUM($C20:NZ20))</f>
        <v/>
      </c>
      <c r="OA87" s="114" t="str">
        <f>IF(OR(OA$13="",OA$17="",OA$14="",OA$15="",OA$16="",OA$18="",OA$19="",OA$20="",OA$21=""),"",SUM($C20:OA20))</f>
        <v/>
      </c>
      <c r="OB87" s="114" t="str">
        <f>IF(OR(OB$13="",OB$17="",OB$14="",OB$15="",OB$16="",OB$18="",OB$19="",OB$20="",OB$21=""),"",SUM($C20:OB20))</f>
        <v/>
      </c>
      <c r="OC87" s="114" t="str">
        <f>IF(OR(OC$13="",OC$17="",OC$14="",OC$15="",OC$16="",OC$18="",OC$19="",OC$20="",OC$21=""),"",SUM($C20:OC20))</f>
        <v/>
      </c>
      <c r="OD87" s="114" t="str">
        <f>IF(OR(OD$13="",OD$17="",OD$14="",OD$15="",OD$16="",OD$18="",OD$19="",OD$20="",OD$21=""),"",SUM($C20:OD20))</f>
        <v/>
      </c>
      <c r="OE87" s="114" t="str">
        <f>IF(OR(OE$13="",OE$17="",OE$14="",OE$15="",OE$16="",OE$18="",OE$19="",OE$20="",OE$21=""),"",SUM($C20:OE20))</f>
        <v/>
      </c>
      <c r="OF87" s="114" t="str">
        <f>IF(OR(OF$13="",OF$17="",OF$14="",OF$15="",OF$16="",OF$18="",OF$19="",OF$20="",OF$21=""),"",SUM($C20:OF20))</f>
        <v/>
      </c>
      <c r="OG87" s="114" t="str">
        <f>IF(OR(OG$13="",OG$17="",OG$14="",OG$15="",OG$16="",OG$18="",OG$19="",OG$20="",OG$21=""),"",SUM($C20:OG20))</f>
        <v/>
      </c>
      <c r="OH87" s="114" t="str">
        <f>IF(OR(OH$13="",OH$17="",OH$14="",OH$15="",OH$16="",OH$18="",OH$19="",OH$20="",OH$21=""),"",SUM($C20:OH20))</f>
        <v/>
      </c>
      <c r="OI87" s="114" t="str">
        <f>IF(OR(OI$13="",OI$17="",OI$14="",OI$15="",OI$16="",OI$18="",OI$19="",OI$20="",OI$21=""),"",SUM($C20:OI20))</f>
        <v/>
      </c>
      <c r="OJ87" s="114" t="str">
        <f>IF(OR(OJ$13="",OJ$17="",OJ$14="",OJ$15="",OJ$16="",OJ$18="",OJ$19="",OJ$20="",OJ$21=""),"",SUM($C20:OJ20))</f>
        <v/>
      </c>
      <c r="OK87" s="114" t="str">
        <f>IF(OR(OK$13="",OK$17="",OK$14="",OK$15="",OK$16="",OK$18="",OK$19="",OK$20="",OK$21=""),"",SUM($C20:OK20))</f>
        <v/>
      </c>
      <c r="OL87" s="114" t="str">
        <f>IF(OR(OL$13="",OL$17="",OL$14="",OL$15="",OL$16="",OL$18="",OL$19="",OL$20="",OL$21=""),"",SUM($C20:OL20))</f>
        <v/>
      </c>
      <c r="OM87" s="114" t="str">
        <f>IF(OR(OM$13="",OM$17="",OM$14="",OM$15="",OM$16="",OM$18="",OM$19="",OM$20="",OM$21=""),"",SUM($C20:OM20))</f>
        <v/>
      </c>
      <c r="ON87" s="114" t="str">
        <f>IF(OR(ON$13="",ON$17="",ON$14="",ON$15="",ON$16="",ON$18="",ON$19="",ON$20="",ON$21=""),"",SUM($C20:ON20))</f>
        <v/>
      </c>
      <c r="OO87" s="114" t="str">
        <f>IF(OR(OO$13="",OO$17="",OO$14="",OO$15="",OO$16="",OO$18="",OO$19="",OO$20="",OO$21=""),"",SUM($C20:OO20))</f>
        <v/>
      </c>
      <c r="OP87" s="114" t="str">
        <f>IF(OR(OP$13="",OP$17="",OP$14="",OP$15="",OP$16="",OP$18="",OP$19="",OP$20="",OP$21=""),"",SUM($C20:OP20))</f>
        <v/>
      </c>
      <c r="OQ87" s="114" t="str">
        <f>IF(OR(OQ$13="",OQ$17="",OQ$14="",OQ$15="",OQ$16="",OQ$18="",OQ$19="",OQ$20="",OQ$21=""),"",SUM($C20:OQ20))</f>
        <v/>
      </c>
      <c r="OR87" s="114" t="str">
        <f>IF(OR(OR$13="",OR$17="",OR$14="",OR$15="",OR$16="",OR$18="",OR$19="",OR$20="",OR$21=""),"",SUM($C20:OR20))</f>
        <v/>
      </c>
      <c r="OS87" s="114" t="str">
        <f>IF(OR(OS$13="",OS$17="",OS$14="",OS$15="",OS$16="",OS$18="",OS$19="",OS$20="",OS$21=""),"",SUM($C20:OS20))</f>
        <v/>
      </c>
      <c r="OT87" s="114" t="str">
        <f>IF(OR(OT$13="",OT$17="",OT$14="",OT$15="",OT$16="",OT$18="",OT$19="",OT$20="",OT$21=""),"",SUM($C20:OT20))</f>
        <v/>
      </c>
      <c r="OU87" s="114" t="str">
        <f>IF(OR(OU$13="",OU$17="",OU$14="",OU$15="",OU$16="",OU$18="",OU$19="",OU$20="",OU$21=""),"",SUM($C20:OU20))</f>
        <v/>
      </c>
      <c r="OV87" s="114" t="str">
        <f>IF(OR(OV$13="",OV$17="",OV$14="",OV$15="",OV$16="",OV$18="",OV$19="",OV$20="",OV$21=""),"",SUM($C20:OV20))</f>
        <v/>
      </c>
      <c r="OW87" s="114" t="str">
        <f>IF(OR(OW$13="",OW$17="",OW$14="",OW$15="",OW$16="",OW$18="",OW$19="",OW$20="",OW$21=""),"",SUM($C20:OW20))</f>
        <v/>
      </c>
      <c r="OX87" s="114" t="str">
        <f>IF(OR(OX$13="",OX$17="",OX$14="",OX$15="",OX$16="",OX$18="",OX$19="",OX$20="",OX$21=""),"",SUM($C20:OX20))</f>
        <v/>
      </c>
      <c r="OY87" s="114" t="str">
        <f>IF(OR(OY$13="",OY$17="",OY$14="",OY$15="",OY$16="",OY$18="",OY$19="",OY$20="",OY$21=""),"",SUM($C20:OY20))</f>
        <v/>
      </c>
      <c r="OZ87" s="114" t="str">
        <f>IF(OR(OZ$13="",OZ$17="",OZ$14="",OZ$15="",OZ$16="",OZ$18="",OZ$19="",OZ$20="",OZ$21=""),"",SUM($C20:OZ20))</f>
        <v/>
      </c>
      <c r="PA87" s="114" t="str">
        <f>IF(OR(PA$13="",PA$17="",PA$14="",PA$15="",PA$16="",PA$18="",PA$19="",PA$20="",PA$21=""),"",SUM($C20:PA20))</f>
        <v/>
      </c>
      <c r="PB87" s="114" t="str">
        <f>IF(OR(PB$13="",PB$17="",PB$14="",PB$15="",PB$16="",PB$18="",PB$19="",PB$20="",PB$21=""),"",SUM($C20:PB20))</f>
        <v/>
      </c>
      <c r="PC87" s="114" t="str">
        <f>IF(OR(PC$13="",PC$17="",PC$14="",PC$15="",PC$16="",PC$18="",PC$19="",PC$20="",PC$21=""),"",SUM($C20:PC20))</f>
        <v/>
      </c>
      <c r="PD87" s="114" t="str">
        <f>IF(OR(PD$13="",PD$17="",PD$14="",PD$15="",PD$16="",PD$18="",PD$19="",PD$20="",PD$21=""),"",SUM($C20:PD20))</f>
        <v/>
      </c>
      <c r="PE87" s="114" t="str">
        <f>IF(OR(PE$13="",PE$17="",PE$14="",PE$15="",PE$16="",PE$18="",PE$19="",PE$20="",PE$21=""),"",SUM($C20:PE20))</f>
        <v/>
      </c>
      <c r="PF87" s="114" t="str">
        <f>IF(OR(PF$13="",PF$17="",PF$14="",PF$15="",PF$16="",PF$18="",PF$19="",PF$20="",PF$21=""),"",SUM($C20:PF20))</f>
        <v/>
      </c>
      <c r="PG87" s="114" t="str">
        <f>IF(OR(PG$13="",PG$17="",PG$14="",PG$15="",PG$16="",PG$18="",PG$19="",PG$20="",PG$21=""),"",SUM($C20:PG20))</f>
        <v/>
      </c>
      <c r="PH87" s="114" t="str">
        <f>IF(OR(PH$13="",PH$17="",PH$14="",PH$15="",PH$16="",PH$18="",PH$19="",PH$20="",PH$21=""),"",SUM($C20:PH20))</f>
        <v/>
      </c>
      <c r="PI87" s="114" t="str">
        <f>IF(OR(PI$13="",PI$17="",PI$14="",PI$15="",PI$16="",PI$18="",PI$19="",PI$20="",PI$21=""),"",SUM($C20:PI20))</f>
        <v/>
      </c>
      <c r="PJ87" s="114" t="str">
        <f>IF(OR(PJ$13="",PJ$17="",PJ$14="",PJ$15="",PJ$16="",PJ$18="",PJ$19="",PJ$20="",PJ$21=""),"",SUM($C20:PJ20))</f>
        <v/>
      </c>
      <c r="PK87" s="114" t="str">
        <f>IF(OR(PK$13="",PK$17="",PK$14="",PK$15="",PK$16="",PK$18="",PK$19="",PK$20="",PK$21=""),"",SUM($C20:PK20))</f>
        <v/>
      </c>
      <c r="PL87" s="114" t="str">
        <f>IF(OR(PL$13="",PL$17="",PL$14="",PL$15="",PL$16="",PL$18="",PL$19="",PL$20="",PL$21=""),"",SUM($C20:PL20))</f>
        <v/>
      </c>
      <c r="PM87" s="114" t="str">
        <f>IF(OR(PM$13="",PM$17="",PM$14="",PM$15="",PM$16="",PM$18="",PM$19="",PM$20="",PM$21=""),"",SUM($C20:PM20))</f>
        <v/>
      </c>
      <c r="PN87" s="114" t="str">
        <f>IF(OR(PN$13="",PN$17="",PN$14="",PN$15="",PN$16="",PN$18="",PN$19="",PN$20="",PN$21=""),"",SUM($C20:PN20))</f>
        <v/>
      </c>
      <c r="PO87" s="114" t="str">
        <f>IF(OR(PO$13="",PO$17="",PO$14="",PO$15="",PO$16="",PO$18="",PO$19="",PO$20="",PO$21=""),"",SUM($C20:PO20))</f>
        <v/>
      </c>
      <c r="PP87" s="114" t="str">
        <f>IF(OR(PP$13="",PP$17="",PP$14="",PP$15="",PP$16="",PP$18="",PP$19="",PP$20="",PP$21=""),"",SUM($C20:PP20))</f>
        <v/>
      </c>
      <c r="PQ87" s="114" t="str">
        <f>IF(OR(PQ$13="",PQ$17="",PQ$14="",PQ$15="",PQ$16="",PQ$18="",PQ$19="",PQ$20="",PQ$21=""),"",SUM($C20:PQ20))</f>
        <v/>
      </c>
      <c r="PR87" s="114" t="str">
        <f>IF(OR(PR$13="",PR$17="",PR$14="",PR$15="",PR$16="",PR$18="",PR$19="",PR$20="",PR$21=""),"",SUM($C20:PR20))</f>
        <v/>
      </c>
      <c r="PS87" s="114" t="str">
        <f>IF(OR(PS$13="",PS$17="",PS$14="",PS$15="",PS$16="",PS$18="",PS$19="",PS$20="",PS$21=""),"",SUM($C20:PS20))</f>
        <v/>
      </c>
      <c r="PT87" s="114" t="str">
        <f>IF(OR(PT$13="",PT$17="",PT$14="",PT$15="",PT$16="",PT$18="",PT$19="",PT$20="",PT$21=""),"",SUM($C20:PT20))</f>
        <v/>
      </c>
      <c r="PU87" s="114" t="str">
        <f>IF(OR(PU$13="",PU$17="",PU$14="",PU$15="",PU$16="",PU$18="",PU$19="",PU$20="",PU$21=""),"",SUM($C20:PU20))</f>
        <v/>
      </c>
      <c r="PV87" s="114" t="str">
        <f>IF(OR(PV$13="",PV$17="",PV$14="",PV$15="",PV$16="",PV$18="",PV$19="",PV$20="",PV$21=""),"",SUM($C20:PV20))</f>
        <v/>
      </c>
      <c r="PW87" s="114" t="str">
        <f>IF(OR(PW$13="",PW$17="",PW$14="",PW$15="",PW$16="",PW$18="",PW$19="",PW$20="",PW$21=""),"",SUM($C20:PW20))</f>
        <v/>
      </c>
      <c r="PX87" s="114" t="str">
        <f>IF(OR(PX$13="",PX$17="",PX$14="",PX$15="",PX$16="",PX$18="",PX$19="",PX$20="",PX$21=""),"",SUM($C20:PX20))</f>
        <v/>
      </c>
      <c r="PY87" s="114" t="str">
        <f>IF(OR(PY$13="",PY$17="",PY$14="",PY$15="",PY$16="",PY$18="",PY$19="",PY$20="",PY$21=""),"",SUM($C20:PY20))</f>
        <v/>
      </c>
      <c r="PZ87" s="114" t="str">
        <f>IF(OR(PZ$13="",PZ$17="",PZ$14="",PZ$15="",PZ$16="",PZ$18="",PZ$19="",PZ$20="",PZ$21=""),"",SUM($C20:PZ20))</f>
        <v/>
      </c>
      <c r="QA87" s="114" t="str">
        <f>IF(OR(QA$13="",QA$17="",QA$14="",QA$15="",QA$16="",QA$18="",QA$19="",QA$20="",QA$21=""),"",SUM($C20:QA20))</f>
        <v/>
      </c>
      <c r="QB87" s="114" t="str">
        <f>IF(OR(QB$13="",QB$17="",QB$14="",QB$15="",QB$16="",QB$18="",QB$19="",QB$20="",QB$21=""),"",SUM($C20:QB20))</f>
        <v/>
      </c>
      <c r="QC87" s="114" t="str">
        <f>IF(OR(QC$13="",QC$17="",QC$14="",QC$15="",QC$16="",QC$18="",QC$19="",QC$20="",QC$21=""),"",SUM($C20:QC20))</f>
        <v/>
      </c>
      <c r="QD87" s="114" t="str">
        <f>IF(OR(QD$13="",QD$17="",QD$14="",QD$15="",QD$16="",QD$18="",QD$19="",QD$20="",QD$21=""),"",SUM($C20:QD20))</f>
        <v/>
      </c>
      <c r="QE87" s="114" t="str">
        <f>IF(OR(QE$13="",QE$17="",QE$14="",QE$15="",QE$16="",QE$18="",QE$19="",QE$20="",QE$21=""),"",SUM($C20:QE20))</f>
        <v/>
      </c>
      <c r="QF87" s="114" t="str">
        <f>IF(OR(QF$13="",QF$17="",QF$14="",QF$15="",QF$16="",QF$18="",QF$19="",QF$20="",QF$21=""),"",SUM($C20:QF20))</f>
        <v/>
      </c>
      <c r="QG87" s="114" t="str">
        <f>IF(OR(QG$13="",QG$17="",QG$14="",QG$15="",QG$16="",QG$18="",QG$19="",QG$20="",QG$21=""),"",SUM($C20:QG20))</f>
        <v/>
      </c>
      <c r="QH87" s="114" t="str">
        <f>IF(OR(QH$13="",QH$17="",QH$14="",QH$15="",QH$16="",QH$18="",QH$19="",QH$20="",QH$21=""),"",SUM($C20:QH20))</f>
        <v/>
      </c>
      <c r="QI87" s="114" t="str">
        <f>IF(OR(QI$13="",QI$17="",QI$14="",QI$15="",QI$16="",QI$18="",QI$19="",QI$20="",QI$21=""),"",SUM($C20:QI20))</f>
        <v/>
      </c>
      <c r="QJ87" s="114" t="str">
        <f>IF(OR(QJ$13="",QJ$17="",QJ$14="",QJ$15="",QJ$16="",QJ$18="",QJ$19="",QJ$20="",QJ$21=""),"",SUM($C20:QJ20))</f>
        <v/>
      </c>
      <c r="QK87" s="114" t="str">
        <f>IF(OR(QK$13="",QK$17="",QK$14="",QK$15="",QK$16="",QK$18="",QK$19="",QK$20="",QK$21=""),"",SUM($C20:QK20))</f>
        <v/>
      </c>
      <c r="QL87" s="114" t="str">
        <f>IF(OR(QL$13="",QL$17="",QL$14="",QL$15="",QL$16="",QL$18="",QL$19="",QL$20="",QL$21=""),"",SUM($C20:QL20))</f>
        <v/>
      </c>
      <c r="QM87" s="114" t="str">
        <f>IF(OR(QM$13="",QM$17="",QM$14="",QM$15="",QM$16="",QM$18="",QM$19="",QM$20="",QM$21=""),"",SUM($C20:QM20))</f>
        <v/>
      </c>
      <c r="QN87" s="114" t="str">
        <f>IF(OR(QN$13="",QN$17="",QN$14="",QN$15="",QN$16="",QN$18="",QN$19="",QN$20="",QN$21=""),"",SUM($C20:QN20))</f>
        <v/>
      </c>
      <c r="QO87" s="114" t="str">
        <f>IF(OR(QO$13="",QO$17="",QO$14="",QO$15="",QO$16="",QO$18="",QO$19="",QO$20="",QO$21=""),"",SUM($C20:QO20))</f>
        <v/>
      </c>
      <c r="QP87" s="114" t="str">
        <f>IF(OR(QP$13="",QP$17="",QP$14="",QP$15="",QP$16="",QP$18="",QP$19="",QP$20="",QP$21=""),"",SUM($C20:QP20))</f>
        <v/>
      </c>
      <c r="QQ87" s="114" t="str">
        <f>IF(OR(QQ$13="",QQ$17="",QQ$14="",QQ$15="",QQ$16="",QQ$18="",QQ$19="",QQ$20="",QQ$21=""),"",SUM($C20:QQ20))</f>
        <v/>
      </c>
      <c r="QR87" s="114" t="str">
        <f>IF(OR(QR$13="",QR$17="",QR$14="",QR$15="",QR$16="",QR$18="",QR$19="",QR$20="",QR$21=""),"",SUM($C20:QR20))</f>
        <v/>
      </c>
      <c r="QS87" s="114" t="str">
        <f>IF(OR(QS$13="",QS$17="",QS$14="",QS$15="",QS$16="",QS$18="",QS$19="",QS$20="",QS$21=""),"",SUM($C20:QS20))</f>
        <v/>
      </c>
      <c r="QT87" s="114" t="str">
        <f>IF(OR(QT$13="",QT$17="",QT$14="",QT$15="",QT$16="",QT$18="",QT$19="",QT$20="",QT$21=""),"",SUM($C20:QT20))</f>
        <v/>
      </c>
      <c r="QU87" s="114" t="str">
        <f>IF(OR(QU$13="",QU$17="",QU$14="",QU$15="",QU$16="",QU$18="",QU$19="",QU$20="",QU$21=""),"",SUM($C20:QU20))</f>
        <v/>
      </c>
      <c r="QV87" s="114" t="str">
        <f>IF(OR(QV$13="",QV$17="",QV$14="",QV$15="",QV$16="",QV$18="",QV$19="",QV$20="",QV$21=""),"",SUM($C20:QV20))</f>
        <v/>
      </c>
      <c r="QW87" s="114" t="str">
        <f>IF(OR(QW$13="",QW$17="",QW$14="",QW$15="",QW$16="",QW$18="",QW$19="",QW$20="",QW$21=""),"",SUM($C20:QW20))</f>
        <v/>
      </c>
      <c r="QX87" s="114" t="str">
        <f>IF(OR(QX$13="",QX$17="",QX$14="",QX$15="",QX$16="",QX$18="",QX$19="",QX$20="",QX$21=""),"",SUM($C20:QX20))</f>
        <v/>
      </c>
      <c r="QY87" s="114" t="str">
        <f>IF(OR(QY$13="",QY$17="",QY$14="",QY$15="",QY$16="",QY$18="",QY$19="",QY$20="",QY$21=""),"",SUM($C20:QY20))</f>
        <v/>
      </c>
      <c r="QZ87" s="114" t="str">
        <f>IF(OR(QZ$13="",QZ$17="",QZ$14="",QZ$15="",QZ$16="",QZ$18="",QZ$19="",QZ$20="",QZ$21=""),"",SUM($C20:QZ20))</f>
        <v/>
      </c>
      <c r="RA87" s="114" t="str">
        <f>IF(OR(RA$13="",RA$17="",RA$14="",RA$15="",RA$16="",RA$18="",RA$19="",RA$20="",RA$21=""),"",SUM($C20:RA20))</f>
        <v/>
      </c>
      <c r="RB87" s="114" t="str">
        <f>IF(OR(RB$13="",RB$17="",RB$14="",RB$15="",RB$16="",RB$18="",RB$19="",RB$20="",RB$21=""),"",SUM($C20:RB20))</f>
        <v/>
      </c>
      <c r="RC87" s="114" t="str">
        <f>IF(OR(RC$13="",RC$17="",RC$14="",RC$15="",RC$16="",RC$18="",RC$19="",RC$20="",RC$21=""),"",SUM($C20:RC20))</f>
        <v/>
      </c>
      <c r="RD87" s="114" t="str">
        <f>IF(OR(RD$13="",RD$17="",RD$14="",RD$15="",RD$16="",RD$18="",RD$19="",RD$20="",RD$21=""),"",SUM($C20:RD20))</f>
        <v/>
      </c>
      <c r="RE87" s="114" t="str">
        <f>IF(OR(RE$13="",RE$17="",RE$14="",RE$15="",RE$16="",RE$18="",RE$19="",RE$20="",RE$21=""),"",SUM($C20:RE20))</f>
        <v/>
      </c>
      <c r="RF87" s="114" t="str">
        <f>IF(OR(RF$13="",RF$17="",RF$14="",RF$15="",RF$16="",RF$18="",RF$19="",RF$20="",RF$21=""),"",SUM($C20:RF20))</f>
        <v/>
      </c>
      <c r="RG87" s="114" t="str">
        <f>IF(OR(RG$13="",RG$17="",RG$14="",RG$15="",RG$16="",RG$18="",RG$19="",RG$20="",RG$21=""),"",SUM($C20:RG20))</f>
        <v/>
      </c>
      <c r="RH87" s="114" t="str">
        <f>IF(OR(RH$13="",RH$17="",RH$14="",RH$15="",RH$16="",RH$18="",RH$19="",RH$20="",RH$21=""),"",SUM($C20:RH20))</f>
        <v/>
      </c>
      <c r="RI87" s="114" t="str">
        <f>IF(OR(RI$13="",RI$17="",RI$14="",RI$15="",RI$16="",RI$18="",RI$19="",RI$20="",RI$21=""),"",SUM($C20:RI20))</f>
        <v/>
      </c>
      <c r="RJ87" s="114" t="str">
        <f>IF(OR(RJ$13="",RJ$17="",RJ$14="",RJ$15="",RJ$16="",RJ$18="",RJ$19="",RJ$20="",RJ$21=""),"",SUM($C20:RJ20))</f>
        <v/>
      </c>
      <c r="RK87" s="114" t="str">
        <f>IF(OR(RK$13="",RK$17="",RK$14="",RK$15="",RK$16="",RK$18="",RK$19="",RK$20="",RK$21=""),"",SUM($C20:RK20))</f>
        <v/>
      </c>
      <c r="RL87" s="114" t="str">
        <f>IF(OR(RL$13="",RL$17="",RL$14="",RL$15="",RL$16="",RL$18="",RL$19="",RL$20="",RL$21=""),"",SUM($C20:RL20))</f>
        <v/>
      </c>
      <c r="RM87" s="114" t="str">
        <f>IF(OR(RM$13="",RM$17="",RM$14="",RM$15="",RM$16="",RM$18="",RM$19="",RM$20="",RM$21=""),"",SUM($C20:RM20))</f>
        <v/>
      </c>
      <c r="RN87" s="114" t="str">
        <f>IF(OR(RN$13="",RN$17="",RN$14="",RN$15="",RN$16="",RN$18="",RN$19="",RN$20="",RN$21=""),"",SUM($C20:RN20))</f>
        <v/>
      </c>
      <c r="RO87" s="114" t="str">
        <f>IF(OR(RO$13="",RO$17="",RO$14="",RO$15="",RO$16="",RO$18="",RO$19="",RO$20="",RO$21=""),"",SUM($C20:RO20))</f>
        <v/>
      </c>
      <c r="RP87" s="114" t="str">
        <f>IF(OR(RP$13="",RP$17="",RP$14="",RP$15="",RP$16="",RP$18="",RP$19="",RP$20="",RP$21=""),"",SUM($C20:RP20))</f>
        <v/>
      </c>
      <c r="RQ87" s="114" t="str">
        <f>IF(OR(RQ$13="",RQ$17="",RQ$14="",RQ$15="",RQ$16="",RQ$18="",RQ$19="",RQ$20="",RQ$21=""),"",SUM($C20:RQ20))</f>
        <v/>
      </c>
      <c r="RR87" s="114" t="str">
        <f>IF(OR(RR$13="",RR$17="",RR$14="",RR$15="",RR$16="",RR$18="",RR$19="",RR$20="",RR$21=""),"",SUM($C20:RR20))</f>
        <v/>
      </c>
      <c r="RS87" s="114" t="str">
        <f>IF(OR(RS$13="",RS$17="",RS$14="",RS$15="",RS$16="",RS$18="",RS$19="",RS$20="",RS$21=""),"",SUM($C20:RS20))</f>
        <v/>
      </c>
      <c r="RT87" s="114" t="str">
        <f>IF(OR(RT$13="",RT$17="",RT$14="",RT$15="",RT$16="",RT$18="",RT$19="",RT$20="",RT$21=""),"",SUM($C20:RT20))</f>
        <v/>
      </c>
      <c r="RU87" s="114" t="str">
        <f>IF(OR(RU$13="",RU$17="",RU$14="",RU$15="",RU$16="",RU$18="",RU$19="",RU$20="",RU$21=""),"",SUM($C20:RU20))</f>
        <v/>
      </c>
      <c r="RV87" s="114" t="str">
        <f>IF(OR(RV$13="",RV$17="",RV$14="",RV$15="",RV$16="",RV$18="",RV$19="",RV$20="",RV$21=""),"",SUM($C20:RV20))</f>
        <v/>
      </c>
      <c r="RW87" s="114" t="str">
        <f>IF(OR(RW$13="",RW$17="",RW$14="",RW$15="",RW$16="",RW$18="",RW$19="",RW$20="",RW$21=""),"",SUM($C20:RW20))</f>
        <v/>
      </c>
      <c r="RX87" s="114" t="str">
        <f>IF(OR(RX$13="",RX$17="",RX$14="",RX$15="",RX$16="",RX$18="",RX$19="",RX$20="",RX$21=""),"",SUM($C20:RX20))</f>
        <v/>
      </c>
      <c r="RY87" s="114" t="str">
        <f>IF(OR(RY$13="",RY$17="",RY$14="",RY$15="",RY$16="",RY$18="",RY$19="",RY$20="",RY$21=""),"",SUM($C20:RY20))</f>
        <v/>
      </c>
      <c r="RZ87" s="114" t="str">
        <f>IF(OR(RZ$13="",RZ$17="",RZ$14="",RZ$15="",RZ$16="",RZ$18="",RZ$19="",RZ$20="",RZ$21=""),"",SUM($C20:RZ20))</f>
        <v/>
      </c>
      <c r="SA87" s="114" t="str">
        <f>IF(OR(SA$13="",SA$17="",SA$14="",SA$15="",SA$16="",SA$18="",SA$19="",SA$20="",SA$21=""),"",SUM($C20:SA20))</f>
        <v/>
      </c>
      <c r="SB87" s="114" t="str">
        <f>IF(OR(SB$13="",SB$17="",SB$14="",SB$15="",SB$16="",SB$18="",SB$19="",SB$20="",SB$21=""),"",SUM($C20:SB20))</f>
        <v/>
      </c>
      <c r="SC87" s="114" t="str">
        <f>IF(OR(SC$13="",SC$17="",SC$14="",SC$15="",SC$16="",SC$18="",SC$19="",SC$20="",SC$21=""),"",SUM($C20:SC20))</f>
        <v/>
      </c>
      <c r="SD87" s="114" t="str">
        <f>IF(OR(SD$13="",SD$17="",SD$14="",SD$15="",SD$16="",SD$18="",SD$19="",SD$20="",SD$21=""),"",SUM($C20:SD20))</f>
        <v/>
      </c>
      <c r="SE87" s="114" t="str">
        <f>IF(OR(SE$13="",SE$17="",SE$14="",SE$15="",SE$16="",SE$18="",SE$19="",SE$20="",SE$21=""),"",SUM($C20:SE20))</f>
        <v/>
      </c>
      <c r="SF87" s="114" t="str">
        <f>IF(OR(SF$13="",SF$17="",SF$14="",SF$15="",SF$16="",SF$18="",SF$19="",SF$20="",SF$21=""),"",SUM($C20:SF20))</f>
        <v/>
      </c>
      <c r="SG87" s="114" t="str">
        <f>IF(OR(SG$13="",SG$17="",SG$14="",SG$15="",SG$16="",SG$18="",SG$19="",SG$20="",SG$21=""),"",SUM($C20:SG20))</f>
        <v/>
      </c>
      <c r="SH87" s="114" t="str">
        <f>IF(OR(SH$13="",SH$17="",SH$14="",SH$15="",SH$16="",SH$18="",SH$19="",SH$20="",SH$21=""),"",SUM($C20:SH20))</f>
        <v/>
      </c>
      <c r="SI87" s="114" t="str">
        <f>IF(OR(SI$13="",SI$17="",SI$14="",SI$15="",SI$16="",SI$18="",SI$19="",SI$20="",SI$21=""),"",SUM($C20:SI20))</f>
        <v/>
      </c>
      <c r="SJ87" s="114" t="str">
        <f>IF(OR(SJ$13="",SJ$17="",SJ$14="",SJ$15="",SJ$16="",SJ$18="",SJ$19="",SJ$20="",SJ$21=""),"",SUM($C20:SJ20))</f>
        <v/>
      </c>
      <c r="SK87" s="114" t="str">
        <f>IF(OR(SK$13="",SK$17="",SK$14="",SK$15="",SK$16="",SK$18="",SK$19="",SK$20="",SK$21=""),"",SUM($C20:SK20))</f>
        <v/>
      </c>
      <c r="SL87" s="114" t="str">
        <f>IF(OR(SL$13="",SL$17="",SL$14="",SL$15="",SL$16="",SL$18="",SL$19="",SL$20="",SL$21=""),"",SUM($C20:SL20))</f>
        <v/>
      </c>
      <c r="SM87" s="114" t="str">
        <f>IF(OR(SM$13="",SM$17="",SM$14="",SM$15="",SM$16="",SM$18="",SM$19="",SM$20="",SM$21=""),"",SUM($C20:SM20))</f>
        <v/>
      </c>
      <c r="SN87" s="114" t="str">
        <f>IF(OR(SN$13="",SN$17="",SN$14="",SN$15="",SN$16="",SN$18="",SN$19="",SN$20="",SN$21=""),"",SUM($C20:SN20))</f>
        <v/>
      </c>
      <c r="SO87" s="114" t="str">
        <f>IF(OR(SO$13="",SO$17="",SO$14="",SO$15="",SO$16="",SO$18="",SO$19="",SO$20="",SO$21=""),"",SUM($C20:SO20))</f>
        <v/>
      </c>
      <c r="SP87" s="114" t="str">
        <f>IF(OR(SP$13="",SP$17="",SP$14="",SP$15="",SP$16="",SP$18="",SP$19="",SP$20="",SP$21=""),"",SUM($C20:SP20))</f>
        <v/>
      </c>
      <c r="SQ87" s="114" t="str">
        <f>IF(OR(SQ$13="",SQ$17="",SQ$14="",SQ$15="",SQ$16="",SQ$18="",SQ$19="",SQ$20="",SQ$21=""),"",SUM($C20:SQ20))</f>
        <v/>
      </c>
      <c r="SR87" s="114" t="str">
        <f>IF(OR(SR$13="",SR$17="",SR$14="",SR$15="",SR$16="",SR$18="",SR$19="",SR$20="",SR$21=""),"",SUM($C20:SR20))</f>
        <v/>
      </c>
      <c r="SS87" s="114" t="str">
        <f>IF(OR(SS$13="",SS$17="",SS$14="",SS$15="",SS$16="",SS$18="",SS$19="",SS$20="",SS$21=""),"",SUM($C20:SS20))</f>
        <v/>
      </c>
      <c r="ST87" s="114" t="str">
        <f>IF(OR(ST$13="",ST$17="",ST$14="",ST$15="",ST$16="",ST$18="",ST$19="",ST$20="",ST$21=""),"",SUM($C20:ST20))</f>
        <v/>
      </c>
      <c r="SU87" s="114" t="str">
        <f>IF(OR(SU$13="",SU$17="",SU$14="",SU$15="",SU$16="",SU$18="",SU$19="",SU$20="",SU$21=""),"",SUM($C20:SU20))</f>
        <v/>
      </c>
      <c r="SV87" s="114" t="str">
        <f>IF(OR(SV$13="",SV$17="",SV$14="",SV$15="",SV$16="",SV$18="",SV$19="",SV$20="",SV$21=""),"",SUM($C20:SV20))</f>
        <v/>
      </c>
      <c r="SW87" s="114" t="str">
        <f>IF(OR(SW$13="",SW$17="",SW$14="",SW$15="",SW$16="",SW$18="",SW$19="",SW$20="",SW$21=""),"",SUM($C20:SW20))</f>
        <v/>
      </c>
    </row>
    <row r="88" spans="1:517" ht="24.6" customHeight="1" x14ac:dyDescent="0.2">
      <c r="A88" s="94">
        <v>777</v>
      </c>
      <c r="B88" s="119" t="s">
        <v>85</v>
      </c>
      <c r="C88" s="114">
        <f>IF(OR(C$13="",C$17="",C$14="",C$15="",C$16="",C$18="",C$19="",C$20="",C$21=""),"",SUM($C21:C21))</f>
        <v>0</v>
      </c>
      <c r="D88" s="114">
        <f>IF(OR(D$13="",D$17="",D$14="",D$15="",D$16="",D$18="",D$19="",D$20="",D$21=""),"",SUM($C21:D21))</f>
        <v>0</v>
      </c>
      <c r="E88" s="114">
        <f>IF(OR(E$13="",E$17="",E$14="",E$15="",E$16="",E$18="",E$19="",E$20="",E$21=""),"",SUM($C21:E21))</f>
        <v>0</v>
      </c>
      <c r="F88" s="114">
        <f>IF(OR(F$13="",F$17="",F$14="",F$15="",F$16="",F$18="",F$19="",F$20="",F$21=""),"",SUM($C21:F21))</f>
        <v>0</v>
      </c>
      <c r="G88" s="114">
        <f>IF(OR(G$13="",G$17="",G$14="",G$15="",G$16="",G$18="",G$19="",G$20="",G$21=""),"",SUM($C21:G21))</f>
        <v>0</v>
      </c>
      <c r="H88" s="114">
        <f>IF(OR(H$13="",H$17="",H$14="",H$15="",H$16="",H$18="",H$19="",H$20="",H$21=""),"",SUM($C21:H21))</f>
        <v>0</v>
      </c>
      <c r="I88" s="114">
        <f>IF(OR(I$13="",I$17="",I$14="",I$15="",I$16="",I$18="",I$19="",I$20="",I$21=""),"",SUM($C21:I21))</f>
        <v>0</v>
      </c>
      <c r="J88" s="114">
        <f>IF(OR(J$13="",J$17="",J$14="",J$15="",J$16="",J$18="",J$19="",J$20="",J$21=""),"",SUM($C21:J21))</f>
        <v>0</v>
      </c>
      <c r="K88" s="114">
        <f>IF(OR(K$13="",K$17="",K$14="",K$15="",K$16="",K$18="",K$19="",K$20="",K$21=""),"",SUM($C21:K21))</f>
        <v>0</v>
      </c>
      <c r="L88" s="114">
        <f>IF(OR(L$13="",L$17="",L$14="",L$15="",L$16="",L$18="",L$19="",L$20="",L$21=""),"",SUM($C21:L21))</f>
        <v>0</v>
      </c>
      <c r="M88" s="114">
        <f>IF(OR(M$13="",M$17="",M$14="",M$15="",M$16="",M$18="",M$19="",M$20="",M$21=""),"",SUM($C21:M21))</f>
        <v>0</v>
      </c>
      <c r="N88" s="114">
        <f>IF(OR(N$13="",N$17="",N$14="",N$15="",N$16="",N$18="",N$19="",N$20="",N$21=""),"",SUM($C21:N21))</f>
        <v>1</v>
      </c>
      <c r="O88" s="114">
        <f>IF(OR(O$13="",O$17="",O$14="",O$15="",O$16="",O$18="",O$19="",O$20="",O$21=""),"",SUM($C21:O21))</f>
        <v>1</v>
      </c>
      <c r="P88" s="114">
        <f>IF(OR(P$13="",P$17="",P$14="",P$15="",P$16="",P$18="",P$19="",P$20="",P$21=""),"",SUM($C21:P21))</f>
        <v>11.68</v>
      </c>
      <c r="Q88" s="114">
        <f>IF(OR(Q$13="",Q$17="",Q$14="",Q$15="",Q$16="",Q$18="",Q$19="",Q$20="",Q$21=""),"",SUM($C21:Q21))</f>
        <v>11.68</v>
      </c>
      <c r="R88" s="114">
        <f>IF(OR(R$13="",R$17="",R$14="",R$15="",R$16="",R$18="",R$19="",R$20="",R$21=""),"",SUM($C21:R21))</f>
        <v>11.68</v>
      </c>
      <c r="S88" s="114">
        <f>IF(OR(S$13="",S$17="",S$14="",S$15="",S$16="",S$18="",S$19="",S$20="",S$21=""),"",SUM($C21:S21))</f>
        <v>11.68</v>
      </c>
      <c r="T88" s="114">
        <f>IF(OR(T$13="",T$17="",T$14="",T$15="",T$16="",T$18="",T$19="",T$20="",T$21=""),"",SUM($C21:T21))</f>
        <v>11.68</v>
      </c>
      <c r="U88" s="114">
        <f>IF(OR(U$13="",U$17="",U$14="",U$15="",U$16="",U$18="",U$19="",U$20="",U$21=""),"",SUM($C21:U21))</f>
        <v>11.68</v>
      </c>
      <c r="V88" s="114">
        <f>IF(OR(V$13="",V$17="",V$14="",V$15="",V$16="",V$18="",V$19="",V$20="",V$21=""),"",SUM($C21:V21))</f>
        <v>11.68</v>
      </c>
      <c r="W88" s="114">
        <f>IF(OR(W$13="",W$17="",W$14="",W$15="",W$16="",W$18="",W$19="",W$20="",W$21=""),"",SUM($C21:W21))</f>
        <v>11.68</v>
      </c>
      <c r="X88" s="114">
        <f>IF(OR(X$13="",X$17="",X$14="",X$15="",X$16="",X$18="",X$19="",X$20="",X$21=""),"",SUM($C21:X21))</f>
        <v>11.68</v>
      </c>
      <c r="Y88" s="114">
        <f>IF(OR(Y$13="",Y$17="",Y$14="",Y$15="",Y$16="",Y$18="",Y$19="",Y$20="",Y$21=""),"",SUM($C21:Y21))</f>
        <v>11.68</v>
      </c>
      <c r="Z88" s="114">
        <f>IF(OR(Z$13="",Z$17="",Z$14="",Z$15="",Z$16="",Z$18="",Z$19="",Z$20="",Z$21=""),"",SUM($C21:Z21))</f>
        <v>11.68</v>
      </c>
      <c r="AA88" s="114">
        <f>IF(OR(AA$13="",AA$17="",AA$14="",AA$15="",AA$16="",AA$18="",AA$19="",AA$20="",AA$21=""),"",SUM($C21:AA21))</f>
        <v>34.33</v>
      </c>
      <c r="AB88" s="114">
        <f>IF(OR(AB$13="",AB$17="",AB$14="",AB$15="",AB$16="",AB$18="",AB$19="",AB$20="",AB$21=""),"",SUM($C21:AB21))</f>
        <v>34.33</v>
      </c>
      <c r="AC88" s="114">
        <f>IF(OR(AC$13="",AC$17="",AC$14="",AC$15="",AC$16="",AC$18="",AC$19="",AC$20="",AC$21=""),"",SUM($C21:AC21))</f>
        <v>34.33</v>
      </c>
      <c r="AD88" s="114">
        <f>IF(OR(AD$13="",AD$17="",AD$14="",AD$15="",AD$16="",AD$18="",AD$19="",AD$20="",AD$21=""),"",SUM($C21:AD21))</f>
        <v>34.33</v>
      </c>
      <c r="AE88" s="114">
        <f>IF(OR(AE$13="",AE$17="",AE$14="",AE$15="",AE$16="",AE$18="",AE$19="",AE$20="",AE$21=""),"",SUM($C21:AE21))</f>
        <v>36.83</v>
      </c>
      <c r="AF88" s="114">
        <f>IF(OR(AF$13="",AF$17="",AF$14="",AF$15="",AF$16="",AF$18="",AF$19="",AF$20="",AF$21=""),"",SUM($C21:AF21))</f>
        <v>36.83</v>
      </c>
      <c r="AG88" s="114">
        <f>IF(OR(AG$13="",AG$17="",AG$14="",AG$15="",AG$16="",AG$18="",AG$19="",AG$20="",AG$21=""),"",SUM($C21:AG21))</f>
        <v>36.83</v>
      </c>
      <c r="AH88" s="114">
        <f>IF(OR(AH$13="",AH$17="",AH$14="",AH$15="",AH$16="",AH$18="",AH$19="",AH$20="",AH$21=""),"",SUM($C21:AH21))</f>
        <v>36.83</v>
      </c>
      <c r="AI88" s="114">
        <f>IF(OR(AI$13="",AI$17="",AI$14="",AI$15="",AI$16="",AI$18="",AI$19="",AI$20="",AI$21=""),"",SUM($C21:AI21))</f>
        <v>38.44</v>
      </c>
      <c r="AJ88" s="114">
        <f>IF(OR(AJ$13="",AJ$17="",AJ$14="",AJ$15="",AJ$16="",AJ$18="",AJ$19="",AJ$20="",AJ$21=""),"",SUM($C21:AJ21))</f>
        <v>38.44</v>
      </c>
      <c r="AK88" s="114">
        <f>IF(OR(AK$13="",AK$17="",AK$14="",AK$15="",AK$16="",AK$18="",AK$19="",AK$20="",AK$21=""),"",SUM($C21:AK21))</f>
        <v>38.44</v>
      </c>
      <c r="AL88" s="114">
        <f>IF(OR(AL$13="",AL$17="",AL$14="",AL$15="",AL$16="",AL$18="",AL$19="",AL$20="",AL$21=""),"",SUM($C21:AL21))</f>
        <v>38.44</v>
      </c>
      <c r="AM88" s="114">
        <f>IF(OR(AM$13="",AM$17="",AM$14="",AM$15="",AM$16="",AM$18="",AM$19="",AM$20="",AM$21=""),"",SUM($C21:AM21))</f>
        <v>39.44</v>
      </c>
      <c r="AN88" s="114">
        <f>IF(OR(AN$13="",AN$17="",AN$14="",AN$15="",AN$16="",AN$18="",AN$19="",AN$20="",AN$21=""),"",SUM($C21:AN21))</f>
        <v>39.44</v>
      </c>
      <c r="AO88" s="114">
        <f>IF(OR(AO$13="",AO$17="",AO$14="",AO$15="",AO$16="",AO$18="",AO$19="",AO$20="",AO$21=""),"",SUM($C21:AO21))</f>
        <v>39.44</v>
      </c>
      <c r="AP88" s="114">
        <f>IF(OR(AP$13="",AP$17="",AP$14="",AP$15="",AP$16="",AP$18="",AP$19="",AP$20="",AP$21=""),"",SUM($C21:AP21))</f>
        <v>39.44</v>
      </c>
      <c r="AQ88" s="114">
        <f>IF(OR(AQ$13="",AQ$17="",AQ$14="",AQ$15="",AQ$16="",AQ$18="",AQ$19="",AQ$20="",AQ$21=""),"",SUM($C21:AQ21))</f>
        <v>41.87</v>
      </c>
      <c r="AR88" s="114">
        <f>IF(OR(AR$13="",AR$17="",AR$14="",AR$15="",AR$16="",AR$18="",AR$19="",AR$20="",AR$21=""),"",SUM($C21:AR21))</f>
        <v>41.87</v>
      </c>
      <c r="AS88" s="114">
        <f>IF(OR(AS$13="",AS$17="",AS$14="",AS$15="",AS$16="",AS$18="",AS$19="",AS$20="",AS$21=""),"",SUM($C21:AS21))</f>
        <v>41.87</v>
      </c>
      <c r="AT88" s="114">
        <f>IF(OR(AT$13="",AT$17="",AT$14="",AT$15="",AT$16="",AT$18="",AT$19="",AT$20="",AT$21=""),"",SUM($C21:AT21))</f>
        <v>51.39</v>
      </c>
      <c r="AU88" s="114">
        <f>IF(OR(AU$13="",AU$17="",AU$14="",AU$15="",AU$16="",AU$18="",AU$19="",AU$20="",AU$21=""),"",SUM($C21:AU21))</f>
        <v>51.39</v>
      </c>
      <c r="AV88" s="114">
        <f>IF(OR(AV$13="",AV$17="",AV$14="",AV$15="",AV$16="",AV$18="",AV$19="",AV$20="",AV$21=""),"",SUM($C21:AV21))</f>
        <v>51.39</v>
      </c>
      <c r="AW88" s="114">
        <f>IF(OR(AW$13="",AW$17="",AW$14="",AW$15="",AW$16="",AW$18="",AW$19="",AW$20="",AW$21=""),"",SUM($C21:AW21))</f>
        <v>51.39</v>
      </c>
      <c r="AX88" s="114">
        <f>IF(OR(AX$13="",AX$17="",AX$14="",AX$15="",AX$16="",AX$18="",AX$19="",AX$20="",AX$21=""),"",SUM($C21:AX21))</f>
        <v>51.39</v>
      </c>
      <c r="AY88" s="114">
        <f>IF(OR(AY$13="",AY$17="",AY$14="",AY$15="",AY$16="",AY$18="",AY$19="",AY$20="",AY$21=""),"",SUM($C21:AY21))</f>
        <v>51.39</v>
      </c>
      <c r="AZ88" s="114">
        <f>IF(OR(AZ$13="",AZ$17="",AZ$14="",AZ$15="",AZ$16="",AZ$18="",AZ$19="",AZ$20="",AZ$21=""),"",SUM($C21:AZ21))</f>
        <v>52.59</v>
      </c>
      <c r="BA88" s="114">
        <f>IF(OR(BA$13="",BA$17="",BA$14="",BA$15="",BA$16="",BA$18="",BA$19="",BA$20="",BA$21=""),"",SUM($C21:BA21))</f>
        <v>52.59</v>
      </c>
      <c r="BB88" s="114">
        <f>IF(OR(BB$13="",BB$17="",BB$14="",BB$15="",BB$16="",BB$18="",BB$19="",BB$20="",BB$21=""),"",SUM($C21:BB21))</f>
        <v>52.59</v>
      </c>
      <c r="BC88" s="114">
        <f>IF(OR(BC$13="",BC$17="",BC$14="",BC$15="",BC$16="",BC$18="",BC$19="",BC$20="",BC$21=""),"",SUM($C21:BC21))</f>
        <v>52.59</v>
      </c>
      <c r="BD88" s="114">
        <f>IF(OR(BD$13="",BD$17="",BD$14="",BD$15="",BD$16="",BD$18="",BD$19="",BD$20="",BD$21=""),"",SUM($C21:BD21))</f>
        <v>52.59</v>
      </c>
      <c r="BE88" s="114">
        <f>IF(OR(BE$13="",BE$17="",BE$14="",BE$15="",BE$16="",BE$18="",BE$19="",BE$20="",BE$21=""),"",SUM($C21:BE21))</f>
        <v>52.59</v>
      </c>
      <c r="BF88" s="114">
        <f>IF(OR(BF$13="",BF$17="",BF$14="",BF$15="",BF$16="",BF$18="",BF$19="",BF$20="",BF$21=""),"",SUM($C21:BF21))</f>
        <v>69.52000000000001</v>
      </c>
      <c r="BG88" s="114">
        <f>IF(OR(BG$13="",BG$17="",BG$14="",BG$15="",BG$16="",BG$18="",BG$19="",BG$20="",BG$21=""),"",SUM($C21:BG21))</f>
        <v>69.52000000000001</v>
      </c>
      <c r="BH88" s="114">
        <f>IF(OR(BH$13="",BH$17="",BH$14="",BH$15="",BH$16="",BH$18="",BH$19="",BH$20="",BH$21=""),"",SUM($C21:BH21))</f>
        <v>69.52000000000001</v>
      </c>
      <c r="BI88" s="114">
        <f>IF(OR(BI$13="",BI$17="",BI$14="",BI$15="",BI$16="",BI$18="",BI$19="",BI$20="",BI$21=""),"",SUM($C21:BI21))</f>
        <v>69.52000000000001</v>
      </c>
      <c r="BJ88" s="114">
        <f>IF(OR(BJ$13="",BJ$17="",BJ$14="",BJ$15="",BJ$16="",BJ$18="",BJ$19="",BJ$20="",BJ$21=""),"",SUM($C21:BJ21))</f>
        <v>69.52000000000001</v>
      </c>
      <c r="BK88" s="114">
        <f>IF(OR(BK$13="",BK$17="",BK$14="",BK$15="",BK$16="",BK$18="",BK$19="",BK$20="",BK$21=""),"",SUM($C21:BK21))</f>
        <v>69.52000000000001</v>
      </c>
      <c r="BL88" s="114">
        <f>IF(OR(BL$13="",BL$17="",BL$14="",BL$15="",BL$16="",BL$18="",BL$19="",BL$20="",BL$21=""),"",SUM($C21:BL21))</f>
        <v>69.52000000000001</v>
      </c>
      <c r="BM88" s="114">
        <f>IF(OR(BM$13="",BM$17="",BM$14="",BM$15="",BM$16="",BM$18="",BM$19="",BM$20="",BM$21=""),"",SUM($C21:BM21))</f>
        <v>69.52000000000001</v>
      </c>
      <c r="BN88" s="114">
        <f>IF(OR(BN$13="",BN$17="",BN$14="",BN$15="",BN$16="",BN$18="",BN$19="",BN$20="",BN$21=""),"",SUM($C21:BN21))</f>
        <v>69.700000000000017</v>
      </c>
      <c r="BO88" s="114">
        <f>IF(OR(BO$13="",BO$17="",BO$14="",BO$15="",BO$16="",BO$18="",BO$19="",BO$20="",BO$21=""),"",SUM($C21:BO21))</f>
        <v>69.700000000000017</v>
      </c>
      <c r="BP88" s="114">
        <f>IF(OR(BP$13="",BP$17="",BP$14="",BP$15="",BP$16="",BP$18="",BP$19="",BP$20="",BP$21=""),"",SUM($C21:BP21))</f>
        <v>83.170000000000016</v>
      </c>
      <c r="BQ88" s="114">
        <f>IF(OR(BQ$13="",BQ$17="",BQ$14="",BQ$15="",BQ$16="",BQ$18="",BQ$19="",BQ$20="",BQ$21=""),"",SUM($C21:BQ21))</f>
        <v>83.170000000000016</v>
      </c>
      <c r="BR88" s="114">
        <f>IF(OR(BR$13="",BR$17="",BR$14="",BR$15="",BR$16="",BR$18="",BR$19="",BR$20="",BR$21=""),"",SUM($C21:BR21))</f>
        <v>92.970000000000013</v>
      </c>
      <c r="BS88" s="114">
        <f>IF(OR(BS$13="",BS$17="",BS$14="",BS$15="",BS$16="",BS$18="",BS$19="",BS$20="",BS$21=""),"",SUM($C21:BS21))</f>
        <v>94.030000000000015</v>
      </c>
      <c r="BT88" s="114">
        <f>IF(OR(BT$13="",BT$17="",BT$14="",BT$15="",BT$16="",BT$18="",BT$19="",BT$20="",BT$21=""),"",SUM($C21:BT21))</f>
        <v>94.030000000000015</v>
      </c>
      <c r="BU88" s="114">
        <f>IF(OR(BU$13="",BU$17="",BU$14="",BU$15="",BU$16="",BU$18="",BU$19="",BU$20="",BU$21=""),"",SUM($C21:BU21))</f>
        <v>94.030000000000015</v>
      </c>
      <c r="BV88" s="114">
        <f>IF(OR(BV$13="",BV$17="",BV$14="",BV$15="",BV$16="",BV$18="",BV$19="",BV$20="",BV$21=""),"",SUM($C21:BV21))</f>
        <v>94.030000000000015</v>
      </c>
      <c r="BW88" s="114">
        <f>IF(OR(BW$13="",BW$17="",BW$14="",BW$15="",BW$16="",BW$18="",BW$19="",BW$20="",BW$21=""),"",SUM($C21:BW21))</f>
        <v>94.030000000000015</v>
      </c>
      <c r="BX88" s="114">
        <f>IF(OR(BX$13="",BX$17="",BX$14="",BX$15="",BX$16="",BX$18="",BX$19="",BX$20="",BX$21=""),"",SUM($C21:BX21))</f>
        <v>94.030000000000015</v>
      </c>
      <c r="BY88" s="114">
        <f>IF(OR(BY$13="",BY$17="",BY$14="",BY$15="",BY$16="",BY$18="",BY$19="",BY$20="",BY$21=""),"",SUM($C21:BY21))</f>
        <v>94.030000000000015</v>
      </c>
      <c r="BZ88" s="114">
        <f>IF(OR(BZ$13="",BZ$17="",BZ$14="",BZ$15="",BZ$16="",BZ$18="",BZ$19="",BZ$20="",BZ$21=""),"",SUM($C21:BZ21))</f>
        <v>94.030000000000015</v>
      </c>
      <c r="CA88" s="114">
        <f>IF(OR(CA$13="",CA$17="",CA$14="",CA$15="",CA$16="",CA$18="",CA$19="",CA$20="",CA$21=""),"",SUM($C21:CA21))</f>
        <v>94.300000000000011</v>
      </c>
      <c r="CB88" s="114">
        <f>IF(OR(CB$13="",CB$17="",CB$14="",CB$15="",CB$16="",CB$18="",CB$19="",CB$20="",CB$21=""),"",SUM($C21:CB21))</f>
        <v>94.300000000000011</v>
      </c>
      <c r="CC88" s="114">
        <f>IF(OR(CC$13="",CC$17="",CC$14="",CC$15="",CC$16="",CC$18="",CC$19="",CC$20="",CC$21=""),"",SUM($C21:CC21))</f>
        <v>105.92000000000002</v>
      </c>
      <c r="CD88" s="114">
        <f>IF(OR(CD$13="",CD$17="",CD$14="",CD$15="",CD$16="",CD$18="",CD$19="",CD$20="",CD$21=""),"",SUM($C21:CD21))</f>
        <v>105.92000000000002</v>
      </c>
      <c r="CE88" s="114">
        <f>IF(OR(CE$13="",CE$17="",CE$14="",CE$15="",CE$16="",CE$18="",CE$19="",CE$20="",CE$21=""),"",SUM($C21:CE21))</f>
        <v>105.92000000000002</v>
      </c>
      <c r="CF88" s="114">
        <f>IF(OR(CF$13="",CF$17="",CF$14="",CF$15="",CF$16="",CF$18="",CF$19="",CF$20="",CF$21=""),"",SUM($C21:CF21))</f>
        <v>105.92000000000002</v>
      </c>
      <c r="CG88" s="114">
        <f>IF(OR(CG$13="",CG$17="",CG$14="",CG$15="",CG$16="",CG$18="",CG$19="",CG$20="",CG$21=""),"",SUM($C21:CG21))</f>
        <v>105.92000000000002</v>
      </c>
      <c r="CH88" s="114">
        <f>IF(OR(CH$13="",CH$17="",CH$14="",CH$15="",CH$16="",CH$18="",CH$19="",CH$20="",CH$21=""),"",SUM($C21:CH21))</f>
        <v>105.92000000000002</v>
      </c>
      <c r="CI88" s="114">
        <f>IF(OR(CI$13="",CI$17="",CI$14="",CI$15="",CI$16="",CI$18="",CI$19="",CI$20="",CI$21=""),"",SUM($C21:CI21))</f>
        <v>105.92000000000002</v>
      </c>
      <c r="CJ88" s="114">
        <f>IF(OR(CJ$13="",CJ$17="",CJ$14="",CJ$15="",CJ$16="",CJ$18="",CJ$19="",CJ$20="",CJ$21=""),"",SUM($C21:CJ21))</f>
        <v>121.27000000000001</v>
      </c>
      <c r="CK88" s="114">
        <f>IF(OR(CK$13="",CK$17="",CK$14="",CK$15="",CK$16="",CK$18="",CK$19="",CK$20="",CK$21=""),"",SUM($C21:CK21))</f>
        <v>121.27000000000001</v>
      </c>
      <c r="CL88" s="114">
        <f>IF(OR(CL$13="",CL$17="",CL$14="",CL$15="",CL$16="",CL$18="",CL$19="",CL$20="",CL$21=""),"",SUM($C21:CL21))</f>
        <v>121.27000000000001</v>
      </c>
      <c r="CM88" s="114">
        <f>IF(OR(CM$13="",CM$17="",CM$14="",CM$15="",CM$16="",CM$18="",CM$19="",CM$20="",CM$21=""),"",SUM($C21:CM21))</f>
        <v>121.27000000000001</v>
      </c>
      <c r="CN88" s="114">
        <f>IF(OR(CN$13="",CN$17="",CN$14="",CN$15="",CN$16="",CN$18="",CN$19="",CN$20="",CN$21=""),"",SUM($C21:CN21))</f>
        <v>121.27000000000001</v>
      </c>
      <c r="CO88" s="114">
        <f>IF(OR(CO$13="",CO$17="",CO$14="",CO$15="",CO$16="",CO$18="",CO$19="",CO$20="",CO$21=""),"",SUM($C21:CO21))</f>
        <v>121.27000000000001</v>
      </c>
      <c r="CP88" s="114">
        <f>IF(OR(CP$13="",CP$17="",CP$14="",CP$15="",CP$16="",CP$18="",CP$19="",CP$20="",CP$21=""),"",SUM($C21:CP21))</f>
        <v>121.27000000000001</v>
      </c>
      <c r="CQ88" s="114">
        <f>IF(OR(CQ$13="",CQ$17="",CQ$14="",CQ$15="",CQ$16="",CQ$18="",CQ$19="",CQ$20="",CQ$21=""),"",SUM($C21:CQ21))</f>
        <v>121.27000000000001</v>
      </c>
      <c r="CR88" s="114">
        <f>IF(OR(CR$13="",CR$17="",CR$14="",CR$15="",CR$16="",CR$18="",CR$19="",CR$20="",CR$21=""),"",SUM($C21:CR21))</f>
        <v>121.27000000000001</v>
      </c>
      <c r="CS88" s="114">
        <f>IF(OR(CS$13="",CS$17="",CS$14="",CS$15="",CS$16="",CS$18="",CS$19="",CS$20="",CS$21=""),"",SUM($C21:CS21))</f>
        <v>121.27000000000001</v>
      </c>
      <c r="CT88" s="114">
        <f>IF(OR(CT$13="",CT$17="",CT$14="",CT$15="",CT$16="",CT$18="",CT$19="",CT$20="",CT$21=""),"",SUM($C21:CT21))</f>
        <v>121.27000000000001</v>
      </c>
      <c r="CU88" s="114">
        <f>IF(OR(CU$13="",CU$17="",CU$14="",CU$15="",CU$16="",CU$18="",CU$19="",CU$20="",CU$21=""),"",SUM($C21:CU21))</f>
        <v>121.27000000000001</v>
      </c>
      <c r="CV88" s="114">
        <f>IF(OR(CV$13="",CV$17="",CV$14="",CV$15="",CV$16="",CV$18="",CV$19="",CV$20="",CV$21=""),"",SUM($C21:CV21))</f>
        <v>121.27000000000001</v>
      </c>
      <c r="CW88" s="114">
        <f>IF(OR(CW$13="",CW$17="",CW$14="",CW$15="",CW$16="",CW$18="",CW$19="",CW$20="",CW$21=""),"",SUM($C21:CW21))</f>
        <v>121.27000000000001</v>
      </c>
      <c r="CX88" s="114">
        <f>IF(OR(CX$13="",CX$17="",CX$14="",CX$15="",CX$16="",CX$18="",CX$19="",CX$20="",CX$21=""),"",SUM($C21:CX21))</f>
        <v>121.27000000000001</v>
      </c>
      <c r="CY88" s="114">
        <f>IF(OR(CY$13="",CY$17="",CY$14="",CY$15="",CY$16="",CY$18="",CY$19="",CY$20="",CY$21=""),"",SUM($C21:CY21))</f>
        <v>121.27000000000001</v>
      </c>
      <c r="CZ88" s="114">
        <f>IF(OR(CZ$13="",CZ$17="",CZ$14="",CZ$15="",CZ$16="",CZ$18="",CZ$19="",CZ$20="",CZ$21=""),"",SUM($C21:CZ21))</f>
        <v>121.27000000000001</v>
      </c>
      <c r="DA88" s="114">
        <f>IF(OR(DA$13="",DA$17="",DA$14="",DA$15="",DA$16="",DA$18="",DA$19="",DA$20="",DA$21=""),"",SUM($C21:DA21))</f>
        <v>121.80000000000001</v>
      </c>
      <c r="DB88" s="114">
        <f>IF(OR(DB$13="",DB$17="",DB$14="",DB$15="",DB$16="",DB$18="",DB$19="",DB$20="",DB$21=""),"",SUM($C21:DB21))</f>
        <v>121.80000000000001</v>
      </c>
      <c r="DC88" s="114">
        <f>IF(OR(DC$13="",DC$17="",DC$14="",DC$15="",DC$16="",DC$18="",DC$19="",DC$20="",DC$21=""),"",SUM($C21:DC21))</f>
        <v>130.72</v>
      </c>
      <c r="DD88" s="114">
        <f>IF(OR(DD$13="",DD$17="",DD$14="",DD$15="",DD$16="",DD$18="",DD$19="",DD$20="",DD$21=""),"",SUM($C21:DD21))</f>
        <v>130.72</v>
      </c>
      <c r="DE88" s="114">
        <f>IF(OR(DE$13="",DE$17="",DE$14="",DE$15="",DE$16="",DE$18="",DE$19="",DE$20="",DE$21=""),"",SUM($C21:DE21))</f>
        <v>130.72</v>
      </c>
      <c r="DF88" s="114">
        <f>IF(OR(DF$13="",DF$17="",DF$14="",DF$15="",DF$16="",DF$18="",DF$19="",DF$20="",DF$21=""),"",SUM($C21:DF21))</f>
        <v>130.72</v>
      </c>
      <c r="DG88" s="114">
        <f>IF(OR(DG$13="",DG$17="",DG$14="",DG$15="",DG$16="",DG$18="",DG$19="",DG$20="",DG$21=""),"",SUM($C21:DG21))</f>
        <v>130.72</v>
      </c>
      <c r="DH88" s="114">
        <f>IF(OR(DH$13="",DH$17="",DH$14="",DH$15="",DH$16="",DH$18="",DH$19="",DH$20="",DH$21=""),"",SUM($C21:DH21))</f>
        <v>130.72</v>
      </c>
      <c r="DI88" s="114">
        <f>IF(OR(DI$13="",DI$17="",DI$14="",DI$15="",DI$16="",DI$18="",DI$19="",DI$20="",DI$21=""),"",SUM($C21:DI21))</f>
        <v>130.72</v>
      </c>
      <c r="DJ88" s="114">
        <f>IF(OR(DJ$13="",DJ$17="",DJ$14="",DJ$15="",DJ$16="",DJ$18="",DJ$19="",DJ$20="",DJ$21=""),"",SUM($C21:DJ21))</f>
        <v>130.72</v>
      </c>
      <c r="DK88" s="114">
        <f>IF(OR(DK$13="",DK$17="",DK$14="",DK$15="",DK$16="",DK$18="",DK$19="",DK$20="",DK$21=""),"",SUM($C21:DK21))</f>
        <v>130.72</v>
      </c>
      <c r="DL88" s="114">
        <f>IF(OR(DL$13="",DL$17="",DL$14="",DL$15="",DL$16="",DL$18="",DL$19="",DL$20="",DL$21=""),"",SUM($C21:DL21))</f>
        <v>132.07</v>
      </c>
      <c r="DM88" s="114">
        <f>IF(OR(DM$13="",DM$17="",DM$14="",DM$15="",DM$16="",DM$18="",DM$19="",DM$20="",DM$21=""),"",SUM($C21:DM21))</f>
        <v>140.1</v>
      </c>
      <c r="DN88" s="114">
        <f>IF(OR(DN$13="",DN$17="",DN$14="",DN$15="",DN$16="",DN$18="",DN$19="",DN$20="",DN$21=""),"",SUM($C21:DN21))</f>
        <v>140.1</v>
      </c>
      <c r="DO88" s="114">
        <f>IF(OR(DO$13="",DO$17="",DO$14="",DO$15="",DO$16="",DO$18="",DO$19="",DO$20="",DO$21=""),"",SUM($C21:DO21))</f>
        <v>140.1</v>
      </c>
      <c r="DP88" s="114">
        <f>IF(OR(DP$13="",DP$17="",DP$14="",DP$15="",DP$16="",DP$18="",DP$19="",DP$20="",DP$21=""),"",SUM($C21:DP21))</f>
        <v>140.1</v>
      </c>
      <c r="DQ88" s="114">
        <f>IF(OR(DQ$13="",DQ$17="",DQ$14="",DQ$15="",DQ$16="",DQ$18="",DQ$19="",DQ$20="",DQ$21=""),"",SUM($C21:DQ21))</f>
        <v>140.1</v>
      </c>
      <c r="DR88" s="114">
        <f>IF(OR(DR$13="",DR$17="",DR$14="",DR$15="",DR$16="",DR$18="",DR$19="",DR$20="",DR$21=""),"",SUM($C21:DR21))</f>
        <v>140.1</v>
      </c>
      <c r="DS88" s="114">
        <f>IF(OR(DS$13="",DS$17="",DS$14="",DS$15="",DS$16="",DS$18="",DS$19="",DS$20="",DS$21=""),"",SUM($C21:DS21))</f>
        <v>140.1</v>
      </c>
      <c r="DT88" s="114">
        <f>IF(OR(DT$13="",DT$17="",DT$14="",DT$15="",DT$16="",DT$18="",DT$19="",DT$20="",DT$21=""),"",SUM($C21:DT21))</f>
        <v>140.1</v>
      </c>
      <c r="DU88" s="114">
        <f>IF(OR(DU$13="",DU$17="",DU$14="",DU$15="",DU$16="",DU$18="",DU$19="",DU$20="",DU$21=""),"",SUM($C21:DU21))</f>
        <v>140.1</v>
      </c>
      <c r="DV88" s="114">
        <f>IF(OR(DV$13="",DV$17="",DV$14="",DV$15="",DV$16="",DV$18="",DV$19="",DV$20="",DV$21=""),"",SUM($C21:DV21))</f>
        <v>147.04999999999998</v>
      </c>
      <c r="DW88" s="114">
        <f>IF(OR(DW$13="",DW$17="",DW$14="",DW$15="",DW$16="",DW$18="",DW$19="",DW$20="",DW$21=""),"",SUM($C21:DW21))</f>
        <v>148.66</v>
      </c>
      <c r="DX88" s="114">
        <f>IF(OR(DX$13="",DX$17="",DX$14="",DX$15="",DX$16="",DX$18="",DX$19="",DX$20="",DX$21=""),"",SUM($C21:DX21))</f>
        <v>148.66</v>
      </c>
      <c r="DY88" s="114">
        <f>IF(OR(DY$13="",DY$17="",DY$14="",DY$15="",DY$16="",DY$18="",DY$19="",DY$20="",DY$21=""),"",SUM($C21:DY21))</f>
        <v>148.66</v>
      </c>
      <c r="DZ88" s="114">
        <f>IF(OR(DZ$13="",DZ$17="",DZ$14="",DZ$15="",DZ$16="",DZ$18="",DZ$19="",DZ$20="",DZ$21=""),"",SUM($C21:DZ21))</f>
        <v>159.30000000000001</v>
      </c>
      <c r="EA88" s="114">
        <f>IF(OR(EA$13="",EA$17="",EA$14="",EA$15="",EA$16="",EA$18="",EA$19="",EA$20="",EA$21=""),"",SUM($C21:EA21))</f>
        <v>163.18</v>
      </c>
      <c r="EB88" s="114">
        <f>IF(OR(EB$13="",EB$17="",EB$14="",EB$15="",EB$16="",EB$18="",EB$19="",EB$20="",EB$21=""),"",SUM($C21:EB21))</f>
        <v>163.18</v>
      </c>
      <c r="EC88" s="114">
        <f>IF(OR(EC$13="",EC$17="",EC$14="",EC$15="",EC$16="",EC$18="",EC$19="",EC$20="",EC$21=""),"",SUM($C21:EC21))</f>
        <v>175.38</v>
      </c>
      <c r="ED88" s="114">
        <f>IF(OR(ED$13="",ED$17="",ED$14="",ED$15="",ED$16="",ED$18="",ED$19="",ED$20="",ED$21=""),"",SUM($C21:ED21))</f>
        <v>175.38</v>
      </c>
      <c r="EE88" s="114">
        <f>IF(OR(EE$13="",EE$17="",EE$14="",EE$15="",EE$16="",EE$18="",EE$19="",EE$20="",EE$21=""),"",SUM($C21:EE21))</f>
        <v>175.38</v>
      </c>
      <c r="EF88" s="114">
        <f>IF(OR(EF$13="",EF$17="",EF$14="",EF$15="",EF$16="",EF$18="",EF$19="",EF$20="",EF$21=""),"",SUM($C21:EF21))</f>
        <v>175.38</v>
      </c>
      <c r="EG88" s="114">
        <f>IF(OR(EG$13="",EG$17="",EG$14="",EG$15="",EG$16="",EG$18="",EG$19="",EG$20="",EG$21=""),"",SUM($C21:EG21))</f>
        <v>175.38</v>
      </c>
      <c r="EH88" s="114">
        <f>IF(OR(EH$13="",EH$17="",EH$14="",EH$15="",EH$16="",EH$18="",EH$19="",EH$20="",EH$21=""),"",SUM($C21:EH21))</f>
        <v>175.38</v>
      </c>
      <c r="EI88" s="114">
        <f>IF(OR(EI$13="",EI$17="",EI$14="",EI$15="",EI$16="",EI$18="",EI$19="",EI$20="",EI$21=""),"",SUM($C21:EI21))</f>
        <v>175.38</v>
      </c>
      <c r="EJ88" s="114">
        <f>IF(OR(EJ$13="",EJ$17="",EJ$14="",EJ$15="",EJ$16="",EJ$18="",EJ$19="",EJ$20="",EJ$21=""),"",SUM($C21:EJ21))</f>
        <v>175.38</v>
      </c>
      <c r="EK88" s="114">
        <f>IF(OR(EK$13="",EK$17="",EK$14="",EK$15="",EK$16="",EK$18="",EK$19="",EK$20="",EK$21=""),"",SUM($C21:EK21))</f>
        <v>175.38</v>
      </c>
      <c r="EL88" s="114">
        <f>IF(OR(EL$13="",EL$17="",EL$14="",EL$15="",EL$16="",EL$18="",EL$19="",EL$20="",EL$21=""),"",SUM($C21:EL21))</f>
        <v>175.38</v>
      </c>
      <c r="EM88" s="114">
        <f>IF(OR(EM$13="",EM$17="",EM$14="",EM$15="",EM$16="",EM$18="",EM$19="",EM$20="",EM$21=""),"",SUM($C21:EM21))</f>
        <v>175.38</v>
      </c>
      <c r="EN88" s="114">
        <f>IF(OR(EN$13="",EN$17="",EN$14="",EN$15="",EN$16="",EN$18="",EN$19="",EN$20="",EN$21=""),"",SUM($C21:EN21))</f>
        <v>183.88</v>
      </c>
      <c r="EO88" s="114">
        <f>IF(OR(EO$13="",EO$17="",EO$14="",EO$15="",EO$16="",EO$18="",EO$19="",EO$20="",EO$21=""),"",SUM($C21:EO21))</f>
        <v>185.48</v>
      </c>
      <c r="EP88" s="114">
        <f>IF(OR(EP$13="",EP$17="",EP$14="",EP$15="",EP$16="",EP$18="",EP$19="",EP$20="",EP$21=""),"",SUM($C21:EP21))</f>
        <v>185.48</v>
      </c>
      <c r="EQ88" s="114">
        <f>IF(OR(EQ$13="",EQ$17="",EQ$14="",EQ$15="",EQ$16="",EQ$18="",EQ$19="",EQ$20="",EQ$21=""),"",SUM($C21:EQ21))</f>
        <v>190.54999999999998</v>
      </c>
      <c r="ER88" s="114">
        <f>IF(OR(ER$13="",ER$17="",ER$14="",ER$15="",ER$16="",ER$18="",ER$19="",ER$20="",ER$21=""),"",SUM($C21:ER21))</f>
        <v>190.54999999999998</v>
      </c>
      <c r="ES88" s="114">
        <f>IF(OR(ES$13="",ES$17="",ES$14="",ES$15="",ES$16="",ES$18="",ES$19="",ES$20="",ES$21=""),"",SUM($C21:ES21))</f>
        <v>202.38</v>
      </c>
      <c r="ET88" s="114">
        <f>IF(OR(ET$13="",ET$17="",ET$14="",ET$15="",ET$16="",ET$18="",ET$19="",ET$20="",ET$21=""),"",SUM($C21:ET21))</f>
        <v>211.32999999999998</v>
      </c>
      <c r="EU88" s="114">
        <f>IF(OR(EU$13="",EU$17="",EU$14="",EU$15="",EU$16="",EU$18="",EU$19="",EU$20="",EU$21=""),"",SUM($C21:EU21))</f>
        <v>211.32999999999998</v>
      </c>
      <c r="EV88" s="114">
        <f>IF(OR(EV$13="",EV$17="",EV$14="",EV$15="",EV$16="",EV$18="",EV$19="",EV$20="",EV$21=""),"",SUM($C21:EV21))</f>
        <v>211.32999999999998</v>
      </c>
      <c r="EW88" s="114">
        <f>IF(OR(EW$13="",EW$17="",EW$14="",EW$15="",EW$16="",EW$18="",EW$19="",EW$20="",EW$21=""),"",SUM($C21:EW21))</f>
        <v>211.32999999999998</v>
      </c>
      <c r="EX88" s="114">
        <f>IF(OR(EX$13="",EX$17="",EX$14="",EX$15="",EX$16="",EX$18="",EX$19="",EX$20="",EX$21=""),"",SUM($C21:EX21))</f>
        <v>211.32999999999998</v>
      </c>
      <c r="EY88" s="114">
        <f>IF(OR(EY$13="",EY$17="",EY$14="",EY$15="",EY$16="",EY$18="",EY$19="",EY$20="",EY$21=""),"",SUM($C21:EY21))</f>
        <v>211.32999999999998</v>
      </c>
      <c r="EZ88" s="114">
        <f>IF(OR(EZ$13="",EZ$17="",EZ$14="",EZ$15="",EZ$16="",EZ$18="",EZ$19="",EZ$20="",EZ$21=""),"",SUM($C21:EZ21))</f>
        <v>211.32999999999998</v>
      </c>
      <c r="FA88" s="114">
        <f>IF(OR(FA$13="",FA$17="",FA$14="",FA$15="",FA$16="",FA$18="",FA$19="",FA$20="",FA$21=""),"",SUM($C21:FA21))</f>
        <v>211.32999999999998</v>
      </c>
      <c r="FB88" s="114">
        <f>IF(OR(FB$13="",FB$17="",FB$14="",FB$15="",FB$16="",FB$18="",FB$19="",FB$20="",FB$21=""),"",SUM($C21:FB21))</f>
        <v>211.32999999999998</v>
      </c>
      <c r="FC88" s="114">
        <f>IF(OR(FC$13="",FC$17="",FC$14="",FC$15="",FC$16="",FC$18="",FC$19="",FC$20="",FC$21=""),"",SUM($C21:FC21))</f>
        <v>211.32999999999998</v>
      </c>
      <c r="FD88" s="114">
        <f>IF(OR(FD$13="",FD$17="",FD$14="",FD$15="",FD$16="",FD$18="",FD$19="",FD$20="",FD$21=""),"",SUM($C21:FD21))</f>
        <v>219.14999999999998</v>
      </c>
      <c r="FE88" s="114">
        <f>IF(OR(FE$13="",FE$17="",FE$14="",FE$15="",FE$16="",FE$18="",FE$19="",FE$20="",FE$21=""),"",SUM($C21:FE21))</f>
        <v>224.95</v>
      </c>
      <c r="FF88" s="114">
        <f>IF(OR(FF$13="",FF$17="",FF$14="",FF$15="",FF$16="",FF$18="",FF$19="",FF$20="",FF$21=""),"",SUM($C21:FF21))</f>
        <v>224.95</v>
      </c>
      <c r="FG88" s="114">
        <f>IF(OR(FG$13="",FG$17="",FG$14="",FG$15="",FG$16="",FG$18="",FG$19="",FG$20="",FG$21=""),"",SUM($C21:FG21))</f>
        <v>226.94</v>
      </c>
      <c r="FH88" s="114">
        <f>IF(OR(FH$13="",FH$17="",FH$14="",FH$15="",FH$16="",FH$18="",FH$19="",FH$20="",FH$21=""),"",SUM($C21:FH21))</f>
        <v>226.94</v>
      </c>
      <c r="FI88" s="114">
        <f>IF(OR(FI$13="",FI$17="",FI$14="",FI$15="",FI$16="",FI$18="",FI$19="",FI$20="",FI$21=""),"",SUM($C21:FI21))</f>
        <v>226.94</v>
      </c>
      <c r="FJ88" s="114">
        <f>IF(OR(FJ$13="",FJ$17="",FJ$14="",FJ$15="",FJ$16="",FJ$18="",FJ$19="",FJ$20="",FJ$21=""),"",SUM($C21:FJ21))</f>
        <v>226.94</v>
      </c>
      <c r="FK88" s="114">
        <f>IF(OR(FK$13="",FK$17="",FK$14="",FK$15="",FK$16="",FK$18="",FK$19="",FK$20="",FK$21=""),"",SUM($C21:FK21))</f>
        <v>226.94</v>
      </c>
      <c r="FL88" s="114">
        <f>IF(OR(FL$13="",FL$17="",FL$14="",FL$15="",FL$16="",FL$18="",FL$19="",FL$20="",FL$21=""),"",SUM($C21:FL21))</f>
        <v>226.94</v>
      </c>
      <c r="FM88" s="114">
        <f>IF(OR(FM$13="",FM$17="",FM$14="",FM$15="",FM$16="",FM$18="",FM$19="",FM$20="",FM$21=""),"",SUM($C21:FM21))</f>
        <v>241.67</v>
      </c>
      <c r="FN88" s="114">
        <f>IF(OR(FN$13="",FN$17="",FN$14="",FN$15="",FN$16="",FN$18="",FN$19="",FN$20="",FN$21=""),"",SUM($C21:FN21))</f>
        <v>241.67</v>
      </c>
      <c r="FO88" s="114">
        <f>IF(OR(FO$13="",FO$17="",FO$14="",FO$15="",FO$16="",FO$18="",FO$19="",FO$20="",FO$21=""),"",SUM($C21:FO21))</f>
        <v>241.67</v>
      </c>
      <c r="FP88" s="114">
        <f>IF(OR(FP$13="",FP$17="",FP$14="",FP$15="",FP$16="",FP$18="",FP$19="",FP$20="",FP$21=""),"",SUM($C21:FP21))</f>
        <v>241.67</v>
      </c>
      <c r="FQ88" s="114">
        <f>IF(OR(FQ$13="",FQ$17="",FQ$14="",FQ$15="",FQ$16="",FQ$18="",FQ$19="",FQ$20="",FQ$21=""),"",SUM($C21:FQ21))</f>
        <v>242.41</v>
      </c>
      <c r="FR88" s="114">
        <f>IF(OR(FR$13="",FR$17="",FR$14="",FR$15="",FR$16="",FR$18="",FR$19="",FR$20="",FR$21=""),"",SUM($C21:FR21))</f>
        <v>242.41</v>
      </c>
      <c r="FS88" s="114">
        <f>IF(OR(FS$13="",FS$17="",FS$14="",FS$15="",FS$16="",FS$18="",FS$19="",FS$20="",FS$21=""),"",SUM($C21:FS21))</f>
        <v>242.41</v>
      </c>
      <c r="FT88" s="114">
        <f>IF(OR(FT$13="",FT$17="",FT$14="",FT$15="",FT$16="",FT$18="",FT$19="",FT$20="",FT$21=""),"",SUM($C21:FT21))</f>
        <v>245.71</v>
      </c>
      <c r="FU88" s="114">
        <f>IF(OR(FU$13="",FU$17="",FU$14="",FU$15="",FU$16="",FU$18="",FU$19="",FU$20="",FU$21=""),"",SUM($C21:FU21))</f>
        <v>245.71</v>
      </c>
      <c r="FV88" s="114">
        <f>IF(OR(FV$13="",FV$17="",FV$14="",FV$15="",FV$16="",FV$18="",FV$19="",FV$20="",FV$21=""),"",SUM($C21:FV21))</f>
        <v>245.71</v>
      </c>
      <c r="FW88" s="114">
        <f>IF(OR(FW$13="",FW$17="",FW$14="",FW$15="",FW$16="",FW$18="",FW$19="",FW$20="",FW$21=""),"",SUM($C21:FW21))</f>
        <v>245.71</v>
      </c>
      <c r="FX88" s="114">
        <f>IF(OR(FX$13="",FX$17="",FX$14="",FX$15="",FX$16="",FX$18="",FX$19="",FX$20="",FX$21=""),"",SUM($C21:FX21))</f>
        <v>245.71</v>
      </c>
      <c r="FY88" s="114">
        <f>IF(OR(FY$13="",FY$17="",FY$14="",FY$15="",FY$16="",FY$18="",FY$19="",FY$20="",FY$21=""),"",SUM($C21:FY21))</f>
        <v>245.71</v>
      </c>
      <c r="FZ88" s="114">
        <f>IF(OR(FZ$13="",FZ$17="",FZ$14="",FZ$15="",FZ$16="",FZ$18="",FZ$19="",FZ$20="",FZ$21=""),"",SUM($C21:FZ21))</f>
        <v>245.71</v>
      </c>
      <c r="GA88" s="114">
        <f>IF(OR(GA$13="",GA$17="",GA$14="",GA$15="",GA$16="",GA$18="",GA$19="",GA$20="",GA$21=""),"",SUM($C21:GA21))</f>
        <v>286.51</v>
      </c>
      <c r="GB88" s="114">
        <f>IF(OR(GB$13="",GB$17="",GB$14="",GB$15="",GB$16="",GB$18="",GB$19="",GB$20="",GB$21=""),"",SUM($C21:GB21))</f>
        <v>304.81</v>
      </c>
      <c r="GC88" s="114">
        <f>IF(OR(GC$13="",GC$17="",GC$14="",GC$15="",GC$16="",GC$18="",GC$19="",GC$20="",GC$21=""),"",SUM($C21:GC21))</f>
        <v>304.81</v>
      </c>
      <c r="GD88" s="114">
        <f>IF(OR(GD$13="",GD$17="",GD$14="",GD$15="",GD$16="",GD$18="",GD$19="",GD$20="",GD$21=""),"",SUM($C21:GD21))</f>
        <v>304.81</v>
      </c>
      <c r="GE88" s="114">
        <f>IF(OR(GE$13="",GE$17="",GE$14="",GE$15="",GE$16="",GE$18="",GE$19="",GE$20="",GE$21=""),"",SUM($C21:GE21))</f>
        <v>305.39</v>
      </c>
      <c r="GF88" s="114">
        <f>IF(OR(GF$13="",GF$17="",GF$14="",GF$15="",GF$16="",GF$18="",GF$19="",GF$20="",GF$21=""),"",SUM($C21:GF21))</f>
        <v>305.39</v>
      </c>
      <c r="GG88" s="114">
        <f>IF(OR(GG$13="",GG$17="",GG$14="",GG$15="",GG$16="",GG$18="",GG$19="",GG$20="",GG$21=""),"",SUM($C21:GG21))</f>
        <v>305.39</v>
      </c>
      <c r="GH88" s="114">
        <f>IF(OR(GH$13="",GH$17="",GH$14="",GH$15="",GH$16="",GH$18="",GH$19="",GH$20="",GH$21=""),"",SUM($C21:GH21))</f>
        <v>305.39</v>
      </c>
      <c r="GI88" s="114">
        <f>IF(OR(GI$13="",GI$17="",GI$14="",GI$15="",GI$16="",GI$18="",GI$19="",GI$20="",GI$21=""),"",SUM($C21:GI21))</f>
        <v>310.62</v>
      </c>
      <c r="GJ88" s="114">
        <f>IF(OR(GJ$13="",GJ$17="",GJ$14="",GJ$15="",GJ$16="",GJ$18="",GJ$19="",GJ$20="",GJ$21=""),"",SUM($C21:GJ21))</f>
        <v>310.62</v>
      </c>
      <c r="GK88" s="114">
        <f>IF(OR(GK$13="",GK$17="",GK$14="",GK$15="",GK$16="",GK$18="",GK$19="",GK$20="",GK$21=""),"",SUM($C21:GK21))</f>
        <v>310.62</v>
      </c>
      <c r="GL88" s="114">
        <f>IF(OR(GL$13="",GL$17="",GL$14="",GL$15="",GL$16="",GL$18="",GL$19="",GL$20="",GL$21=""),"",SUM($C21:GL21))</f>
        <v>310.62</v>
      </c>
      <c r="GM88" s="114">
        <f>IF(OR(GM$13="",GM$17="",GM$14="",GM$15="",GM$16="",GM$18="",GM$19="",GM$20="",GM$21=""),"",SUM($C21:GM21))</f>
        <v>310.62</v>
      </c>
      <c r="GN88" s="114">
        <f>IF(OR(GN$13="",GN$17="",GN$14="",GN$15="",GN$16="",GN$18="",GN$19="",GN$20="",GN$21=""),"",SUM($C21:GN21))</f>
        <v>310.62</v>
      </c>
      <c r="GO88" s="114">
        <f>IF(OR(GO$13="",GO$17="",GO$14="",GO$15="",GO$16="",GO$18="",GO$19="",GO$20="",GO$21=""),"",SUM($C21:GO21))</f>
        <v>310.62</v>
      </c>
      <c r="GP88" s="114">
        <f>IF(OR(GP$13="",GP$17="",GP$14="",GP$15="",GP$16="",GP$18="",GP$19="",GP$20="",GP$21=""),"",SUM($C21:GP21))</f>
        <v>310.62</v>
      </c>
      <c r="GQ88" s="114">
        <f>IF(OR(GQ$13="",GQ$17="",GQ$14="",GQ$15="",GQ$16="",GQ$18="",GQ$19="",GQ$20="",GQ$21=""),"",SUM($C21:GQ21))</f>
        <v>311.45</v>
      </c>
      <c r="GR88" s="114">
        <f>IF(OR(GR$13="",GR$17="",GR$14="",GR$15="",GR$16="",GR$18="",GR$19="",GR$20="",GR$21=""),"",SUM($C21:GR21))</f>
        <v>311.45</v>
      </c>
      <c r="GS88" s="114">
        <f>IF(OR(GS$13="",GS$17="",GS$14="",GS$15="",GS$16="",GS$18="",GS$19="",GS$20="",GS$21=""),"",SUM($C21:GS21))</f>
        <v>311.45</v>
      </c>
      <c r="GT88" s="114">
        <f>IF(OR(GT$13="",GT$17="",GT$14="",GT$15="",GT$16="",GT$18="",GT$19="",GT$20="",GT$21=""),"",SUM($C21:GT21))</f>
        <v>311.45</v>
      </c>
      <c r="GU88" s="114">
        <f>IF(OR(GU$13="",GU$17="",GU$14="",GU$15="",GU$16="",GU$18="",GU$19="",GU$20="",GU$21=""),"",SUM($C21:GU21))</f>
        <v>311.45</v>
      </c>
      <c r="GV88" s="114">
        <f>IF(OR(GV$13="",GV$17="",GV$14="",GV$15="",GV$16="",GV$18="",GV$19="",GV$20="",GV$21=""),"",SUM($C21:GV21))</f>
        <v>311.45</v>
      </c>
      <c r="GW88" s="114">
        <f>IF(OR(GW$13="",GW$17="",GW$14="",GW$15="",GW$16="",GW$18="",GW$19="",GW$20="",GW$21=""),"",SUM($C21:GW21))</f>
        <v>311.45</v>
      </c>
      <c r="GX88" s="114">
        <f>IF(OR(GX$13="",GX$17="",GX$14="",GX$15="",GX$16="",GX$18="",GX$19="",GX$20="",GX$21=""),"",SUM($C21:GX21))</f>
        <v>311.45</v>
      </c>
      <c r="GY88" s="114">
        <f>IF(OR(GY$13="",GY$17="",GY$14="",GY$15="",GY$16="",GY$18="",GY$19="",GY$20="",GY$21=""),"",SUM($C21:GY21))</f>
        <v>311.45</v>
      </c>
      <c r="GZ88" s="114">
        <f>IF(OR(GZ$13="",GZ$17="",GZ$14="",GZ$15="",GZ$16="",GZ$18="",GZ$19="",GZ$20="",GZ$21=""),"",SUM($C21:GZ21))</f>
        <v>311.45</v>
      </c>
      <c r="HA88" s="114">
        <f>IF(OR(HA$13="",HA$17="",HA$14="",HA$15="",HA$16="",HA$18="",HA$19="",HA$20="",HA$21=""),"",SUM($C21:HA21))</f>
        <v>311.45</v>
      </c>
      <c r="HB88" s="114">
        <f>IF(OR(HB$13="",HB$17="",HB$14="",HB$15="",HB$16="",HB$18="",HB$19="",HB$20="",HB$21=""),"",SUM($C21:HB21))</f>
        <v>311.45</v>
      </c>
      <c r="HC88" s="114">
        <f>IF(OR(HC$13="",HC$17="",HC$14="",HC$15="",HC$16="",HC$18="",HC$19="",HC$20="",HC$21=""),"",SUM($C21:HC21))</f>
        <v>311.45</v>
      </c>
      <c r="HD88" s="114">
        <f>IF(OR(HD$13="",HD$17="",HD$14="",HD$15="",HD$16="",HD$18="",HD$19="",HD$20="",HD$21=""),"",SUM($C21:HD21))</f>
        <v>311.45</v>
      </c>
      <c r="HE88" s="114">
        <f>IF(OR(HE$13="",HE$17="",HE$14="",HE$15="",HE$16="",HE$18="",HE$19="",HE$20="",HE$21=""),"",SUM($C21:HE21))</f>
        <v>311.45</v>
      </c>
      <c r="HF88" s="114">
        <f>IF(OR(HF$13="",HF$17="",HF$14="",HF$15="",HF$16="",HF$18="",HF$19="",HF$20="",HF$21=""),"",SUM($C21:HF21))</f>
        <v>311.45</v>
      </c>
      <c r="HG88" s="114">
        <f>IF(OR(HG$13="",HG$17="",HG$14="",HG$15="",HG$16="",HG$18="",HG$19="",HG$20="",HG$21=""),"",SUM($C21:HG21))</f>
        <v>311.45</v>
      </c>
      <c r="HH88" s="114">
        <f>IF(OR(HH$13="",HH$17="",HH$14="",HH$15="",HH$16="",HH$18="",HH$19="",HH$20="",HH$21=""),"",SUM($C21:HH21))</f>
        <v>311.45</v>
      </c>
      <c r="HI88" s="114">
        <f>IF(OR(HI$13="",HI$17="",HI$14="",HI$15="",HI$16="",HI$18="",HI$19="",HI$20="",HI$21=""),"",SUM($C21:HI21))</f>
        <v>311.45</v>
      </c>
      <c r="HJ88" s="114">
        <f>IF(OR(HJ$13="",HJ$17="",HJ$14="",HJ$15="",HJ$16="",HJ$18="",HJ$19="",HJ$20="",HJ$21=""),"",SUM($C21:HJ21))</f>
        <v>311.51555555555552</v>
      </c>
      <c r="HK88" s="114">
        <f>IF(OR(HK$13="",HK$17="",HK$14="",HK$15="",HK$16="",HK$18="",HK$19="",HK$20="",HK$21=""),"",SUM($C21:HK21))</f>
        <v>311.51555555555552</v>
      </c>
      <c r="HL88" s="114">
        <f>IF(OR(HL$13="",HL$17="",HL$14="",HL$15="",HL$16="",HL$18="",HL$19="",HL$20="",HL$21=""),"",SUM($C21:HL21))</f>
        <v>311.51555555555552</v>
      </c>
      <c r="HM88" s="114">
        <f>IF(OR(HM$13="",HM$17="",HM$14="",HM$15="",HM$16="",HM$18="",HM$19="",HM$20="",HM$21=""),"",SUM($C21:HM21))</f>
        <v>311.51555555555552</v>
      </c>
      <c r="HN88" s="114">
        <f>IF(OR(HN$13="",HN$17="",HN$14="",HN$15="",HN$16="",HN$18="",HN$19="",HN$20="",HN$21=""),"",SUM($C21:HN21))</f>
        <v>312.28527777777776</v>
      </c>
      <c r="HO88" s="114">
        <f>IF(OR(HO$13="",HO$17="",HO$14="",HO$15="",HO$16="",HO$18="",HO$19="",HO$20="",HO$21=""),"",SUM($C21:HO21))</f>
        <v>312.28527777777776</v>
      </c>
      <c r="HP88" s="114">
        <f>IF(OR(HP$13="",HP$17="",HP$14="",HP$15="",HP$16="",HP$18="",HP$19="",HP$20="",HP$21=""),"",SUM($C21:HP21))</f>
        <v>312.28527777777776</v>
      </c>
      <c r="HQ88" s="114">
        <f>IF(OR(HQ$13="",HQ$17="",HQ$14="",HQ$15="",HQ$16="",HQ$18="",HQ$19="",HQ$20="",HQ$21=""),"",SUM($C21:HQ21))</f>
        <v>316.31861111111112</v>
      </c>
      <c r="HR88" s="114">
        <f>IF(OR(HR$13="",HR$17="",HR$14="",HR$15="",HR$16="",HR$18="",HR$19="",HR$20="",HR$21=""),"",SUM($C21:HR21))</f>
        <v>316.31861111111112</v>
      </c>
      <c r="HS88" s="114">
        <f>IF(OR(HS$13="",HS$17="",HS$14="",HS$15="",HS$16="",HS$18="",HS$19="",HS$20="",HS$21=""),"",SUM($C21:HS21))</f>
        <v>324.03638888888889</v>
      </c>
      <c r="HT88" s="114">
        <f>IF(OR(HT$13="",HT$17="",HT$14="",HT$15="",HT$16="",HT$18="",HT$19="",HT$20="",HT$21=""),"",SUM($C21:HT21))</f>
        <v>324.03638888888889</v>
      </c>
      <c r="HU88" s="114">
        <f>IF(OR(HU$13="",HU$17="",HU$14="",HU$15="",HU$16="",HU$18="",HU$19="",HU$20="",HU$21=""),"",SUM($C21:HU21))</f>
        <v>324.03638888888889</v>
      </c>
      <c r="HV88" s="114">
        <f>IF(OR(HV$13="",HV$17="",HV$14="",HV$15="",HV$16="",HV$18="",HV$19="",HV$20="",HV$21=""),"",SUM($C21:HV21))</f>
        <v>324.03638888888889</v>
      </c>
      <c r="HW88" s="114">
        <f>IF(OR(HW$13="",HW$17="",HW$14="",HW$15="",HW$16="",HW$18="",HW$19="",HW$20="",HW$21=""),"",SUM($C21:HW21))</f>
        <v>324.03638888888889</v>
      </c>
      <c r="HX88" s="114">
        <f>IF(OR(HX$13="",HX$17="",HX$14="",HX$15="",HX$16="",HX$18="",HX$19="",HX$20="",HX$21=""),"",SUM($C21:HX21))</f>
        <v>324.03638888888889</v>
      </c>
      <c r="HY88" s="114">
        <f>IF(OR(HY$13="",HY$17="",HY$14="",HY$15="",HY$16="",HY$18="",HY$19="",HY$20="",HY$21=""),"",SUM($C21:HY21))</f>
        <v>324.03638888888889</v>
      </c>
      <c r="HZ88" s="114">
        <f>IF(OR(HZ$13="",HZ$17="",HZ$14="",HZ$15="",HZ$16="",HZ$18="",HZ$19="",HZ$20="",HZ$21=""),"",SUM($C21:HZ21))</f>
        <v>324.03638888888889</v>
      </c>
      <c r="IA88" s="114">
        <f>IF(OR(IA$13="",IA$17="",IA$14="",IA$15="",IA$16="",IA$18="",IA$19="",IA$20="",IA$21=""),"",SUM($C21:IA21))</f>
        <v>324.03638888888889</v>
      </c>
      <c r="IB88" s="114">
        <f>IF(OR(IB$13="",IB$17="",IB$14="",IB$15="",IB$16="",IB$18="",IB$19="",IB$20="",IB$21=""),"",SUM($C21:IB21))</f>
        <v>324.03638888888889</v>
      </c>
      <c r="IC88" s="114">
        <f>IF(OR(IC$13="",IC$17="",IC$14="",IC$15="",IC$16="",IC$18="",IC$19="",IC$20="",IC$21=""),"",SUM($C21:IC21))</f>
        <v>324.03638888888889</v>
      </c>
      <c r="ID88" s="114">
        <f>IF(OR(ID$13="",ID$17="",ID$14="",ID$15="",ID$16="",ID$18="",ID$19="",ID$20="",ID$21=""),"",SUM($C21:ID21))</f>
        <v>324.03638888888889</v>
      </c>
      <c r="IE88" s="114">
        <f>IF(OR(IE$13="",IE$17="",IE$14="",IE$15="",IE$16="",IE$18="",IE$19="",IE$20="",IE$21=""),"",SUM($C21:IE21))</f>
        <v>327.41638888888889</v>
      </c>
      <c r="IF88" s="114">
        <f>IF(OR(IF$13="",IF$17="",IF$14="",IF$15="",IF$16="",IF$18="",IF$19="",IF$20="",IF$21=""),"",SUM($C21:IF21))</f>
        <v>327.41638888888889</v>
      </c>
      <c r="IG88" s="114">
        <f>IF(OR(IG$13="",IG$17="",IG$14="",IG$15="",IG$16="",IG$18="",IG$19="",IG$20="",IG$21=""),"",SUM($C21:IG21))</f>
        <v>327.83638888888891</v>
      </c>
      <c r="IH88" s="114">
        <f>IF(OR(IH$13="",IH$17="",IH$14="",IH$15="",IH$16="",IH$18="",IH$19="",IH$20="",IH$21=""),"",SUM($C21:IH21))</f>
        <v>327.83638888888891</v>
      </c>
      <c r="II88" s="114">
        <f>IF(OR(II$13="",II$17="",II$14="",II$15="",II$16="",II$18="",II$19="",II$20="",II$21=""),"",SUM($C21:II21))</f>
        <v>327.83638888888891</v>
      </c>
      <c r="IJ88" s="114">
        <f>IF(OR(IJ$13="",IJ$17="",IJ$14="",IJ$15="",IJ$16="",IJ$18="",IJ$19="",IJ$20="",IJ$21=""),"",SUM($C21:IJ21))</f>
        <v>327.83638888888891</v>
      </c>
      <c r="IK88" s="114">
        <f>IF(OR(IK$13="",IK$17="",IK$14="",IK$15="",IK$16="",IK$18="",IK$19="",IK$20="",IK$21=""),"",SUM($C21:IK21))</f>
        <v>327.83638888888891</v>
      </c>
      <c r="IL88" s="114">
        <f>IF(OR(IL$13="",IL$17="",IL$14="",IL$15="",IL$16="",IL$18="",IL$19="",IL$20="",IL$21=""),"",SUM($C21:IL21))</f>
        <v>340.75222222222226</v>
      </c>
      <c r="IM88" s="114">
        <f>IF(OR(IM$13="",IM$17="",IM$14="",IM$15="",IM$16="",IM$18="",IM$19="",IM$20="",IM$21=""),"",SUM($C21:IM21))</f>
        <v>364.75222222222226</v>
      </c>
      <c r="IN88" s="114">
        <f>IF(OR(IN$13="",IN$17="",IN$14="",IN$15="",IN$16="",IN$18="",IN$19="",IN$20="",IN$21=""),"",SUM($C21:IN21))</f>
        <v>388.75222222222226</v>
      </c>
      <c r="IO88" s="114">
        <f>IF(OR(IO$13="",IO$17="",IO$14="",IO$15="",IO$16="",IO$18="",IO$19="",IO$20="",IO$21=""),"",SUM($C21:IO21))</f>
        <v>412.75222222222226</v>
      </c>
      <c r="IP88" s="114">
        <f>IF(OR(IP$13="",IP$17="",IP$14="",IP$15="",IP$16="",IP$18="",IP$19="",IP$20="",IP$21=""),"",SUM($C21:IP21))</f>
        <v>436.75222222222226</v>
      </c>
      <c r="IQ88" s="114">
        <f>IF(OR(IQ$13="",IQ$17="",IQ$14="",IQ$15="",IQ$16="",IQ$18="",IQ$19="",IQ$20="",IQ$21=""),"",SUM($C21:IQ21))</f>
        <v>441.22805555555561</v>
      </c>
      <c r="IR88" s="114">
        <f>IF(OR(IR$13="",IR$17="",IR$14="",IR$15="",IR$16="",IR$18="",IR$19="",IR$20="",IR$21=""),"",SUM($C21:IR21))</f>
        <v>462.21138888888896</v>
      </c>
      <c r="IS88" s="114">
        <f>IF(OR(IS$13="",IS$17="",IS$14="",IS$15="",IS$16="",IS$18="",IS$19="",IS$20="",IS$21=""),"",SUM($C21:IS21))</f>
        <v>486.4525000000001</v>
      </c>
      <c r="IT88" s="114">
        <f>IF(OR(IT$13="",IT$17="",IT$14="",IT$15="",IT$16="",IT$18="",IT$19="",IT$20="",IT$21=""),"",SUM($C21:IT21))</f>
        <v>508.24722222222232</v>
      </c>
      <c r="IU88" s="114">
        <f>IF(OR(IU$13="",IU$17="",IU$14="",IU$15="",IU$16="",IU$18="",IU$19="",IU$20="",IU$21=""),"",SUM($C21:IU21))</f>
        <v>514.56583333333344</v>
      </c>
      <c r="IV88" s="114">
        <f>IF(OR(IV$13="",IV$17="",IV$14="",IV$15="",IV$16="",IV$18="",IV$19="",IV$20="",IV$21=""),"",SUM($C21:IV21))</f>
        <v>514.56583333333344</v>
      </c>
      <c r="IW88" s="114">
        <f>IF(OR(IW$13="",IW$17="",IW$14="",IW$15="",IW$16="",IW$18="",IW$19="",IW$20="",IW$21=""),"",SUM($C21:IW21))</f>
        <v>514.60583333333341</v>
      </c>
      <c r="IX88" s="114">
        <f>IF(OR(IX$13="",IX$17="",IX$14="",IX$15="",IX$16="",IX$18="",IX$19="",IX$20="",IX$21=""),"",SUM($C21:IX21))</f>
        <v>514.60583333333341</v>
      </c>
      <c r="IY88" s="114">
        <f>IF(OR(IY$13="",IY$17="",IY$14="",IY$15="",IY$16="",IY$18="",IY$19="",IY$20="",IY$21=""),"",SUM($C21:IY21))</f>
        <v>519.87583333333339</v>
      </c>
      <c r="IZ88" s="114">
        <f>IF(OR(IZ$13="",IZ$17="",IZ$14="",IZ$15="",IZ$16="",IZ$18="",IZ$19="",IZ$20="",IZ$21=""),"",SUM($C21:IZ21))</f>
        <v>520.15166666666676</v>
      </c>
      <c r="JA88" s="114">
        <f>IF(OR(JA$13="",JA$17="",JA$14="",JA$15="",JA$16="",JA$18="",JA$19="",JA$20="",JA$21=""),"",SUM($C21:JA21))</f>
        <v>520.15166666666676</v>
      </c>
      <c r="JB88" s="114">
        <f>IF(OR(JB$13="",JB$17="",JB$14="",JB$15="",JB$16="",JB$18="",JB$19="",JB$20="",JB$21=""),"",SUM($C21:JB21))</f>
        <v>520.15166666666676</v>
      </c>
      <c r="JC88" s="114">
        <f>IF(OR(JC$13="",JC$17="",JC$14="",JC$15="",JC$16="",JC$18="",JC$19="",JC$20="",JC$21=""),"",SUM($C21:JC21))</f>
        <v>523.67416666666679</v>
      </c>
      <c r="JD88" s="114">
        <f>IF(OR(JD$13="",JD$17="",JD$14="",JD$15="",JD$16="",JD$18="",JD$19="",JD$20="",JD$21=""),"",SUM($C21:JD21))</f>
        <v>538.58833333333348</v>
      </c>
      <c r="JE88" s="114">
        <f>IF(OR(JE$13="",JE$17="",JE$14="",JE$15="",JE$16="",JE$18="",JE$19="",JE$20="",JE$21=""),"",SUM($C21:JE21))</f>
        <v>545.00000000000011</v>
      </c>
      <c r="JF88" s="114">
        <f>IF(OR(JF$13="",JF$17="",JF$14="",JF$15="",JF$16="",JF$18="",JF$19="",JF$20="",JF$21=""),"",SUM($C21:JF21))</f>
        <v>547.24666666666678</v>
      </c>
      <c r="JG88" s="114">
        <f>IF(OR(JG$13="",JG$17="",JG$14="",JG$15="",JG$16="",JG$18="",JG$19="",JG$20="",JG$21=""),"",SUM($C21:JG21))</f>
        <v>547.88916666666682</v>
      </c>
      <c r="JH88" s="114">
        <f>IF(OR(JH$13="",JH$17="",JH$14="",JH$15="",JH$16="",JH$18="",JH$19="",JH$20="",JH$21=""),"",SUM($C21:JH21))</f>
        <v>547.88916666666682</v>
      </c>
      <c r="JI88" s="114">
        <f>IF(OR(JI$13="",JI$17="",JI$14="",JI$15="",JI$16="",JI$18="",JI$19="",JI$20="",JI$21=""),"",SUM($C21:JI21))</f>
        <v>547.88916666666682</v>
      </c>
      <c r="JJ88" s="114">
        <f>IF(OR(JJ$13="",JJ$17="",JJ$14="",JJ$15="",JJ$16="",JJ$18="",JJ$19="",JJ$20="",JJ$21=""),"",SUM($C21:JJ21))</f>
        <v>547.88916666666682</v>
      </c>
      <c r="JK88" s="114">
        <f>IF(OR(JK$13="",JK$17="",JK$14="",JK$15="",JK$16="",JK$18="",JK$19="",JK$20="",JK$21=""),"",SUM($C21:JK21))</f>
        <v>552.18250000000012</v>
      </c>
      <c r="JL88" s="114">
        <f>IF(OR(JL$13="",JL$17="",JL$14="",JL$15="",JL$16="",JL$18="",JL$19="",JL$20="",JL$21=""),"",SUM($C21:JL21))</f>
        <v>558.67638888888905</v>
      </c>
      <c r="JM88" s="114">
        <f>IF(OR(JM$13="",JM$17="",JM$14="",JM$15="",JM$16="",JM$18="",JM$19="",JM$20="",JM$21=""),"",SUM($C21:JM21))</f>
        <v>559.04722222222233</v>
      </c>
      <c r="JN88" s="114">
        <f>IF(OR(JN$13="",JN$17="",JN$14="",JN$15="",JN$16="",JN$18="",JN$19="",JN$20="",JN$21=""),"",SUM($C21:JN21))</f>
        <v>560.04722222222233</v>
      </c>
      <c r="JO88" s="114">
        <f>IF(OR(JO$13="",JO$17="",JO$14="",JO$15="",JO$16="",JO$18="",JO$19="",JO$20="",JO$21=""),"",SUM($C21:JO21))</f>
        <v>561.04722222222233</v>
      </c>
      <c r="JP88" s="114">
        <f>IF(OR(JP$13="",JP$17="",JP$14="",JP$15="",JP$16="",JP$18="",JP$19="",JP$20="",JP$21=""),"",SUM($C21:JP21))</f>
        <v>566.11722222222238</v>
      </c>
      <c r="JQ88" s="114">
        <f>IF(OR(JQ$13="",JQ$17="",JQ$14="",JQ$15="",JQ$16="",JQ$18="",JQ$19="",JQ$20="",JQ$21=""),"",SUM($C21:JQ21))</f>
        <v>567.11722222222238</v>
      </c>
      <c r="JR88" s="114">
        <f>IF(OR(JR$13="",JR$17="",JR$14="",JR$15="",JR$16="",JR$18="",JR$19="",JR$20="",JR$21=""),"",SUM($C21:JR21))</f>
        <v>567.54722222222233</v>
      </c>
      <c r="JS88" s="114">
        <f>IF(OR(JS$13="",JS$17="",JS$14="",JS$15="",JS$16="",JS$18="",JS$19="",JS$20="",JS$21=""),"",SUM($C21:JS21))</f>
        <v>568.54722222222233</v>
      </c>
      <c r="JT88" s="114">
        <f>IF(OR(JT$13="",JT$17="",JT$14="",JT$15="",JT$16="",JT$18="",JT$19="",JT$20="",JT$21=""),"",SUM($C21:JT21))</f>
        <v>568.96722222222229</v>
      </c>
      <c r="JU88" s="114">
        <f>IF(OR(JU$13="",JU$17="",JU$14="",JU$15="",JU$16="",JU$18="",JU$19="",JU$20="",JU$21=""),"",SUM($C21:JU21))</f>
        <v>581.96722222222229</v>
      </c>
      <c r="JV88" s="114">
        <f>IF(OR(JV$13="",JV$17="",JV$14="",JV$15="",JV$16="",JV$18="",JV$19="",JV$20="",JV$21=""),"",SUM($C21:JV21))</f>
        <v>582.96722222222229</v>
      </c>
      <c r="JW88" s="114">
        <f>IF(OR(JW$13="",JW$17="",JW$14="",JW$15="",JW$16="",JW$18="",JW$19="",JW$20="",JW$21=""),"",SUM($C21:JW21))</f>
        <v>582.96722222222229</v>
      </c>
      <c r="JX88" s="114">
        <f>IF(OR(JX$13="",JX$17="",JX$14="",JX$15="",JX$16="",JX$18="",JX$19="",JX$20="",JX$21=""),"",SUM($C21:JX21))</f>
        <v>582.96722222222229</v>
      </c>
      <c r="JY88" s="114">
        <f>IF(OR(JY$13="",JY$17="",JY$14="",JY$15="",JY$16="",JY$18="",JY$19="",JY$20="",JY$21=""),"",SUM($C21:JY21))</f>
        <v>582.96722222222229</v>
      </c>
      <c r="JZ88" s="114">
        <f>IF(OR(JZ$13="",JZ$17="",JZ$14="",JZ$15="",JZ$16="",JZ$18="",JZ$19="",JZ$20="",JZ$21=""),"",SUM($C21:JZ21))</f>
        <v>582.96722222222229</v>
      </c>
      <c r="KA88" s="114">
        <f>IF(OR(KA$13="",KA$17="",KA$14="",KA$15="",KA$16="",KA$18="",KA$19="",KA$20="",KA$21=""),"",SUM($C21:KA21))</f>
        <v>582.96722222222229</v>
      </c>
      <c r="KB88" s="114">
        <f>IF(OR(KB$13="",KB$17="",KB$14="",KB$15="",KB$16="",KB$18="",KB$19="",KB$20="",KB$21=""),"",SUM($C21:KB21))</f>
        <v>582.96722222222229</v>
      </c>
      <c r="KC88" s="114">
        <f>IF(OR(KC$13="",KC$17="",KC$14="",KC$15="",KC$16="",KC$18="",KC$19="",KC$20="",KC$21=""),"",SUM($C21:KC21))</f>
        <v>582.96722222222229</v>
      </c>
      <c r="KD88" s="114">
        <f>IF(OR(KD$13="",KD$17="",KD$14="",KD$15="",KD$16="",KD$18="",KD$19="",KD$20="",KD$21=""),"",SUM($C21:KD21))</f>
        <v>582.96722222222229</v>
      </c>
      <c r="KE88" s="114">
        <f>IF(OR(KE$13="",KE$17="",KE$14="",KE$15="",KE$16="",KE$18="",KE$19="",KE$20="",KE$21=""),"",SUM($C21:KE21))</f>
        <v>582.96722222222229</v>
      </c>
      <c r="KF88" s="114">
        <f>IF(OR(KF$13="",KF$17="",KF$14="",KF$15="",KF$16="",KF$18="",KF$19="",KF$20="",KF$21=""),"",SUM($C21:KF21))</f>
        <v>582.96722222222229</v>
      </c>
      <c r="KG88" s="114">
        <f>IF(OR(KG$13="",KG$17="",KG$14="",KG$15="",KG$16="",KG$18="",KG$19="",KG$20="",KG$21=""),"",SUM($C21:KG21))</f>
        <v>582.96722222222229</v>
      </c>
      <c r="KH88" s="114">
        <f>IF(OR(KH$13="",KH$17="",KH$14="",KH$15="",KH$16="",KH$18="",KH$19="",KH$20="",KH$21=""),"",SUM($C21:KH21))</f>
        <v>582.96722222222229</v>
      </c>
      <c r="KI88" s="114">
        <f>IF(OR(KI$13="",KI$17="",KI$14="",KI$15="",KI$16="",KI$18="",KI$19="",KI$20="",KI$21=""),"",SUM($C21:KI21))</f>
        <v>582.96722222222229</v>
      </c>
      <c r="KJ88" s="114">
        <f>IF(OR(KJ$13="",KJ$17="",KJ$14="",KJ$15="",KJ$16="",KJ$18="",KJ$19="",KJ$20="",KJ$21=""),"",SUM($C21:KJ21))</f>
        <v>582.96722222222229</v>
      </c>
      <c r="KK88" s="114">
        <f>IF(OR(KK$13="",KK$17="",KK$14="",KK$15="",KK$16="",KK$18="",KK$19="",KK$20="",KK$21=""),"",SUM($C21:KK21))</f>
        <v>582.96722222222229</v>
      </c>
      <c r="KL88" s="114">
        <f>IF(OR(KL$13="",KL$17="",KL$14="",KL$15="",KL$16="",KL$18="",KL$19="",KL$20="",KL$21=""),"",SUM($C21:KL21))</f>
        <v>582.96722222222229</v>
      </c>
      <c r="KM88" s="114">
        <f>IF(OR(KM$13="",KM$17="",KM$14="",KM$15="",KM$16="",KM$18="",KM$19="",KM$20="",KM$21=""),"",SUM($C21:KM21))</f>
        <v>582.96722222222229</v>
      </c>
      <c r="KN88" s="114">
        <f>IF(OR(KN$13="",KN$17="",KN$14="",KN$15="",KN$16="",KN$18="",KN$19="",KN$20="",KN$21=""),"",SUM($C21:KN21))</f>
        <v>582.96722222222229</v>
      </c>
      <c r="KO88" s="114">
        <f>IF(OR(KO$13="",KO$17="",KO$14="",KO$15="",KO$16="",KO$18="",KO$19="",KO$20="",KO$21=""),"",SUM($C21:KO21))</f>
        <v>582.96722222222229</v>
      </c>
      <c r="KP88" s="114">
        <f>IF(OR(KP$13="",KP$17="",KP$14="",KP$15="",KP$16="",KP$18="",KP$19="",KP$20="",KP$21=""),"",SUM($C21:KP21))</f>
        <v>582.96722222222229</v>
      </c>
      <c r="KQ88" s="114">
        <f>IF(OR(KQ$13="",KQ$17="",KQ$14="",KQ$15="",KQ$16="",KQ$18="",KQ$19="",KQ$20="",KQ$21=""),"",SUM($C21:KQ21))</f>
        <v>582.96722222222229</v>
      </c>
      <c r="KR88" s="114">
        <f>IF(OR(KR$13="",KR$17="",KR$14="",KR$15="",KR$16="",KR$18="",KR$19="",KR$20="",KR$21=""),"",SUM($C21:KR21))</f>
        <v>582.96722222222229</v>
      </c>
      <c r="KS88" s="114">
        <f>IF(OR(KS$13="",KS$17="",KS$14="",KS$15="",KS$16="",KS$18="",KS$19="",KS$20="",KS$21=""),"",SUM($C21:KS21))</f>
        <v>582.96722222222229</v>
      </c>
      <c r="KT88" s="114">
        <f>IF(OR(KT$13="",KT$17="",KT$14="",KT$15="",KT$16="",KT$18="",KT$19="",KT$20="",KT$21=""),"",SUM($C21:KT21))</f>
        <v>582.96722222222229</v>
      </c>
      <c r="KU88" s="114" t="str">
        <f>IF(OR(KU$13="",KU$17="",KU$14="",KU$15="",KU$16="",KU$18="",KU$19="",KU$20="",KU$21=""),"",SUM($C21:KU21))</f>
        <v/>
      </c>
      <c r="KV88" s="114" t="str">
        <f>IF(OR(KV$13="",KV$17="",KV$14="",KV$15="",KV$16="",KV$18="",KV$19="",KV$20="",KV$21=""),"",SUM($C21:KV21))</f>
        <v/>
      </c>
      <c r="KW88" s="114" t="str">
        <f>IF(OR(KW$13="",KW$17="",KW$14="",KW$15="",KW$16="",KW$18="",KW$19="",KW$20="",KW$21=""),"",SUM($C21:KW21))</f>
        <v/>
      </c>
      <c r="KX88" s="114" t="str">
        <f>IF(OR(KX$13="",KX$17="",KX$14="",KX$15="",KX$16="",KX$18="",KX$19="",KX$20="",KX$21=""),"",SUM($C21:KX21))</f>
        <v/>
      </c>
      <c r="KY88" s="114" t="str">
        <f>IF(OR(KY$13="",KY$17="",KY$14="",KY$15="",KY$16="",KY$18="",KY$19="",KY$20="",KY$21=""),"",SUM($C21:KY21))</f>
        <v/>
      </c>
      <c r="KZ88" s="114" t="str">
        <f>IF(OR(KZ$13="",KZ$17="",KZ$14="",KZ$15="",KZ$16="",KZ$18="",KZ$19="",KZ$20="",KZ$21=""),"",SUM($C21:KZ21))</f>
        <v/>
      </c>
      <c r="LA88" s="114" t="str">
        <f>IF(OR(LA$13="",LA$17="",LA$14="",LA$15="",LA$16="",LA$18="",LA$19="",LA$20="",LA$21=""),"",SUM($C21:LA21))</f>
        <v/>
      </c>
      <c r="LB88" s="114" t="str">
        <f>IF(OR(LB$13="",LB$17="",LB$14="",LB$15="",LB$16="",LB$18="",LB$19="",LB$20="",LB$21=""),"",SUM($C21:LB21))</f>
        <v/>
      </c>
      <c r="LC88" s="114" t="str">
        <f>IF(OR(LC$13="",LC$17="",LC$14="",LC$15="",LC$16="",LC$18="",LC$19="",LC$20="",LC$21=""),"",SUM($C21:LC21))</f>
        <v/>
      </c>
      <c r="LD88" s="114" t="str">
        <f>IF(OR(LD$13="",LD$17="",LD$14="",LD$15="",LD$16="",LD$18="",LD$19="",LD$20="",LD$21=""),"",SUM($C21:LD21))</f>
        <v/>
      </c>
      <c r="LE88" s="114" t="str">
        <f>IF(OR(LE$13="",LE$17="",LE$14="",LE$15="",LE$16="",LE$18="",LE$19="",LE$20="",LE$21=""),"",SUM($C21:LE21))</f>
        <v/>
      </c>
      <c r="LF88" s="114" t="str">
        <f>IF(OR(LF$13="",LF$17="",LF$14="",LF$15="",LF$16="",LF$18="",LF$19="",LF$20="",LF$21=""),"",SUM($C21:LF21))</f>
        <v/>
      </c>
      <c r="LG88" s="114" t="str">
        <f>IF(OR(LG$13="",LG$17="",LG$14="",LG$15="",LG$16="",LG$18="",LG$19="",LG$20="",LG$21=""),"",SUM($C21:LG21))</f>
        <v/>
      </c>
      <c r="LH88" s="114" t="str">
        <f>IF(OR(LH$13="",LH$17="",LH$14="",LH$15="",LH$16="",LH$18="",LH$19="",LH$20="",LH$21=""),"",SUM($C21:LH21))</f>
        <v/>
      </c>
      <c r="LI88" s="114" t="str">
        <f>IF(OR(LI$13="",LI$17="",LI$14="",LI$15="",LI$16="",LI$18="",LI$19="",LI$20="",LI$21=""),"",SUM($C21:LI21))</f>
        <v/>
      </c>
      <c r="LJ88" s="114" t="str">
        <f>IF(OR(LJ$13="",LJ$17="",LJ$14="",LJ$15="",LJ$16="",LJ$18="",LJ$19="",LJ$20="",LJ$21=""),"",SUM($C21:LJ21))</f>
        <v/>
      </c>
      <c r="LK88" s="114" t="str">
        <f>IF(OR(LK$13="",LK$17="",LK$14="",LK$15="",LK$16="",LK$18="",LK$19="",LK$20="",LK$21=""),"",SUM($C21:LK21))</f>
        <v/>
      </c>
      <c r="LL88" s="114" t="str">
        <f>IF(OR(LL$13="",LL$17="",LL$14="",LL$15="",LL$16="",LL$18="",LL$19="",LL$20="",LL$21=""),"",SUM($C21:LL21))</f>
        <v/>
      </c>
      <c r="LM88" s="114" t="str">
        <f>IF(OR(LM$13="",LM$17="",LM$14="",LM$15="",LM$16="",LM$18="",LM$19="",LM$20="",LM$21=""),"",SUM($C21:LM21))</f>
        <v/>
      </c>
      <c r="LN88" s="114" t="str">
        <f>IF(OR(LN$13="",LN$17="",LN$14="",LN$15="",LN$16="",LN$18="",LN$19="",LN$20="",LN$21=""),"",SUM($C21:LN21))</f>
        <v/>
      </c>
      <c r="LO88" s="114" t="str">
        <f>IF(OR(LO$13="",LO$17="",LO$14="",LO$15="",LO$16="",LO$18="",LO$19="",LO$20="",LO$21=""),"",SUM($C21:LO21))</f>
        <v/>
      </c>
      <c r="LP88" s="114" t="str">
        <f>IF(OR(LP$13="",LP$17="",LP$14="",LP$15="",LP$16="",LP$18="",LP$19="",LP$20="",LP$21=""),"",SUM($C21:LP21))</f>
        <v/>
      </c>
      <c r="LQ88" s="114" t="str">
        <f>IF(OR(LQ$13="",LQ$17="",LQ$14="",LQ$15="",LQ$16="",LQ$18="",LQ$19="",LQ$20="",LQ$21=""),"",SUM($C21:LQ21))</f>
        <v/>
      </c>
      <c r="LR88" s="114" t="str">
        <f>IF(OR(LR$13="",LR$17="",LR$14="",LR$15="",LR$16="",LR$18="",LR$19="",LR$20="",LR$21=""),"",SUM($C21:LR21))</f>
        <v/>
      </c>
      <c r="LS88" s="114" t="str">
        <f>IF(OR(LS$13="",LS$17="",LS$14="",LS$15="",LS$16="",LS$18="",LS$19="",LS$20="",LS$21=""),"",SUM($C21:LS21))</f>
        <v/>
      </c>
      <c r="LT88" s="114" t="str">
        <f>IF(OR(LT$13="",LT$17="",LT$14="",LT$15="",LT$16="",LT$18="",LT$19="",LT$20="",LT$21=""),"",SUM($C21:LT21))</f>
        <v/>
      </c>
      <c r="LU88" s="114" t="str">
        <f>IF(OR(LU$13="",LU$17="",LU$14="",LU$15="",LU$16="",LU$18="",LU$19="",LU$20="",LU$21=""),"",SUM($C21:LU21))</f>
        <v/>
      </c>
      <c r="LV88" s="114" t="str">
        <f>IF(OR(LV$13="",LV$17="",LV$14="",LV$15="",LV$16="",LV$18="",LV$19="",LV$20="",LV$21=""),"",SUM($C21:LV21))</f>
        <v/>
      </c>
      <c r="LW88" s="114" t="str">
        <f>IF(OR(LW$13="",LW$17="",LW$14="",LW$15="",LW$16="",LW$18="",LW$19="",LW$20="",LW$21=""),"",SUM($C21:LW21))</f>
        <v/>
      </c>
      <c r="LX88" s="114" t="str">
        <f>IF(OR(LX$13="",LX$17="",LX$14="",LX$15="",LX$16="",LX$18="",LX$19="",LX$20="",LX$21=""),"",SUM($C21:LX21))</f>
        <v/>
      </c>
      <c r="LY88" s="114" t="str">
        <f>IF(OR(LY$13="",LY$17="",LY$14="",LY$15="",LY$16="",LY$18="",LY$19="",LY$20="",LY$21=""),"",SUM($C21:LY21))</f>
        <v/>
      </c>
      <c r="LZ88" s="114" t="str">
        <f>IF(OR(LZ$13="",LZ$17="",LZ$14="",LZ$15="",LZ$16="",LZ$18="",LZ$19="",LZ$20="",LZ$21=""),"",SUM($C21:LZ21))</f>
        <v/>
      </c>
      <c r="MA88" s="114" t="str">
        <f>IF(OR(MA$13="",MA$17="",MA$14="",MA$15="",MA$16="",MA$18="",MA$19="",MA$20="",MA$21=""),"",SUM($C21:MA21))</f>
        <v/>
      </c>
      <c r="MB88" s="114" t="str">
        <f>IF(OR(MB$13="",MB$17="",MB$14="",MB$15="",MB$16="",MB$18="",MB$19="",MB$20="",MB$21=""),"",SUM($C21:MB21))</f>
        <v/>
      </c>
      <c r="MC88" s="114" t="str">
        <f>IF(OR(MC$13="",MC$17="",MC$14="",MC$15="",MC$16="",MC$18="",MC$19="",MC$20="",MC$21=""),"",SUM($C21:MC21))</f>
        <v/>
      </c>
      <c r="MD88" s="114" t="str">
        <f>IF(OR(MD$13="",MD$17="",MD$14="",MD$15="",MD$16="",MD$18="",MD$19="",MD$20="",MD$21=""),"",SUM($C21:MD21))</f>
        <v/>
      </c>
      <c r="ME88" s="114" t="str">
        <f>IF(OR(ME$13="",ME$17="",ME$14="",ME$15="",ME$16="",ME$18="",ME$19="",ME$20="",ME$21=""),"",SUM($C21:ME21))</f>
        <v/>
      </c>
      <c r="MF88" s="114" t="str">
        <f>IF(OR(MF$13="",MF$17="",MF$14="",MF$15="",MF$16="",MF$18="",MF$19="",MF$20="",MF$21=""),"",SUM($C21:MF21))</f>
        <v/>
      </c>
      <c r="MG88" s="114" t="str">
        <f>IF(OR(MG$13="",MG$17="",MG$14="",MG$15="",MG$16="",MG$18="",MG$19="",MG$20="",MG$21=""),"",SUM($C21:MG21))</f>
        <v/>
      </c>
      <c r="MH88" s="114" t="str">
        <f>IF(OR(MH$13="",MH$17="",MH$14="",MH$15="",MH$16="",MH$18="",MH$19="",MH$20="",MH$21=""),"",SUM($C21:MH21))</f>
        <v/>
      </c>
      <c r="MI88" s="114" t="str">
        <f>IF(OR(MI$13="",MI$17="",MI$14="",MI$15="",MI$16="",MI$18="",MI$19="",MI$20="",MI$21=""),"",SUM($C21:MI21))</f>
        <v/>
      </c>
      <c r="MJ88" s="114" t="str">
        <f>IF(OR(MJ$13="",MJ$17="",MJ$14="",MJ$15="",MJ$16="",MJ$18="",MJ$19="",MJ$20="",MJ$21=""),"",SUM($C21:MJ21))</f>
        <v/>
      </c>
      <c r="MK88" s="114" t="str">
        <f>IF(OR(MK$13="",MK$17="",MK$14="",MK$15="",MK$16="",MK$18="",MK$19="",MK$20="",MK$21=""),"",SUM($C21:MK21))</f>
        <v/>
      </c>
      <c r="ML88" s="114" t="str">
        <f>IF(OR(ML$13="",ML$17="",ML$14="",ML$15="",ML$16="",ML$18="",ML$19="",ML$20="",ML$21=""),"",SUM($C21:ML21))</f>
        <v/>
      </c>
      <c r="MM88" s="114" t="str">
        <f>IF(OR(MM$13="",MM$17="",MM$14="",MM$15="",MM$16="",MM$18="",MM$19="",MM$20="",MM$21=""),"",SUM($C21:MM21))</f>
        <v/>
      </c>
      <c r="MN88" s="114" t="str">
        <f>IF(OR(MN$13="",MN$17="",MN$14="",MN$15="",MN$16="",MN$18="",MN$19="",MN$20="",MN$21=""),"",SUM($C21:MN21))</f>
        <v/>
      </c>
      <c r="MO88" s="114" t="str">
        <f>IF(OR(MO$13="",MO$17="",MO$14="",MO$15="",MO$16="",MO$18="",MO$19="",MO$20="",MO$21=""),"",SUM($C21:MO21))</f>
        <v/>
      </c>
      <c r="MP88" s="114" t="str">
        <f>IF(OR(MP$13="",MP$17="",MP$14="",MP$15="",MP$16="",MP$18="",MP$19="",MP$20="",MP$21=""),"",SUM($C21:MP21))</f>
        <v/>
      </c>
      <c r="MQ88" s="114" t="str">
        <f>IF(OR(MQ$13="",MQ$17="",MQ$14="",MQ$15="",MQ$16="",MQ$18="",MQ$19="",MQ$20="",MQ$21=""),"",SUM($C21:MQ21))</f>
        <v/>
      </c>
      <c r="MR88" s="114" t="str">
        <f>IF(OR(MR$13="",MR$17="",MR$14="",MR$15="",MR$16="",MR$18="",MR$19="",MR$20="",MR$21=""),"",SUM($C21:MR21))</f>
        <v/>
      </c>
      <c r="MS88" s="114" t="str">
        <f>IF(OR(MS$13="",MS$17="",MS$14="",MS$15="",MS$16="",MS$18="",MS$19="",MS$20="",MS$21=""),"",SUM($C21:MS21))</f>
        <v/>
      </c>
      <c r="MT88" s="114" t="str">
        <f>IF(OR(MT$13="",MT$17="",MT$14="",MT$15="",MT$16="",MT$18="",MT$19="",MT$20="",MT$21=""),"",SUM($C21:MT21))</f>
        <v/>
      </c>
      <c r="MU88" s="114" t="str">
        <f>IF(OR(MU$13="",MU$17="",MU$14="",MU$15="",MU$16="",MU$18="",MU$19="",MU$20="",MU$21=""),"",SUM($C21:MU21))</f>
        <v/>
      </c>
      <c r="MV88" s="114" t="str">
        <f>IF(OR(MV$13="",MV$17="",MV$14="",MV$15="",MV$16="",MV$18="",MV$19="",MV$20="",MV$21=""),"",SUM($C21:MV21))</f>
        <v/>
      </c>
      <c r="MW88" s="114" t="str">
        <f>IF(OR(MW$13="",MW$17="",MW$14="",MW$15="",MW$16="",MW$18="",MW$19="",MW$20="",MW$21=""),"",SUM($C21:MW21))</f>
        <v/>
      </c>
      <c r="MX88" s="114" t="str">
        <f>IF(OR(MX$13="",MX$17="",MX$14="",MX$15="",MX$16="",MX$18="",MX$19="",MX$20="",MX$21=""),"",SUM($C21:MX21))</f>
        <v/>
      </c>
      <c r="MY88" s="114" t="str">
        <f>IF(OR(MY$13="",MY$17="",MY$14="",MY$15="",MY$16="",MY$18="",MY$19="",MY$20="",MY$21=""),"",SUM($C21:MY21))</f>
        <v/>
      </c>
      <c r="MZ88" s="114" t="str">
        <f>IF(OR(MZ$13="",MZ$17="",MZ$14="",MZ$15="",MZ$16="",MZ$18="",MZ$19="",MZ$20="",MZ$21=""),"",SUM($C21:MZ21))</f>
        <v/>
      </c>
      <c r="NA88" s="114" t="str">
        <f>IF(OR(NA$13="",NA$17="",NA$14="",NA$15="",NA$16="",NA$18="",NA$19="",NA$20="",NA$21=""),"",SUM($C21:NA21))</f>
        <v/>
      </c>
      <c r="NB88" s="114" t="str">
        <f>IF(OR(NB$13="",NB$17="",NB$14="",NB$15="",NB$16="",NB$18="",NB$19="",NB$20="",NB$21=""),"",SUM($C21:NB21))</f>
        <v/>
      </c>
      <c r="NC88" s="114" t="str">
        <f>IF(OR(NC$13="",NC$17="",NC$14="",NC$15="",NC$16="",NC$18="",NC$19="",NC$20="",NC$21=""),"",SUM($C21:NC21))</f>
        <v/>
      </c>
      <c r="ND88" s="114" t="str">
        <f>IF(OR(ND$13="",ND$17="",ND$14="",ND$15="",ND$16="",ND$18="",ND$19="",ND$20="",ND$21=""),"",SUM($C21:ND21))</f>
        <v/>
      </c>
      <c r="NE88" s="114" t="str">
        <f>IF(OR(NE$13="",NE$17="",NE$14="",NE$15="",NE$16="",NE$18="",NE$19="",NE$20="",NE$21=""),"",SUM($C21:NE21))</f>
        <v/>
      </c>
      <c r="NF88" s="114" t="str">
        <f>IF(OR(NF$13="",NF$17="",NF$14="",NF$15="",NF$16="",NF$18="",NF$19="",NF$20="",NF$21=""),"",SUM($C21:NF21))</f>
        <v/>
      </c>
      <c r="NG88" s="114" t="str">
        <f>IF(OR(NG$13="",NG$17="",NG$14="",NG$15="",NG$16="",NG$18="",NG$19="",NG$20="",NG$21=""),"",SUM($C21:NG21))</f>
        <v/>
      </c>
      <c r="NH88" s="114" t="str">
        <f>IF(OR(NH$13="",NH$17="",NH$14="",NH$15="",NH$16="",NH$18="",NH$19="",NH$20="",NH$21=""),"",SUM($C21:NH21))</f>
        <v/>
      </c>
      <c r="NI88" s="114" t="str">
        <f>IF(OR(NI$13="",NI$17="",NI$14="",NI$15="",NI$16="",NI$18="",NI$19="",NI$20="",NI$21=""),"",SUM($C21:NI21))</f>
        <v/>
      </c>
      <c r="NJ88" s="114" t="str">
        <f>IF(OR(NJ$13="",NJ$17="",NJ$14="",NJ$15="",NJ$16="",NJ$18="",NJ$19="",NJ$20="",NJ$21=""),"",SUM($C21:NJ21))</f>
        <v/>
      </c>
      <c r="NK88" s="114" t="str">
        <f>IF(OR(NK$13="",NK$17="",NK$14="",NK$15="",NK$16="",NK$18="",NK$19="",NK$20="",NK$21=""),"",SUM($C21:NK21))</f>
        <v/>
      </c>
      <c r="NL88" s="114" t="str">
        <f>IF(OR(NL$13="",NL$17="",NL$14="",NL$15="",NL$16="",NL$18="",NL$19="",NL$20="",NL$21=""),"",SUM($C21:NL21))</f>
        <v/>
      </c>
      <c r="NM88" s="114" t="str">
        <f>IF(OR(NM$13="",NM$17="",NM$14="",NM$15="",NM$16="",NM$18="",NM$19="",NM$20="",NM$21=""),"",SUM($C21:NM21))</f>
        <v/>
      </c>
      <c r="NN88" s="114" t="str">
        <f>IF(OR(NN$13="",NN$17="",NN$14="",NN$15="",NN$16="",NN$18="",NN$19="",NN$20="",NN$21=""),"",SUM($C21:NN21))</f>
        <v/>
      </c>
      <c r="NO88" s="114" t="str">
        <f>IF(OR(NO$13="",NO$17="",NO$14="",NO$15="",NO$16="",NO$18="",NO$19="",NO$20="",NO$21=""),"",SUM($C21:NO21))</f>
        <v/>
      </c>
      <c r="NP88" s="114" t="str">
        <f>IF(OR(NP$13="",NP$17="",NP$14="",NP$15="",NP$16="",NP$18="",NP$19="",NP$20="",NP$21=""),"",SUM($C21:NP21))</f>
        <v/>
      </c>
      <c r="NQ88" s="114" t="str">
        <f>IF(OR(NQ$13="",NQ$17="",NQ$14="",NQ$15="",NQ$16="",NQ$18="",NQ$19="",NQ$20="",NQ$21=""),"",SUM($C21:NQ21))</f>
        <v/>
      </c>
      <c r="NR88" s="114" t="str">
        <f>IF(OR(NR$13="",NR$17="",NR$14="",NR$15="",NR$16="",NR$18="",NR$19="",NR$20="",NR$21=""),"",SUM($C21:NR21))</f>
        <v/>
      </c>
      <c r="NS88" s="114" t="str">
        <f>IF(OR(NS$13="",NS$17="",NS$14="",NS$15="",NS$16="",NS$18="",NS$19="",NS$20="",NS$21=""),"",SUM($C21:NS21))</f>
        <v/>
      </c>
      <c r="NT88" s="114" t="str">
        <f>IF(OR(NT$13="",NT$17="",NT$14="",NT$15="",NT$16="",NT$18="",NT$19="",NT$20="",NT$21=""),"",SUM($C21:NT21))</f>
        <v/>
      </c>
      <c r="NU88" s="114" t="str">
        <f>IF(OR(NU$13="",NU$17="",NU$14="",NU$15="",NU$16="",NU$18="",NU$19="",NU$20="",NU$21=""),"",SUM($C21:NU21))</f>
        <v/>
      </c>
      <c r="NV88" s="114" t="str">
        <f>IF(OR(NV$13="",NV$17="",NV$14="",NV$15="",NV$16="",NV$18="",NV$19="",NV$20="",NV$21=""),"",SUM($C21:NV21))</f>
        <v/>
      </c>
      <c r="NW88" s="114" t="str">
        <f>IF(OR(NW$13="",NW$17="",NW$14="",NW$15="",NW$16="",NW$18="",NW$19="",NW$20="",NW$21=""),"",SUM($C21:NW21))</f>
        <v/>
      </c>
      <c r="NX88" s="114" t="str">
        <f>IF(OR(NX$13="",NX$17="",NX$14="",NX$15="",NX$16="",NX$18="",NX$19="",NX$20="",NX$21=""),"",SUM($C21:NX21))</f>
        <v/>
      </c>
      <c r="NY88" s="114" t="str">
        <f>IF(OR(NY$13="",NY$17="",NY$14="",NY$15="",NY$16="",NY$18="",NY$19="",NY$20="",NY$21=""),"",SUM($C21:NY21))</f>
        <v/>
      </c>
      <c r="NZ88" s="114" t="str">
        <f>IF(OR(NZ$13="",NZ$17="",NZ$14="",NZ$15="",NZ$16="",NZ$18="",NZ$19="",NZ$20="",NZ$21=""),"",SUM($C21:NZ21))</f>
        <v/>
      </c>
      <c r="OA88" s="114" t="str">
        <f>IF(OR(OA$13="",OA$17="",OA$14="",OA$15="",OA$16="",OA$18="",OA$19="",OA$20="",OA$21=""),"",SUM($C21:OA21))</f>
        <v/>
      </c>
      <c r="OB88" s="114" t="str">
        <f>IF(OR(OB$13="",OB$17="",OB$14="",OB$15="",OB$16="",OB$18="",OB$19="",OB$20="",OB$21=""),"",SUM($C21:OB21))</f>
        <v/>
      </c>
      <c r="OC88" s="114" t="str">
        <f>IF(OR(OC$13="",OC$17="",OC$14="",OC$15="",OC$16="",OC$18="",OC$19="",OC$20="",OC$21=""),"",SUM($C21:OC21))</f>
        <v/>
      </c>
      <c r="OD88" s="114" t="str">
        <f>IF(OR(OD$13="",OD$17="",OD$14="",OD$15="",OD$16="",OD$18="",OD$19="",OD$20="",OD$21=""),"",SUM($C21:OD21))</f>
        <v/>
      </c>
      <c r="OE88" s="114" t="str">
        <f>IF(OR(OE$13="",OE$17="",OE$14="",OE$15="",OE$16="",OE$18="",OE$19="",OE$20="",OE$21=""),"",SUM($C21:OE21))</f>
        <v/>
      </c>
      <c r="OF88" s="114" t="str">
        <f>IF(OR(OF$13="",OF$17="",OF$14="",OF$15="",OF$16="",OF$18="",OF$19="",OF$20="",OF$21=""),"",SUM($C21:OF21))</f>
        <v/>
      </c>
      <c r="OG88" s="114" t="str">
        <f>IF(OR(OG$13="",OG$17="",OG$14="",OG$15="",OG$16="",OG$18="",OG$19="",OG$20="",OG$21=""),"",SUM($C21:OG21))</f>
        <v/>
      </c>
      <c r="OH88" s="114" t="str">
        <f>IF(OR(OH$13="",OH$17="",OH$14="",OH$15="",OH$16="",OH$18="",OH$19="",OH$20="",OH$21=""),"",SUM($C21:OH21))</f>
        <v/>
      </c>
      <c r="OI88" s="114" t="str">
        <f>IF(OR(OI$13="",OI$17="",OI$14="",OI$15="",OI$16="",OI$18="",OI$19="",OI$20="",OI$21=""),"",SUM($C21:OI21))</f>
        <v/>
      </c>
      <c r="OJ88" s="114" t="str">
        <f>IF(OR(OJ$13="",OJ$17="",OJ$14="",OJ$15="",OJ$16="",OJ$18="",OJ$19="",OJ$20="",OJ$21=""),"",SUM($C21:OJ21))</f>
        <v/>
      </c>
      <c r="OK88" s="114" t="str">
        <f>IF(OR(OK$13="",OK$17="",OK$14="",OK$15="",OK$16="",OK$18="",OK$19="",OK$20="",OK$21=""),"",SUM($C21:OK21))</f>
        <v/>
      </c>
      <c r="OL88" s="114" t="str">
        <f>IF(OR(OL$13="",OL$17="",OL$14="",OL$15="",OL$16="",OL$18="",OL$19="",OL$20="",OL$21=""),"",SUM($C21:OL21))</f>
        <v/>
      </c>
      <c r="OM88" s="114" t="str">
        <f>IF(OR(OM$13="",OM$17="",OM$14="",OM$15="",OM$16="",OM$18="",OM$19="",OM$20="",OM$21=""),"",SUM($C21:OM21))</f>
        <v/>
      </c>
      <c r="ON88" s="114" t="str">
        <f>IF(OR(ON$13="",ON$17="",ON$14="",ON$15="",ON$16="",ON$18="",ON$19="",ON$20="",ON$21=""),"",SUM($C21:ON21))</f>
        <v/>
      </c>
      <c r="OO88" s="114" t="str">
        <f>IF(OR(OO$13="",OO$17="",OO$14="",OO$15="",OO$16="",OO$18="",OO$19="",OO$20="",OO$21=""),"",SUM($C21:OO21))</f>
        <v/>
      </c>
      <c r="OP88" s="114" t="str">
        <f>IF(OR(OP$13="",OP$17="",OP$14="",OP$15="",OP$16="",OP$18="",OP$19="",OP$20="",OP$21=""),"",SUM($C21:OP21))</f>
        <v/>
      </c>
      <c r="OQ88" s="114" t="str">
        <f>IF(OR(OQ$13="",OQ$17="",OQ$14="",OQ$15="",OQ$16="",OQ$18="",OQ$19="",OQ$20="",OQ$21=""),"",SUM($C21:OQ21))</f>
        <v/>
      </c>
      <c r="OR88" s="114" t="str">
        <f>IF(OR(OR$13="",OR$17="",OR$14="",OR$15="",OR$16="",OR$18="",OR$19="",OR$20="",OR$21=""),"",SUM($C21:OR21))</f>
        <v/>
      </c>
      <c r="OS88" s="114" t="str">
        <f>IF(OR(OS$13="",OS$17="",OS$14="",OS$15="",OS$16="",OS$18="",OS$19="",OS$20="",OS$21=""),"",SUM($C21:OS21))</f>
        <v/>
      </c>
      <c r="OT88" s="114" t="str">
        <f>IF(OR(OT$13="",OT$17="",OT$14="",OT$15="",OT$16="",OT$18="",OT$19="",OT$20="",OT$21=""),"",SUM($C21:OT21))</f>
        <v/>
      </c>
      <c r="OU88" s="114" t="str">
        <f>IF(OR(OU$13="",OU$17="",OU$14="",OU$15="",OU$16="",OU$18="",OU$19="",OU$20="",OU$21=""),"",SUM($C21:OU21))</f>
        <v/>
      </c>
      <c r="OV88" s="114" t="str">
        <f>IF(OR(OV$13="",OV$17="",OV$14="",OV$15="",OV$16="",OV$18="",OV$19="",OV$20="",OV$21=""),"",SUM($C21:OV21))</f>
        <v/>
      </c>
      <c r="OW88" s="114" t="str">
        <f>IF(OR(OW$13="",OW$17="",OW$14="",OW$15="",OW$16="",OW$18="",OW$19="",OW$20="",OW$21=""),"",SUM($C21:OW21))</f>
        <v/>
      </c>
      <c r="OX88" s="114" t="str">
        <f>IF(OR(OX$13="",OX$17="",OX$14="",OX$15="",OX$16="",OX$18="",OX$19="",OX$20="",OX$21=""),"",SUM($C21:OX21))</f>
        <v/>
      </c>
      <c r="OY88" s="114" t="str">
        <f>IF(OR(OY$13="",OY$17="",OY$14="",OY$15="",OY$16="",OY$18="",OY$19="",OY$20="",OY$21=""),"",SUM($C21:OY21))</f>
        <v/>
      </c>
      <c r="OZ88" s="114" t="str">
        <f>IF(OR(OZ$13="",OZ$17="",OZ$14="",OZ$15="",OZ$16="",OZ$18="",OZ$19="",OZ$20="",OZ$21=""),"",SUM($C21:OZ21))</f>
        <v/>
      </c>
      <c r="PA88" s="114" t="str">
        <f>IF(OR(PA$13="",PA$17="",PA$14="",PA$15="",PA$16="",PA$18="",PA$19="",PA$20="",PA$21=""),"",SUM($C21:PA21))</f>
        <v/>
      </c>
      <c r="PB88" s="114" t="str">
        <f>IF(OR(PB$13="",PB$17="",PB$14="",PB$15="",PB$16="",PB$18="",PB$19="",PB$20="",PB$21=""),"",SUM($C21:PB21))</f>
        <v/>
      </c>
      <c r="PC88" s="114" t="str">
        <f>IF(OR(PC$13="",PC$17="",PC$14="",PC$15="",PC$16="",PC$18="",PC$19="",PC$20="",PC$21=""),"",SUM($C21:PC21))</f>
        <v/>
      </c>
      <c r="PD88" s="114" t="str">
        <f>IF(OR(PD$13="",PD$17="",PD$14="",PD$15="",PD$16="",PD$18="",PD$19="",PD$20="",PD$21=""),"",SUM($C21:PD21))</f>
        <v/>
      </c>
      <c r="PE88" s="114" t="str">
        <f>IF(OR(PE$13="",PE$17="",PE$14="",PE$15="",PE$16="",PE$18="",PE$19="",PE$20="",PE$21=""),"",SUM($C21:PE21))</f>
        <v/>
      </c>
      <c r="PF88" s="114" t="str">
        <f>IF(OR(PF$13="",PF$17="",PF$14="",PF$15="",PF$16="",PF$18="",PF$19="",PF$20="",PF$21=""),"",SUM($C21:PF21))</f>
        <v/>
      </c>
      <c r="PG88" s="114" t="str">
        <f>IF(OR(PG$13="",PG$17="",PG$14="",PG$15="",PG$16="",PG$18="",PG$19="",PG$20="",PG$21=""),"",SUM($C21:PG21))</f>
        <v/>
      </c>
      <c r="PH88" s="114" t="str">
        <f>IF(OR(PH$13="",PH$17="",PH$14="",PH$15="",PH$16="",PH$18="",PH$19="",PH$20="",PH$21=""),"",SUM($C21:PH21))</f>
        <v/>
      </c>
      <c r="PI88" s="114" t="str">
        <f>IF(OR(PI$13="",PI$17="",PI$14="",PI$15="",PI$16="",PI$18="",PI$19="",PI$20="",PI$21=""),"",SUM($C21:PI21))</f>
        <v/>
      </c>
      <c r="PJ88" s="114" t="str">
        <f>IF(OR(PJ$13="",PJ$17="",PJ$14="",PJ$15="",PJ$16="",PJ$18="",PJ$19="",PJ$20="",PJ$21=""),"",SUM($C21:PJ21))</f>
        <v/>
      </c>
      <c r="PK88" s="114" t="str">
        <f>IF(OR(PK$13="",PK$17="",PK$14="",PK$15="",PK$16="",PK$18="",PK$19="",PK$20="",PK$21=""),"",SUM($C21:PK21))</f>
        <v/>
      </c>
      <c r="PL88" s="114" t="str">
        <f>IF(OR(PL$13="",PL$17="",PL$14="",PL$15="",PL$16="",PL$18="",PL$19="",PL$20="",PL$21=""),"",SUM($C21:PL21))</f>
        <v/>
      </c>
      <c r="PM88" s="114" t="str">
        <f>IF(OR(PM$13="",PM$17="",PM$14="",PM$15="",PM$16="",PM$18="",PM$19="",PM$20="",PM$21=""),"",SUM($C21:PM21))</f>
        <v/>
      </c>
      <c r="PN88" s="114" t="str">
        <f>IF(OR(PN$13="",PN$17="",PN$14="",PN$15="",PN$16="",PN$18="",PN$19="",PN$20="",PN$21=""),"",SUM($C21:PN21))</f>
        <v/>
      </c>
      <c r="PO88" s="114" t="str">
        <f>IF(OR(PO$13="",PO$17="",PO$14="",PO$15="",PO$16="",PO$18="",PO$19="",PO$20="",PO$21=""),"",SUM($C21:PO21))</f>
        <v/>
      </c>
      <c r="PP88" s="114" t="str">
        <f>IF(OR(PP$13="",PP$17="",PP$14="",PP$15="",PP$16="",PP$18="",PP$19="",PP$20="",PP$21=""),"",SUM($C21:PP21))</f>
        <v/>
      </c>
      <c r="PQ88" s="114" t="str">
        <f>IF(OR(PQ$13="",PQ$17="",PQ$14="",PQ$15="",PQ$16="",PQ$18="",PQ$19="",PQ$20="",PQ$21=""),"",SUM($C21:PQ21))</f>
        <v/>
      </c>
      <c r="PR88" s="114" t="str">
        <f>IF(OR(PR$13="",PR$17="",PR$14="",PR$15="",PR$16="",PR$18="",PR$19="",PR$20="",PR$21=""),"",SUM($C21:PR21))</f>
        <v/>
      </c>
      <c r="PS88" s="114" t="str">
        <f>IF(OR(PS$13="",PS$17="",PS$14="",PS$15="",PS$16="",PS$18="",PS$19="",PS$20="",PS$21=""),"",SUM($C21:PS21))</f>
        <v/>
      </c>
      <c r="PT88" s="114" t="str">
        <f>IF(OR(PT$13="",PT$17="",PT$14="",PT$15="",PT$16="",PT$18="",PT$19="",PT$20="",PT$21=""),"",SUM($C21:PT21))</f>
        <v/>
      </c>
      <c r="PU88" s="114" t="str">
        <f>IF(OR(PU$13="",PU$17="",PU$14="",PU$15="",PU$16="",PU$18="",PU$19="",PU$20="",PU$21=""),"",SUM($C21:PU21))</f>
        <v/>
      </c>
      <c r="PV88" s="114" t="str">
        <f>IF(OR(PV$13="",PV$17="",PV$14="",PV$15="",PV$16="",PV$18="",PV$19="",PV$20="",PV$21=""),"",SUM($C21:PV21))</f>
        <v/>
      </c>
      <c r="PW88" s="114" t="str">
        <f>IF(OR(PW$13="",PW$17="",PW$14="",PW$15="",PW$16="",PW$18="",PW$19="",PW$20="",PW$21=""),"",SUM($C21:PW21))</f>
        <v/>
      </c>
      <c r="PX88" s="114" t="str">
        <f>IF(OR(PX$13="",PX$17="",PX$14="",PX$15="",PX$16="",PX$18="",PX$19="",PX$20="",PX$21=""),"",SUM($C21:PX21))</f>
        <v/>
      </c>
      <c r="PY88" s="114" t="str">
        <f>IF(OR(PY$13="",PY$17="",PY$14="",PY$15="",PY$16="",PY$18="",PY$19="",PY$20="",PY$21=""),"",SUM($C21:PY21))</f>
        <v/>
      </c>
      <c r="PZ88" s="114" t="str">
        <f>IF(OR(PZ$13="",PZ$17="",PZ$14="",PZ$15="",PZ$16="",PZ$18="",PZ$19="",PZ$20="",PZ$21=""),"",SUM($C21:PZ21))</f>
        <v/>
      </c>
      <c r="QA88" s="114" t="str">
        <f>IF(OR(QA$13="",QA$17="",QA$14="",QA$15="",QA$16="",QA$18="",QA$19="",QA$20="",QA$21=""),"",SUM($C21:QA21))</f>
        <v/>
      </c>
      <c r="QB88" s="114" t="str">
        <f>IF(OR(QB$13="",QB$17="",QB$14="",QB$15="",QB$16="",QB$18="",QB$19="",QB$20="",QB$21=""),"",SUM($C21:QB21))</f>
        <v/>
      </c>
      <c r="QC88" s="114" t="str">
        <f>IF(OR(QC$13="",QC$17="",QC$14="",QC$15="",QC$16="",QC$18="",QC$19="",QC$20="",QC$21=""),"",SUM($C21:QC21))</f>
        <v/>
      </c>
      <c r="QD88" s="114" t="str">
        <f>IF(OR(QD$13="",QD$17="",QD$14="",QD$15="",QD$16="",QD$18="",QD$19="",QD$20="",QD$21=""),"",SUM($C21:QD21))</f>
        <v/>
      </c>
      <c r="QE88" s="114" t="str">
        <f>IF(OR(QE$13="",QE$17="",QE$14="",QE$15="",QE$16="",QE$18="",QE$19="",QE$20="",QE$21=""),"",SUM($C21:QE21))</f>
        <v/>
      </c>
      <c r="QF88" s="114" t="str">
        <f>IF(OR(QF$13="",QF$17="",QF$14="",QF$15="",QF$16="",QF$18="",QF$19="",QF$20="",QF$21=""),"",SUM($C21:QF21))</f>
        <v/>
      </c>
      <c r="QG88" s="114" t="str">
        <f>IF(OR(QG$13="",QG$17="",QG$14="",QG$15="",QG$16="",QG$18="",QG$19="",QG$20="",QG$21=""),"",SUM($C21:QG21))</f>
        <v/>
      </c>
      <c r="QH88" s="114" t="str">
        <f>IF(OR(QH$13="",QH$17="",QH$14="",QH$15="",QH$16="",QH$18="",QH$19="",QH$20="",QH$21=""),"",SUM($C21:QH21))</f>
        <v/>
      </c>
      <c r="QI88" s="114" t="str">
        <f>IF(OR(QI$13="",QI$17="",QI$14="",QI$15="",QI$16="",QI$18="",QI$19="",QI$20="",QI$21=""),"",SUM($C21:QI21))</f>
        <v/>
      </c>
      <c r="QJ88" s="114" t="str">
        <f>IF(OR(QJ$13="",QJ$17="",QJ$14="",QJ$15="",QJ$16="",QJ$18="",QJ$19="",QJ$20="",QJ$21=""),"",SUM($C21:QJ21))</f>
        <v/>
      </c>
      <c r="QK88" s="114" t="str">
        <f>IF(OR(QK$13="",QK$17="",QK$14="",QK$15="",QK$16="",QK$18="",QK$19="",QK$20="",QK$21=""),"",SUM($C21:QK21))</f>
        <v/>
      </c>
      <c r="QL88" s="114" t="str">
        <f>IF(OR(QL$13="",QL$17="",QL$14="",QL$15="",QL$16="",QL$18="",QL$19="",QL$20="",QL$21=""),"",SUM($C21:QL21))</f>
        <v/>
      </c>
      <c r="QM88" s="114" t="str">
        <f>IF(OR(QM$13="",QM$17="",QM$14="",QM$15="",QM$16="",QM$18="",QM$19="",QM$20="",QM$21=""),"",SUM($C21:QM21))</f>
        <v/>
      </c>
      <c r="QN88" s="114" t="str">
        <f>IF(OR(QN$13="",QN$17="",QN$14="",QN$15="",QN$16="",QN$18="",QN$19="",QN$20="",QN$21=""),"",SUM($C21:QN21))</f>
        <v/>
      </c>
      <c r="QO88" s="114" t="str">
        <f>IF(OR(QO$13="",QO$17="",QO$14="",QO$15="",QO$16="",QO$18="",QO$19="",QO$20="",QO$21=""),"",SUM($C21:QO21))</f>
        <v/>
      </c>
      <c r="QP88" s="114" t="str">
        <f>IF(OR(QP$13="",QP$17="",QP$14="",QP$15="",QP$16="",QP$18="",QP$19="",QP$20="",QP$21=""),"",SUM($C21:QP21))</f>
        <v/>
      </c>
      <c r="QQ88" s="114" t="str">
        <f>IF(OR(QQ$13="",QQ$17="",QQ$14="",QQ$15="",QQ$16="",QQ$18="",QQ$19="",QQ$20="",QQ$21=""),"",SUM($C21:QQ21))</f>
        <v/>
      </c>
      <c r="QR88" s="114" t="str">
        <f>IF(OR(QR$13="",QR$17="",QR$14="",QR$15="",QR$16="",QR$18="",QR$19="",QR$20="",QR$21=""),"",SUM($C21:QR21))</f>
        <v/>
      </c>
      <c r="QS88" s="114" t="str">
        <f>IF(OR(QS$13="",QS$17="",QS$14="",QS$15="",QS$16="",QS$18="",QS$19="",QS$20="",QS$21=""),"",SUM($C21:QS21))</f>
        <v/>
      </c>
      <c r="QT88" s="114" t="str">
        <f>IF(OR(QT$13="",QT$17="",QT$14="",QT$15="",QT$16="",QT$18="",QT$19="",QT$20="",QT$21=""),"",SUM($C21:QT21))</f>
        <v/>
      </c>
      <c r="QU88" s="114" t="str">
        <f>IF(OR(QU$13="",QU$17="",QU$14="",QU$15="",QU$16="",QU$18="",QU$19="",QU$20="",QU$21=""),"",SUM($C21:QU21))</f>
        <v/>
      </c>
      <c r="QV88" s="114" t="str">
        <f>IF(OR(QV$13="",QV$17="",QV$14="",QV$15="",QV$16="",QV$18="",QV$19="",QV$20="",QV$21=""),"",SUM($C21:QV21))</f>
        <v/>
      </c>
      <c r="QW88" s="114" t="str">
        <f>IF(OR(QW$13="",QW$17="",QW$14="",QW$15="",QW$16="",QW$18="",QW$19="",QW$20="",QW$21=""),"",SUM($C21:QW21))</f>
        <v/>
      </c>
      <c r="QX88" s="114" t="str">
        <f>IF(OR(QX$13="",QX$17="",QX$14="",QX$15="",QX$16="",QX$18="",QX$19="",QX$20="",QX$21=""),"",SUM($C21:QX21))</f>
        <v/>
      </c>
      <c r="QY88" s="114" t="str">
        <f>IF(OR(QY$13="",QY$17="",QY$14="",QY$15="",QY$16="",QY$18="",QY$19="",QY$20="",QY$21=""),"",SUM($C21:QY21))</f>
        <v/>
      </c>
      <c r="QZ88" s="114" t="str">
        <f>IF(OR(QZ$13="",QZ$17="",QZ$14="",QZ$15="",QZ$16="",QZ$18="",QZ$19="",QZ$20="",QZ$21=""),"",SUM($C21:QZ21))</f>
        <v/>
      </c>
      <c r="RA88" s="114" t="str">
        <f>IF(OR(RA$13="",RA$17="",RA$14="",RA$15="",RA$16="",RA$18="",RA$19="",RA$20="",RA$21=""),"",SUM($C21:RA21))</f>
        <v/>
      </c>
      <c r="RB88" s="114" t="str">
        <f>IF(OR(RB$13="",RB$17="",RB$14="",RB$15="",RB$16="",RB$18="",RB$19="",RB$20="",RB$21=""),"",SUM($C21:RB21))</f>
        <v/>
      </c>
      <c r="RC88" s="114" t="str">
        <f>IF(OR(RC$13="",RC$17="",RC$14="",RC$15="",RC$16="",RC$18="",RC$19="",RC$20="",RC$21=""),"",SUM($C21:RC21))</f>
        <v/>
      </c>
      <c r="RD88" s="114" t="str">
        <f>IF(OR(RD$13="",RD$17="",RD$14="",RD$15="",RD$16="",RD$18="",RD$19="",RD$20="",RD$21=""),"",SUM($C21:RD21))</f>
        <v/>
      </c>
      <c r="RE88" s="114" t="str">
        <f>IF(OR(RE$13="",RE$17="",RE$14="",RE$15="",RE$16="",RE$18="",RE$19="",RE$20="",RE$21=""),"",SUM($C21:RE21))</f>
        <v/>
      </c>
      <c r="RF88" s="114" t="str">
        <f>IF(OR(RF$13="",RF$17="",RF$14="",RF$15="",RF$16="",RF$18="",RF$19="",RF$20="",RF$21=""),"",SUM($C21:RF21))</f>
        <v/>
      </c>
      <c r="RG88" s="114" t="str">
        <f>IF(OR(RG$13="",RG$17="",RG$14="",RG$15="",RG$16="",RG$18="",RG$19="",RG$20="",RG$21=""),"",SUM($C21:RG21))</f>
        <v/>
      </c>
      <c r="RH88" s="114" t="str">
        <f>IF(OR(RH$13="",RH$17="",RH$14="",RH$15="",RH$16="",RH$18="",RH$19="",RH$20="",RH$21=""),"",SUM($C21:RH21))</f>
        <v/>
      </c>
      <c r="RI88" s="114" t="str">
        <f>IF(OR(RI$13="",RI$17="",RI$14="",RI$15="",RI$16="",RI$18="",RI$19="",RI$20="",RI$21=""),"",SUM($C21:RI21))</f>
        <v/>
      </c>
      <c r="RJ88" s="114" t="str">
        <f>IF(OR(RJ$13="",RJ$17="",RJ$14="",RJ$15="",RJ$16="",RJ$18="",RJ$19="",RJ$20="",RJ$21=""),"",SUM($C21:RJ21))</f>
        <v/>
      </c>
      <c r="RK88" s="114" t="str">
        <f>IF(OR(RK$13="",RK$17="",RK$14="",RK$15="",RK$16="",RK$18="",RK$19="",RK$20="",RK$21=""),"",SUM($C21:RK21))</f>
        <v/>
      </c>
      <c r="RL88" s="114" t="str">
        <f>IF(OR(RL$13="",RL$17="",RL$14="",RL$15="",RL$16="",RL$18="",RL$19="",RL$20="",RL$21=""),"",SUM($C21:RL21))</f>
        <v/>
      </c>
      <c r="RM88" s="114" t="str">
        <f>IF(OR(RM$13="",RM$17="",RM$14="",RM$15="",RM$16="",RM$18="",RM$19="",RM$20="",RM$21=""),"",SUM($C21:RM21))</f>
        <v/>
      </c>
      <c r="RN88" s="114" t="str">
        <f>IF(OR(RN$13="",RN$17="",RN$14="",RN$15="",RN$16="",RN$18="",RN$19="",RN$20="",RN$21=""),"",SUM($C21:RN21))</f>
        <v/>
      </c>
      <c r="RO88" s="114" t="str">
        <f>IF(OR(RO$13="",RO$17="",RO$14="",RO$15="",RO$16="",RO$18="",RO$19="",RO$20="",RO$21=""),"",SUM($C21:RO21))</f>
        <v/>
      </c>
      <c r="RP88" s="114" t="str">
        <f>IF(OR(RP$13="",RP$17="",RP$14="",RP$15="",RP$16="",RP$18="",RP$19="",RP$20="",RP$21=""),"",SUM($C21:RP21))</f>
        <v/>
      </c>
      <c r="RQ88" s="114" t="str">
        <f>IF(OR(RQ$13="",RQ$17="",RQ$14="",RQ$15="",RQ$16="",RQ$18="",RQ$19="",RQ$20="",RQ$21=""),"",SUM($C21:RQ21))</f>
        <v/>
      </c>
      <c r="RR88" s="114" t="str">
        <f>IF(OR(RR$13="",RR$17="",RR$14="",RR$15="",RR$16="",RR$18="",RR$19="",RR$20="",RR$21=""),"",SUM($C21:RR21))</f>
        <v/>
      </c>
      <c r="RS88" s="114" t="str">
        <f>IF(OR(RS$13="",RS$17="",RS$14="",RS$15="",RS$16="",RS$18="",RS$19="",RS$20="",RS$21=""),"",SUM($C21:RS21))</f>
        <v/>
      </c>
      <c r="RT88" s="114" t="str">
        <f>IF(OR(RT$13="",RT$17="",RT$14="",RT$15="",RT$16="",RT$18="",RT$19="",RT$20="",RT$21=""),"",SUM($C21:RT21))</f>
        <v/>
      </c>
      <c r="RU88" s="114" t="str">
        <f>IF(OR(RU$13="",RU$17="",RU$14="",RU$15="",RU$16="",RU$18="",RU$19="",RU$20="",RU$21=""),"",SUM($C21:RU21))</f>
        <v/>
      </c>
      <c r="RV88" s="114" t="str">
        <f>IF(OR(RV$13="",RV$17="",RV$14="",RV$15="",RV$16="",RV$18="",RV$19="",RV$20="",RV$21=""),"",SUM($C21:RV21))</f>
        <v/>
      </c>
      <c r="RW88" s="114" t="str">
        <f>IF(OR(RW$13="",RW$17="",RW$14="",RW$15="",RW$16="",RW$18="",RW$19="",RW$20="",RW$21=""),"",SUM($C21:RW21))</f>
        <v/>
      </c>
      <c r="RX88" s="114" t="str">
        <f>IF(OR(RX$13="",RX$17="",RX$14="",RX$15="",RX$16="",RX$18="",RX$19="",RX$20="",RX$21=""),"",SUM($C21:RX21))</f>
        <v/>
      </c>
      <c r="RY88" s="114" t="str">
        <f>IF(OR(RY$13="",RY$17="",RY$14="",RY$15="",RY$16="",RY$18="",RY$19="",RY$20="",RY$21=""),"",SUM($C21:RY21))</f>
        <v/>
      </c>
      <c r="RZ88" s="114" t="str">
        <f>IF(OR(RZ$13="",RZ$17="",RZ$14="",RZ$15="",RZ$16="",RZ$18="",RZ$19="",RZ$20="",RZ$21=""),"",SUM($C21:RZ21))</f>
        <v/>
      </c>
      <c r="SA88" s="114" t="str">
        <f>IF(OR(SA$13="",SA$17="",SA$14="",SA$15="",SA$16="",SA$18="",SA$19="",SA$20="",SA$21=""),"",SUM($C21:SA21))</f>
        <v/>
      </c>
      <c r="SB88" s="114" t="str">
        <f>IF(OR(SB$13="",SB$17="",SB$14="",SB$15="",SB$16="",SB$18="",SB$19="",SB$20="",SB$21=""),"",SUM($C21:SB21))</f>
        <v/>
      </c>
      <c r="SC88" s="114" t="str">
        <f>IF(OR(SC$13="",SC$17="",SC$14="",SC$15="",SC$16="",SC$18="",SC$19="",SC$20="",SC$21=""),"",SUM($C21:SC21))</f>
        <v/>
      </c>
      <c r="SD88" s="114" t="str">
        <f>IF(OR(SD$13="",SD$17="",SD$14="",SD$15="",SD$16="",SD$18="",SD$19="",SD$20="",SD$21=""),"",SUM($C21:SD21))</f>
        <v/>
      </c>
      <c r="SE88" s="114" t="str">
        <f>IF(OR(SE$13="",SE$17="",SE$14="",SE$15="",SE$16="",SE$18="",SE$19="",SE$20="",SE$21=""),"",SUM($C21:SE21))</f>
        <v/>
      </c>
      <c r="SF88" s="114" t="str">
        <f>IF(OR(SF$13="",SF$17="",SF$14="",SF$15="",SF$16="",SF$18="",SF$19="",SF$20="",SF$21=""),"",SUM($C21:SF21))</f>
        <v/>
      </c>
      <c r="SG88" s="114" t="str">
        <f>IF(OR(SG$13="",SG$17="",SG$14="",SG$15="",SG$16="",SG$18="",SG$19="",SG$20="",SG$21=""),"",SUM($C21:SG21))</f>
        <v/>
      </c>
      <c r="SH88" s="114" t="str">
        <f>IF(OR(SH$13="",SH$17="",SH$14="",SH$15="",SH$16="",SH$18="",SH$19="",SH$20="",SH$21=""),"",SUM($C21:SH21))</f>
        <v/>
      </c>
      <c r="SI88" s="114" t="str">
        <f>IF(OR(SI$13="",SI$17="",SI$14="",SI$15="",SI$16="",SI$18="",SI$19="",SI$20="",SI$21=""),"",SUM($C21:SI21))</f>
        <v/>
      </c>
      <c r="SJ88" s="114" t="str">
        <f>IF(OR(SJ$13="",SJ$17="",SJ$14="",SJ$15="",SJ$16="",SJ$18="",SJ$19="",SJ$20="",SJ$21=""),"",SUM($C21:SJ21))</f>
        <v/>
      </c>
      <c r="SK88" s="114" t="str">
        <f>IF(OR(SK$13="",SK$17="",SK$14="",SK$15="",SK$16="",SK$18="",SK$19="",SK$20="",SK$21=""),"",SUM($C21:SK21))</f>
        <v/>
      </c>
      <c r="SL88" s="114" t="str">
        <f>IF(OR(SL$13="",SL$17="",SL$14="",SL$15="",SL$16="",SL$18="",SL$19="",SL$20="",SL$21=""),"",SUM($C21:SL21))</f>
        <v/>
      </c>
      <c r="SM88" s="114" t="str">
        <f>IF(OR(SM$13="",SM$17="",SM$14="",SM$15="",SM$16="",SM$18="",SM$19="",SM$20="",SM$21=""),"",SUM($C21:SM21))</f>
        <v/>
      </c>
      <c r="SN88" s="114" t="str">
        <f>IF(OR(SN$13="",SN$17="",SN$14="",SN$15="",SN$16="",SN$18="",SN$19="",SN$20="",SN$21=""),"",SUM($C21:SN21))</f>
        <v/>
      </c>
      <c r="SO88" s="114" t="str">
        <f>IF(OR(SO$13="",SO$17="",SO$14="",SO$15="",SO$16="",SO$18="",SO$19="",SO$20="",SO$21=""),"",SUM($C21:SO21))</f>
        <v/>
      </c>
      <c r="SP88" s="114" t="str">
        <f>IF(OR(SP$13="",SP$17="",SP$14="",SP$15="",SP$16="",SP$18="",SP$19="",SP$20="",SP$21=""),"",SUM($C21:SP21))</f>
        <v/>
      </c>
      <c r="SQ88" s="114" t="str">
        <f>IF(OR(SQ$13="",SQ$17="",SQ$14="",SQ$15="",SQ$16="",SQ$18="",SQ$19="",SQ$20="",SQ$21=""),"",SUM($C21:SQ21))</f>
        <v/>
      </c>
      <c r="SR88" s="114" t="str">
        <f>IF(OR(SR$13="",SR$17="",SR$14="",SR$15="",SR$16="",SR$18="",SR$19="",SR$20="",SR$21=""),"",SUM($C21:SR21))</f>
        <v/>
      </c>
      <c r="SS88" s="114" t="str">
        <f>IF(OR(SS$13="",SS$17="",SS$14="",SS$15="",SS$16="",SS$18="",SS$19="",SS$20="",SS$21=""),"",SUM($C21:SS21))</f>
        <v/>
      </c>
      <c r="ST88" s="114" t="str">
        <f>IF(OR(ST$13="",ST$17="",ST$14="",ST$15="",ST$16="",ST$18="",ST$19="",ST$20="",ST$21=""),"",SUM($C21:ST21))</f>
        <v/>
      </c>
      <c r="SU88" s="114" t="str">
        <f>IF(OR(SU$13="",SU$17="",SU$14="",SU$15="",SU$16="",SU$18="",SU$19="",SU$20="",SU$21=""),"",SUM($C21:SU21))</f>
        <v/>
      </c>
      <c r="SV88" s="114" t="str">
        <f>IF(OR(SV$13="",SV$17="",SV$14="",SV$15="",SV$16="",SV$18="",SV$19="",SV$20="",SV$21=""),"",SUM($C21:SV21))</f>
        <v/>
      </c>
      <c r="SW88" s="114" t="str">
        <f>IF(OR(SW$13="",SW$17="",SW$14="",SW$15="",SW$16="",SW$18="",SW$19="",SW$20="",SW$21=""),"",SUM($C21:SW21))</f>
        <v/>
      </c>
    </row>
    <row r="89" spans="1:517" ht="24.6" customHeight="1" x14ac:dyDescent="0.2">
      <c r="A89" s="94">
        <f>COUNTIF(A80:A88,B89)</f>
        <v>5</v>
      </c>
      <c r="B89" s="115" t="s">
        <v>86</v>
      </c>
      <c r="C89" s="116">
        <f>IF(OR(C80="",C81="",C82="",C83="",C84="",C85="",C86="",C87="",C88=""),"",SUMIF($A$80:$A$88,$B89,C$80:C$88))</f>
        <v>0</v>
      </c>
      <c r="D89" s="116">
        <f t="shared" ref="D89:BO89" si="597">IF(OR(D80="",D81="",D82="",D83="",D84="",D85="",D86="",D87=""),"",SUMIF($A$80:$A$88,$B89,D$80:D$88))</f>
        <v>0</v>
      </c>
      <c r="E89" s="116">
        <f t="shared" si="597"/>
        <v>2.4</v>
      </c>
      <c r="F89" s="116">
        <f t="shared" si="597"/>
        <v>2.4</v>
      </c>
      <c r="G89" s="116">
        <f t="shared" si="597"/>
        <v>2.4</v>
      </c>
      <c r="H89" s="116">
        <f t="shared" si="597"/>
        <v>9.6199999999999992</v>
      </c>
      <c r="I89" s="116">
        <f t="shared" si="597"/>
        <v>11.09</v>
      </c>
      <c r="J89" s="116">
        <f t="shared" si="597"/>
        <v>37.590000000000003</v>
      </c>
      <c r="K89" s="116">
        <f t="shared" si="597"/>
        <v>38.840000000000003</v>
      </c>
      <c r="L89" s="116">
        <f t="shared" si="597"/>
        <v>47.070000000000007</v>
      </c>
      <c r="M89" s="116">
        <f t="shared" si="597"/>
        <v>83.440000000000012</v>
      </c>
      <c r="N89" s="116">
        <f t="shared" si="597"/>
        <v>92.04000000000002</v>
      </c>
      <c r="O89" s="116">
        <f t="shared" si="597"/>
        <v>134.86000000000001</v>
      </c>
      <c r="P89" s="116">
        <f t="shared" si="597"/>
        <v>134.86000000000001</v>
      </c>
      <c r="Q89" s="116">
        <f t="shared" si="597"/>
        <v>141.31000000000003</v>
      </c>
      <c r="R89" s="116">
        <f t="shared" si="597"/>
        <v>171.42000000000002</v>
      </c>
      <c r="S89" s="116">
        <f t="shared" si="597"/>
        <v>172.44</v>
      </c>
      <c r="T89" s="116">
        <f t="shared" si="597"/>
        <v>177.87</v>
      </c>
      <c r="U89" s="116">
        <f t="shared" si="597"/>
        <v>181.14</v>
      </c>
      <c r="V89" s="116">
        <f t="shared" si="597"/>
        <v>194.91</v>
      </c>
      <c r="W89" s="116">
        <f t="shared" si="597"/>
        <v>195.13</v>
      </c>
      <c r="X89" s="116">
        <f t="shared" si="597"/>
        <v>221.08999999999997</v>
      </c>
      <c r="Y89" s="116">
        <f t="shared" si="597"/>
        <v>276.64</v>
      </c>
      <c r="Z89" s="116">
        <f t="shared" si="597"/>
        <v>286.04000000000002</v>
      </c>
      <c r="AA89" s="116">
        <f t="shared" si="597"/>
        <v>289.59000000000003</v>
      </c>
      <c r="AB89" s="116">
        <f t="shared" si="597"/>
        <v>289.59000000000003</v>
      </c>
      <c r="AC89" s="116">
        <f t="shared" si="597"/>
        <v>290.75</v>
      </c>
      <c r="AD89" s="116">
        <f t="shared" si="597"/>
        <v>333.25</v>
      </c>
      <c r="AE89" s="116">
        <f t="shared" si="597"/>
        <v>333.25</v>
      </c>
      <c r="AF89" s="116">
        <f t="shared" si="597"/>
        <v>348.48</v>
      </c>
      <c r="AG89" s="116">
        <f t="shared" si="597"/>
        <v>354.46000000000004</v>
      </c>
      <c r="AH89" s="116">
        <f t="shared" si="597"/>
        <v>356.43</v>
      </c>
      <c r="AI89" s="116">
        <f t="shared" si="597"/>
        <v>379.22</v>
      </c>
      <c r="AJ89" s="116">
        <f t="shared" si="597"/>
        <v>385.24</v>
      </c>
      <c r="AK89" s="116">
        <f t="shared" si="597"/>
        <v>393.11</v>
      </c>
      <c r="AL89" s="116">
        <f t="shared" si="597"/>
        <v>399.65999999999997</v>
      </c>
      <c r="AM89" s="116">
        <f t="shared" si="597"/>
        <v>421.62</v>
      </c>
      <c r="AN89" s="116">
        <f t="shared" si="597"/>
        <v>426.58</v>
      </c>
      <c r="AO89" s="116">
        <f t="shared" si="597"/>
        <v>440.78</v>
      </c>
      <c r="AP89" s="116">
        <f t="shared" si="597"/>
        <v>458.46999999999997</v>
      </c>
      <c r="AQ89" s="116">
        <f t="shared" si="597"/>
        <v>476.88</v>
      </c>
      <c r="AR89" s="116">
        <f t="shared" si="597"/>
        <v>493.49</v>
      </c>
      <c r="AS89" s="116">
        <f t="shared" si="597"/>
        <v>512.64</v>
      </c>
      <c r="AT89" s="116">
        <f t="shared" si="597"/>
        <v>515.45000000000005</v>
      </c>
      <c r="AU89" s="116">
        <f t="shared" si="597"/>
        <v>535.87</v>
      </c>
      <c r="AV89" s="116">
        <f t="shared" si="597"/>
        <v>564.39</v>
      </c>
      <c r="AW89" s="116">
        <f t="shared" si="597"/>
        <v>578.04</v>
      </c>
      <c r="AX89" s="116">
        <f t="shared" si="597"/>
        <v>581.23</v>
      </c>
      <c r="AY89" s="116">
        <f t="shared" si="597"/>
        <v>615.88</v>
      </c>
      <c r="AZ89" s="116">
        <f t="shared" si="597"/>
        <v>639.77</v>
      </c>
      <c r="BA89" s="116">
        <f t="shared" si="597"/>
        <v>666.43000000000006</v>
      </c>
      <c r="BB89" s="116">
        <f t="shared" si="597"/>
        <v>669.21</v>
      </c>
      <c r="BC89" s="116">
        <f t="shared" si="597"/>
        <v>680.87</v>
      </c>
      <c r="BD89" s="116">
        <f t="shared" si="597"/>
        <v>684.14</v>
      </c>
      <c r="BE89" s="116">
        <f t="shared" si="597"/>
        <v>688.84999999999991</v>
      </c>
      <c r="BF89" s="116">
        <f t="shared" si="597"/>
        <v>692.77</v>
      </c>
      <c r="BG89" s="116">
        <f t="shared" si="597"/>
        <v>697.6</v>
      </c>
      <c r="BH89" s="116">
        <f t="shared" si="597"/>
        <v>701.4</v>
      </c>
      <c r="BI89" s="116">
        <f t="shared" si="597"/>
        <v>710.13</v>
      </c>
      <c r="BJ89" s="116">
        <f t="shared" si="597"/>
        <v>741.26</v>
      </c>
      <c r="BK89" s="116">
        <f t="shared" si="597"/>
        <v>769.87</v>
      </c>
      <c r="BL89" s="116">
        <f t="shared" si="597"/>
        <v>812.92000000000007</v>
      </c>
      <c r="BM89" s="116">
        <f t="shared" si="597"/>
        <v>812.92000000000007</v>
      </c>
      <c r="BN89" s="116">
        <f t="shared" si="597"/>
        <v>837.62000000000012</v>
      </c>
      <c r="BO89" s="116">
        <f t="shared" si="597"/>
        <v>862.13</v>
      </c>
      <c r="BP89" s="116">
        <f t="shared" ref="BP89:EA89" si="598">IF(OR(BP80="",BP81="",BP82="",BP83="",BP84="",BP85="",BP86="",BP87=""),"",SUMIF($A$80:$A$88,$B89,BP$80:BP$88))</f>
        <v>866.17000000000007</v>
      </c>
      <c r="BQ89" s="116">
        <f t="shared" si="598"/>
        <v>872.16000000000008</v>
      </c>
      <c r="BR89" s="116">
        <f t="shared" si="598"/>
        <v>890.99</v>
      </c>
      <c r="BS89" s="116">
        <f t="shared" si="598"/>
        <v>913.87000000000012</v>
      </c>
      <c r="BT89" s="116">
        <f t="shared" si="598"/>
        <v>920.04000000000008</v>
      </c>
      <c r="BU89" s="116">
        <f t="shared" si="598"/>
        <v>925.82</v>
      </c>
      <c r="BV89" s="116">
        <f t="shared" si="598"/>
        <v>943.83000000000015</v>
      </c>
      <c r="BW89" s="116">
        <f t="shared" si="598"/>
        <v>956.0300000000002</v>
      </c>
      <c r="BX89" s="116">
        <f t="shared" si="598"/>
        <v>958.55000000000018</v>
      </c>
      <c r="BY89" s="116">
        <f t="shared" si="598"/>
        <v>963.75000000000023</v>
      </c>
      <c r="BZ89" s="116">
        <f t="shared" si="598"/>
        <v>967.2800000000002</v>
      </c>
      <c r="CA89" s="116">
        <f t="shared" si="598"/>
        <v>980.16000000000008</v>
      </c>
      <c r="CB89" s="116">
        <f t="shared" si="598"/>
        <v>1042.6300000000001</v>
      </c>
      <c r="CC89" s="116">
        <f t="shared" si="598"/>
        <v>1092.22</v>
      </c>
      <c r="CD89" s="116">
        <f t="shared" si="598"/>
        <v>1100.01</v>
      </c>
      <c r="CE89" s="116">
        <f t="shared" si="598"/>
        <v>1100.01</v>
      </c>
      <c r="CF89" s="116">
        <f t="shared" si="598"/>
        <v>1117.67</v>
      </c>
      <c r="CG89" s="116">
        <f t="shared" si="598"/>
        <v>1117.99</v>
      </c>
      <c r="CH89" s="116">
        <f t="shared" si="598"/>
        <v>1122.8900000000001</v>
      </c>
      <c r="CI89" s="116">
        <f t="shared" si="598"/>
        <v>1134.5400000000002</v>
      </c>
      <c r="CJ89" s="116">
        <f t="shared" si="598"/>
        <v>1144.8000000000002</v>
      </c>
      <c r="CK89" s="116">
        <f t="shared" si="598"/>
        <v>1144.8000000000002</v>
      </c>
      <c r="CL89" s="116">
        <f t="shared" si="598"/>
        <v>1146.8800000000001</v>
      </c>
      <c r="CM89" s="116">
        <f t="shared" si="598"/>
        <v>1175.29</v>
      </c>
      <c r="CN89" s="116">
        <f t="shared" si="598"/>
        <v>1186.04</v>
      </c>
      <c r="CO89" s="116">
        <f t="shared" si="598"/>
        <v>1221</v>
      </c>
      <c r="CP89" s="116">
        <f t="shared" si="598"/>
        <v>1231.8600000000001</v>
      </c>
      <c r="CQ89" s="116">
        <f t="shared" si="598"/>
        <v>1249.58</v>
      </c>
      <c r="CR89" s="116">
        <f t="shared" si="598"/>
        <v>1282.56</v>
      </c>
      <c r="CS89" s="116">
        <f t="shared" si="598"/>
        <v>1313.74</v>
      </c>
      <c r="CT89" s="116">
        <f t="shared" si="598"/>
        <v>1331.74</v>
      </c>
      <c r="CU89" s="116">
        <f t="shared" si="598"/>
        <v>1342.21</v>
      </c>
      <c r="CV89" s="116">
        <f t="shared" si="598"/>
        <v>1343.64</v>
      </c>
      <c r="CW89" s="116">
        <f t="shared" si="598"/>
        <v>1343.64</v>
      </c>
      <c r="CX89" s="116">
        <f t="shared" si="598"/>
        <v>1343.64</v>
      </c>
      <c r="CY89" s="116">
        <f t="shared" si="598"/>
        <v>1360.5700000000002</v>
      </c>
      <c r="CZ89" s="116">
        <f t="shared" si="598"/>
        <v>1360.5700000000002</v>
      </c>
      <c r="DA89" s="116">
        <f t="shared" si="598"/>
        <v>1377.96</v>
      </c>
      <c r="DB89" s="116">
        <f t="shared" si="598"/>
        <v>1382.34</v>
      </c>
      <c r="DC89" s="116">
        <f t="shared" si="598"/>
        <v>1382.34</v>
      </c>
      <c r="DD89" s="116">
        <f t="shared" si="598"/>
        <v>1396.15</v>
      </c>
      <c r="DE89" s="116">
        <f t="shared" si="598"/>
        <v>1407.85</v>
      </c>
      <c r="DF89" s="116">
        <f t="shared" si="598"/>
        <v>1409.85</v>
      </c>
      <c r="DG89" s="116">
        <f t="shared" si="598"/>
        <v>1425.1000000000001</v>
      </c>
      <c r="DH89" s="116">
        <f t="shared" si="598"/>
        <v>1469.84</v>
      </c>
      <c r="DI89" s="116">
        <f t="shared" si="598"/>
        <v>1471.6799999999998</v>
      </c>
      <c r="DJ89" s="116">
        <f t="shared" si="598"/>
        <v>1477.9399999999998</v>
      </c>
      <c r="DK89" s="116">
        <f t="shared" si="598"/>
        <v>1481.6299999999999</v>
      </c>
      <c r="DL89" s="116">
        <f t="shared" si="598"/>
        <v>1485.25</v>
      </c>
      <c r="DM89" s="116">
        <f t="shared" si="598"/>
        <v>1485.25</v>
      </c>
      <c r="DN89" s="116">
        <f t="shared" si="598"/>
        <v>1485.25</v>
      </c>
      <c r="DO89" s="116">
        <f t="shared" si="598"/>
        <v>1494</v>
      </c>
      <c r="DP89" s="116">
        <f t="shared" si="598"/>
        <v>1502.1</v>
      </c>
      <c r="DQ89" s="116">
        <f t="shared" si="598"/>
        <v>1503.23</v>
      </c>
      <c r="DR89" s="116">
        <f t="shared" si="598"/>
        <v>1539.25</v>
      </c>
      <c r="DS89" s="116">
        <f t="shared" si="598"/>
        <v>1555.63</v>
      </c>
      <c r="DT89" s="116">
        <f t="shared" si="598"/>
        <v>1560.5900000000001</v>
      </c>
      <c r="DU89" s="116">
        <f t="shared" si="598"/>
        <v>1596.54</v>
      </c>
      <c r="DV89" s="116">
        <f t="shared" si="598"/>
        <v>1602.39</v>
      </c>
      <c r="DW89" s="116">
        <f t="shared" si="598"/>
        <v>1603.66</v>
      </c>
      <c r="DX89" s="116">
        <f t="shared" si="598"/>
        <v>1617.71</v>
      </c>
      <c r="DY89" s="116">
        <f t="shared" si="598"/>
        <v>1622.3000000000002</v>
      </c>
      <c r="DZ89" s="116">
        <f t="shared" si="598"/>
        <v>1642.13</v>
      </c>
      <c r="EA89" s="116">
        <f t="shared" si="598"/>
        <v>1642.13</v>
      </c>
      <c r="EB89" s="116">
        <f t="shared" ref="EB89:GM89" si="599">IF(OR(EB80="",EB81="",EB82="",EB83="",EB84="",EB85="",EB86="",EB87=""),"",SUMIF($A$80:$A$88,$B89,EB$80:EB$88))</f>
        <v>1650.12</v>
      </c>
      <c r="EC89" s="116">
        <f t="shared" si="599"/>
        <v>1692.7600000000002</v>
      </c>
      <c r="ED89" s="116">
        <f t="shared" si="599"/>
        <v>1706.8600000000001</v>
      </c>
      <c r="EE89" s="116">
        <f t="shared" si="599"/>
        <v>1754.0900000000001</v>
      </c>
      <c r="EF89" s="116">
        <f t="shared" si="599"/>
        <v>1754.0900000000001</v>
      </c>
      <c r="EG89" s="116">
        <f t="shared" si="599"/>
        <v>1794.0100000000002</v>
      </c>
      <c r="EH89" s="116">
        <f t="shared" si="599"/>
        <v>1794.38</v>
      </c>
      <c r="EI89" s="116">
        <f t="shared" si="599"/>
        <v>1823.2599999999998</v>
      </c>
      <c r="EJ89" s="116">
        <f t="shared" si="599"/>
        <v>1836.7199999999998</v>
      </c>
      <c r="EK89" s="116">
        <f t="shared" si="599"/>
        <v>1844.62</v>
      </c>
      <c r="EL89" s="116">
        <f t="shared" si="599"/>
        <v>1869.77</v>
      </c>
      <c r="EM89" s="116">
        <f t="shared" si="599"/>
        <v>1880.3400000000001</v>
      </c>
      <c r="EN89" s="116">
        <f t="shared" si="599"/>
        <v>1882.44</v>
      </c>
      <c r="EO89" s="116">
        <f t="shared" si="599"/>
        <v>1910.3700000000001</v>
      </c>
      <c r="EP89" s="116">
        <f t="shared" si="599"/>
        <v>1945.2400000000002</v>
      </c>
      <c r="EQ89" s="116">
        <f t="shared" si="599"/>
        <v>1948.62</v>
      </c>
      <c r="ER89" s="116">
        <f t="shared" si="599"/>
        <v>1958.02</v>
      </c>
      <c r="ES89" s="116">
        <f t="shared" si="599"/>
        <v>1965.77</v>
      </c>
      <c r="ET89" s="116">
        <f t="shared" si="599"/>
        <v>1972.3000000000002</v>
      </c>
      <c r="EU89" s="116">
        <f t="shared" si="599"/>
        <v>1972.3000000000002</v>
      </c>
      <c r="EV89" s="116">
        <f t="shared" si="599"/>
        <v>1972.3000000000002</v>
      </c>
      <c r="EW89" s="116">
        <f t="shared" si="599"/>
        <v>1972.3000000000002</v>
      </c>
      <c r="EX89" s="116">
        <f t="shared" si="599"/>
        <v>1972.3000000000002</v>
      </c>
      <c r="EY89" s="116">
        <f t="shared" si="599"/>
        <v>1972.3000000000002</v>
      </c>
      <c r="EZ89" s="116">
        <f t="shared" si="599"/>
        <v>1972.3000000000002</v>
      </c>
      <c r="FA89" s="116">
        <f t="shared" si="599"/>
        <v>1972.3000000000002</v>
      </c>
      <c r="FB89" s="116">
        <f t="shared" si="599"/>
        <v>1972.3000000000002</v>
      </c>
      <c r="FC89" s="116">
        <f t="shared" si="599"/>
        <v>1972.3000000000002</v>
      </c>
      <c r="FD89" s="116">
        <f t="shared" si="599"/>
        <v>1976.85</v>
      </c>
      <c r="FE89" s="116">
        <f t="shared" si="599"/>
        <v>2003.98</v>
      </c>
      <c r="FF89" s="116">
        <f t="shared" si="599"/>
        <v>2015.4699999999998</v>
      </c>
      <c r="FG89" s="116">
        <f t="shared" si="599"/>
        <v>2040.1</v>
      </c>
      <c r="FH89" s="116">
        <f t="shared" si="599"/>
        <v>2051.65</v>
      </c>
      <c r="FI89" s="116">
        <f t="shared" si="599"/>
        <v>2074.37</v>
      </c>
      <c r="FJ89" s="116">
        <f t="shared" si="599"/>
        <v>2081.35</v>
      </c>
      <c r="FK89" s="116">
        <f t="shared" si="599"/>
        <v>2104.1799999999998</v>
      </c>
      <c r="FL89" s="116">
        <f t="shared" si="599"/>
        <v>2107.3799999999997</v>
      </c>
      <c r="FM89" s="116">
        <f t="shared" si="599"/>
        <v>2112.5</v>
      </c>
      <c r="FN89" s="116">
        <f t="shared" si="599"/>
        <v>2112.5</v>
      </c>
      <c r="FO89" s="116">
        <f t="shared" si="599"/>
        <v>2144.16</v>
      </c>
      <c r="FP89" s="116">
        <f t="shared" si="599"/>
        <v>2208.6</v>
      </c>
      <c r="FQ89" s="116">
        <f t="shared" si="599"/>
        <v>2217.83</v>
      </c>
      <c r="FR89" s="116">
        <f t="shared" si="599"/>
        <v>2371.8499999999995</v>
      </c>
      <c r="FS89" s="116">
        <f t="shared" si="599"/>
        <v>2386.3199999999997</v>
      </c>
      <c r="FT89" s="116">
        <f t="shared" si="599"/>
        <v>2413.0999999999995</v>
      </c>
      <c r="FU89" s="116">
        <f t="shared" si="599"/>
        <v>2434.92</v>
      </c>
      <c r="FV89" s="116">
        <f t="shared" si="599"/>
        <v>2456.0299999999997</v>
      </c>
      <c r="FW89" s="116">
        <f t="shared" si="599"/>
        <v>2476.2399999999998</v>
      </c>
      <c r="FX89" s="116">
        <f t="shared" si="599"/>
        <v>2494.75</v>
      </c>
      <c r="FY89" s="116">
        <f t="shared" si="599"/>
        <v>2772.1099999999997</v>
      </c>
      <c r="FZ89" s="116">
        <f t="shared" si="599"/>
        <v>2783.63</v>
      </c>
      <c r="GA89" s="116">
        <f t="shared" si="599"/>
        <v>2784.9299999999994</v>
      </c>
      <c r="GB89" s="116">
        <f t="shared" si="599"/>
        <v>2849.08</v>
      </c>
      <c r="GC89" s="116">
        <f t="shared" si="599"/>
        <v>2863.95</v>
      </c>
      <c r="GD89" s="116">
        <f t="shared" si="599"/>
        <v>2888.2</v>
      </c>
      <c r="GE89" s="116">
        <f t="shared" si="599"/>
        <v>2923.7999999999993</v>
      </c>
      <c r="GF89" s="116">
        <f t="shared" si="599"/>
        <v>2933.45</v>
      </c>
      <c r="GG89" s="116">
        <f t="shared" si="599"/>
        <v>3024.65</v>
      </c>
      <c r="GH89" s="116">
        <f t="shared" si="599"/>
        <v>3048.1499999999996</v>
      </c>
      <c r="GI89" s="116">
        <f t="shared" si="599"/>
        <v>3054.5699999999997</v>
      </c>
      <c r="GJ89" s="116">
        <f t="shared" si="599"/>
        <v>3060.96</v>
      </c>
      <c r="GK89" s="116">
        <f t="shared" si="599"/>
        <v>3060.96</v>
      </c>
      <c r="GL89" s="116">
        <f t="shared" si="599"/>
        <v>3251.8399999999992</v>
      </c>
      <c r="GM89" s="116">
        <f t="shared" si="599"/>
        <v>3264.7499999999995</v>
      </c>
      <c r="GN89" s="116">
        <f t="shared" ref="GN89:IY89" si="600">IF(OR(GN80="",GN81="",GN82="",GN83="",GN84="",GN85="",GN86="",GN87=""),"",SUMIF($A$80:$A$88,$B89,GN$80:GN$88))</f>
        <v>3264.7499999999995</v>
      </c>
      <c r="GO89" s="116">
        <f t="shared" si="600"/>
        <v>3264.7499999999995</v>
      </c>
      <c r="GP89" s="116">
        <f t="shared" si="600"/>
        <v>3264.7499999999995</v>
      </c>
      <c r="GQ89" s="116">
        <f t="shared" si="600"/>
        <v>3264.7499999999995</v>
      </c>
      <c r="GR89" s="116">
        <f t="shared" si="600"/>
        <v>3312.6699999999992</v>
      </c>
      <c r="GS89" s="116">
        <f t="shared" si="600"/>
        <v>3312.6699999999992</v>
      </c>
      <c r="GT89" s="116">
        <f t="shared" si="600"/>
        <v>3324.2499999999995</v>
      </c>
      <c r="GU89" s="116">
        <f t="shared" si="600"/>
        <v>3372.0699999999993</v>
      </c>
      <c r="GV89" s="116">
        <f t="shared" si="600"/>
        <v>3372.0699999999993</v>
      </c>
      <c r="GW89" s="116">
        <f t="shared" si="600"/>
        <v>3415.65</v>
      </c>
      <c r="GX89" s="116">
        <f t="shared" si="600"/>
        <v>3415.65</v>
      </c>
      <c r="GY89" s="116">
        <f t="shared" si="600"/>
        <v>3415.65</v>
      </c>
      <c r="GZ89" s="116">
        <f t="shared" si="600"/>
        <v>3415.65</v>
      </c>
      <c r="HA89" s="116">
        <f t="shared" si="600"/>
        <v>3415.65</v>
      </c>
      <c r="HB89" s="116">
        <f t="shared" si="600"/>
        <v>3418.32</v>
      </c>
      <c r="HC89" s="116">
        <f t="shared" si="600"/>
        <v>3438.27</v>
      </c>
      <c r="HD89" s="116">
        <f t="shared" si="600"/>
        <v>3455.9499999999994</v>
      </c>
      <c r="HE89" s="116">
        <f t="shared" si="600"/>
        <v>3455.9499999999994</v>
      </c>
      <c r="HF89" s="116">
        <f t="shared" si="600"/>
        <v>3471.2499999999995</v>
      </c>
      <c r="HG89" s="116">
        <f t="shared" si="600"/>
        <v>3488.4061111111105</v>
      </c>
      <c r="HH89" s="116">
        <f t="shared" si="600"/>
        <v>3493.9049999999997</v>
      </c>
      <c r="HI89" s="116">
        <f t="shared" si="600"/>
        <v>3521.4088888888891</v>
      </c>
      <c r="HJ89" s="116">
        <f t="shared" si="600"/>
        <v>3529.5605555555558</v>
      </c>
      <c r="HK89" s="116">
        <f t="shared" si="600"/>
        <v>3550.1316666666662</v>
      </c>
      <c r="HL89" s="116">
        <f t="shared" si="600"/>
        <v>3570.9836111111108</v>
      </c>
      <c r="HM89" s="116">
        <f t="shared" si="600"/>
        <v>3598.1550000000002</v>
      </c>
      <c r="HN89" s="116">
        <f t="shared" si="600"/>
        <v>3613.2863888888892</v>
      </c>
      <c r="HO89" s="116">
        <f t="shared" si="600"/>
        <v>3613.6508333333336</v>
      </c>
      <c r="HP89" s="116">
        <f t="shared" si="600"/>
        <v>3649.1530555555555</v>
      </c>
      <c r="HQ89" s="116">
        <f t="shared" si="600"/>
        <v>3650.9841666666671</v>
      </c>
      <c r="HR89" s="116">
        <f t="shared" si="600"/>
        <v>3673.6455555555558</v>
      </c>
      <c r="HS89" s="116">
        <f t="shared" si="600"/>
        <v>3689.9972222222223</v>
      </c>
      <c r="HT89" s="116">
        <f t="shared" si="600"/>
        <v>3698.0719444444444</v>
      </c>
      <c r="HU89" s="116">
        <f t="shared" si="600"/>
        <v>3709.8841666666667</v>
      </c>
      <c r="HV89" s="116">
        <f t="shared" si="600"/>
        <v>3712.2644444444445</v>
      </c>
      <c r="HW89" s="116">
        <f t="shared" si="600"/>
        <v>3723.9991666666665</v>
      </c>
      <c r="HX89" s="116">
        <f t="shared" si="600"/>
        <v>3743.9666666666662</v>
      </c>
      <c r="HY89" s="116">
        <f t="shared" si="600"/>
        <v>3758.8283333333329</v>
      </c>
      <c r="HZ89" s="116">
        <f t="shared" si="600"/>
        <v>3815.0349999999994</v>
      </c>
      <c r="IA89" s="116">
        <f t="shared" si="600"/>
        <v>3823.9749999999999</v>
      </c>
      <c r="IB89" s="116">
        <f t="shared" si="600"/>
        <v>3830.2386111111109</v>
      </c>
      <c r="IC89" s="116">
        <f t="shared" si="600"/>
        <v>3852.8786111111108</v>
      </c>
      <c r="ID89" s="116">
        <f t="shared" si="600"/>
        <v>3857.9986111111111</v>
      </c>
      <c r="IE89" s="116">
        <f t="shared" si="600"/>
        <v>3870.5186111111111</v>
      </c>
      <c r="IF89" s="116">
        <f t="shared" si="600"/>
        <v>3880.3886111111105</v>
      </c>
      <c r="IG89" s="116">
        <f t="shared" si="600"/>
        <v>3887.2186111111105</v>
      </c>
      <c r="IH89" s="116">
        <f t="shared" si="600"/>
        <v>3977.5186111111107</v>
      </c>
      <c r="II89" s="116">
        <f t="shared" si="600"/>
        <v>3977.5186111111107</v>
      </c>
      <c r="IJ89" s="116">
        <f t="shared" si="600"/>
        <v>4048.8086111111106</v>
      </c>
      <c r="IK89" s="116">
        <f t="shared" si="600"/>
        <v>4063.0561111111106</v>
      </c>
      <c r="IL89" s="116">
        <f t="shared" si="600"/>
        <v>4072.1738888888885</v>
      </c>
      <c r="IM89" s="116">
        <f t="shared" si="600"/>
        <v>4083.2949999999996</v>
      </c>
      <c r="IN89" s="116">
        <f t="shared" si="600"/>
        <v>4113.4925000000003</v>
      </c>
      <c r="IO89" s="116">
        <f t="shared" si="600"/>
        <v>4129.9058333333332</v>
      </c>
      <c r="IP89" s="116">
        <f t="shared" si="600"/>
        <v>4140.6016666666665</v>
      </c>
      <c r="IQ89" s="116">
        <f t="shared" si="600"/>
        <v>4151.3924999999999</v>
      </c>
      <c r="IR89" s="116">
        <f t="shared" si="600"/>
        <v>4163.8863888888891</v>
      </c>
      <c r="IS89" s="116">
        <f t="shared" si="600"/>
        <v>4169.5424999999996</v>
      </c>
      <c r="IT89" s="116">
        <f t="shared" si="600"/>
        <v>4189.4349999999995</v>
      </c>
      <c r="IU89" s="116">
        <f t="shared" si="600"/>
        <v>4231.4594444444447</v>
      </c>
      <c r="IV89" s="116">
        <f t="shared" si="600"/>
        <v>4264.8824999999997</v>
      </c>
      <c r="IW89" s="116">
        <f t="shared" si="600"/>
        <v>4299.0733333333337</v>
      </c>
      <c r="IX89" s="116">
        <f t="shared" si="600"/>
        <v>4353.4716666666664</v>
      </c>
      <c r="IY89" s="116">
        <f t="shared" si="600"/>
        <v>4396.3241666666663</v>
      </c>
      <c r="IZ89" s="116">
        <f t="shared" ref="IZ89:LK89" si="601">IF(OR(IZ80="",IZ81="",IZ82="",IZ83="",IZ84="",IZ85="",IZ86="",IZ87=""),"",SUMIF($A$80:$A$88,$B89,IZ$80:IZ$88))</f>
        <v>4414.036666666666</v>
      </c>
      <c r="JA89" s="116">
        <f t="shared" si="601"/>
        <v>4433.0894444444439</v>
      </c>
      <c r="JB89" s="116">
        <f t="shared" si="601"/>
        <v>4434.2988888888885</v>
      </c>
      <c r="JC89" s="116">
        <f t="shared" si="601"/>
        <v>4435.2727777777773</v>
      </c>
      <c r="JD89" s="116">
        <f t="shared" si="601"/>
        <v>4445.0436111111103</v>
      </c>
      <c r="JE89" s="116">
        <f t="shared" si="601"/>
        <v>4447.5233333333326</v>
      </c>
      <c r="JF89" s="116">
        <f t="shared" si="601"/>
        <v>4447.5233333333326</v>
      </c>
      <c r="JG89" s="116">
        <f t="shared" si="601"/>
        <v>4447.5233333333326</v>
      </c>
      <c r="JH89" s="116">
        <f t="shared" si="601"/>
        <v>4457.4411111111103</v>
      </c>
      <c r="JI89" s="116">
        <f t="shared" si="601"/>
        <v>4484.3736111111111</v>
      </c>
      <c r="JJ89" s="116">
        <f t="shared" si="601"/>
        <v>4513.6063888888884</v>
      </c>
      <c r="JK89" s="116">
        <f t="shared" si="601"/>
        <v>4522.9474999999993</v>
      </c>
      <c r="JL89" s="116">
        <f t="shared" si="601"/>
        <v>4529.277222222222</v>
      </c>
      <c r="JM89" s="116">
        <f t="shared" si="601"/>
        <v>4536.6972222222221</v>
      </c>
      <c r="JN89" s="116">
        <f t="shared" si="601"/>
        <v>4555.4122222222213</v>
      </c>
      <c r="JO89" s="116">
        <f t="shared" si="601"/>
        <v>4560.4122222222213</v>
      </c>
      <c r="JP89" s="116">
        <f t="shared" si="601"/>
        <v>4574.8647222222226</v>
      </c>
      <c r="JQ89" s="116">
        <f t="shared" si="601"/>
        <v>4588.0447222222219</v>
      </c>
      <c r="JR89" s="116">
        <f t="shared" si="601"/>
        <v>4651.7855555555552</v>
      </c>
      <c r="JS89" s="116">
        <f t="shared" si="601"/>
        <v>4660.1408333333329</v>
      </c>
      <c r="JT89" s="116">
        <f t="shared" si="601"/>
        <v>4662.4208333333327</v>
      </c>
      <c r="JU89" s="116">
        <f t="shared" si="601"/>
        <v>4666.8808333333327</v>
      </c>
      <c r="JV89" s="116">
        <f t="shared" si="601"/>
        <v>4669.1808333333329</v>
      </c>
      <c r="JW89" s="116">
        <f t="shared" si="601"/>
        <v>4669.1808333333329</v>
      </c>
      <c r="JX89" s="116">
        <f t="shared" si="601"/>
        <v>4673.1808333333329</v>
      </c>
      <c r="JY89" s="116">
        <f t="shared" si="601"/>
        <v>4697.1808333333329</v>
      </c>
      <c r="JZ89" s="116">
        <f t="shared" si="601"/>
        <v>4721.1808333333329</v>
      </c>
      <c r="KA89" s="116">
        <f t="shared" si="601"/>
        <v>4721.1808333333329</v>
      </c>
      <c r="KB89" s="116">
        <f t="shared" si="601"/>
        <v>4721.1808333333329</v>
      </c>
      <c r="KC89" s="116">
        <f t="shared" si="601"/>
        <v>4745.1808333333329</v>
      </c>
      <c r="KD89" s="116">
        <f t="shared" si="601"/>
        <v>4751.1808333333329</v>
      </c>
      <c r="KE89" s="116">
        <f t="shared" si="601"/>
        <v>4751.1808333333329</v>
      </c>
      <c r="KF89" s="116">
        <f t="shared" si="601"/>
        <v>4751.1808333333329</v>
      </c>
      <c r="KG89" s="116">
        <f t="shared" si="601"/>
        <v>4751.1808333333329</v>
      </c>
      <c r="KH89" s="116">
        <f t="shared" si="601"/>
        <v>4787.1808333333329</v>
      </c>
      <c r="KI89" s="116">
        <f t="shared" si="601"/>
        <v>4787.1808333333329</v>
      </c>
      <c r="KJ89" s="116">
        <f t="shared" si="601"/>
        <v>4793.1808333333329</v>
      </c>
      <c r="KK89" s="116">
        <f t="shared" si="601"/>
        <v>4793.1808333333329</v>
      </c>
      <c r="KL89" s="116">
        <f t="shared" si="601"/>
        <v>4793.1808333333329</v>
      </c>
      <c r="KM89" s="116">
        <f t="shared" si="601"/>
        <v>4793.1808333333329</v>
      </c>
      <c r="KN89" s="116">
        <f t="shared" si="601"/>
        <v>4793.1808333333329</v>
      </c>
      <c r="KO89" s="116">
        <f t="shared" si="601"/>
        <v>4793.1808333333329</v>
      </c>
      <c r="KP89" s="116">
        <f t="shared" si="601"/>
        <v>4793.1808333333329</v>
      </c>
      <c r="KQ89" s="116">
        <f t="shared" si="601"/>
        <v>4793.1808333333329</v>
      </c>
      <c r="KR89" s="116">
        <f t="shared" si="601"/>
        <v>4793.1808333333329</v>
      </c>
      <c r="KS89" s="116">
        <f t="shared" si="601"/>
        <v>4793.1808333333329</v>
      </c>
      <c r="KT89" s="116">
        <f t="shared" si="601"/>
        <v>4793.1808333333329</v>
      </c>
      <c r="KU89" s="116" t="str">
        <f t="shared" si="601"/>
        <v/>
      </c>
      <c r="KV89" s="116" t="str">
        <f t="shared" si="601"/>
        <v/>
      </c>
      <c r="KW89" s="116" t="str">
        <f t="shared" si="601"/>
        <v/>
      </c>
      <c r="KX89" s="116" t="str">
        <f t="shared" si="601"/>
        <v/>
      </c>
      <c r="KY89" s="116" t="str">
        <f t="shared" si="601"/>
        <v/>
      </c>
      <c r="KZ89" s="116" t="str">
        <f t="shared" si="601"/>
        <v/>
      </c>
      <c r="LA89" s="116" t="str">
        <f t="shared" si="601"/>
        <v/>
      </c>
      <c r="LB89" s="116" t="str">
        <f t="shared" si="601"/>
        <v/>
      </c>
      <c r="LC89" s="116" t="str">
        <f t="shared" si="601"/>
        <v/>
      </c>
      <c r="LD89" s="116" t="str">
        <f t="shared" si="601"/>
        <v/>
      </c>
      <c r="LE89" s="116" t="str">
        <f t="shared" si="601"/>
        <v/>
      </c>
      <c r="LF89" s="116" t="str">
        <f t="shared" si="601"/>
        <v/>
      </c>
      <c r="LG89" s="116" t="str">
        <f t="shared" si="601"/>
        <v/>
      </c>
      <c r="LH89" s="116" t="str">
        <f t="shared" si="601"/>
        <v/>
      </c>
      <c r="LI89" s="116" t="str">
        <f t="shared" si="601"/>
        <v/>
      </c>
      <c r="LJ89" s="116" t="str">
        <f t="shared" si="601"/>
        <v/>
      </c>
      <c r="LK89" s="116" t="str">
        <f t="shared" si="601"/>
        <v/>
      </c>
      <c r="LL89" s="116" t="str">
        <f t="shared" ref="LL89:NW89" si="602">IF(OR(LL80="",LL81="",LL82="",LL83="",LL84="",LL85="",LL86="",LL87=""),"",SUMIF($A$80:$A$88,$B89,LL$80:LL$88))</f>
        <v/>
      </c>
      <c r="LM89" s="116" t="str">
        <f t="shared" si="602"/>
        <v/>
      </c>
      <c r="LN89" s="116" t="str">
        <f t="shared" si="602"/>
        <v/>
      </c>
      <c r="LO89" s="116" t="str">
        <f t="shared" si="602"/>
        <v/>
      </c>
      <c r="LP89" s="116" t="str">
        <f t="shared" si="602"/>
        <v/>
      </c>
      <c r="LQ89" s="116" t="str">
        <f t="shared" si="602"/>
        <v/>
      </c>
      <c r="LR89" s="116" t="str">
        <f t="shared" si="602"/>
        <v/>
      </c>
      <c r="LS89" s="116" t="str">
        <f t="shared" si="602"/>
        <v/>
      </c>
      <c r="LT89" s="116" t="str">
        <f t="shared" si="602"/>
        <v/>
      </c>
      <c r="LU89" s="116" t="str">
        <f t="shared" si="602"/>
        <v/>
      </c>
      <c r="LV89" s="116" t="str">
        <f t="shared" si="602"/>
        <v/>
      </c>
      <c r="LW89" s="116" t="str">
        <f t="shared" si="602"/>
        <v/>
      </c>
      <c r="LX89" s="116" t="str">
        <f t="shared" si="602"/>
        <v/>
      </c>
      <c r="LY89" s="116" t="str">
        <f t="shared" si="602"/>
        <v/>
      </c>
      <c r="LZ89" s="116" t="str">
        <f t="shared" si="602"/>
        <v/>
      </c>
      <c r="MA89" s="116" t="str">
        <f t="shared" si="602"/>
        <v/>
      </c>
      <c r="MB89" s="116" t="str">
        <f t="shared" si="602"/>
        <v/>
      </c>
      <c r="MC89" s="116" t="str">
        <f t="shared" si="602"/>
        <v/>
      </c>
      <c r="MD89" s="116" t="str">
        <f t="shared" si="602"/>
        <v/>
      </c>
      <c r="ME89" s="116" t="str">
        <f t="shared" si="602"/>
        <v/>
      </c>
      <c r="MF89" s="116" t="str">
        <f t="shared" si="602"/>
        <v/>
      </c>
      <c r="MG89" s="116" t="str">
        <f t="shared" si="602"/>
        <v/>
      </c>
      <c r="MH89" s="116" t="str">
        <f t="shared" si="602"/>
        <v/>
      </c>
      <c r="MI89" s="116" t="str">
        <f t="shared" si="602"/>
        <v/>
      </c>
      <c r="MJ89" s="116" t="str">
        <f t="shared" si="602"/>
        <v/>
      </c>
      <c r="MK89" s="116" t="str">
        <f t="shared" si="602"/>
        <v/>
      </c>
      <c r="ML89" s="116" t="str">
        <f t="shared" si="602"/>
        <v/>
      </c>
      <c r="MM89" s="116" t="str">
        <f t="shared" si="602"/>
        <v/>
      </c>
      <c r="MN89" s="116" t="str">
        <f t="shared" si="602"/>
        <v/>
      </c>
      <c r="MO89" s="116" t="str">
        <f t="shared" si="602"/>
        <v/>
      </c>
      <c r="MP89" s="116" t="str">
        <f t="shared" si="602"/>
        <v/>
      </c>
      <c r="MQ89" s="116" t="str">
        <f t="shared" si="602"/>
        <v/>
      </c>
      <c r="MR89" s="116" t="str">
        <f t="shared" si="602"/>
        <v/>
      </c>
      <c r="MS89" s="116" t="str">
        <f t="shared" si="602"/>
        <v/>
      </c>
      <c r="MT89" s="116" t="str">
        <f t="shared" si="602"/>
        <v/>
      </c>
      <c r="MU89" s="116" t="str">
        <f t="shared" si="602"/>
        <v/>
      </c>
      <c r="MV89" s="116" t="str">
        <f t="shared" si="602"/>
        <v/>
      </c>
      <c r="MW89" s="116" t="str">
        <f t="shared" si="602"/>
        <v/>
      </c>
      <c r="MX89" s="116" t="str">
        <f t="shared" si="602"/>
        <v/>
      </c>
      <c r="MY89" s="116" t="str">
        <f t="shared" si="602"/>
        <v/>
      </c>
      <c r="MZ89" s="116" t="str">
        <f t="shared" si="602"/>
        <v/>
      </c>
      <c r="NA89" s="116" t="str">
        <f t="shared" si="602"/>
        <v/>
      </c>
      <c r="NB89" s="116" t="str">
        <f t="shared" si="602"/>
        <v/>
      </c>
      <c r="NC89" s="116" t="str">
        <f t="shared" si="602"/>
        <v/>
      </c>
      <c r="ND89" s="116" t="str">
        <f t="shared" si="602"/>
        <v/>
      </c>
      <c r="NE89" s="116" t="str">
        <f t="shared" si="602"/>
        <v/>
      </c>
      <c r="NF89" s="116" t="str">
        <f t="shared" si="602"/>
        <v/>
      </c>
      <c r="NG89" s="116" t="str">
        <f t="shared" si="602"/>
        <v/>
      </c>
      <c r="NH89" s="116" t="str">
        <f t="shared" si="602"/>
        <v/>
      </c>
      <c r="NI89" s="116" t="str">
        <f t="shared" si="602"/>
        <v/>
      </c>
      <c r="NJ89" s="116" t="str">
        <f t="shared" si="602"/>
        <v/>
      </c>
      <c r="NK89" s="116" t="str">
        <f t="shared" si="602"/>
        <v/>
      </c>
      <c r="NL89" s="116" t="str">
        <f t="shared" si="602"/>
        <v/>
      </c>
      <c r="NM89" s="116" t="str">
        <f t="shared" si="602"/>
        <v/>
      </c>
      <c r="NN89" s="116" t="str">
        <f t="shared" si="602"/>
        <v/>
      </c>
      <c r="NO89" s="116" t="str">
        <f t="shared" si="602"/>
        <v/>
      </c>
      <c r="NP89" s="116" t="str">
        <f t="shared" si="602"/>
        <v/>
      </c>
      <c r="NQ89" s="116" t="str">
        <f t="shared" si="602"/>
        <v/>
      </c>
      <c r="NR89" s="116" t="str">
        <f t="shared" si="602"/>
        <v/>
      </c>
      <c r="NS89" s="116" t="str">
        <f t="shared" si="602"/>
        <v/>
      </c>
      <c r="NT89" s="116" t="str">
        <f t="shared" si="602"/>
        <v/>
      </c>
      <c r="NU89" s="116" t="str">
        <f t="shared" si="602"/>
        <v/>
      </c>
      <c r="NV89" s="116" t="str">
        <f t="shared" si="602"/>
        <v/>
      </c>
      <c r="NW89" s="116" t="str">
        <f t="shared" si="602"/>
        <v/>
      </c>
      <c r="NX89" s="116" t="str">
        <f t="shared" ref="NX89:QI89" si="603">IF(OR(NX80="",NX81="",NX82="",NX83="",NX84="",NX85="",NX86="",NX87=""),"",SUMIF($A$80:$A$88,$B89,NX$80:NX$88))</f>
        <v/>
      </c>
      <c r="NY89" s="116" t="str">
        <f t="shared" si="603"/>
        <v/>
      </c>
      <c r="NZ89" s="116" t="str">
        <f t="shared" si="603"/>
        <v/>
      </c>
      <c r="OA89" s="116" t="str">
        <f t="shared" si="603"/>
        <v/>
      </c>
      <c r="OB89" s="116" t="str">
        <f t="shared" si="603"/>
        <v/>
      </c>
      <c r="OC89" s="116" t="str">
        <f t="shared" si="603"/>
        <v/>
      </c>
      <c r="OD89" s="116" t="str">
        <f t="shared" si="603"/>
        <v/>
      </c>
      <c r="OE89" s="116" t="str">
        <f t="shared" si="603"/>
        <v/>
      </c>
      <c r="OF89" s="116" t="str">
        <f t="shared" si="603"/>
        <v/>
      </c>
      <c r="OG89" s="116" t="str">
        <f t="shared" si="603"/>
        <v/>
      </c>
      <c r="OH89" s="116" t="str">
        <f t="shared" si="603"/>
        <v/>
      </c>
      <c r="OI89" s="116" t="str">
        <f t="shared" si="603"/>
        <v/>
      </c>
      <c r="OJ89" s="116" t="str">
        <f t="shared" si="603"/>
        <v/>
      </c>
      <c r="OK89" s="116" t="str">
        <f t="shared" si="603"/>
        <v/>
      </c>
      <c r="OL89" s="116" t="str">
        <f t="shared" si="603"/>
        <v/>
      </c>
      <c r="OM89" s="116" t="str">
        <f t="shared" si="603"/>
        <v/>
      </c>
      <c r="ON89" s="116" t="str">
        <f t="shared" si="603"/>
        <v/>
      </c>
      <c r="OO89" s="116" t="str">
        <f t="shared" si="603"/>
        <v/>
      </c>
      <c r="OP89" s="116" t="str">
        <f t="shared" si="603"/>
        <v/>
      </c>
      <c r="OQ89" s="116" t="str">
        <f t="shared" si="603"/>
        <v/>
      </c>
      <c r="OR89" s="116" t="str">
        <f t="shared" si="603"/>
        <v/>
      </c>
      <c r="OS89" s="116" t="str">
        <f t="shared" si="603"/>
        <v/>
      </c>
      <c r="OT89" s="116" t="str">
        <f t="shared" si="603"/>
        <v/>
      </c>
      <c r="OU89" s="116" t="str">
        <f t="shared" si="603"/>
        <v/>
      </c>
      <c r="OV89" s="116" t="str">
        <f t="shared" si="603"/>
        <v/>
      </c>
      <c r="OW89" s="116" t="str">
        <f t="shared" si="603"/>
        <v/>
      </c>
      <c r="OX89" s="116" t="str">
        <f t="shared" si="603"/>
        <v/>
      </c>
      <c r="OY89" s="116" t="str">
        <f t="shared" si="603"/>
        <v/>
      </c>
      <c r="OZ89" s="116" t="str">
        <f t="shared" si="603"/>
        <v/>
      </c>
      <c r="PA89" s="116" t="str">
        <f t="shared" si="603"/>
        <v/>
      </c>
      <c r="PB89" s="116" t="str">
        <f t="shared" si="603"/>
        <v/>
      </c>
      <c r="PC89" s="116" t="str">
        <f t="shared" si="603"/>
        <v/>
      </c>
      <c r="PD89" s="116" t="str">
        <f t="shared" si="603"/>
        <v/>
      </c>
      <c r="PE89" s="116" t="str">
        <f t="shared" si="603"/>
        <v/>
      </c>
      <c r="PF89" s="116" t="str">
        <f t="shared" si="603"/>
        <v/>
      </c>
      <c r="PG89" s="116" t="str">
        <f t="shared" si="603"/>
        <v/>
      </c>
      <c r="PH89" s="116" t="str">
        <f t="shared" si="603"/>
        <v/>
      </c>
      <c r="PI89" s="116" t="str">
        <f t="shared" si="603"/>
        <v/>
      </c>
      <c r="PJ89" s="116" t="str">
        <f t="shared" si="603"/>
        <v/>
      </c>
      <c r="PK89" s="116" t="str">
        <f t="shared" si="603"/>
        <v/>
      </c>
      <c r="PL89" s="116" t="str">
        <f t="shared" si="603"/>
        <v/>
      </c>
      <c r="PM89" s="116" t="str">
        <f t="shared" si="603"/>
        <v/>
      </c>
      <c r="PN89" s="116" t="str">
        <f t="shared" si="603"/>
        <v/>
      </c>
      <c r="PO89" s="116" t="str">
        <f t="shared" si="603"/>
        <v/>
      </c>
      <c r="PP89" s="116" t="str">
        <f t="shared" si="603"/>
        <v/>
      </c>
      <c r="PQ89" s="116" t="str">
        <f t="shared" si="603"/>
        <v/>
      </c>
      <c r="PR89" s="116" t="str">
        <f t="shared" si="603"/>
        <v/>
      </c>
      <c r="PS89" s="116" t="str">
        <f t="shared" si="603"/>
        <v/>
      </c>
      <c r="PT89" s="116" t="str">
        <f t="shared" si="603"/>
        <v/>
      </c>
      <c r="PU89" s="116" t="str">
        <f t="shared" si="603"/>
        <v/>
      </c>
      <c r="PV89" s="116" t="str">
        <f t="shared" si="603"/>
        <v/>
      </c>
      <c r="PW89" s="116" t="str">
        <f t="shared" si="603"/>
        <v/>
      </c>
      <c r="PX89" s="116" t="str">
        <f t="shared" si="603"/>
        <v/>
      </c>
      <c r="PY89" s="116" t="str">
        <f t="shared" si="603"/>
        <v/>
      </c>
      <c r="PZ89" s="116" t="str">
        <f t="shared" si="603"/>
        <v/>
      </c>
      <c r="QA89" s="116" t="str">
        <f t="shared" si="603"/>
        <v/>
      </c>
      <c r="QB89" s="116" t="str">
        <f t="shared" si="603"/>
        <v/>
      </c>
      <c r="QC89" s="116" t="str">
        <f t="shared" si="603"/>
        <v/>
      </c>
      <c r="QD89" s="116" t="str">
        <f t="shared" si="603"/>
        <v/>
      </c>
      <c r="QE89" s="116" t="str">
        <f t="shared" si="603"/>
        <v/>
      </c>
      <c r="QF89" s="116" t="str">
        <f t="shared" si="603"/>
        <v/>
      </c>
      <c r="QG89" s="116" t="str">
        <f t="shared" si="603"/>
        <v/>
      </c>
      <c r="QH89" s="116" t="str">
        <f t="shared" si="603"/>
        <v/>
      </c>
      <c r="QI89" s="116" t="str">
        <f t="shared" si="603"/>
        <v/>
      </c>
      <c r="QJ89" s="116" t="str">
        <f t="shared" ref="QJ89:SU89" si="604">IF(OR(QJ80="",QJ81="",QJ82="",QJ83="",QJ84="",QJ85="",QJ86="",QJ87=""),"",SUMIF($A$80:$A$88,$B89,QJ$80:QJ$88))</f>
        <v/>
      </c>
      <c r="QK89" s="116" t="str">
        <f t="shared" si="604"/>
        <v/>
      </c>
      <c r="QL89" s="116" t="str">
        <f t="shared" si="604"/>
        <v/>
      </c>
      <c r="QM89" s="116" t="str">
        <f t="shared" si="604"/>
        <v/>
      </c>
      <c r="QN89" s="116" t="str">
        <f t="shared" si="604"/>
        <v/>
      </c>
      <c r="QO89" s="116" t="str">
        <f t="shared" si="604"/>
        <v/>
      </c>
      <c r="QP89" s="116" t="str">
        <f t="shared" si="604"/>
        <v/>
      </c>
      <c r="QQ89" s="116" t="str">
        <f t="shared" si="604"/>
        <v/>
      </c>
      <c r="QR89" s="116" t="str">
        <f t="shared" si="604"/>
        <v/>
      </c>
      <c r="QS89" s="116" t="str">
        <f t="shared" si="604"/>
        <v/>
      </c>
      <c r="QT89" s="116" t="str">
        <f t="shared" si="604"/>
        <v/>
      </c>
      <c r="QU89" s="116" t="str">
        <f t="shared" si="604"/>
        <v/>
      </c>
      <c r="QV89" s="116" t="str">
        <f t="shared" si="604"/>
        <v/>
      </c>
      <c r="QW89" s="116" t="str">
        <f t="shared" si="604"/>
        <v/>
      </c>
      <c r="QX89" s="116" t="str">
        <f t="shared" si="604"/>
        <v/>
      </c>
      <c r="QY89" s="116" t="str">
        <f t="shared" si="604"/>
        <v/>
      </c>
      <c r="QZ89" s="116" t="str">
        <f t="shared" si="604"/>
        <v/>
      </c>
      <c r="RA89" s="116" t="str">
        <f t="shared" si="604"/>
        <v/>
      </c>
      <c r="RB89" s="116" t="str">
        <f t="shared" si="604"/>
        <v/>
      </c>
      <c r="RC89" s="116" t="str">
        <f t="shared" si="604"/>
        <v/>
      </c>
      <c r="RD89" s="116" t="str">
        <f t="shared" si="604"/>
        <v/>
      </c>
      <c r="RE89" s="116" t="str">
        <f t="shared" si="604"/>
        <v/>
      </c>
      <c r="RF89" s="116" t="str">
        <f t="shared" si="604"/>
        <v/>
      </c>
      <c r="RG89" s="116" t="str">
        <f t="shared" si="604"/>
        <v/>
      </c>
      <c r="RH89" s="116" t="str">
        <f t="shared" si="604"/>
        <v/>
      </c>
      <c r="RI89" s="116" t="str">
        <f t="shared" si="604"/>
        <v/>
      </c>
      <c r="RJ89" s="116" t="str">
        <f t="shared" si="604"/>
        <v/>
      </c>
      <c r="RK89" s="116" t="str">
        <f t="shared" si="604"/>
        <v/>
      </c>
      <c r="RL89" s="116" t="str">
        <f t="shared" si="604"/>
        <v/>
      </c>
      <c r="RM89" s="116" t="str">
        <f t="shared" si="604"/>
        <v/>
      </c>
      <c r="RN89" s="116" t="str">
        <f t="shared" si="604"/>
        <v/>
      </c>
      <c r="RO89" s="116" t="str">
        <f t="shared" si="604"/>
        <v/>
      </c>
      <c r="RP89" s="116" t="str">
        <f t="shared" si="604"/>
        <v/>
      </c>
      <c r="RQ89" s="116" t="str">
        <f t="shared" si="604"/>
        <v/>
      </c>
      <c r="RR89" s="116" t="str">
        <f t="shared" si="604"/>
        <v/>
      </c>
      <c r="RS89" s="116" t="str">
        <f t="shared" si="604"/>
        <v/>
      </c>
      <c r="RT89" s="116" t="str">
        <f t="shared" si="604"/>
        <v/>
      </c>
      <c r="RU89" s="116" t="str">
        <f t="shared" si="604"/>
        <v/>
      </c>
      <c r="RV89" s="116" t="str">
        <f t="shared" si="604"/>
        <v/>
      </c>
      <c r="RW89" s="116" t="str">
        <f t="shared" si="604"/>
        <v/>
      </c>
      <c r="RX89" s="116" t="str">
        <f t="shared" si="604"/>
        <v/>
      </c>
      <c r="RY89" s="116" t="str">
        <f t="shared" si="604"/>
        <v/>
      </c>
      <c r="RZ89" s="116" t="str">
        <f t="shared" si="604"/>
        <v/>
      </c>
      <c r="SA89" s="116" t="str">
        <f t="shared" si="604"/>
        <v/>
      </c>
      <c r="SB89" s="116" t="str">
        <f t="shared" si="604"/>
        <v/>
      </c>
      <c r="SC89" s="116" t="str">
        <f t="shared" si="604"/>
        <v/>
      </c>
      <c r="SD89" s="116" t="str">
        <f t="shared" si="604"/>
        <v/>
      </c>
      <c r="SE89" s="116" t="str">
        <f t="shared" si="604"/>
        <v/>
      </c>
      <c r="SF89" s="116" t="str">
        <f t="shared" si="604"/>
        <v/>
      </c>
      <c r="SG89" s="116" t="str">
        <f t="shared" si="604"/>
        <v/>
      </c>
      <c r="SH89" s="116" t="str">
        <f t="shared" si="604"/>
        <v/>
      </c>
      <c r="SI89" s="116" t="str">
        <f t="shared" si="604"/>
        <v/>
      </c>
      <c r="SJ89" s="116" t="str">
        <f t="shared" si="604"/>
        <v/>
      </c>
      <c r="SK89" s="116" t="str">
        <f t="shared" si="604"/>
        <v/>
      </c>
      <c r="SL89" s="116" t="str">
        <f t="shared" si="604"/>
        <v/>
      </c>
      <c r="SM89" s="116" t="str">
        <f t="shared" si="604"/>
        <v/>
      </c>
      <c r="SN89" s="116" t="str">
        <f t="shared" si="604"/>
        <v/>
      </c>
      <c r="SO89" s="116" t="str">
        <f t="shared" si="604"/>
        <v/>
      </c>
      <c r="SP89" s="116" t="str">
        <f t="shared" si="604"/>
        <v/>
      </c>
      <c r="SQ89" s="116" t="str">
        <f t="shared" si="604"/>
        <v/>
      </c>
      <c r="SR89" s="116" t="str">
        <f t="shared" si="604"/>
        <v/>
      </c>
      <c r="SS89" s="116" t="str">
        <f t="shared" si="604"/>
        <v/>
      </c>
      <c r="ST89" s="116" t="str">
        <f t="shared" si="604"/>
        <v/>
      </c>
      <c r="SU89" s="116" t="str">
        <f t="shared" si="604"/>
        <v/>
      </c>
      <c r="SV89" s="116" t="str">
        <f t="shared" ref="SV89:SW89" si="605">IF(OR(SV80="",SV81="",SV82="",SV83="",SV84="",SV85="",SV86="",SV87=""),"",SUMIF($A$80:$A$88,$B89,SV$80:SV$88))</f>
        <v/>
      </c>
      <c r="SW89" s="116" t="str">
        <f t="shared" si="605"/>
        <v/>
      </c>
    </row>
    <row r="90" spans="1:517" ht="24.6" customHeight="1" x14ac:dyDescent="0.2">
      <c r="A90" s="94">
        <f>COUNTIF(A80:A88,B90)</f>
        <v>4</v>
      </c>
      <c r="B90" s="115">
        <v>777</v>
      </c>
      <c r="C90" s="116">
        <f>IF(OR(C80="",C81="",C82="",C83="",C84="",C85="",C86="",C87="",C88=""),"",SUMIF($A$80:$A$88,$B90,C$80:C$88))</f>
        <v>0</v>
      </c>
      <c r="D90" s="116">
        <f t="shared" ref="D90:BO90" si="606">IF(OR(D81="",D82="",D83="",D84="",D85="",D86="",D87="",D88=""),"",SUMIF($A$80:$A$88,$B90,D$80:D$88))</f>
        <v>54.120000000000005</v>
      </c>
      <c r="E90" s="116">
        <f t="shared" si="606"/>
        <v>58.17</v>
      </c>
      <c r="F90" s="116">
        <f t="shared" si="606"/>
        <v>58.17</v>
      </c>
      <c r="G90" s="116">
        <f t="shared" si="606"/>
        <v>88.89</v>
      </c>
      <c r="H90" s="116">
        <f t="shared" si="606"/>
        <v>100.26</v>
      </c>
      <c r="I90" s="116">
        <f t="shared" si="606"/>
        <v>110.08000000000001</v>
      </c>
      <c r="J90" s="116">
        <f t="shared" si="606"/>
        <v>139.94</v>
      </c>
      <c r="K90" s="116">
        <f t="shared" si="606"/>
        <v>143.49</v>
      </c>
      <c r="L90" s="116">
        <f t="shared" si="606"/>
        <v>157.59</v>
      </c>
      <c r="M90" s="116">
        <f t="shared" si="606"/>
        <v>215.51999999999998</v>
      </c>
      <c r="N90" s="116">
        <f t="shared" si="606"/>
        <v>217.74</v>
      </c>
      <c r="O90" s="116">
        <f t="shared" si="606"/>
        <v>217.74</v>
      </c>
      <c r="P90" s="116">
        <f t="shared" si="606"/>
        <v>242.88</v>
      </c>
      <c r="Q90" s="116">
        <f t="shared" si="606"/>
        <v>258.2</v>
      </c>
      <c r="R90" s="116">
        <f t="shared" si="606"/>
        <v>260.75</v>
      </c>
      <c r="S90" s="116">
        <f t="shared" si="606"/>
        <v>260.75</v>
      </c>
      <c r="T90" s="116">
        <f t="shared" si="606"/>
        <v>268.78000000000003</v>
      </c>
      <c r="U90" s="116">
        <f t="shared" si="606"/>
        <v>285.08000000000004</v>
      </c>
      <c r="V90" s="116">
        <f t="shared" si="606"/>
        <v>296.63000000000005</v>
      </c>
      <c r="W90" s="116">
        <f t="shared" si="606"/>
        <v>298.83000000000004</v>
      </c>
      <c r="X90" s="116">
        <f t="shared" si="606"/>
        <v>299.85000000000008</v>
      </c>
      <c r="Y90" s="116">
        <f t="shared" si="606"/>
        <v>301.60000000000008</v>
      </c>
      <c r="Z90" s="116">
        <f t="shared" si="606"/>
        <v>304.98000000000008</v>
      </c>
      <c r="AA90" s="116">
        <f t="shared" si="606"/>
        <v>327.63000000000005</v>
      </c>
      <c r="AB90" s="116">
        <f t="shared" si="606"/>
        <v>327.63000000000005</v>
      </c>
      <c r="AC90" s="116">
        <f t="shared" si="606"/>
        <v>359.13000000000005</v>
      </c>
      <c r="AD90" s="116">
        <f t="shared" si="606"/>
        <v>359.13000000000005</v>
      </c>
      <c r="AE90" s="116">
        <f t="shared" si="606"/>
        <v>361.63000000000005</v>
      </c>
      <c r="AF90" s="116">
        <f t="shared" si="606"/>
        <v>361.63000000000005</v>
      </c>
      <c r="AG90" s="116">
        <f t="shared" si="606"/>
        <v>362.92</v>
      </c>
      <c r="AH90" s="116">
        <f t="shared" si="606"/>
        <v>369.3</v>
      </c>
      <c r="AI90" s="116">
        <f t="shared" si="606"/>
        <v>370.91</v>
      </c>
      <c r="AJ90" s="116">
        <f t="shared" si="606"/>
        <v>370.91</v>
      </c>
      <c r="AK90" s="116">
        <f t="shared" si="606"/>
        <v>370.91</v>
      </c>
      <c r="AL90" s="116">
        <f t="shared" si="606"/>
        <v>376.53000000000003</v>
      </c>
      <c r="AM90" s="116">
        <f t="shared" si="606"/>
        <v>378.03000000000003</v>
      </c>
      <c r="AN90" s="116">
        <f t="shared" si="606"/>
        <v>379.87000000000006</v>
      </c>
      <c r="AO90" s="116">
        <f t="shared" si="606"/>
        <v>379.87000000000006</v>
      </c>
      <c r="AP90" s="116">
        <f t="shared" si="606"/>
        <v>379.87000000000006</v>
      </c>
      <c r="AQ90" s="116">
        <f t="shared" si="606"/>
        <v>385.30000000000007</v>
      </c>
      <c r="AR90" s="116">
        <f t="shared" si="606"/>
        <v>387.6</v>
      </c>
      <c r="AS90" s="116">
        <f t="shared" si="606"/>
        <v>398.88</v>
      </c>
      <c r="AT90" s="116">
        <f t="shared" si="606"/>
        <v>426.58000000000004</v>
      </c>
      <c r="AU90" s="116">
        <f t="shared" si="606"/>
        <v>426.58000000000004</v>
      </c>
      <c r="AV90" s="116">
        <f t="shared" si="606"/>
        <v>426.58000000000004</v>
      </c>
      <c r="AW90" s="116">
        <f t="shared" si="606"/>
        <v>426.58000000000004</v>
      </c>
      <c r="AX90" s="116">
        <f t="shared" si="606"/>
        <v>432.65999999999997</v>
      </c>
      <c r="AY90" s="116">
        <f t="shared" si="606"/>
        <v>432.65999999999997</v>
      </c>
      <c r="AZ90" s="116">
        <f t="shared" si="606"/>
        <v>433.86</v>
      </c>
      <c r="BA90" s="116">
        <f t="shared" si="606"/>
        <v>445.16000000000008</v>
      </c>
      <c r="BB90" s="116">
        <f t="shared" si="606"/>
        <v>450.58000000000004</v>
      </c>
      <c r="BC90" s="116">
        <f t="shared" si="606"/>
        <v>495.05000000000007</v>
      </c>
      <c r="BD90" s="116">
        <f t="shared" si="606"/>
        <v>521.92000000000007</v>
      </c>
      <c r="BE90" s="116">
        <f t="shared" si="606"/>
        <v>523.05000000000007</v>
      </c>
      <c r="BF90" s="116">
        <f t="shared" si="606"/>
        <v>545.79999999999995</v>
      </c>
      <c r="BG90" s="116">
        <f t="shared" si="606"/>
        <v>545.79999999999995</v>
      </c>
      <c r="BH90" s="116">
        <f t="shared" si="606"/>
        <v>545.79999999999995</v>
      </c>
      <c r="BI90" s="116">
        <f t="shared" si="606"/>
        <v>550.97</v>
      </c>
      <c r="BJ90" s="116">
        <f t="shared" si="606"/>
        <v>567.15</v>
      </c>
      <c r="BK90" s="116">
        <f t="shared" si="606"/>
        <v>574.82000000000005</v>
      </c>
      <c r="BL90" s="116">
        <f t="shared" si="606"/>
        <v>592.64</v>
      </c>
      <c r="BM90" s="116">
        <f t="shared" si="606"/>
        <v>605.26</v>
      </c>
      <c r="BN90" s="116">
        <f t="shared" si="606"/>
        <v>612.7600000000001</v>
      </c>
      <c r="BO90" s="116">
        <f t="shared" si="606"/>
        <v>647.68000000000006</v>
      </c>
      <c r="BP90" s="116">
        <f t="shared" ref="BP90:EA90" si="607">IF(OR(BP81="",BP82="",BP83="",BP84="",BP85="",BP86="",BP87="",BP88=""),"",SUMIF($A$80:$A$88,$B90,BP$80:BP$88))</f>
        <v>667.02</v>
      </c>
      <c r="BQ90" s="116">
        <f t="shared" si="607"/>
        <v>667.8900000000001</v>
      </c>
      <c r="BR90" s="116">
        <f t="shared" si="607"/>
        <v>691.65000000000009</v>
      </c>
      <c r="BS90" s="116">
        <f t="shared" si="607"/>
        <v>699.49</v>
      </c>
      <c r="BT90" s="116">
        <f t="shared" si="607"/>
        <v>719.12</v>
      </c>
      <c r="BU90" s="116">
        <f t="shared" si="607"/>
        <v>719.12</v>
      </c>
      <c r="BV90" s="116">
        <f t="shared" si="607"/>
        <v>719.12</v>
      </c>
      <c r="BW90" s="116">
        <f t="shared" si="607"/>
        <v>719.12</v>
      </c>
      <c r="BX90" s="116">
        <f t="shared" si="607"/>
        <v>743.97</v>
      </c>
      <c r="BY90" s="116">
        <f t="shared" si="607"/>
        <v>760.1400000000001</v>
      </c>
      <c r="BZ90" s="116">
        <f t="shared" si="607"/>
        <v>760.1400000000001</v>
      </c>
      <c r="CA90" s="116">
        <f t="shared" si="607"/>
        <v>760.41000000000008</v>
      </c>
      <c r="CB90" s="116">
        <f t="shared" si="607"/>
        <v>761.60000000000014</v>
      </c>
      <c r="CC90" s="116">
        <f t="shared" si="607"/>
        <v>776.92000000000007</v>
      </c>
      <c r="CD90" s="116">
        <f t="shared" si="607"/>
        <v>776.92000000000007</v>
      </c>
      <c r="CE90" s="116">
        <f t="shared" si="607"/>
        <v>776.92000000000007</v>
      </c>
      <c r="CF90" s="116">
        <f t="shared" si="607"/>
        <v>793.52000000000021</v>
      </c>
      <c r="CG90" s="116">
        <f t="shared" si="607"/>
        <v>793.52000000000021</v>
      </c>
      <c r="CH90" s="116">
        <f t="shared" si="607"/>
        <v>796.24000000000024</v>
      </c>
      <c r="CI90" s="116">
        <f t="shared" si="607"/>
        <v>818.26000000000022</v>
      </c>
      <c r="CJ90" s="116">
        <f t="shared" si="607"/>
        <v>833.61000000000013</v>
      </c>
      <c r="CK90" s="116">
        <f t="shared" si="607"/>
        <v>834.61000000000013</v>
      </c>
      <c r="CL90" s="116">
        <f t="shared" si="607"/>
        <v>836.05000000000018</v>
      </c>
      <c r="CM90" s="116">
        <f t="shared" si="607"/>
        <v>841.28000000000009</v>
      </c>
      <c r="CN90" s="116">
        <f t="shared" si="607"/>
        <v>841.28000000000009</v>
      </c>
      <c r="CO90" s="116">
        <f t="shared" si="607"/>
        <v>856.80000000000018</v>
      </c>
      <c r="CP90" s="116">
        <f t="shared" si="607"/>
        <v>857.98000000000013</v>
      </c>
      <c r="CQ90" s="116">
        <f t="shared" si="607"/>
        <v>861.65000000000009</v>
      </c>
      <c r="CR90" s="116">
        <f t="shared" si="607"/>
        <v>861.65000000000009</v>
      </c>
      <c r="CS90" s="116">
        <f t="shared" si="607"/>
        <v>873.57000000000016</v>
      </c>
      <c r="CT90" s="116">
        <f t="shared" si="607"/>
        <v>877.3900000000001</v>
      </c>
      <c r="CU90" s="116">
        <f t="shared" si="607"/>
        <v>877.3900000000001</v>
      </c>
      <c r="CV90" s="116">
        <f t="shared" si="607"/>
        <v>881.6400000000001</v>
      </c>
      <c r="CW90" s="116">
        <f t="shared" si="607"/>
        <v>886.56000000000006</v>
      </c>
      <c r="CX90" s="116">
        <f t="shared" si="607"/>
        <v>923.1400000000001</v>
      </c>
      <c r="CY90" s="116">
        <f t="shared" si="607"/>
        <v>923.1400000000001</v>
      </c>
      <c r="CZ90" s="116">
        <f t="shared" si="607"/>
        <v>924.6400000000001</v>
      </c>
      <c r="DA90" s="116">
        <f t="shared" si="607"/>
        <v>926.17000000000007</v>
      </c>
      <c r="DB90" s="116">
        <f t="shared" si="607"/>
        <v>935.92000000000007</v>
      </c>
      <c r="DC90" s="116">
        <f t="shared" si="607"/>
        <v>946.54000000000008</v>
      </c>
      <c r="DD90" s="116">
        <f t="shared" si="607"/>
        <v>949.55000000000018</v>
      </c>
      <c r="DE90" s="116">
        <f t="shared" si="607"/>
        <v>970.77000000000021</v>
      </c>
      <c r="DF90" s="116">
        <f t="shared" si="607"/>
        <v>1006.1600000000001</v>
      </c>
      <c r="DG90" s="116">
        <f t="shared" si="607"/>
        <v>1006.1600000000001</v>
      </c>
      <c r="DH90" s="116">
        <f t="shared" si="607"/>
        <v>1008.5100000000001</v>
      </c>
      <c r="DI90" s="116">
        <f t="shared" si="607"/>
        <v>1012.4900000000001</v>
      </c>
      <c r="DJ90" s="116">
        <f t="shared" si="607"/>
        <v>1192.0600000000002</v>
      </c>
      <c r="DK90" s="116">
        <f t="shared" si="607"/>
        <v>1192.0600000000002</v>
      </c>
      <c r="DL90" s="116">
        <f t="shared" si="607"/>
        <v>1193.4100000000001</v>
      </c>
      <c r="DM90" s="116">
        <f t="shared" si="607"/>
        <v>1201.44</v>
      </c>
      <c r="DN90" s="116">
        <f t="shared" si="607"/>
        <v>1205.72</v>
      </c>
      <c r="DO90" s="116">
        <f t="shared" si="607"/>
        <v>1205.72</v>
      </c>
      <c r="DP90" s="116">
        <f t="shared" si="607"/>
        <v>1207.83</v>
      </c>
      <c r="DQ90" s="116">
        <f t="shared" si="607"/>
        <v>1211.1799999999998</v>
      </c>
      <c r="DR90" s="116">
        <f t="shared" si="607"/>
        <v>1211.55</v>
      </c>
      <c r="DS90" s="116">
        <f t="shared" si="607"/>
        <v>1213.77</v>
      </c>
      <c r="DT90" s="116">
        <f t="shared" si="607"/>
        <v>1222.3499999999999</v>
      </c>
      <c r="DU90" s="116">
        <f t="shared" si="607"/>
        <v>1236.52</v>
      </c>
      <c r="DV90" s="116">
        <f t="shared" si="607"/>
        <v>1247.46</v>
      </c>
      <c r="DW90" s="116">
        <f t="shared" si="607"/>
        <v>1289.2900000000002</v>
      </c>
      <c r="DX90" s="116">
        <f t="shared" si="607"/>
        <v>1289.2900000000002</v>
      </c>
      <c r="DY90" s="116">
        <f t="shared" si="607"/>
        <v>1289.2900000000002</v>
      </c>
      <c r="DZ90" s="116">
        <f t="shared" si="607"/>
        <v>1299.93</v>
      </c>
      <c r="EA90" s="116">
        <f t="shared" si="607"/>
        <v>1304.96</v>
      </c>
      <c r="EB90" s="116">
        <f t="shared" ref="EB90:GM90" si="608">IF(OR(EB81="",EB82="",EB83="",EB84="",EB85="",EB86="",EB87="",EB88=""),"",SUMIF($A$80:$A$88,$B90,EB$80:EB$88))</f>
        <v>1312.88</v>
      </c>
      <c r="EC90" s="116">
        <f t="shared" si="608"/>
        <v>1325.08</v>
      </c>
      <c r="ED90" s="116">
        <f t="shared" si="608"/>
        <v>1325.08</v>
      </c>
      <c r="EE90" s="116">
        <f t="shared" si="608"/>
        <v>1337.38</v>
      </c>
      <c r="EF90" s="116">
        <f t="shared" si="608"/>
        <v>1345.23</v>
      </c>
      <c r="EG90" s="116">
        <f t="shared" si="608"/>
        <v>1390.0700000000002</v>
      </c>
      <c r="EH90" s="116">
        <f t="shared" si="608"/>
        <v>1400.23</v>
      </c>
      <c r="EI90" s="116">
        <f t="shared" si="608"/>
        <v>1418.75</v>
      </c>
      <c r="EJ90" s="116">
        <f t="shared" si="608"/>
        <v>1418.75</v>
      </c>
      <c r="EK90" s="116">
        <f t="shared" si="608"/>
        <v>1418.75</v>
      </c>
      <c r="EL90" s="116">
        <f t="shared" si="608"/>
        <v>1442.75</v>
      </c>
      <c r="EM90" s="116">
        <f t="shared" si="608"/>
        <v>1469.8000000000002</v>
      </c>
      <c r="EN90" s="116">
        <f t="shared" si="608"/>
        <v>1502.3000000000002</v>
      </c>
      <c r="EO90" s="116">
        <f t="shared" si="608"/>
        <v>1515.9</v>
      </c>
      <c r="EP90" s="116">
        <f t="shared" si="608"/>
        <v>1522.9299999999998</v>
      </c>
      <c r="EQ90" s="116">
        <f t="shared" si="608"/>
        <v>1528.8999999999999</v>
      </c>
      <c r="ER90" s="116">
        <f t="shared" si="608"/>
        <v>1528.8999999999999</v>
      </c>
      <c r="ES90" s="116">
        <f t="shared" si="608"/>
        <v>1546.5100000000002</v>
      </c>
      <c r="ET90" s="116">
        <f t="shared" si="608"/>
        <v>1564.1599999999999</v>
      </c>
      <c r="EU90" s="116">
        <f t="shared" si="608"/>
        <v>1567.1599999999999</v>
      </c>
      <c r="EV90" s="116">
        <f t="shared" si="608"/>
        <v>1567.1599999999999</v>
      </c>
      <c r="EW90" s="116">
        <f t="shared" si="608"/>
        <v>1567.1599999999999</v>
      </c>
      <c r="EX90" s="116">
        <f t="shared" si="608"/>
        <v>1567.1599999999999</v>
      </c>
      <c r="EY90" s="116">
        <f t="shared" si="608"/>
        <v>1567.1599999999999</v>
      </c>
      <c r="EZ90" s="116">
        <f t="shared" si="608"/>
        <v>1567.1599999999999</v>
      </c>
      <c r="FA90" s="116">
        <f t="shared" si="608"/>
        <v>1567.1599999999999</v>
      </c>
      <c r="FB90" s="116">
        <f t="shared" si="608"/>
        <v>1567.1599999999999</v>
      </c>
      <c r="FC90" s="116">
        <f t="shared" si="608"/>
        <v>1567.1599999999999</v>
      </c>
      <c r="FD90" s="116">
        <f t="shared" si="608"/>
        <v>1595.4</v>
      </c>
      <c r="FE90" s="116">
        <f t="shared" si="608"/>
        <v>1627.6499999999999</v>
      </c>
      <c r="FF90" s="116">
        <f t="shared" si="608"/>
        <v>1628.1499999999999</v>
      </c>
      <c r="FG90" s="116">
        <f t="shared" si="608"/>
        <v>1639.7</v>
      </c>
      <c r="FH90" s="116">
        <f t="shared" si="608"/>
        <v>1646.77</v>
      </c>
      <c r="FI90" s="116">
        <f t="shared" si="608"/>
        <v>1648.15</v>
      </c>
      <c r="FJ90" s="116">
        <f t="shared" si="608"/>
        <v>1650.8</v>
      </c>
      <c r="FK90" s="116">
        <f t="shared" si="608"/>
        <v>1650.8</v>
      </c>
      <c r="FL90" s="116">
        <f t="shared" si="608"/>
        <v>1655.37</v>
      </c>
      <c r="FM90" s="116">
        <f t="shared" si="608"/>
        <v>1670.1</v>
      </c>
      <c r="FN90" s="116">
        <f t="shared" si="608"/>
        <v>1670.1</v>
      </c>
      <c r="FO90" s="116">
        <f t="shared" si="608"/>
        <v>1675.67</v>
      </c>
      <c r="FP90" s="116">
        <f t="shared" si="608"/>
        <v>1675.67</v>
      </c>
      <c r="FQ90" s="116">
        <f t="shared" si="608"/>
        <v>1676.43</v>
      </c>
      <c r="FR90" s="116">
        <f t="shared" si="608"/>
        <v>1676.43</v>
      </c>
      <c r="FS90" s="116">
        <f t="shared" si="608"/>
        <v>1694.53</v>
      </c>
      <c r="FT90" s="116">
        <f t="shared" si="608"/>
        <v>1733.21</v>
      </c>
      <c r="FU90" s="116">
        <f t="shared" si="608"/>
        <v>1733.21</v>
      </c>
      <c r="FV90" s="116">
        <f t="shared" si="608"/>
        <v>1738.34</v>
      </c>
      <c r="FW90" s="116">
        <f t="shared" si="608"/>
        <v>1751.56</v>
      </c>
      <c r="FX90" s="116">
        <f t="shared" si="608"/>
        <v>1754.4699999999998</v>
      </c>
      <c r="FY90" s="116">
        <f t="shared" si="608"/>
        <v>1754.4699999999998</v>
      </c>
      <c r="FZ90" s="116">
        <f t="shared" si="608"/>
        <v>1754.65</v>
      </c>
      <c r="GA90" s="116">
        <f t="shared" si="608"/>
        <v>1795.45</v>
      </c>
      <c r="GB90" s="116">
        <f t="shared" si="608"/>
        <v>1817.7799999999997</v>
      </c>
      <c r="GC90" s="116">
        <f t="shared" si="608"/>
        <v>1817.7799999999997</v>
      </c>
      <c r="GD90" s="116">
        <f t="shared" si="608"/>
        <v>1817.7799999999997</v>
      </c>
      <c r="GE90" s="116">
        <f t="shared" si="608"/>
        <v>1820.2299999999996</v>
      </c>
      <c r="GF90" s="116">
        <f t="shared" si="608"/>
        <v>1832.2599999999998</v>
      </c>
      <c r="GG90" s="116">
        <f t="shared" si="608"/>
        <v>1833.9199999999996</v>
      </c>
      <c r="GH90" s="116">
        <f t="shared" si="608"/>
        <v>1833.9199999999996</v>
      </c>
      <c r="GI90" s="116">
        <f t="shared" si="608"/>
        <v>1839.1499999999996</v>
      </c>
      <c r="GJ90" s="116">
        <f t="shared" si="608"/>
        <v>1843.5299999999997</v>
      </c>
      <c r="GK90" s="116">
        <f t="shared" si="608"/>
        <v>1849.85</v>
      </c>
      <c r="GL90" s="116">
        <f t="shared" si="608"/>
        <v>1849.85</v>
      </c>
      <c r="GM90" s="116">
        <f t="shared" si="608"/>
        <v>1849.85</v>
      </c>
      <c r="GN90" s="116">
        <f t="shared" ref="GN90:IY90" si="609">IF(OR(GN81="",GN82="",GN83="",GN84="",GN85="",GN86="",GN87="",GN88=""),"",SUMIF($A$80:$A$88,$B90,GN$80:GN$88))</f>
        <v>1849.85</v>
      </c>
      <c r="GO90" s="116">
        <f t="shared" si="609"/>
        <v>1849.85</v>
      </c>
      <c r="GP90" s="116">
        <f t="shared" si="609"/>
        <v>1849.85</v>
      </c>
      <c r="GQ90" s="116">
        <f t="shared" si="609"/>
        <v>1853.05</v>
      </c>
      <c r="GR90" s="116">
        <f t="shared" si="609"/>
        <v>1861.18</v>
      </c>
      <c r="GS90" s="116">
        <f t="shared" si="609"/>
        <v>1861.18</v>
      </c>
      <c r="GT90" s="116">
        <f t="shared" si="609"/>
        <v>1868.6299999999999</v>
      </c>
      <c r="GU90" s="116">
        <f t="shared" si="609"/>
        <v>1868.6299999999999</v>
      </c>
      <c r="GV90" s="116">
        <f t="shared" si="609"/>
        <v>2021.98</v>
      </c>
      <c r="GW90" s="116">
        <f t="shared" si="609"/>
        <v>2029.6000000000001</v>
      </c>
      <c r="GX90" s="116">
        <f t="shared" si="609"/>
        <v>2029.6000000000001</v>
      </c>
      <c r="GY90" s="116">
        <f t="shared" si="609"/>
        <v>2029.6000000000001</v>
      </c>
      <c r="GZ90" s="116">
        <f t="shared" si="609"/>
        <v>2029.6000000000001</v>
      </c>
      <c r="HA90" s="116">
        <f t="shared" si="609"/>
        <v>2029.6000000000001</v>
      </c>
      <c r="HB90" s="116">
        <f t="shared" si="609"/>
        <v>2174.6999999999998</v>
      </c>
      <c r="HC90" s="116">
        <f t="shared" si="609"/>
        <v>2174.6999999999998</v>
      </c>
      <c r="HD90" s="116">
        <f t="shared" si="609"/>
        <v>2174.6999999999998</v>
      </c>
      <c r="HE90" s="116">
        <f t="shared" si="609"/>
        <v>2174.6999999999998</v>
      </c>
      <c r="HF90" s="116">
        <f t="shared" si="609"/>
        <v>2174.6999999999998</v>
      </c>
      <c r="HG90" s="116">
        <f t="shared" si="609"/>
        <v>2174.6999999999998</v>
      </c>
      <c r="HH90" s="116">
        <f t="shared" si="609"/>
        <v>2174.6999999999998</v>
      </c>
      <c r="HI90" s="116">
        <f t="shared" si="609"/>
        <v>2174.6999999999998</v>
      </c>
      <c r="HJ90" s="116">
        <f t="shared" si="609"/>
        <v>2174.7655555555557</v>
      </c>
      <c r="HK90" s="116">
        <f t="shared" si="609"/>
        <v>2196.1352777777779</v>
      </c>
      <c r="HL90" s="116">
        <f t="shared" si="609"/>
        <v>2220.1352777777779</v>
      </c>
      <c r="HM90" s="116">
        <f t="shared" si="609"/>
        <v>2248.5833333333335</v>
      </c>
      <c r="HN90" s="116">
        <f t="shared" si="609"/>
        <v>2250.9349999999999</v>
      </c>
      <c r="HO90" s="116">
        <f t="shared" si="609"/>
        <v>2250.9349999999999</v>
      </c>
      <c r="HP90" s="116">
        <f t="shared" si="609"/>
        <v>2250.9349999999999</v>
      </c>
      <c r="HQ90" s="116">
        <f t="shared" si="609"/>
        <v>2254.9683333333332</v>
      </c>
      <c r="HR90" s="116">
        <f t="shared" si="609"/>
        <v>2254.9683333333332</v>
      </c>
      <c r="HS90" s="116">
        <f t="shared" si="609"/>
        <v>2297.4730555555557</v>
      </c>
      <c r="HT90" s="116">
        <f t="shared" si="609"/>
        <v>2321.4730555555557</v>
      </c>
      <c r="HU90" s="116">
        <f t="shared" si="609"/>
        <v>2345.4730555555557</v>
      </c>
      <c r="HV90" s="116">
        <f t="shared" si="609"/>
        <v>2367.9816666666666</v>
      </c>
      <c r="HW90" s="116">
        <f t="shared" si="609"/>
        <v>2371.6916666666666</v>
      </c>
      <c r="HX90" s="116">
        <f t="shared" si="609"/>
        <v>2389.6927777777778</v>
      </c>
      <c r="HY90" s="116">
        <f t="shared" si="609"/>
        <v>2417.2811111111109</v>
      </c>
      <c r="HZ90" s="116">
        <f t="shared" si="609"/>
        <v>2428.1361111111109</v>
      </c>
      <c r="IA90" s="116">
        <f t="shared" si="609"/>
        <v>2428.1361111111109</v>
      </c>
      <c r="IB90" s="116">
        <f t="shared" si="609"/>
        <v>2431.1333333333332</v>
      </c>
      <c r="IC90" s="116">
        <f t="shared" si="609"/>
        <v>2431.1333333333332</v>
      </c>
      <c r="ID90" s="116">
        <f t="shared" si="609"/>
        <v>2518.9333333333334</v>
      </c>
      <c r="IE90" s="116">
        <f t="shared" si="609"/>
        <v>2540.5633333333335</v>
      </c>
      <c r="IF90" s="116">
        <f t="shared" si="609"/>
        <v>2545.5933333333332</v>
      </c>
      <c r="IG90" s="116">
        <f t="shared" si="609"/>
        <v>2546.0133333333333</v>
      </c>
      <c r="IH90" s="116">
        <f t="shared" si="609"/>
        <v>2548.5333333333333</v>
      </c>
      <c r="II90" s="116">
        <f t="shared" si="609"/>
        <v>2548.5333333333333</v>
      </c>
      <c r="IJ90" s="116">
        <f t="shared" si="609"/>
        <v>2568.2633333333333</v>
      </c>
      <c r="IK90" s="116">
        <f t="shared" si="609"/>
        <v>2574.0916666666667</v>
      </c>
      <c r="IL90" s="116">
        <f t="shared" si="609"/>
        <v>2596.3822222222225</v>
      </c>
      <c r="IM90" s="116">
        <f t="shared" si="609"/>
        <v>2622.146666666667</v>
      </c>
      <c r="IN90" s="116">
        <f t="shared" si="609"/>
        <v>2650.0541666666668</v>
      </c>
      <c r="IO90" s="116">
        <f t="shared" si="609"/>
        <v>2686.7975000000006</v>
      </c>
      <c r="IP90" s="116">
        <f t="shared" si="609"/>
        <v>2717.6194444444445</v>
      </c>
      <c r="IQ90" s="116">
        <f t="shared" si="609"/>
        <v>2742.5011111111112</v>
      </c>
      <c r="IR90" s="116">
        <f t="shared" si="609"/>
        <v>2787.4844444444443</v>
      </c>
      <c r="IS90" s="116">
        <f t="shared" si="609"/>
        <v>2848.748333333333</v>
      </c>
      <c r="IT90" s="116">
        <f t="shared" si="609"/>
        <v>2912.6424999999999</v>
      </c>
      <c r="IU90" s="116">
        <f t="shared" si="609"/>
        <v>2947.4500000000003</v>
      </c>
      <c r="IV90" s="116">
        <f t="shared" si="609"/>
        <v>2950.9508333333333</v>
      </c>
      <c r="IW90" s="116">
        <f t="shared" si="609"/>
        <v>2951.0852777777777</v>
      </c>
      <c r="IX90" s="116">
        <f t="shared" si="609"/>
        <v>2954.6525000000001</v>
      </c>
      <c r="IY90" s="116">
        <f t="shared" si="609"/>
        <v>2963.6347222222221</v>
      </c>
      <c r="IZ90" s="116">
        <f t="shared" ref="IZ90:LK90" si="610">IF(OR(IZ81="",IZ82="",IZ83="",IZ84="",IZ85="",IZ86="",IZ87="",IZ88=""),"",SUMIF($A$80:$A$88,$B90,IZ$80:IZ$88))</f>
        <v>2963.9630555555555</v>
      </c>
      <c r="JA90" s="116">
        <f t="shared" si="610"/>
        <v>2965.7963888888889</v>
      </c>
      <c r="JB90" s="116">
        <f t="shared" si="610"/>
        <v>2971.7133333333331</v>
      </c>
      <c r="JC90" s="116">
        <f t="shared" si="610"/>
        <v>2976.3766666666666</v>
      </c>
      <c r="JD90" s="116">
        <f t="shared" si="610"/>
        <v>2991.4852777777778</v>
      </c>
      <c r="JE90" s="116">
        <f t="shared" si="610"/>
        <v>2997.8969444444442</v>
      </c>
      <c r="JF90" s="116">
        <f t="shared" si="610"/>
        <v>3000.1436111111111</v>
      </c>
      <c r="JG90" s="116">
        <f t="shared" si="610"/>
        <v>3003.33</v>
      </c>
      <c r="JH90" s="116">
        <f t="shared" si="610"/>
        <v>3018.4949999999999</v>
      </c>
      <c r="JI90" s="116">
        <f t="shared" si="610"/>
        <v>3022.2525000000001</v>
      </c>
      <c r="JJ90" s="116">
        <f t="shared" si="610"/>
        <v>3028.3958333333335</v>
      </c>
      <c r="JK90" s="116">
        <f t="shared" si="610"/>
        <v>3043.991944444444</v>
      </c>
      <c r="JL90" s="116">
        <f t="shared" si="610"/>
        <v>3064.4838888888889</v>
      </c>
      <c r="JM90" s="116">
        <f t="shared" si="610"/>
        <v>3079.4830555555554</v>
      </c>
      <c r="JN90" s="116">
        <f t="shared" si="610"/>
        <v>3097.1430555555557</v>
      </c>
      <c r="JO90" s="116">
        <f t="shared" si="610"/>
        <v>3101.1430555555557</v>
      </c>
      <c r="JP90" s="116">
        <f t="shared" si="610"/>
        <v>3109.2130555555559</v>
      </c>
      <c r="JQ90" s="116">
        <f t="shared" si="610"/>
        <v>3113.4030555555555</v>
      </c>
      <c r="JR90" s="116">
        <f t="shared" si="610"/>
        <v>3116.8330555555558</v>
      </c>
      <c r="JS90" s="116">
        <f t="shared" si="610"/>
        <v>3137.2330555555559</v>
      </c>
      <c r="JT90" s="116">
        <f t="shared" si="610"/>
        <v>3148.6530555555564</v>
      </c>
      <c r="JU90" s="116">
        <f t="shared" si="610"/>
        <v>3162.1130555555555</v>
      </c>
      <c r="JV90" s="116">
        <f t="shared" si="610"/>
        <v>3166.1130555555555</v>
      </c>
      <c r="JW90" s="116">
        <f t="shared" si="610"/>
        <v>3166.1130555555555</v>
      </c>
      <c r="JX90" s="116">
        <f t="shared" si="610"/>
        <v>3166.1130555555555</v>
      </c>
      <c r="JY90" s="116">
        <f t="shared" si="610"/>
        <v>3166.1130555555555</v>
      </c>
      <c r="JZ90" s="116">
        <f t="shared" si="610"/>
        <v>3166.1130555555555</v>
      </c>
      <c r="KA90" s="116">
        <f t="shared" si="610"/>
        <v>3166.1130555555555</v>
      </c>
      <c r="KB90" s="116">
        <f t="shared" si="610"/>
        <v>3166.1130555555555</v>
      </c>
      <c r="KC90" s="116">
        <f t="shared" si="610"/>
        <v>3166.1130555555555</v>
      </c>
      <c r="KD90" s="116">
        <f t="shared" si="610"/>
        <v>3166.1130555555555</v>
      </c>
      <c r="KE90" s="116">
        <f t="shared" si="610"/>
        <v>3166.1130555555555</v>
      </c>
      <c r="KF90" s="116">
        <f t="shared" si="610"/>
        <v>3166.1130555555555</v>
      </c>
      <c r="KG90" s="116">
        <f t="shared" si="610"/>
        <v>3166.1130555555555</v>
      </c>
      <c r="KH90" s="116">
        <f t="shared" si="610"/>
        <v>3166.1130555555555</v>
      </c>
      <c r="KI90" s="116">
        <f t="shared" si="610"/>
        <v>3166.1130555555555</v>
      </c>
      <c r="KJ90" s="116">
        <f t="shared" si="610"/>
        <v>3166.1130555555555</v>
      </c>
      <c r="KK90" s="116">
        <f t="shared" si="610"/>
        <v>3166.1130555555555</v>
      </c>
      <c r="KL90" s="116">
        <f t="shared" si="610"/>
        <v>3166.1130555555555</v>
      </c>
      <c r="KM90" s="116">
        <f t="shared" si="610"/>
        <v>3166.1130555555555</v>
      </c>
      <c r="KN90" s="116">
        <f t="shared" si="610"/>
        <v>3166.1130555555555</v>
      </c>
      <c r="KO90" s="116">
        <f t="shared" si="610"/>
        <v>3166.1130555555555</v>
      </c>
      <c r="KP90" s="116">
        <f t="shared" si="610"/>
        <v>3166.1130555555555</v>
      </c>
      <c r="KQ90" s="116">
        <f t="shared" si="610"/>
        <v>3166.1130555555555</v>
      </c>
      <c r="KR90" s="116">
        <f t="shared" si="610"/>
        <v>3166.1130555555555</v>
      </c>
      <c r="KS90" s="116">
        <f t="shared" si="610"/>
        <v>3166.1130555555555</v>
      </c>
      <c r="KT90" s="116">
        <f t="shared" si="610"/>
        <v>3166.1130555555555</v>
      </c>
      <c r="KU90" s="116" t="str">
        <f t="shared" si="610"/>
        <v/>
      </c>
      <c r="KV90" s="116" t="str">
        <f t="shared" si="610"/>
        <v/>
      </c>
      <c r="KW90" s="116" t="str">
        <f t="shared" si="610"/>
        <v/>
      </c>
      <c r="KX90" s="116" t="str">
        <f t="shared" si="610"/>
        <v/>
      </c>
      <c r="KY90" s="116" t="str">
        <f t="shared" si="610"/>
        <v/>
      </c>
      <c r="KZ90" s="116" t="str">
        <f t="shared" si="610"/>
        <v/>
      </c>
      <c r="LA90" s="116" t="str">
        <f t="shared" si="610"/>
        <v/>
      </c>
      <c r="LB90" s="116" t="str">
        <f t="shared" si="610"/>
        <v/>
      </c>
      <c r="LC90" s="116" t="str">
        <f t="shared" si="610"/>
        <v/>
      </c>
      <c r="LD90" s="116" t="str">
        <f t="shared" si="610"/>
        <v/>
      </c>
      <c r="LE90" s="116" t="str">
        <f t="shared" si="610"/>
        <v/>
      </c>
      <c r="LF90" s="116" t="str">
        <f t="shared" si="610"/>
        <v/>
      </c>
      <c r="LG90" s="116" t="str">
        <f t="shared" si="610"/>
        <v/>
      </c>
      <c r="LH90" s="116" t="str">
        <f t="shared" si="610"/>
        <v/>
      </c>
      <c r="LI90" s="116" t="str">
        <f t="shared" si="610"/>
        <v/>
      </c>
      <c r="LJ90" s="116" t="str">
        <f t="shared" si="610"/>
        <v/>
      </c>
      <c r="LK90" s="116" t="str">
        <f t="shared" si="610"/>
        <v/>
      </c>
      <c r="LL90" s="116" t="str">
        <f t="shared" ref="LL90:NW90" si="611">IF(OR(LL81="",LL82="",LL83="",LL84="",LL85="",LL86="",LL87="",LL88=""),"",SUMIF($A$80:$A$88,$B90,LL$80:LL$88))</f>
        <v/>
      </c>
      <c r="LM90" s="116" t="str">
        <f t="shared" si="611"/>
        <v/>
      </c>
      <c r="LN90" s="116" t="str">
        <f t="shared" si="611"/>
        <v/>
      </c>
      <c r="LO90" s="116" t="str">
        <f t="shared" si="611"/>
        <v/>
      </c>
      <c r="LP90" s="116" t="str">
        <f t="shared" si="611"/>
        <v/>
      </c>
      <c r="LQ90" s="116" t="str">
        <f t="shared" si="611"/>
        <v/>
      </c>
      <c r="LR90" s="116" t="str">
        <f t="shared" si="611"/>
        <v/>
      </c>
      <c r="LS90" s="116" t="str">
        <f t="shared" si="611"/>
        <v/>
      </c>
      <c r="LT90" s="116" t="str">
        <f t="shared" si="611"/>
        <v/>
      </c>
      <c r="LU90" s="116" t="str">
        <f t="shared" si="611"/>
        <v/>
      </c>
      <c r="LV90" s="116" t="str">
        <f t="shared" si="611"/>
        <v/>
      </c>
      <c r="LW90" s="116" t="str">
        <f t="shared" si="611"/>
        <v/>
      </c>
      <c r="LX90" s="116" t="str">
        <f t="shared" si="611"/>
        <v/>
      </c>
      <c r="LY90" s="116" t="str">
        <f t="shared" si="611"/>
        <v/>
      </c>
      <c r="LZ90" s="116" t="str">
        <f t="shared" si="611"/>
        <v/>
      </c>
      <c r="MA90" s="116" t="str">
        <f t="shared" si="611"/>
        <v/>
      </c>
      <c r="MB90" s="116" t="str">
        <f t="shared" si="611"/>
        <v/>
      </c>
      <c r="MC90" s="116" t="str">
        <f t="shared" si="611"/>
        <v/>
      </c>
      <c r="MD90" s="116" t="str">
        <f t="shared" si="611"/>
        <v/>
      </c>
      <c r="ME90" s="116" t="str">
        <f t="shared" si="611"/>
        <v/>
      </c>
      <c r="MF90" s="116" t="str">
        <f t="shared" si="611"/>
        <v/>
      </c>
      <c r="MG90" s="116" t="str">
        <f t="shared" si="611"/>
        <v/>
      </c>
      <c r="MH90" s="116" t="str">
        <f t="shared" si="611"/>
        <v/>
      </c>
      <c r="MI90" s="116" t="str">
        <f t="shared" si="611"/>
        <v/>
      </c>
      <c r="MJ90" s="116" t="str">
        <f t="shared" si="611"/>
        <v/>
      </c>
      <c r="MK90" s="116" t="str">
        <f t="shared" si="611"/>
        <v/>
      </c>
      <c r="ML90" s="116" t="str">
        <f t="shared" si="611"/>
        <v/>
      </c>
      <c r="MM90" s="116" t="str">
        <f t="shared" si="611"/>
        <v/>
      </c>
      <c r="MN90" s="116" t="str">
        <f t="shared" si="611"/>
        <v/>
      </c>
      <c r="MO90" s="116" t="str">
        <f t="shared" si="611"/>
        <v/>
      </c>
      <c r="MP90" s="116" t="str">
        <f t="shared" si="611"/>
        <v/>
      </c>
      <c r="MQ90" s="116" t="str">
        <f t="shared" si="611"/>
        <v/>
      </c>
      <c r="MR90" s="116" t="str">
        <f t="shared" si="611"/>
        <v/>
      </c>
      <c r="MS90" s="116" t="str">
        <f t="shared" si="611"/>
        <v/>
      </c>
      <c r="MT90" s="116" t="str">
        <f t="shared" si="611"/>
        <v/>
      </c>
      <c r="MU90" s="116" t="str">
        <f t="shared" si="611"/>
        <v/>
      </c>
      <c r="MV90" s="116" t="str">
        <f t="shared" si="611"/>
        <v/>
      </c>
      <c r="MW90" s="116" t="str">
        <f t="shared" si="611"/>
        <v/>
      </c>
      <c r="MX90" s="116" t="str">
        <f t="shared" si="611"/>
        <v/>
      </c>
      <c r="MY90" s="116" t="str">
        <f t="shared" si="611"/>
        <v/>
      </c>
      <c r="MZ90" s="116" t="str">
        <f t="shared" si="611"/>
        <v/>
      </c>
      <c r="NA90" s="116" t="str">
        <f t="shared" si="611"/>
        <v/>
      </c>
      <c r="NB90" s="116" t="str">
        <f t="shared" si="611"/>
        <v/>
      </c>
      <c r="NC90" s="116" t="str">
        <f t="shared" si="611"/>
        <v/>
      </c>
      <c r="ND90" s="116" t="str">
        <f t="shared" si="611"/>
        <v/>
      </c>
      <c r="NE90" s="116" t="str">
        <f t="shared" si="611"/>
        <v/>
      </c>
      <c r="NF90" s="116" t="str">
        <f t="shared" si="611"/>
        <v/>
      </c>
      <c r="NG90" s="116" t="str">
        <f t="shared" si="611"/>
        <v/>
      </c>
      <c r="NH90" s="116" t="str">
        <f t="shared" si="611"/>
        <v/>
      </c>
      <c r="NI90" s="116" t="str">
        <f t="shared" si="611"/>
        <v/>
      </c>
      <c r="NJ90" s="116" t="str">
        <f t="shared" si="611"/>
        <v/>
      </c>
      <c r="NK90" s="116" t="str">
        <f t="shared" si="611"/>
        <v/>
      </c>
      <c r="NL90" s="116" t="str">
        <f t="shared" si="611"/>
        <v/>
      </c>
      <c r="NM90" s="116" t="str">
        <f t="shared" si="611"/>
        <v/>
      </c>
      <c r="NN90" s="116" t="str">
        <f t="shared" si="611"/>
        <v/>
      </c>
      <c r="NO90" s="116" t="str">
        <f t="shared" si="611"/>
        <v/>
      </c>
      <c r="NP90" s="116" t="str">
        <f t="shared" si="611"/>
        <v/>
      </c>
      <c r="NQ90" s="116" t="str">
        <f t="shared" si="611"/>
        <v/>
      </c>
      <c r="NR90" s="116" t="str">
        <f t="shared" si="611"/>
        <v/>
      </c>
      <c r="NS90" s="116" t="str">
        <f t="shared" si="611"/>
        <v/>
      </c>
      <c r="NT90" s="116" t="str">
        <f t="shared" si="611"/>
        <v/>
      </c>
      <c r="NU90" s="116" t="str">
        <f t="shared" si="611"/>
        <v/>
      </c>
      <c r="NV90" s="116" t="str">
        <f t="shared" si="611"/>
        <v/>
      </c>
      <c r="NW90" s="116" t="str">
        <f t="shared" si="611"/>
        <v/>
      </c>
      <c r="NX90" s="116" t="str">
        <f t="shared" ref="NX90:QI90" si="612">IF(OR(NX81="",NX82="",NX83="",NX84="",NX85="",NX86="",NX87="",NX88=""),"",SUMIF($A$80:$A$88,$B90,NX$80:NX$88))</f>
        <v/>
      </c>
      <c r="NY90" s="116" t="str">
        <f t="shared" si="612"/>
        <v/>
      </c>
      <c r="NZ90" s="116" t="str">
        <f t="shared" si="612"/>
        <v/>
      </c>
      <c r="OA90" s="116" t="str">
        <f t="shared" si="612"/>
        <v/>
      </c>
      <c r="OB90" s="116" t="str">
        <f t="shared" si="612"/>
        <v/>
      </c>
      <c r="OC90" s="116" t="str">
        <f t="shared" si="612"/>
        <v/>
      </c>
      <c r="OD90" s="116" t="str">
        <f t="shared" si="612"/>
        <v/>
      </c>
      <c r="OE90" s="116" t="str">
        <f t="shared" si="612"/>
        <v/>
      </c>
      <c r="OF90" s="116" t="str">
        <f t="shared" si="612"/>
        <v/>
      </c>
      <c r="OG90" s="116" t="str">
        <f t="shared" si="612"/>
        <v/>
      </c>
      <c r="OH90" s="116" t="str">
        <f t="shared" si="612"/>
        <v/>
      </c>
      <c r="OI90" s="116" t="str">
        <f t="shared" si="612"/>
        <v/>
      </c>
      <c r="OJ90" s="116" t="str">
        <f t="shared" si="612"/>
        <v/>
      </c>
      <c r="OK90" s="116" t="str">
        <f t="shared" si="612"/>
        <v/>
      </c>
      <c r="OL90" s="116" t="str">
        <f t="shared" si="612"/>
        <v/>
      </c>
      <c r="OM90" s="116" t="str">
        <f t="shared" si="612"/>
        <v/>
      </c>
      <c r="ON90" s="116" t="str">
        <f t="shared" si="612"/>
        <v/>
      </c>
      <c r="OO90" s="116" t="str">
        <f t="shared" si="612"/>
        <v/>
      </c>
      <c r="OP90" s="116" t="str">
        <f t="shared" si="612"/>
        <v/>
      </c>
      <c r="OQ90" s="116" t="str">
        <f t="shared" si="612"/>
        <v/>
      </c>
      <c r="OR90" s="116" t="str">
        <f t="shared" si="612"/>
        <v/>
      </c>
      <c r="OS90" s="116" t="str">
        <f t="shared" si="612"/>
        <v/>
      </c>
      <c r="OT90" s="116" t="str">
        <f t="shared" si="612"/>
        <v/>
      </c>
      <c r="OU90" s="116" t="str">
        <f t="shared" si="612"/>
        <v/>
      </c>
      <c r="OV90" s="116" t="str">
        <f t="shared" si="612"/>
        <v/>
      </c>
      <c r="OW90" s="116" t="str">
        <f t="shared" si="612"/>
        <v/>
      </c>
      <c r="OX90" s="116" t="str">
        <f t="shared" si="612"/>
        <v/>
      </c>
      <c r="OY90" s="116" t="str">
        <f t="shared" si="612"/>
        <v/>
      </c>
      <c r="OZ90" s="116" t="str">
        <f t="shared" si="612"/>
        <v/>
      </c>
      <c r="PA90" s="116" t="str">
        <f t="shared" si="612"/>
        <v/>
      </c>
      <c r="PB90" s="116" t="str">
        <f t="shared" si="612"/>
        <v/>
      </c>
      <c r="PC90" s="116" t="str">
        <f t="shared" si="612"/>
        <v/>
      </c>
      <c r="PD90" s="116" t="str">
        <f t="shared" si="612"/>
        <v/>
      </c>
      <c r="PE90" s="116" t="str">
        <f t="shared" si="612"/>
        <v/>
      </c>
      <c r="PF90" s="116" t="str">
        <f t="shared" si="612"/>
        <v/>
      </c>
      <c r="PG90" s="116" t="str">
        <f t="shared" si="612"/>
        <v/>
      </c>
      <c r="PH90" s="116" t="str">
        <f t="shared" si="612"/>
        <v/>
      </c>
      <c r="PI90" s="116" t="str">
        <f t="shared" si="612"/>
        <v/>
      </c>
      <c r="PJ90" s="116" t="str">
        <f t="shared" si="612"/>
        <v/>
      </c>
      <c r="PK90" s="116" t="str">
        <f t="shared" si="612"/>
        <v/>
      </c>
      <c r="PL90" s="116" t="str">
        <f t="shared" si="612"/>
        <v/>
      </c>
      <c r="PM90" s="116" t="str">
        <f t="shared" si="612"/>
        <v/>
      </c>
      <c r="PN90" s="116" t="str">
        <f t="shared" si="612"/>
        <v/>
      </c>
      <c r="PO90" s="116" t="str">
        <f t="shared" si="612"/>
        <v/>
      </c>
      <c r="PP90" s="116" t="str">
        <f t="shared" si="612"/>
        <v/>
      </c>
      <c r="PQ90" s="116" t="str">
        <f t="shared" si="612"/>
        <v/>
      </c>
      <c r="PR90" s="116" t="str">
        <f t="shared" si="612"/>
        <v/>
      </c>
      <c r="PS90" s="116" t="str">
        <f t="shared" si="612"/>
        <v/>
      </c>
      <c r="PT90" s="116" t="str">
        <f t="shared" si="612"/>
        <v/>
      </c>
      <c r="PU90" s="116" t="str">
        <f t="shared" si="612"/>
        <v/>
      </c>
      <c r="PV90" s="116" t="str">
        <f t="shared" si="612"/>
        <v/>
      </c>
      <c r="PW90" s="116" t="str">
        <f t="shared" si="612"/>
        <v/>
      </c>
      <c r="PX90" s="116" t="str">
        <f t="shared" si="612"/>
        <v/>
      </c>
      <c r="PY90" s="116" t="str">
        <f t="shared" si="612"/>
        <v/>
      </c>
      <c r="PZ90" s="116" t="str">
        <f t="shared" si="612"/>
        <v/>
      </c>
      <c r="QA90" s="116" t="str">
        <f t="shared" si="612"/>
        <v/>
      </c>
      <c r="QB90" s="116" t="str">
        <f t="shared" si="612"/>
        <v/>
      </c>
      <c r="QC90" s="116" t="str">
        <f t="shared" si="612"/>
        <v/>
      </c>
      <c r="QD90" s="116" t="str">
        <f t="shared" si="612"/>
        <v/>
      </c>
      <c r="QE90" s="116" t="str">
        <f t="shared" si="612"/>
        <v/>
      </c>
      <c r="QF90" s="116" t="str">
        <f t="shared" si="612"/>
        <v/>
      </c>
      <c r="QG90" s="116" t="str">
        <f t="shared" si="612"/>
        <v/>
      </c>
      <c r="QH90" s="116" t="str">
        <f t="shared" si="612"/>
        <v/>
      </c>
      <c r="QI90" s="116" t="str">
        <f t="shared" si="612"/>
        <v/>
      </c>
      <c r="QJ90" s="116" t="str">
        <f t="shared" ref="QJ90:SU90" si="613">IF(OR(QJ81="",QJ82="",QJ83="",QJ84="",QJ85="",QJ86="",QJ87="",QJ88=""),"",SUMIF($A$80:$A$88,$B90,QJ$80:QJ$88))</f>
        <v/>
      </c>
      <c r="QK90" s="116" t="str">
        <f t="shared" si="613"/>
        <v/>
      </c>
      <c r="QL90" s="116" t="str">
        <f t="shared" si="613"/>
        <v/>
      </c>
      <c r="QM90" s="116" t="str">
        <f t="shared" si="613"/>
        <v/>
      </c>
      <c r="QN90" s="116" t="str">
        <f t="shared" si="613"/>
        <v/>
      </c>
      <c r="QO90" s="116" t="str">
        <f t="shared" si="613"/>
        <v/>
      </c>
      <c r="QP90" s="116" t="str">
        <f t="shared" si="613"/>
        <v/>
      </c>
      <c r="QQ90" s="116" t="str">
        <f t="shared" si="613"/>
        <v/>
      </c>
      <c r="QR90" s="116" t="str">
        <f t="shared" si="613"/>
        <v/>
      </c>
      <c r="QS90" s="116" t="str">
        <f t="shared" si="613"/>
        <v/>
      </c>
      <c r="QT90" s="116" t="str">
        <f t="shared" si="613"/>
        <v/>
      </c>
      <c r="QU90" s="116" t="str">
        <f t="shared" si="613"/>
        <v/>
      </c>
      <c r="QV90" s="116" t="str">
        <f t="shared" si="613"/>
        <v/>
      </c>
      <c r="QW90" s="116" t="str">
        <f t="shared" si="613"/>
        <v/>
      </c>
      <c r="QX90" s="116" t="str">
        <f t="shared" si="613"/>
        <v/>
      </c>
      <c r="QY90" s="116" t="str">
        <f t="shared" si="613"/>
        <v/>
      </c>
      <c r="QZ90" s="116" t="str">
        <f t="shared" si="613"/>
        <v/>
      </c>
      <c r="RA90" s="116" t="str">
        <f t="shared" si="613"/>
        <v/>
      </c>
      <c r="RB90" s="116" t="str">
        <f t="shared" si="613"/>
        <v/>
      </c>
      <c r="RC90" s="116" t="str">
        <f t="shared" si="613"/>
        <v/>
      </c>
      <c r="RD90" s="116" t="str">
        <f t="shared" si="613"/>
        <v/>
      </c>
      <c r="RE90" s="116" t="str">
        <f t="shared" si="613"/>
        <v/>
      </c>
      <c r="RF90" s="116" t="str">
        <f t="shared" si="613"/>
        <v/>
      </c>
      <c r="RG90" s="116" t="str">
        <f t="shared" si="613"/>
        <v/>
      </c>
      <c r="RH90" s="116" t="str">
        <f t="shared" si="613"/>
        <v/>
      </c>
      <c r="RI90" s="116" t="str">
        <f t="shared" si="613"/>
        <v/>
      </c>
      <c r="RJ90" s="116" t="str">
        <f t="shared" si="613"/>
        <v/>
      </c>
      <c r="RK90" s="116" t="str">
        <f t="shared" si="613"/>
        <v/>
      </c>
      <c r="RL90" s="116" t="str">
        <f t="shared" si="613"/>
        <v/>
      </c>
      <c r="RM90" s="116" t="str">
        <f t="shared" si="613"/>
        <v/>
      </c>
      <c r="RN90" s="116" t="str">
        <f t="shared" si="613"/>
        <v/>
      </c>
      <c r="RO90" s="116" t="str">
        <f t="shared" si="613"/>
        <v/>
      </c>
      <c r="RP90" s="116" t="str">
        <f t="shared" si="613"/>
        <v/>
      </c>
      <c r="RQ90" s="116" t="str">
        <f t="shared" si="613"/>
        <v/>
      </c>
      <c r="RR90" s="116" t="str">
        <f t="shared" si="613"/>
        <v/>
      </c>
      <c r="RS90" s="116" t="str">
        <f t="shared" si="613"/>
        <v/>
      </c>
      <c r="RT90" s="116" t="str">
        <f t="shared" si="613"/>
        <v/>
      </c>
      <c r="RU90" s="116" t="str">
        <f t="shared" si="613"/>
        <v/>
      </c>
      <c r="RV90" s="116" t="str">
        <f t="shared" si="613"/>
        <v/>
      </c>
      <c r="RW90" s="116" t="str">
        <f t="shared" si="613"/>
        <v/>
      </c>
      <c r="RX90" s="116" t="str">
        <f t="shared" si="613"/>
        <v/>
      </c>
      <c r="RY90" s="116" t="str">
        <f t="shared" si="613"/>
        <v/>
      </c>
      <c r="RZ90" s="116" t="str">
        <f t="shared" si="613"/>
        <v/>
      </c>
      <c r="SA90" s="116" t="str">
        <f t="shared" si="613"/>
        <v/>
      </c>
      <c r="SB90" s="116" t="str">
        <f t="shared" si="613"/>
        <v/>
      </c>
      <c r="SC90" s="116" t="str">
        <f t="shared" si="613"/>
        <v/>
      </c>
      <c r="SD90" s="116" t="str">
        <f t="shared" si="613"/>
        <v/>
      </c>
      <c r="SE90" s="116" t="str">
        <f t="shared" si="613"/>
        <v/>
      </c>
      <c r="SF90" s="116" t="str">
        <f t="shared" si="613"/>
        <v/>
      </c>
      <c r="SG90" s="116" t="str">
        <f t="shared" si="613"/>
        <v/>
      </c>
      <c r="SH90" s="116" t="str">
        <f t="shared" si="613"/>
        <v/>
      </c>
      <c r="SI90" s="116" t="str">
        <f t="shared" si="613"/>
        <v/>
      </c>
      <c r="SJ90" s="116" t="str">
        <f t="shared" si="613"/>
        <v/>
      </c>
      <c r="SK90" s="116" t="str">
        <f t="shared" si="613"/>
        <v/>
      </c>
      <c r="SL90" s="116" t="str">
        <f t="shared" si="613"/>
        <v/>
      </c>
      <c r="SM90" s="116" t="str">
        <f t="shared" si="613"/>
        <v/>
      </c>
      <c r="SN90" s="116" t="str">
        <f t="shared" si="613"/>
        <v/>
      </c>
      <c r="SO90" s="116" t="str">
        <f t="shared" si="613"/>
        <v/>
      </c>
      <c r="SP90" s="116" t="str">
        <f t="shared" si="613"/>
        <v/>
      </c>
      <c r="SQ90" s="116" t="str">
        <f t="shared" si="613"/>
        <v/>
      </c>
      <c r="SR90" s="116" t="str">
        <f t="shared" si="613"/>
        <v/>
      </c>
      <c r="SS90" s="116" t="str">
        <f t="shared" si="613"/>
        <v/>
      </c>
      <c r="ST90" s="116" t="str">
        <f t="shared" si="613"/>
        <v/>
      </c>
      <c r="SU90" s="116" t="str">
        <f t="shared" si="613"/>
        <v/>
      </c>
      <c r="SV90" s="116" t="str">
        <f t="shared" ref="SV90:SW90" si="614">IF(OR(SV81="",SV82="",SV83="",SV84="",SV85="",SV86="",SV87="",SV88=""),"",SUMIF($A$80:$A$88,$B90,SV$80:SV$88))</f>
        <v/>
      </c>
      <c r="SW90" s="116" t="str">
        <f t="shared" si="614"/>
        <v/>
      </c>
    </row>
    <row r="91" spans="1:517" x14ac:dyDescent="0.2">
      <c r="A91" s="85">
        <f>SUM(A89:A90)</f>
        <v>9</v>
      </c>
    </row>
    <row r="93" spans="1:517" x14ac:dyDescent="0.2">
      <c r="A93" s="91"/>
    </row>
    <row r="94" spans="1:517" x14ac:dyDescent="0.2">
      <c r="A94" s="91"/>
    </row>
    <row r="95" spans="1:517" x14ac:dyDescent="0.2">
      <c r="A95" s="91"/>
    </row>
    <row r="96" spans="1:517" x14ac:dyDescent="0.2">
      <c r="A96" s="91"/>
    </row>
    <row r="97" spans="1:1" x14ac:dyDescent="0.2">
      <c r="A97" s="91"/>
    </row>
    <row r="98" spans="1:1" x14ac:dyDescent="0.2">
      <c r="A98" s="91"/>
    </row>
    <row r="99" spans="1:1" x14ac:dyDescent="0.2">
      <c r="A99" s="91"/>
    </row>
    <row r="100" spans="1:1" x14ac:dyDescent="0.2">
      <c r="A100" s="91"/>
    </row>
    <row r="101" spans="1:1" x14ac:dyDescent="0.2">
      <c r="A101" s="91"/>
    </row>
    <row r="102" spans="1:1" x14ac:dyDescent="0.2">
      <c r="A102" s="91"/>
    </row>
    <row r="103" spans="1:1" x14ac:dyDescent="0.2">
      <c r="A103" s="91"/>
    </row>
    <row r="104" spans="1:1" x14ac:dyDescent="0.2">
      <c r="A104" s="91"/>
    </row>
    <row r="105" spans="1:1" x14ac:dyDescent="0.2">
      <c r="A105" s="91"/>
    </row>
    <row r="106" spans="1:1" x14ac:dyDescent="0.2">
      <c r="A106" s="91"/>
    </row>
    <row r="107" spans="1:1" x14ac:dyDescent="0.2">
      <c r="A107" s="91"/>
    </row>
    <row r="108" spans="1:1" x14ac:dyDescent="0.2">
      <c r="A108" s="91"/>
    </row>
    <row r="109" spans="1:1" x14ac:dyDescent="0.2">
      <c r="A109" s="91"/>
    </row>
    <row r="110" spans="1:1" x14ac:dyDescent="0.2">
      <c r="A110" s="91"/>
    </row>
    <row r="111" spans="1:1" x14ac:dyDescent="0.2">
      <c r="A111" s="91"/>
    </row>
    <row r="112" spans="1:1" x14ac:dyDescent="0.2">
      <c r="A112" s="91"/>
    </row>
    <row r="113" spans="1:1" x14ac:dyDescent="0.2">
      <c r="A113" s="91"/>
    </row>
    <row r="114" spans="1:1" x14ac:dyDescent="0.2">
      <c r="A114" s="91"/>
    </row>
    <row r="115" spans="1:1" x14ac:dyDescent="0.2">
      <c r="A115" s="91"/>
    </row>
    <row r="116" spans="1:1" x14ac:dyDescent="0.2">
      <c r="A116" s="91"/>
    </row>
    <row r="117" spans="1:1" x14ac:dyDescent="0.2">
      <c r="A117" s="91"/>
    </row>
    <row r="118" spans="1:1" x14ac:dyDescent="0.2">
      <c r="A118" s="91"/>
    </row>
    <row r="119" spans="1:1" x14ac:dyDescent="0.2">
      <c r="A119" s="91"/>
    </row>
    <row r="120" spans="1:1" x14ac:dyDescent="0.2">
      <c r="A120" s="91"/>
    </row>
    <row r="121" spans="1:1" x14ac:dyDescent="0.2">
      <c r="A121" s="91"/>
    </row>
    <row r="122" spans="1:1" x14ac:dyDescent="0.2">
      <c r="A122" s="91"/>
    </row>
    <row r="123" spans="1:1" x14ac:dyDescent="0.2">
      <c r="A123" s="91"/>
    </row>
    <row r="124" spans="1:1" x14ac:dyDescent="0.2">
      <c r="A124" s="91"/>
    </row>
    <row r="125" spans="1:1" x14ac:dyDescent="0.2">
      <c r="A125" s="91"/>
    </row>
    <row r="126" spans="1:1" x14ac:dyDescent="0.2">
      <c r="A126" s="91"/>
    </row>
    <row r="127" spans="1:1" x14ac:dyDescent="0.2">
      <c r="A127" s="91"/>
    </row>
    <row r="128" spans="1:1" x14ac:dyDescent="0.2">
      <c r="A128" s="91"/>
    </row>
    <row r="129" spans="1:1" x14ac:dyDescent="0.2">
      <c r="A129" s="91"/>
    </row>
  </sheetData>
  <phoneticPr fontId="12" type="noConversion"/>
  <conditionalFormatting sqref="B27:SW35 B40:SW48 B53:CN61">
    <cfRule type="cellIs" dxfId="5" priority="16" operator="lessThan">
      <formula>0.88</formula>
    </cfRule>
  </conditionalFormatting>
  <conditionalFormatting sqref="C53:CN61">
    <cfRule type="cellIs" dxfId="4" priority="5" operator="lessThan">
      <formula>0</formula>
    </cfRule>
  </conditionalFormatting>
  <conditionalFormatting sqref="C27:SW35">
    <cfRule type="cellIs" dxfId="3" priority="9" operator="lessThan">
      <formula>0</formula>
    </cfRule>
  </conditionalFormatting>
  <conditionalFormatting sqref="C40:SW48">
    <cfRule type="cellIs" dxfId="2" priority="7" operator="lessThan">
      <formula>0</formula>
    </cfRule>
  </conditionalFormatting>
  <conditionalFormatting sqref="CO53:SW61">
    <cfRule type="cellIs" dxfId="1" priority="1" operator="lessThan">
      <formula>0.88</formula>
    </cfRule>
  </conditionalFormatting>
  <conditionalFormatting sqref="DX13:SW21">
    <cfRule type="cellIs" dxfId="0" priority="4" operator="greaterThan">
      <formula>24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AED6-C685-4C84-8176-BADD65C6204B}">
  <dimension ref="B2:V20"/>
  <sheetViews>
    <sheetView topLeftCell="J1" workbookViewId="0">
      <pane xSplit="14175" ySplit="510" activePane="bottomLeft"/>
      <selection activeCell="U1" sqref="U1:U1048576"/>
      <selection pane="topRight" activeCell="P1" sqref="P1"/>
      <selection pane="bottomLeft" activeCell="P2" sqref="P2"/>
      <selection pane="bottomRight" activeCell="A9" sqref="A9"/>
    </sheetView>
  </sheetViews>
  <sheetFormatPr defaultRowHeight="12.75" x14ac:dyDescent="0.2"/>
  <cols>
    <col min="1" max="1" width="3.28515625" customWidth="1"/>
    <col min="14" max="14" width="9.140625" style="226"/>
    <col min="16" max="16" width="12.140625" bestFit="1" customWidth="1"/>
  </cols>
  <sheetData>
    <row r="2" spans="2:22" ht="25.5" x14ac:dyDescent="0.2">
      <c r="B2" t="s">
        <v>77</v>
      </c>
      <c r="C2" s="210">
        <f>AVERAGE('All Fleet'!HF13:JV13)</f>
        <v>2.982483896940419</v>
      </c>
      <c r="J2" s="224" t="s">
        <v>49</v>
      </c>
      <c r="K2" s="224" t="s">
        <v>98</v>
      </c>
      <c r="L2" s="224" t="s">
        <v>100</v>
      </c>
      <c r="N2" s="224" t="s">
        <v>49</v>
      </c>
      <c r="O2" s="244" t="s">
        <v>98</v>
      </c>
      <c r="P2" s="17" t="s">
        <v>100</v>
      </c>
      <c r="Q2" s="17" t="s">
        <v>102</v>
      </c>
      <c r="R2" s="17" t="s">
        <v>103</v>
      </c>
      <c r="S2" s="17" t="s">
        <v>104</v>
      </c>
      <c r="T2" s="68" t="s">
        <v>110</v>
      </c>
      <c r="U2" s="68" t="s">
        <v>109</v>
      </c>
      <c r="V2" s="17" t="s">
        <v>94</v>
      </c>
    </row>
    <row r="3" spans="2:22" x14ac:dyDescent="0.2">
      <c r="B3" t="s">
        <v>78</v>
      </c>
      <c r="C3" s="210">
        <f>AVERAGE('All Fleet'!HF14:JV14)</f>
        <v>3.5764251207729472</v>
      </c>
      <c r="J3" s="224">
        <v>777</v>
      </c>
      <c r="K3" s="224">
        <v>18</v>
      </c>
      <c r="L3" s="225" t="s">
        <v>81</v>
      </c>
      <c r="N3" s="229">
        <v>6020</v>
      </c>
      <c r="O3" s="230">
        <v>48</v>
      </c>
      <c r="P3" s="234" t="s">
        <v>101</v>
      </c>
      <c r="Q3" s="225"/>
      <c r="R3" s="225"/>
      <c r="S3" s="225"/>
      <c r="T3" s="225"/>
      <c r="U3" s="225"/>
      <c r="V3" s="225"/>
    </row>
    <row r="4" spans="2:22" x14ac:dyDescent="0.2">
      <c r="B4" t="s">
        <v>79</v>
      </c>
      <c r="C4" s="210">
        <f>AVERAGE('All Fleet'!HF15:JV15)</f>
        <v>3.0439573268921092</v>
      </c>
      <c r="N4" s="229" t="s">
        <v>99</v>
      </c>
      <c r="O4" s="230">
        <v>10</v>
      </c>
      <c r="P4" s="234" t="s">
        <v>81</v>
      </c>
      <c r="Q4" s="225"/>
      <c r="R4" s="225"/>
      <c r="S4" s="225"/>
      <c r="T4" s="225"/>
      <c r="U4" s="225"/>
      <c r="V4" s="225"/>
    </row>
    <row r="5" spans="2:22" x14ac:dyDescent="0.2">
      <c r="B5" t="s">
        <v>80</v>
      </c>
      <c r="C5" s="210">
        <f>AVERAGE('All Fleet'!HF16:JV16)</f>
        <v>3.215314009661836</v>
      </c>
      <c r="D5" t="s">
        <v>8</v>
      </c>
      <c r="F5" t="s">
        <v>56</v>
      </c>
      <c r="N5" s="229" t="s">
        <v>48</v>
      </c>
      <c r="O5" s="230">
        <v>8</v>
      </c>
      <c r="P5" s="234" t="s">
        <v>85</v>
      </c>
      <c r="Q5" s="225"/>
      <c r="R5" s="225"/>
      <c r="S5" s="225"/>
      <c r="T5" s="225"/>
      <c r="U5" s="225"/>
      <c r="V5" s="225"/>
    </row>
    <row r="6" spans="2:22" x14ac:dyDescent="0.2">
      <c r="B6" t="s">
        <v>81</v>
      </c>
      <c r="C6" s="210">
        <f>AVERAGE('All Fleet'!HF17:JV17)</f>
        <v>4.7648752012882438</v>
      </c>
      <c r="D6" s="210">
        <f>SUM(C2:C6)</f>
        <v>17.583055555555557</v>
      </c>
      <c r="E6">
        <f>12%*24</f>
        <v>2.88</v>
      </c>
      <c r="F6">
        <f>E6*5</f>
        <v>14.399999999999999</v>
      </c>
      <c r="G6" s="210">
        <f>D6-F6</f>
        <v>3.1830555555555584</v>
      </c>
      <c r="L6" t="s">
        <v>101</v>
      </c>
      <c r="N6" s="235">
        <v>777</v>
      </c>
      <c r="O6" s="236">
        <v>18</v>
      </c>
      <c r="P6" s="234" t="s">
        <v>108</v>
      </c>
      <c r="Q6" s="225"/>
      <c r="R6" s="225"/>
      <c r="S6" s="225"/>
      <c r="T6" s="225"/>
      <c r="U6" s="225"/>
      <c r="V6" s="225"/>
    </row>
    <row r="7" spans="2:22" x14ac:dyDescent="0.2">
      <c r="B7" t="s">
        <v>82</v>
      </c>
      <c r="C7" s="210">
        <f>AVERAGE('All Fleet'!HF18:JV18)</f>
        <v>2.3855434782608702</v>
      </c>
    </row>
    <row r="8" spans="2:22" x14ac:dyDescent="0.2">
      <c r="B8" t="s">
        <v>83</v>
      </c>
      <c r="C8" s="210">
        <f>AVERAGE('All Fleet'!HF19:JV19)</f>
        <v>4.5248590982286645</v>
      </c>
    </row>
    <row r="9" spans="2:22" x14ac:dyDescent="0.2">
      <c r="B9" t="s">
        <v>84</v>
      </c>
      <c r="C9" s="210">
        <f>AVERAGE('All Fleet'!HF20:JV20)</f>
        <v>3.5228703703703701</v>
      </c>
      <c r="N9" s="227"/>
      <c r="O9" s="228"/>
    </row>
    <row r="10" spans="2:22" x14ac:dyDescent="0.2">
      <c r="B10" t="s">
        <v>85</v>
      </c>
      <c r="C10" s="210">
        <f>AVERAGE('All Fleet'!HF21:JV21)</f>
        <v>3.9350322061191623</v>
      </c>
      <c r="D10" s="210">
        <f>SUM(C7:C10)</f>
        <v>14.368305152979067</v>
      </c>
      <c r="E10">
        <f>12%*24</f>
        <v>2.88</v>
      </c>
      <c r="F10">
        <f>E10*4</f>
        <v>11.52</v>
      </c>
      <c r="G10" s="210">
        <f>D10-F10</f>
        <v>2.8483051529790675</v>
      </c>
      <c r="J10" s="223">
        <v>320</v>
      </c>
      <c r="K10" s="223">
        <v>48</v>
      </c>
      <c r="N10" s="229">
        <v>320</v>
      </c>
      <c r="O10" s="230">
        <v>48</v>
      </c>
    </row>
    <row r="11" spans="2:22" x14ac:dyDescent="0.2">
      <c r="J11" s="223">
        <v>330</v>
      </c>
      <c r="K11" s="223">
        <v>24</v>
      </c>
      <c r="N11" s="229">
        <v>330</v>
      </c>
      <c r="O11" s="230">
        <v>24</v>
      </c>
    </row>
    <row r="12" spans="2:22" x14ac:dyDescent="0.2">
      <c r="J12" s="223" t="s">
        <v>48</v>
      </c>
      <c r="K12" s="223">
        <v>8</v>
      </c>
      <c r="N12" s="229" t="s">
        <v>99</v>
      </c>
      <c r="O12" s="230">
        <v>10</v>
      </c>
    </row>
    <row r="13" spans="2:22" x14ac:dyDescent="0.2">
      <c r="J13" s="223">
        <v>777</v>
      </c>
      <c r="K13" s="223">
        <v>18</v>
      </c>
      <c r="N13" s="229" t="s">
        <v>48</v>
      </c>
      <c r="O13" s="230">
        <v>8</v>
      </c>
    </row>
    <row r="14" spans="2:22" x14ac:dyDescent="0.2">
      <c r="N14" s="231">
        <v>777</v>
      </c>
      <c r="O14" s="232">
        <v>18</v>
      </c>
    </row>
    <row r="15" spans="2:22" ht="25.5" x14ac:dyDescent="0.2">
      <c r="N15" s="233" t="s">
        <v>49</v>
      </c>
      <c r="O15" s="233" t="s">
        <v>98</v>
      </c>
      <c r="P15" s="233" t="s">
        <v>100</v>
      </c>
    </row>
    <row r="16" spans="2:22" x14ac:dyDescent="0.2">
      <c r="N16" s="233">
        <v>320</v>
      </c>
      <c r="O16" s="233">
        <v>48</v>
      </c>
      <c r="P16" s="233"/>
    </row>
    <row r="17" spans="14:16" x14ac:dyDescent="0.2">
      <c r="N17" s="233">
        <v>330</v>
      </c>
      <c r="O17" s="233">
        <v>24</v>
      </c>
      <c r="P17" s="233"/>
    </row>
    <row r="18" spans="14:16" ht="38.25" x14ac:dyDescent="0.2">
      <c r="N18" s="233" t="s">
        <v>99</v>
      </c>
      <c r="O18" s="233">
        <v>5</v>
      </c>
      <c r="P18" s="233" t="s">
        <v>105</v>
      </c>
    </row>
    <row r="19" spans="14:16" ht="38.25" x14ac:dyDescent="0.2">
      <c r="N19" s="233" t="s">
        <v>48</v>
      </c>
      <c r="O19" s="233">
        <v>4</v>
      </c>
      <c r="P19" s="233" t="s">
        <v>106</v>
      </c>
    </row>
    <row r="20" spans="14:16" ht="63.75" x14ac:dyDescent="0.2">
      <c r="N20" s="233">
        <v>777</v>
      </c>
      <c r="O20" s="233">
        <v>9</v>
      </c>
      <c r="P20" s="233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EB07-7BEA-45D5-B482-991D220EAC68}">
  <dimension ref="A3:I16"/>
  <sheetViews>
    <sheetView workbookViewId="0">
      <selection activeCell="G8" activeCellId="1" sqref="G5:G6 G8:G11 G13:G14 J5:O6 J8:O11 J13:O14"/>
      <pivotSelection pane="bottomRight" showHeader="1" extendable="1" axis="axisRow" dimension="6" start="3" min="3" max="5" activeRow="7" activeCol="6" previousRow="7" previousCol="6" click="1" r:id="rId1">
        <pivotArea dataOnly="0" outline="0" fieldPosition="0">
          <references count="1">
            <reference field="6" count="1">
              <x v="0"/>
            </reference>
          </references>
        </pivotArea>
      </pivotSelection>
    </sheetView>
  </sheetViews>
  <sheetFormatPr defaultRowHeight="12.75" x14ac:dyDescent="0.2"/>
  <cols>
    <col min="1" max="1" width="13.85546875" style="226" bestFit="1" customWidth="1"/>
    <col min="2" max="2" width="14.5703125" bestFit="1" customWidth="1"/>
    <col min="3" max="3" width="8.5703125" bestFit="1" customWidth="1"/>
    <col min="4" max="4" width="7.85546875" bestFit="1" customWidth="1"/>
    <col min="5" max="5" width="7.5703125" bestFit="1" customWidth="1"/>
    <col min="6" max="6" width="7.28515625" bestFit="1" customWidth="1"/>
    <col min="7" max="8" width="9.7109375" bestFit="1" customWidth="1"/>
    <col min="9" max="9" width="7" bestFit="1" customWidth="1"/>
  </cols>
  <sheetData>
    <row r="3" spans="1:9" x14ac:dyDescent="0.2">
      <c r="B3" s="226"/>
      <c r="C3" s="226"/>
      <c r="D3" s="226"/>
      <c r="E3" s="226"/>
      <c r="F3" s="226"/>
      <c r="G3" s="226"/>
      <c r="H3" s="226"/>
      <c r="I3" s="226"/>
    </row>
    <row r="4" spans="1:9" x14ac:dyDescent="0.2">
      <c r="A4" s="239" t="s">
        <v>49</v>
      </c>
      <c r="B4" s="238" t="s">
        <v>98</v>
      </c>
      <c r="C4" s="238" t="s">
        <v>100</v>
      </c>
      <c r="D4" s="238" t="s">
        <v>102</v>
      </c>
      <c r="E4" s="238" t="s">
        <v>103</v>
      </c>
      <c r="F4" s="238" t="s">
        <v>104</v>
      </c>
      <c r="G4" s="238" t="s">
        <v>110</v>
      </c>
      <c r="H4" s="238" t="s">
        <v>109</v>
      </c>
      <c r="I4" s="238" t="s">
        <v>94</v>
      </c>
    </row>
    <row r="5" spans="1:9" x14ac:dyDescent="0.2">
      <c r="A5" s="226">
        <v>6020</v>
      </c>
      <c r="B5">
        <v>24</v>
      </c>
      <c r="C5" t="s">
        <v>101</v>
      </c>
      <c r="D5">
        <v>0</v>
      </c>
      <c r="E5">
        <v>40.4</v>
      </c>
      <c r="F5">
        <v>40.4</v>
      </c>
      <c r="G5">
        <v>0</v>
      </c>
      <c r="H5">
        <v>40.4</v>
      </c>
      <c r="I5">
        <v>40.4</v>
      </c>
    </row>
    <row r="6" spans="1:9" x14ac:dyDescent="0.2">
      <c r="A6" s="226">
        <v>6020</v>
      </c>
      <c r="H6" t="s">
        <v>115</v>
      </c>
    </row>
    <row r="7" spans="1:9" x14ac:dyDescent="0.2">
      <c r="A7" s="226" t="s">
        <v>112</v>
      </c>
      <c r="B7" s="226"/>
      <c r="C7" s="226"/>
      <c r="D7" s="226"/>
      <c r="E7" s="226"/>
      <c r="F7" s="226"/>
      <c r="G7" s="226"/>
      <c r="H7" s="226"/>
      <c r="I7" s="226"/>
    </row>
    <row r="8" spans="1:9" x14ac:dyDescent="0.2">
      <c r="A8" s="226" t="s">
        <v>48</v>
      </c>
      <c r="B8">
        <v>8</v>
      </c>
      <c r="C8" t="s">
        <v>84</v>
      </c>
      <c r="D8">
        <v>0</v>
      </c>
      <c r="E8">
        <v>0.13</v>
      </c>
      <c r="F8">
        <v>0.13</v>
      </c>
      <c r="G8">
        <v>0</v>
      </c>
      <c r="H8">
        <v>0.13</v>
      </c>
      <c r="I8">
        <v>0.13</v>
      </c>
    </row>
    <row r="9" spans="1:9" x14ac:dyDescent="0.2">
      <c r="A9" s="226" t="s">
        <v>48</v>
      </c>
      <c r="H9" t="s">
        <v>116</v>
      </c>
    </row>
    <row r="10" spans="1:9" x14ac:dyDescent="0.2">
      <c r="A10" s="226" t="s">
        <v>48</v>
      </c>
      <c r="C10" t="s">
        <v>85</v>
      </c>
      <c r="D10">
        <v>0</v>
      </c>
      <c r="E10">
        <v>97.45</v>
      </c>
      <c r="F10">
        <v>97.45</v>
      </c>
      <c r="G10">
        <v>0</v>
      </c>
      <c r="H10">
        <v>97.45</v>
      </c>
      <c r="I10">
        <v>97.45</v>
      </c>
    </row>
    <row r="11" spans="1:9" x14ac:dyDescent="0.2">
      <c r="A11" s="226" t="s">
        <v>48</v>
      </c>
      <c r="H11" t="s">
        <v>117</v>
      </c>
    </row>
    <row r="12" spans="1:9" x14ac:dyDescent="0.2">
      <c r="A12" s="226" t="s">
        <v>113</v>
      </c>
      <c r="B12" s="226"/>
      <c r="C12" s="226"/>
      <c r="D12" s="226"/>
      <c r="E12" s="226"/>
      <c r="F12" s="226"/>
      <c r="G12" s="226"/>
      <c r="H12" s="226"/>
      <c r="I12" s="226"/>
    </row>
    <row r="13" spans="1:9" x14ac:dyDescent="0.2">
      <c r="A13" s="226" t="s">
        <v>99</v>
      </c>
      <c r="B13">
        <v>10</v>
      </c>
      <c r="C13" t="s">
        <v>81</v>
      </c>
      <c r="D13">
        <v>0</v>
      </c>
      <c r="E13">
        <v>224.96</v>
      </c>
      <c r="F13">
        <v>224.96</v>
      </c>
      <c r="G13">
        <v>0</v>
      </c>
      <c r="H13">
        <v>224.96</v>
      </c>
      <c r="I13">
        <v>224.96</v>
      </c>
    </row>
    <row r="14" spans="1:9" x14ac:dyDescent="0.2">
      <c r="A14" s="226" t="s">
        <v>99</v>
      </c>
      <c r="H14" t="s">
        <v>118</v>
      </c>
    </row>
    <row r="15" spans="1:9" x14ac:dyDescent="0.2">
      <c r="A15" s="226" t="s">
        <v>114</v>
      </c>
      <c r="B15" s="226"/>
      <c r="C15" s="226"/>
      <c r="D15" s="226"/>
      <c r="E15" s="226"/>
      <c r="F15" s="226"/>
      <c r="G15" s="226"/>
      <c r="H15" s="226"/>
      <c r="I15" s="226"/>
    </row>
    <row r="16" spans="1:9" x14ac:dyDescent="0.2">
      <c r="A16" s="226" t="s">
        <v>111</v>
      </c>
      <c r="B16" s="226"/>
      <c r="C16" s="226"/>
      <c r="D16" s="226"/>
      <c r="E16" s="226"/>
      <c r="F16" s="226"/>
      <c r="G16" s="226"/>
      <c r="H16" s="226"/>
      <c r="I16" s="22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8158-FF58-4179-9A9A-9B83B2F21CF1}">
  <dimension ref="A1:I6"/>
  <sheetViews>
    <sheetView workbookViewId="0">
      <selection activeCell="C1" sqref="C1"/>
    </sheetView>
  </sheetViews>
  <sheetFormatPr defaultRowHeight="12.75" outlineLevelRow="1" x14ac:dyDescent="0.2"/>
  <cols>
    <col min="3" max="3" width="12.140625" bestFit="1" customWidth="1"/>
  </cols>
  <sheetData>
    <row r="1" spans="1:9" x14ac:dyDescent="0.2">
      <c r="A1" s="237" t="s">
        <v>49</v>
      </c>
      <c r="B1" s="237" t="s">
        <v>98</v>
      </c>
      <c r="C1" s="237" t="s">
        <v>100</v>
      </c>
      <c r="D1" s="237" t="s">
        <v>102</v>
      </c>
      <c r="E1" s="237" t="s">
        <v>103</v>
      </c>
      <c r="F1" s="237" t="s">
        <v>104</v>
      </c>
      <c r="G1" s="237" t="s">
        <v>110</v>
      </c>
      <c r="H1" s="237" t="s">
        <v>109</v>
      </c>
      <c r="I1" s="237" t="s">
        <v>94</v>
      </c>
    </row>
    <row r="2" spans="1:9" x14ac:dyDescent="0.2">
      <c r="A2" s="237">
        <v>6020</v>
      </c>
      <c r="B2" s="237">
        <v>24</v>
      </c>
      <c r="C2" s="237" t="s">
        <v>101</v>
      </c>
      <c r="D2" s="237">
        <v>0</v>
      </c>
      <c r="E2" s="237">
        <v>40.4</v>
      </c>
      <c r="F2" s="237">
        <v>40.4</v>
      </c>
      <c r="G2" s="237">
        <v>0</v>
      </c>
      <c r="H2" s="237">
        <v>40.4</v>
      </c>
      <c r="I2" s="237">
        <v>40.4</v>
      </c>
    </row>
    <row r="3" spans="1:9" x14ac:dyDescent="0.2">
      <c r="A3" s="240" t="s">
        <v>48</v>
      </c>
      <c r="B3" s="241">
        <v>8</v>
      </c>
      <c r="C3" s="240" t="s">
        <v>119</v>
      </c>
      <c r="D3" s="237">
        <f>SUM(D4:D5)</f>
        <v>0</v>
      </c>
      <c r="E3" s="237">
        <f>SUM(E4:E5)</f>
        <v>97.58</v>
      </c>
      <c r="F3" s="237">
        <f>SUM(F4:F5)</f>
        <v>97.58</v>
      </c>
      <c r="G3" s="237">
        <f>SUM(G4:G5)</f>
        <v>0</v>
      </c>
      <c r="H3" s="237">
        <f>SUM(H4:H5)</f>
        <v>97.58</v>
      </c>
      <c r="I3" s="237">
        <f>SUM(I4:I5)</f>
        <v>97.58</v>
      </c>
    </row>
    <row r="4" spans="1:9" ht="12.75" customHeight="1" outlineLevel="1" x14ac:dyDescent="0.2">
      <c r="A4" s="237" t="s">
        <v>48</v>
      </c>
      <c r="B4" s="242"/>
      <c r="C4" s="240" t="s">
        <v>84</v>
      </c>
      <c r="D4" s="237">
        <v>0</v>
      </c>
      <c r="E4" s="237">
        <v>0.13</v>
      </c>
      <c r="F4" s="237">
        <v>0.13</v>
      </c>
      <c r="G4" s="237">
        <v>0</v>
      </c>
      <c r="H4" s="237">
        <v>0.13</v>
      </c>
      <c r="I4" s="237">
        <v>0.13</v>
      </c>
    </row>
    <row r="5" spans="1:9" ht="12.75" customHeight="1" outlineLevel="1" x14ac:dyDescent="0.2">
      <c r="A5" s="237" t="s">
        <v>48</v>
      </c>
      <c r="B5" s="243"/>
      <c r="C5" s="240" t="s">
        <v>85</v>
      </c>
      <c r="D5" s="237">
        <v>0</v>
      </c>
      <c r="E5" s="237">
        <v>97.45</v>
      </c>
      <c r="F5" s="237">
        <v>97.45</v>
      </c>
      <c r="G5" s="237">
        <v>0</v>
      </c>
      <c r="H5" s="237">
        <v>97.45</v>
      </c>
      <c r="I5" s="237">
        <v>97.45</v>
      </c>
    </row>
    <row r="6" spans="1:9" x14ac:dyDescent="0.2">
      <c r="A6" s="237" t="s">
        <v>99</v>
      </c>
      <c r="B6" s="237">
        <v>10</v>
      </c>
      <c r="C6" s="237" t="s">
        <v>81</v>
      </c>
      <c r="D6" s="237">
        <v>0</v>
      </c>
      <c r="E6" s="237">
        <v>224.96</v>
      </c>
      <c r="F6" s="237">
        <v>224.96</v>
      </c>
      <c r="G6" s="237">
        <v>0</v>
      </c>
      <c r="H6" s="237">
        <v>224.96</v>
      </c>
      <c r="I6" s="237">
        <v>224.96</v>
      </c>
    </row>
  </sheetData>
  <mergeCells count="1">
    <mergeCell ref="B3:B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59C0-719A-4684-B554-E4BF81988D08}">
  <dimension ref="A1:N7"/>
  <sheetViews>
    <sheetView workbookViewId="0">
      <selection activeCell="A4" sqref="A4"/>
    </sheetView>
  </sheetViews>
  <sheetFormatPr defaultRowHeight="12.75" x14ac:dyDescent="0.2"/>
  <cols>
    <col min="2" max="2" width="12.28515625" customWidth="1"/>
    <col min="3" max="3" width="19.7109375" customWidth="1"/>
    <col min="5" max="5" width="10" bestFit="1" customWidth="1"/>
    <col min="6" max="6" width="27.85546875" bestFit="1" customWidth="1"/>
    <col min="7" max="7" width="10" bestFit="1" customWidth="1"/>
    <col min="8" max="8" width="27.85546875" bestFit="1" customWidth="1"/>
    <col min="9" max="9" width="10" bestFit="1" customWidth="1"/>
    <col min="10" max="10" width="27.85546875" bestFit="1" customWidth="1"/>
    <col min="11" max="11" width="10" bestFit="1" customWidth="1"/>
    <col min="12" max="12" width="27.85546875" bestFit="1" customWidth="1"/>
    <col min="13" max="13" width="10" bestFit="1" customWidth="1"/>
    <col min="14" max="14" width="27.85546875" bestFit="1" customWidth="1"/>
  </cols>
  <sheetData>
    <row r="1" spans="1:14" ht="14.25" x14ac:dyDescent="0.2">
      <c r="A1" s="253" t="s">
        <v>49</v>
      </c>
      <c r="B1" s="253" t="s">
        <v>98</v>
      </c>
      <c r="C1" s="253" t="s">
        <v>100</v>
      </c>
      <c r="D1" s="245" t="s">
        <v>102</v>
      </c>
      <c r="E1" s="251" t="s">
        <v>103</v>
      </c>
      <c r="F1" s="252"/>
      <c r="G1" s="251" t="s">
        <v>104</v>
      </c>
      <c r="H1" s="252"/>
      <c r="I1" s="251" t="s">
        <v>110</v>
      </c>
      <c r="J1" s="252"/>
      <c r="K1" s="251" t="s">
        <v>109</v>
      </c>
      <c r="L1" s="252"/>
      <c r="M1" s="251" t="s">
        <v>94</v>
      </c>
      <c r="N1" s="252"/>
    </row>
    <row r="2" spans="1:14" ht="14.25" x14ac:dyDescent="0.2">
      <c r="A2" s="254"/>
      <c r="B2" s="254"/>
      <c r="C2" s="254"/>
      <c r="D2" s="245"/>
      <c r="E2" s="250" t="s">
        <v>98</v>
      </c>
      <c r="F2" s="250" t="s">
        <v>124</v>
      </c>
      <c r="G2" s="250" t="s">
        <v>98</v>
      </c>
      <c r="H2" s="250" t="s">
        <v>124</v>
      </c>
      <c r="I2" s="250" t="s">
        <v>98</v>
      </c>
      <c r="J2" s="250" t="s">
        <v>124</v>
      </c>
      <c r="K2" s="250" t="s">
        <v>98</v>
      </c>
      <c r="L2" s="250" t="s">
        <v>124</v>
      </c>
      <c r="M2" s="250" t="s">
        <v>98</v>
      </c>
      <c r="N2" s="250" t="s">
        <v>124</v>
      </c>
    </row>
    <row r="3" spans="1:14" ht="14.25" x14ac:dyDescent="0.2">
      <c r="A3" s="246">
        <v>6020</v>
      </c>
      <c r="B3" s="247">
        <v>24</v>
      </c>
      <c r="C3" s="248" t="s">
        <v>101</v>
      </c>
      <c r="D3" s="247">
        <v>0</v>
      </c>
      <c r="E3" s="247">
        <f>B3*7</f>
        <v>168</v>
      </c>
      <c r="F3" s="247">
        <v>40.4</v>
      </c>
      <c r="G3" s="247">
        <v>40.4</v>
      </c>
      <c r="H3" s="247">
        <v>40.4</v>
      </c>
      <c r="I3" s="247">
        <v>0</v>
      </c>
      <c r="J3" s="247">
        <v>0</v>
      </c>
      <c r="K3" s="247">
        <v>40.4</v>
      </c>
      <c r="L3" s="247">
        <v>40.4</v>
      </c>
      <c r="M3" s="247">
        <v>40.4</v>
      </c>
      <c r="N3" s="247">
        <v>40.4</v>
      </c>
    </row>
    <row r="4" spans="1:14" ht="14.25" x14ac:dyDescent="0.2">
      <c r="A4" s="246" t="s">
        <v>122</v>
      </c>
      <c r="B4" s="255">
        <v>8</v>
      </c>
      <c r="C4" s="248" t="s">
        <v>123</v>
      </c>
      <c r="D4" s="247">
        <v>0</v>
      </c>
      <c r="E4" s="247">
        <f>B4*7</f>
        <v>56</v>
      </c>
      <c r="F4" s="247">
        <v>102.57</v>
      </c>
      <c r="G4" s="247">
        <v>102.57</v>
      </c>
      <c r="H4" s="247">
        <v>102.57</v>
      </c>
      <c r="I4" s="247">
        <v>0</v>
      </c>
      <c r="J4" s="247">
        <v>0</v>
      </c>
      <c r="K4" s="247">
        <v>102.57</v>
      </c>
      <c r="L4" s="247">
        <v>102.57</v>
      </c>
      <c r="M4" s="247">
        <v>102.57</v>
      </c>
      <c r="N4" s="247">
        <v>102.57</v>
      </c>
    </row>
    <row r="5" spans="1:14" ht="14.25" x14ac:dyDescent="0.2">
      <c r="A5" s="246" t="s">
        <v>48</v>
      </c>
      <c r="B5" s="256"/>
      <c r="C5" s="248" t="s">
        <v>84</v>
      </c>
      <c r="D5" s="247">
        <v>0</v>
      </c>
      <c r="E5" s="247">
        <f>B4*7</f>
        <v>56</v>
      </c>
      <c r="F5" s="247">
        <v>0.13</v>
      </c>
      <c r="G5" s="247">
        <v>0.13</v>
      </c>
      <c r="H5" s="247">
        <v>0.13</v>
      </c>
      <c r="I5" s="247">
        <v>0</v>
      </c>
      <c r="J5" s="247">
        <v>0</v>
      </c>
      <c r="K5" s="247">
        <v>0.13</v>
      </c>
      <c r="L5" s="247">
        <v>0.13</v>
      </c>
      <c r="M5" s="247">
        <v>0.13</v>
      </c>
      <c r="N5" s="247">
        <v>0.13</v>
      </c>
    </row>
    <row r="6" spans="1:14" ht="14.25" x14ac:dyDescent="0.2">
      <c r="A6" s="246" t="s">
        <v>48</v>
      </c>
      <c r="B6" s="257"/>
      <c r="C6" s="249" t="s">
        <v>121</v>
      </c>
      <c r="D6" s="247">
        <v>0</v>
      </c>
      <c r="E6" s="247">
        <f>B4*7</f>
        <v>56</v>
      </c>
      <c r="F6" s="247">
        <v>102.44</v>
      </c>
      <c r="G6" s="247">
        <v>102.44</v>
      </c>
      <c r="H6" s="247">
        <v>102.44</v>
      </c>
      <c r="I6" s="247">
        <v>0</v>
      </c>
      <c r="J6" s="247">
        <v>0</v>
      </c>
      <c r="K6" s="247">
        <v>102.44</v>
      </c>
      <c r="L6" s="247">
        <v>102.44</v>
      </c>
      <c r="M6" s="247">
        <v>102.44</v>
      </c>
      <c r="N6" s="247">
        <v>102.44</v>
      </c>
    </row>
    <row r="7" spans="1:14" ht="14.25" x14ac:dyDescent="0.2">
      <c r="A7" s="246" t="s">
        <v>99</v>
      </c>
      <c r="B7" s="247">
        <v>10</v>
      </c>
      <c r="C7" s="249" t="s">
        <v>120</v>
      </c>
      <c r="D7" s="247">
        <v>0</v>
      </c>
      <c r="E7" s="247">
        <f>B7*7</f>
        <v>70</v>
      </c>
      <c r="F7" s="247">
        <v>229.96</v>
      </c>
      <c r="G7" s="247">
        <v>229.96</v>
      </c>
      <c r="H7" s="247">
        <v>229.96</v>
      </c>
      <c r="I7" s="247">
        <v>0</v>
      </c>
      <c r="J7" s="247">
        <v>0</v>
      </c>
      <c r="K7" s="247">
        <v>229.96</v>
      </c>
      <c r="L7" s="247">
        <v>229.96</v>
      </c>
      <c r="M7" s="247">
        <v>229.96</v>
      </c>
      <c r="N7" s="247">
        <v>229.96</v>
      </c>
    </row>
  </sheetData>
  <mergeCells count="9">
    <mergeCell ref="B1:B2"/>
    <mergeCell ref="A1:A2"/>
    <mergeCell ref="B4:B6"/>
    <mergeCell ref="E1:F1"/>
    <mergeCell ref="G1:H1"/>
    <mergeCell ref="I1:J1"/>
    <mergeCell ref="K1:L1"/>
    <mergeCell ref="M1:N1"/>
    <mergeCell ref="C1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BE96-C4D9-4FB6-AF17-ED82A826F2F2}">
  <dimension ref="A1:T7"/>
  <sheetViews>
    <sheetView workbookViewId="0">
      <selection activeCell="L3" sqref="L3"/>
    </sheetView>
  </sheetViews>
  <sheetFormatPr defaultRowHeight="12.75" x14ac:dyDescent="0.2"/>
  <cols>
    <col min="2" max="2" width="10" bestFit="1" customWidth="1"/>
    <col min="3" max="3" width="12.7109375" bestFit="1" customWidth="1"/>
    <col min="4" max="4" width="12.42578125" customWidth="1"/>
    <col min="6" max="6" width="6.42578125" bestFit="1" customWidth="1"/>
    <col min="7" max="7" width="11.5703125" bestFit="1" customWidth="1"/>
    <col min="8" max="8" width="7.7109375" bestFit="1" customWidth="1"/>
    <col min="9" max="9" width="10.42578125" bestFit="1" customWidth="1"/>
    <col min="10" max="10" width="11.85546875" customWidth="1"/>
    <col min="13" max="13" width="12.5703125" customWidth="1"/>
    <col min="16" max="16" width="13" customWidth="1"/>
    <col min="19" max="19" width="12.140625" customWidth="1"/>
  </cols>
  <sheetData>
    <row r="1" spans="1:20" ht="14.25" x14ac:dyDescent="0.2">
      <c r="A1" s="258" t="s">
        <v>49</v>
      </c>
      <c r="B1" s="258" t="s">
        <v>98</v>
      </c>
      <c r="C1" s="258" t="s">
        <v>100</v>
      </c>
      <c r="D1" s="258" t="s">
        <v>102</v>
      </c>
      <c r="E1" s="258"/>
      <c r="F1" s="259" t="s">
        <v>103</v>
      </c>
      <c r="G1" s="259"/>
      <c r="H1" s="259"/>
      <c r="I1" s="272" t="s">
        <v>104</v>
      </c>
      <c r="J1" s="273"/>
      <c r="K1" s="274"/>
      <c r="L1" s="272" t="s">
        <v>110</v>
      </c>
      <c r="M1" s="273"/>
      <c r="N1" s="274"/>
      <c r="O1" s="272" t="s">
        <v>109</v>
      </c>
      <c r="P1" s="273"/>
      <c r="Q1" s="274"/>
      <c r="R1" s="259" t="s">
        <v>94</v>
      </c>
      <c r="S1" s="259"/>
      <c r="T1" s="259"/>
    </row>
    <row r="2" spans="1:20" ht="28.5" x14ac:dyDescent="0.2">
      <c r="A2" s="258"/>
      <c r="B2" s="258"/>
      <c r="C2" s="258"/>
      <c r="D2" s="270" t="s">
        <v>126</v>
      </c>
      <c r="E2" s="260" t="s">
        <v>127</v>
      </c>
      <c r="F2" s="261" t="s">
        <v>128</v>
      </c>
      <c r="G2" s="261" t="s">
        <v>126</v>
      </c>
      <c r="H2" s="260" t="s">
        <v>127</v>
      </c>
      <c r="I2" s="261" t="s">
        <v>128</v>
      </c>
      <c r="J2" s="261" t="s">
        <v>126</v>
      </c>
      <c r="K2" s="260" t="s">
        <v>127</v>
      </c>
      <c r="L2" s="261" t="s">
        <v>128</v>
      </c>
      <c r="M2" s="261" t="s">
        <v>126</v>
      </c>
      <c r="N2" s="260" t="s">
        <v>127</v>
      </c>
      <c r="O2" s="261" t="s">
        <v>128</v>
      </c>
      <c r="P2" s="261" t="s">
        <v>126</v>
      </c>
      <c r="Q2" s="260" t="s">
        <v>127</v>
      </c>
      <c r="R2" s="261" t="s">
        <v>128</v>
      </c>
      <c r="S2" s="261" t="s">
        <v>126</v>
      </c>
      <c r="T2" s="260" t="s">
        <v>127</v>
      </c>
    </row>
    <row r="3" spans="1:20" ht="14.25" x14ac:dyDescent="0.2">
      <c r="A3" s="262">
        <v>6020</v>
      </c>
      <c r="B3" s="263">
        <v>24</v>
      </c>
      <c r="C3" s="264" t="s">
        <v>101</v>
      </c>
      <c r="D3" s="263">
        <v>0</v>
      </c>
      <c r="E3" s="263" t="str">
        <f>IF(D3=0,"",B3-D3)</f>
        <v/>
      </c>
      <c r="F3" s="263">
        <f>B3*7</f>
        <v>168</v>
      </c>
      <c r="G3" s="263">
        <v>40.4</v>
      </c>
      <c r="H3" s="263">
        <f>F3-G3</f>
        <v>127.6</v>
      </c>
      <c r="I3" s="263">
        <f ca="1">DAY(TODAY())*B3</f>
        <v>264</v>
      </c>
      <c r="J3" s="263">
        <v>40.4</v>
      </c>
      <c r="K3" s="263">
        <f ca="1">I3-J3</f>
        <v>223.6</v>
      </c>
      <c r="L3" s="263"/>
      <c r="M3" s="263">
        <v>0</v>
      </c>
      <c r="N3" s="263"/>
      <c r="O3" s="263"/>
      <c r="P3" s="263">
        <v>40.4</v>
      </c>
      <c r="Q3" s="263"/>
      <c r="R3" s="263">
        <v>40.4</v>
      </c>
      <c r="S3" s="263"/>
      <c r="T3" s="263"/>
    </row>
    <row r="4" spans="1:20" ht="14.25" x14ac:dyDescent="0.2">
      <c r="A4" s="262" t="s">
        <v>122</v>
      </c>
      <c r="B4" s="263">
        <v>8</v>
      </c>
      <c r="C4" s="264" t="s">
        <v>125</v>
      </c>
      <c r="D4" s="263">
        <v>0</v>
      </c>
      <c r="E4" s="263" t="str">
        <f t="shared" ref="E4:E7" si="0">IF(D4=0,"",B4-D4)</f>
        <v/>
      </c>
      <c r="F4" s="263">
        <f>B4*7</f>
        <v>56</v>
      </c>
      <c r="G4" s="263">
        <v>102.85</v>
      </c>
      <c r="H4" s="263">
        <f>F4-G4</f>
        <v>-46.849999999999994</v>
      </c>
      <c r="I4" s="263">
        <f t="shared" ref="I4:I7" ca="1" si="1">DAY(TODAY())*B4</f>
        <v>88</v>
      </c>
      <c r="J4" s="263">
        <v>102.85</v>
      </c>
      <c r="K4" s="263">
        <f ca="1">I4-J4</f>
        <v>-14.849999999999994</v>
      </c>
      <c r="L4" s="263"/>
      <c r="M4" s="263">
        <v>0</v>
      </c>
      <c r="N4" s="263"/>
      <c r="O4" s="263"/>
      <c r="P4" s="263">
        <v>102.85</v>
      </c>
      <c r="Q4" s="263"/>
      <c r="R4" s="263">
        <v>102.85</v>
      </c>
      <c r="S4" s="263"/>
      <c r="T4" s="263"/>
    </row>
    <row r="5" spans="1:20" ht="14.25" x14ac:dyDescent="0.2">
      <c r="A5" s="265" t="s">
        <v>48</v>
      </c>
      <c r="B5" s="266">
        <v>8</v>
      </c>
      <c r="C5" s="267" t="s">
        <v>84</v>
      </c>
      <c r="D5" s="266">
        <v>0</v>
      </c>
      <c r="E5" s="266" t="str">
        <f t="shared" si="0"/>
        <v/>
      </c>
      <c r="F5" s="266">
        <f t="shared" ref="F5:F7" si="2">B5*7</f>
        <v>56</v>
      </c>
      <c r="G5" s="266">
        <v>0.13</v>
      </c>
      <c r="H5" s="271">
        <f>H4</f>
        <v>-46.849999999999994</v>
      </c>
      <c r="I5" s="263">
        <f t="shared" ca="1" si="1"/>
        <v>88</v>
      </c>
      <c r="J5" s="266">
        <v>0.13</v>
      </c>
      <c r="K5" s="266">
        <f ca="1">K4</f>
        <v>-14.849999999999994</v>
      </c>
      <c r="L5" s="266"/>
      <c r="M5" s="266">
        <v>0</v>
      </c>
      <c r="N5" s="266"/>
      <c r="O5" s="266"/>
      <c r="P5" s="266">
        <v>0.13</v>
      </c>
      <c r="Q5" s="266"/>
      <c r="R5" s="266">
        <v>0.13</v>
      </c>
      <c r="S5" s="266"/>
      <c r="T5" s="266"/>
    </row>
    <row r="6" spans="1:20" ht="14.25" x14ac:dyDescent="0.2">
      <c r="A6" s="265" t="s">
        <v>48</v>
      </c>
      <c r="B6" s="266">
        <v>8</v>
      </c>
      <c r="C6" s="268" t="s">
        <v>121</v>
      </c>
      <c r="D6" s="266">
        <v>0</v>
      </c>
      <c r="E6" s="266" t="str">
        <f t="shared" si="0"/>
        <v/>
      </c>
      <c r="F6" s="266">
        <f t="shared" si="2"/>
        <v>56</v>
      </c>
      <c r="G6" s="266">
        <v>102.72</v>
      </c>
      <c r="H6" s="271">
        <f>H4</f>
        <v>-46.849999999999994</v>
      </c>
      <c r="I6" s="263">
        <f t="shared" ca="1" si="1"/>
        <v>88</v>
      </c>
      <c r="J6" s="266">
        <v>102.72</v>
      </c>
      <c r="K6" s="266">
        <f ca="1">K4</f>
        <v>-14.849999999999994</v>
      </c>
      <c r="L6" s="266"/>
      <c r="M6" s="266">
        <v>0</v>
      </c>
      <c r="N6" s="266"/>
      <c r="O6" s="266"/>
      <c r="P6" s="266">
        <v>102.72</v>
      </c>
      <c r="Q6" s="266"/>
      <c r="R6" s="266">
        <v>102.72</v>
      </c>
      <c r="S6" s="266"/>
      <c r="T6" s="266"/>
    </row>
    <row r="7" spans="1:20" ht="14.25" x14ac:dyDescent="0.2">
      <c r="A7" s="262" t="s">
        <v>99</v>
      </c>
      <c r="B7" s="263">
        <v>10</v>
      </c>
      <c r="C7" s="269" t="s">
        <v>120</v>
      </c>
      <c r="D7" s="263">
        <v>0</v>
      </c>
      <c r="E7" s="263" t="str">
        <f t="shared" si="0"/>
        <v/>
      </c>
      <c r="F7" s="263">
        <f t="shared" si="2"/>
        <v>70</v>
      </c>
      <c r="G7" s="263">
        <v>230.23</v>
      </c>
      <c r="H7" s="263">
        <f>F7-G7</f>
        <v>-160.22999999999999</v>
      </c>
      <c r="I7" s="263">
        <f t="shared" ca="1" si="1"/>
        <v>110</v>
      </c>
      <c r="J7" s="263">
        <v>230.23</v>
      </c>
      <c r="K7" s="263">
        <f ca="1">I7-J7</f>
        <v>-120.22999999999999</v>
      </c>
      <c r="L7" s="263"/>
      <c r="M7" s="263">
        <v>0</v>
      </c>
      <c r="N7" s="263"/>
      <c r="O7" s="263"/>
      <c r="P7" s="263">
        <v>230.23</v>
      </c>
      <c r="Q7" s="263"/>
      <c r="R7" s="263">
        <v>230.23</v>
      </c>
      <c r="S7" s="263"/>
      <c r="T7" s="263"/>
    </row>
  </sheetData>
  <mergeCells count="9">
    <mergeCell ref="I1:K1"/>
    <mergeCell ref="L1:N1"/>
    <mergeCell ref="O1:Q1"/>
    <mergeCell ref="R1:T1"/>
    <mergeCell ref="A1:A2"/>
    <mergeCell ref="B1:B2"/>
    <mergeCell ref="C1:C2"/>
    <mergeCell ref="F1:H1"/>
    <mergeCell ref="D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704C-66CF-47EF-9721-B287657EF6E9}">
  <dimension ref="A1:C6"/>
  <sheetViews>
    <sheetView tabSelected="1" workbookViewId="0">
      <selection activeCell="D3" sqref="D3"/>
    </sheetView>
  </sheetViews>
  <sheetFormatPr defaultRowHeight="12.75" x14ac:dyDescent="0.2"/>
  <cols>
    <col min="2" max="2" width="13.140625" customWidth="1"/>
    <col min="3" max="3" width="14.5703125" customWidth="1"/>
  </cols>
  <sheetData>
    <row r="1" spans="1:3" ht="33" x14ac:dyDescent="0.2">
      <c r="A1" s="275" t="s">
        <v>102</v>
      </c>
      <c r="B1" s="275" t="s">
        <v>129</v>
      </c>
      <c r="C1" s="275" t="s">
        <v>130</v>
      </c>
    </row>
    <row r="2" spans="1:3" ht="33" x14ac:dyDescent="0.2">
      <c r="A2" s="275" t="s">
        <v>103</v>
      </c>
      <c r="B2" s="275" t="s">
        <v>131</v>
      </c>
      <c r="C2" s="275" t="s">
        <v>132</v>
      </c>
    </row>
    <row r="3" spans="1:3" ht="16.5" x14ac:dyDescent="0.2">
      <c r="A3" s="275" t="s">
        <v>104</v>
      </c>
      <c r="B3" s="275" t="s">
        <v>133</v>
      </c>
      <c r="C3" s="275" t="s">
        <v>134</v>
      </c>
    </row>
    <row r="4" spans="1:3" ht="33" x14ac:dyDescent="0.2">
      <c r="A4" s="275" t="s">
        <v>110</v>
      </c>
      <c r="B4" s="275" t="s">
        <v>139</v>
      </c>
      <c r="C4" s="275" t="s">
        <v>140</v>
      </c>
    </row>
    <row r="5" spans="1:3" ht="16.5" x14ac:dyDescent="0.2">
      <c r="A5" s="275" t="s">
        <v>109</v>
      </c>
      <c r="B5" s="275" t="s">
        <v>137</v>
      </c>
      <c r="C5" s="275" t="s">
        <v>138</v>
      </c>
    </row>
    <row r="6" spans="1:3" ht="16.5" x14ac:dyDescent="0.2">
      <c r="A6" s="275" t="s">
        <v>94</v>
      </c>
      <c r="B6" s="275" t="s">
        <v>135</v>
      </c>
      <c r="C6" s="275" t="s">
        <v>136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5005-1DB0-4B4F-949F-B7024A6BBF3F}">
  <sheetPr codeName="Sheet5"/>
  <dimension ref="A1:I4"/>
  <sheetViews>
    <sheetView workbookViewId="0">
      <selection sqref="A1:A2"/>
    </sheetView>
  </sheetViews>
  <sheetFormatPr defaultRowHeight="12.75" x14ac:dyDescent="0.2"/>
  <cols>
    <col min="2" max="2" width="18.85546875" customWidth="1"/>
    <col min="5" max="5" width="14.140625" customWidth="1"/>
    <col min="7" max="7" width="11" customWidth="1"/>
    <col min="9" max="9" width="50.5703125" customWidth="1"/>
  </cols>
  <sheetData>
    <row r="1" spans="1:9" s="1" customFormat="1" ht="12.75" customHeight="1" x14ac:dyDescent="0.2">
      <c r="A1" s="218" t="s">
        <v>0</v>
      </c>
      <c r="B1" s="218" t="s">
        <v>1</v>
      </c>
      <c r="C1" s="215" t="s">
        <v>2</v>
      </c>
      <c r="D1" s="216"/>
      <c r="E1" s="218" t="s">
        <v>3</v>
      </c>
      <c r="F1" s="218" t="s">
        <v>4</v>
      </c>
      <c r="G1" s="215" t="s">
        <v>5</v>
      </c>
      <c r="H1" s="216"/>
      <c r="I1" s="11" t="s">
        <v>6</v>
      </c>
    </row>
    <row r="2" spans="1:9" s="1" customFormat="1" x14ac:dyDescent="0.2">
      <c r="A2" s="219"/>
      <c r="B2" s="220"/>
      <c r="C2" s="221"/>
      <c r="D2" s="222"/>
      <c r="E2" s="219"/>
      <c r="F2" s="219"/>
      <c r="G2" s="9" t="s">
        <v>7</v>
      </c>
      <c r="H2" s="9" t="s">
        <v>8</v>
      </c>
      <c r="I2" s="12"/>
    </row>
    <row r="3" spans="1:9" s="1" customFormat="1" ht="272.45" customHeight="1" x14ac:dyDescent="0.2">
      <c r="A3" s="4">
        <v>1.5</v>
      </c>
      <c r="B3" s="3" t="s">
        <v>16</v>
      </c>
      <c r="C3" s="217" t="s">
        <v>14</v>
      </c>
      <c r="D3" s="217"/>
      <c r="E3" s="7" t="s">
        <v>15</v>
      </c>
      <c r="F3" s="4" t="s">
        <v>9</v>
      </c>
      <c r="G3" s="6">
        <v>45440</v>
      </c>
      <c r="H3" s="10"/>
      <c r="I3" s="13" t="s">
        <v>17</v>
      </c>
    </row>
    <row r="4" spans="1:9" s="1" customFormat="1" ht="409.5" x14ac:dyDescent="0.2">
      <c r="A4" s="2">
        <v>2.1</v>
      </c>
      <c r="B4" s="3" t="s">
        <v>11</v>
      </c>
      <c r="C4" s="217" t="s">
        <v>12</v>
      </c>
      <c r="D4" s="217"/>
      <c r="E4" s="8" t="s">
        <v>13</v>
      </c>
      <c r="F4" s="5" t="s">
        <v>10</v>
      </c>
      <c r="G4" s="6">
        <v>45440</v>
      </c>
      <c r="H4" s="2"/>
      <c r="I4" s="14" t="s">
        <v>18</v>
      </c>
    </row>
  </sheetData>
  <mergeCells count="8">
    <mergeCell ref="G1:H1"/>
    <mergeCell ref="C3:D3"/>
    <mergeCell ref="C4:D4"/>
    <mergeCell ref="A1:A2"/>
    <mergeCell ref="B1:B2"/>
    <mergeCell ref="C1:D2"/>
    <mergeCell ref="E1:E2"/>
    <mergeCell ref="F1:F2"/>
  </mergeCells>
  <pageMargins left="0.7" right="0.7" top="0.75" bottom="0.75" header="0.3" footer="0.3"/>
  <headerFooter>
    <oddFooter>&amp;L_x000D_&amp;1#&amp;"Calibri"&amp;10&amp;K737373 Caterpillar: Confidential Green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3c47e6-d7d9-4a9a-b8cf-4751ff9ec569" xsi:nil="true"/>
    <lcf76f155ced4ddcb4097134ff3c332f xmlns="033f7e4b-c8fd-4429-9498-72bc3558c9c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77E8C93446654486906D150DB407CB" ma:contentTypeVersion="16" ma:contentTypeDescription="Create a new document." ma:contentTypeScope="" ma:versionID="323e900548238b63129cf26f3ed9d4b4">
  <xsd:schema xmlns:xsd="http://www.w3.org/2001/XMLSchema" xmlns:xs="http://www.w3.org/2001/XMLSchema" xmlns:p="http://schemas.microsoft.com/office/2006/metadata/properties" xmlns:ns2="033f7e4b-c8fd-4429-9498-72bc3558c9cd" xmlns:ns3="d03c47e6-d7d9-4a9a-b8cf-4751ff9ec569" targetNamespace="http://schemas.microsoft.com/office/2006/metadata/properties" ma:root="true" ma:fieldsID="6cd943b60059c8e857087c13d669cab9" ns2:_="" ns3:_="">
    <xsd:import namespace="033f7e4b-c8fd-4429-9498-72bc3558c9cd"/>
    <xsd:import namespace="d03c47e6-d7d9-4a9a-b8cf-4751ff9ec5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3f7e4b-c8fd-4429-9498-72bc3558c9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52b324c-eee8-4dcf-8ae9-eb158c273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3c47e6-d7d9-4a9a-b8cf-4751ff9ec56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56bb75-f95a-429b-9bbf-cfb458a62792}" ma:internalName="TaxCatchAll" ma:showField="CatchAllData" ma:web="d03c47e6-d7d9-4a9a-b8cf-4751ff9ec5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79EF29-517E-46DC-9991-630E37664762}">
  <ds:schemaRefs>
    <ds:schemaRef ds:uri="d03c47e6-d7d9-4a9a-b8cf-4751ff9ec569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33f7e4b-c8fd-4429-9498-72bc3558c9cd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1212C98-854C-4C10-AB3C-1DB1B6ABFD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348E54-78BD-471F-9B0C-51B1EAE4D4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3f7e4b-c8fd-4429-9498-72bc3558c9cd"/>
    <ds:schemaRef ds:uri="d03c47e6-d7d9-4a9a-b8cf-4751ff9ec5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7cf3d78-6cbd-4ac2-9956-f68ab60960bf}" enabled="0" method="" siteId="{b7cf3d78-6cbd-4ac2-9956-f68ab60960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Overall Monthly</vt:lpstr>
      <vt:lpstr>Overall</vt:lpstr>
      <vt:lpstr>Sheet1</vt:lpstr>
      <vt:lpstr>Report</vt:lpstr>
      <vt:lpstr>All Fleet</vt:lpstr>
      <vt:lpstr>Sheet2</vt:lpstr>
      <vt:lpstr>Sheet4</vt:lpstr>
      <vt:lpstr>Sheet3</vt:lpstr>
      <vt:lpstr>Sheet5</vt:lpstr>
      <vt:lpstr>Sheet6</vt:lpstr>
      <vt:lpstr>Sheet7</vt:lpstr>
      <vt:lpstr>history mom</vt:lpstr>
    </vt:vector>
  </TitlesOfParts>
  <Manager/>
  <Company>-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 all</dc:creator>
  <cp:keywords/>
  <dc:description/>
  <cp:lastModifiedBy>Muhammad Ismail</cp:lastModifiedBy>
  <cp:revision/>
  <cp:lastPrinted>2026-04-09T03:52:20Z</cp:lastPrinted>
  <dcterms:created xsi:type="dcterms:W3CDTF">2006-03-09T02:07:06Z</dcterms:created>
  <dcterms:modified xsi:type="dcterms:W3CDTF">2026-10-11T14:17:00Z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0x0101009877E8C93446654486906D150DB407CB</vt:lpwstr>
  </property>
  <property fmtid="{D5CDD505-2E9C-101B-9397-08002B2CF9AE}" pid="3" name="MediaServiceImageTags">
    <vt:lpwstr/>
  </property>
  <property fmtid="{D5CDD505-2E9C-101B-9397-08002B2CF9AE}" pid="4" name="MSIP_Label_fb5e2db6-eecf-4aa2-8fc3-174bf94bce19_Enabled">
    <vt:lpwstr>true</vt:lpwstr>
  </property>
  <property fmtid="{D5CDD505-2E9C-101B-9397-08002B2CF9AE}" pid="5" name="MSIP_Label_fb5e2db6-eecf-4aa2-8fc3-174bf94bce19_SetDate">
    <vt:lpwstr>2024-09-17T01:07:45Z</vt:lpwstr>
  </property>
  <property fmtid="{D5CDD505-2E9C-101B-9397-08002B2CF9AE}" pid="6" name="MSIP_Label_fb5e2db6-eecf-4aa2-8fc3-174bf94bce19_Method">
    <vt:lpwstr>Standard</vt:lpwstr>
  </property>
  <property fmtid="{D5CDD505-2E9C-101B-9397-08002B2CF9AE}" pid="7" name="MSIP_Label_fb5e2db6-eecf-4aa2-8fc3-174bf94bce19_Name">
    <vt:lpwstr>fb5e2db6-eecf-4aa2-8fc3-174bf94bce19</vt:lpwstr>
  </property>
  <property fmtid="{D5CDD505-2E9C-101B-9397-08002B2CF9AE}" pid="8" name="MSIP_Label_fb5e2db6-eecf-4aa2-8fc3-174bf94bce19_SiteId">
    <vt:lpwstr>ceb177bf-013b-49ab-8a9c-4abce32afc1e</vt:lpwstr>
  </property>
  <property fmtid="{D5CDD505-2E9C-101B-9397-08002B2CF9AE}" pid="9" name="MSIP_Label_fb5e2db6-eecf-4aa2-8fc3-174bf94bce19_ActionId">
    <vt:lpwstr>fb78a06a-d20d-4001-82a4-9af5be5d1dc3</vt:lpwstr>
  </property>
  <property fmtid="{D5CDD505-2E9C-101B-9397-08002B2CF9AE}" pid="10" name="MSIP_Label_fb5e2db6-eecf-4aa2-8fc3-174bf94bce19_ContentBits">
    <vt:lpwstr>2</vt:lpwstr>
  </property>
</Properties>
</file>