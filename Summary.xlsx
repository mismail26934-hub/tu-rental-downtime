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tu-rental\"/>
    </mc:Choice>
  </mc:AlternateContent>
  <xr:revisionPtr revIDLastSave="0" documentId="13_ncr:1_{AB011FB2-EEBF-480E-A473-54A7547B9487}" xr6:coauthVersionLast="47" xr6:coauthVersionMax="47" xr10:uidLastSave="{00000000-0000-0000-0000-000000000000}"/>
  <bookViews>
    <workbookView xWindow="-120" yWindow="-120" windowWidth="20730" windowHeight="11040" xr2:uid="{737FED9C-55FA-4A04-9EEB-4DB4C4D237A1}"/>
  </bookViews>
  <sheets>
    <sheet name="Sheet6" sheetId="1" r:id="rId1"/>
  </sheets>
  <externalReferences>
    <externalReference r:id="rId2"/>
  </externalReferences>
  <definedNames>
    <definedName name="_______________________________________________________________________________wwp1">#REF!</definedName>
    <definedName name="_______________________________________________________________________________wwp2">#REF!</definedName>
    <definedName name="______________________________________________________________________________wwp1">#REF!</definedName>
    <definedName name="______________________________________________________________________________wwp2">#REF!</definedName>
    <definedName name="_____________________________________________________________________________wwp1">#REF!</definedName>
    <definedName name="_____________________________________________________________________________wwp2">#REF!</definedName>
    <definedName name="____________________________________________________________________________wwp1">#REF!</definedName>
    <definedName name="____________________________________________________________________________wwp2">#REF!</definedName>
    <definedName name="___________________________________________________________________________wwp1">#REF!</definedName>
    <definedName name="___________________________________________________________________________wwp2">#REF!</definedName>
    <definedName name="__________________________________________________________________________wwp1">#REF!</definedName>
    <definedName name="__________________________________________________________________________wwp2">#REF!</definedName>
    <definedName name="_________________________________________________________________________wwp1">#REF!</definedName>
    <definedName name="_________________________________________________________________________wwp2">#REF!</definedName>
    <definedName name="________________________________________________________________________wwp1">#REF!</definedName>
    <definedName name="________________________________________________________________________wwp2">#REF!</definedName>
    <definedName name="_______________________________________________________________________wwp1">#REF!</definedName>
    <definedName name="_______________________________________________________________________wwp2">#REF!</definedName>
    <definedName name="______________________________________________________________________wwp1">#REF!</definedName>
    <definedName name="______________________________________________________________________wwp2">#REF!</definedName>
    <definedName name="_____________________________________________________________________wwp1">#REF!</definedName>
    <definedName name="_____________________________________________________________________wwp2">#REF!</definedName>
    <definedName name="____________________________________________________________________wwp1">#REF!</definedName>
    <definedName name="____________________________________________________________________wwp2">#REF!</definedName>
    <definedName name="___________________________________________________________________wwp1">#REF!</definedName>
    <definedName name="___________________________________________________________________wwp2">#REF!</definedName>
    <definedName name="__________________________________________________________________wwp1">#REF!</definedName>
    <definedName name="__________________________________________________________________wwp2">#REF!</definedName>
    <definedName name="_________________________________________________________________wwp1">#REF!</definedName>
    <definedName name="_________________________________________________________________wwp2">#REF!</definedName>
    <definedName name="________________________________________________________________wwp1">#REF!</definedName>
    <definedName name="________________________________________________________________wwp2">#REF!</definedName>
    <definedName name="_______________________________________________________________wwp1">#REF!</definedName>
    <definedName name="_______________________________________________________________wwp2">#REF!</definedName>
    <definedName name="______________________________________________________________wwp1">#REF!</definedName>
    <definedName name="______________________________________________________________wwp2">#REF!</definedName>
    <definedName name="_____________________________________________________________wwp1">#REF!</definedName>
    <definedName name="_____________________________________________________________wwp2">#REF!</definedName>
    <definedName name="____________________________________________________________wwp1">#REF!</definedName>
    <definedName name="____________________________________________________________wwp2">#REF!</definedName>
    <definedName name="___________________________________________________________wwp1">#REF!</definedName>
    <definedName name="___________________________________________________________wwp2">#REF!</definedName>
    <definedName name="__________________________________________________________wwp1">#REF!</definedName>
    <definedName name="__________________________________________________________wwp2">#REF!</definedName>
    <definedName name="_________________________________________________________wwp1">#REF!</definedName>
    <definedName name="_________________________________________________________wwp2">#REF!</definedName>
    <definedName name="________________________________________________________wwp1">#REF!</definedName>
    <definedName name="________________________________________________________wwp2">#REF!</definedName>
    <definedName name="_______________________________________________________wwp1">#REF!</definedName>
    <definedName name="_______________________________________________________wwp2">#REF!</definedName>
    <definedName name="______________________________________________________wwp1">#REF!</definedName>
    <definedName name="______________________________________________________wwp2">#REF!</definedName>
    <definedName name="_____________________________________________________wwp1">#REF!</definedName>
    <definedName name="_____________________________________________________wwp2">#REF!</definedName>
    <definedName name="____________________________________________________wwp1">#REF!</definedName>
    <definedName name="____________________________________________________wwp2">#REF!</definedName>
    <definedName name="___________________________________________________wwp1">#REF!</definedName>
    <definedName name="___________________________________________________wwp2">#REF!</definedName>
    <definedName name="__________________________________________________wwp1">#REF!</definedName>
    <definedName name="__________________________________________________wwp2">#REF!</definedName>
    <definedName name="_________________________________________________wwp1">#REF!</definedName>
    <definedName name="_________________________________________________wwp2">#REF!</definedName>
    <definedName name="________________________________________________wwp1">#REF!</definedName>
    <definedName name="________________________________________________wwp2">#REF!</definedName>
    <definedName name="_______________________________________________wwp1">#REF!</definedName>
    <definedName name="_______________________________________________wwp2">#REF!</definedName>
    <definedName name="______________________________________________wwp1">#REF!</definedName>
    <definedName name="______________________________________________wwp2">#REF!</definedName>
    <definedName name="_____________________________________________wwp1">#REF!</definedName>
    <definedName name="_____________________________________________wwp2">#REF!</definedName>
    <definedName name="____________________________________________wwp1">#REF!</definedName>
    <definedName name="____________________________________________wwp2">#REF!</definedName>
    <definedName name="___________________________________________wwp1">#REF!</definedName>
    <definedName name="___________________________________________wwp2">#REF!</definedName>
    <definedName name="__________________________________________wwp1">#REF!</definedName>
    <definedName name="__________________________________________wwp2">#REF!</definedName>
    <definedName name="_________________________________________wwp1">#REF!</definedName>
    <definedName name="_________________________________________wwp2">#REF!</definedName>
    <definedName name="________________________________________wwp1">#REF!</definedName>
    <definedName name="________________________________________wwp2">#REF!</definedName>
    <definedName name="_______________________________________wwp1">#REF!</definedName>
    <definedName name="_______________________________________wwp2">#REF!</definedName>
    <definedName name="______________________________________wwp1">#REF!</definedName>
    <definedName name="______________________________________wwp2">#REF!</definedName>
    <definedName name="_____________________________________wwp1">#REF!</definedName>
    <definedName name="_____________________________________wwp2">#REF!</definedName>
    <definedName name="____________________________________wwp1">#REF!</definedName>
    <definedName name="____________________________________wwp2">#REF!</definedName>
    <definedName name="___________________________________wwp1">#REF!</definedName>
    <definedName name="___________________________________wwp2">#REF!</definedName>
    <definedName name="__________________________________wwp1">#REF!</definedName>
    <definedName name="__________________________________wwp2">#REF!</definedName>
    <definedName name="_________________________________wwp1">#REF!</definedName>
    <definedName name="_________________________________wwp2">#REF!</definedName>
    <definedName name="________________________________wwp1">#REF!</definedName>
    <definedName name="________________________________wwp2">#REF!</definedName>
    <definedName name="_______________________________wwp1">#REF!</definedName>
    <definedName name="_______________________________wwp2">#REF!</definedName>
    <definedName name="______________________________wwp1">#REF!</definedName>
    <definedName name="______________________________wwp2">#REF!</definedName>
    <definedName name="_____________________________wwp1">#REF!</definedName>
    <definedName name="_____________________________wwp2">#REF!</definedName>
    <definedName name="____________________________wwp1">#REF!</definedName>
    <definedName name="____________________________wwp2">#REF!</definedName>
    <definedName name="___________________________wwp1">#REF!</definedName>
    <definedName name="___________________________wwp2">#REF!</definedName>
    <definedName name="__________________________wwp1">#REF!</definedName>
    <definedName name="__________________________wwp2">#REF!</definedName>
    <definedName name="_________________________wwp1">#REF!</definedName>
    <definedName name="_________________________wwp2">#REF!</definedName>
    <definedName name="________________________wwp1">#REF!</definedName>
    <definedName name="________________________wwp2">#REF!</definedName>
    <definedName name="_______________________wwp1">#REF!</definedName>
    <definedName name="_______________________wwp2">#REF!</definedName>
    <definedName name="_____________________wwp1">#REF!</definedName>
    <definedName name="_____________________wwp2">#REF!</definedName>
    <definedName name="____________________wwp1">#REF!</definedName>
    <definedName name="____________________wwp2">#REF!</definedName>
    <definedName name="___________________wwp1">#REF!</definedName>
    <definedName name="___________________wwp2">#REF!</definedName>
    <definedName name="__________________wwp1">#REF!</definedName>
    <definedName name="__________________wwp2">#REF!</definedName>
    <definedName name="_________________wwp1">#REF!</definedName>
    <definedName name="_________________wwp2">#REF!</definedName>
    <definedName name="________________wwp1">#REF!</definedName>
    <definedName name="________________wwp2">#REF!</definedName>
    <definedName name="_______________wwp1">#REF!</definedName>
    <definedName name="_______________wwp2">#REF!</definedName>
    <definedName name="______________wwp1">#REF!</definedName>
    <definedName name="______________wwp2">#REF!</definedName>
    <definedName name="_____________wwp1">#REF!</definedName>
    <definedName name="_____________wwp2">#REF!</definedName>
    <definedName name="____________wwp1">#REF!</definedName>
    <definedName name="____________wwp2">#REF!</definedName>
    <definedName name="___________wwp1">#REF!</definedName>
    <definedName name="___________wwp2">#REF!</definedName>
    <definedName name="__________wwp1">#REF!</definedName>
    <definedName name="__________wwp2">#REF!</definedName>
    <definedName name="_________wwp1">#REF!</definedName>
    <definedName name="_________wwp2">#REF!</definedName>
    <definedName name="________wwp1">#REF!</definedName>
    <definedName name="________wwp2">#REF!</definedName>
    <definedName name="_______wwp1">#REF!</definedName>
    <definedName name="_______wwp2">#REF!</definedName>
    <definedName name="______wwp1">#REF!</definedName>
    <definedName name="______wwp2">#REF!</definedName>
    <definedName name="_____wwp1">#REF!</definedName>
    <definedName name="_____wwp2">#REF!</definedName>
    <definedName name="____wwp1">#REF!</definedName>
    <definedName name="____wwp2">#REF!</definedName>
    <definedName name="___wwp1">#REF!</definedName>
    <definedName name="___wwp2">#REF!</definedName>
    <definedName name="__wwp1">#REF!</definedName>
    <definedName name="__wwp2">#REF!</definedName>
    <definedName name="_wwp1">#REF!</definedName>
    <definedName name="_wwp2">#REF!</definedName>
    <definedName name="aa">#REF!</definedName>
    <definedName name="activity">#REF!</definedName>
    <definedName name="arif">#REF!</definedName>
    <definedName name="bandung">#REF!</definedName>
    <definedName name="bandung1">#REF!</definedName>
    <definedName name="bb">#REF!</definedName>
    <definedName name="bn">#REF!</definedName>
    <definedName name="cc">#REF!</definedName>
    <definedName name="ccc">#REF!</definedName>
    <definedName name="Coaltruck_opt2">#REF!</definedName>
    <definedName name="coba">#REF!</definedName>
    <definedName name="d">#REF!</definedName>
    <definedName name="draftw292015buma">#REF!</definedName>
    <definedName name="extend">#REF!</definedName>
    <definedName name="extend1">#REF!</definedName>
    <definedName name="GG">#REF!</definedName>
    <definedName name="harga">#REF!</definedName>
    <definedName name="helmi">#REF!</definedName>
    <definedName name="helmi1">#REF!</definedName>
    <definedName name="helmi3">#REF!</definedName>
    <definedName name="helmi4">#REF!</definedName>
    <definedName name="impact1">#REF!</definedName>
    <definedName name="jakarta">#REF!</definedName>
    <definedName name="jakarta1">#REF!</definedName>
    <definedName name="judul1">#REF!</definedName>
    <definedName name="KK">#REF!</definedName>
    <definedName name="loc">#REF!</definedName>
    <definedName name="machine">#REF!</definedName>
    <definedName name="machine1">#REF!</definedName>
    <definedName name="MEP">#REF!</definedName>
    <definedName name="mepbkj">#REF!</definedName>
    <definedName name="model">#REF!</definedName>
    <definedName name="model1">#REF!</definedName>
    <definedName name="modelcek">#REF!</definedName>
    <definedName name="month">#REF!</definedName>
    <definedName name="OBtruck_opt2">#REF!</definedName>
    <definedName name="periode1">#REF!</definedName>
    <definedName name="periodeweekfix">#REF!</definedName>
    <definedName name="plandown">#REF!</definedName>
    <definedName name="plandown1">#REF!</definedName>
    <definedName name="plandown10">#REF!</definedName>
    <definedName name="plandown2">#REF!</definedName>
    <definedName name="plandown3">#REF!</definedName>
    <definedName name="plandown5">#REF!</definedName>
    <definedName name="pmtypew25buma">#REF!</definedName>
    <definedName name="pp">#REF!</definedName>
    <definedName name="prev">#REF!</definedName>
    <definedName name="prev2">#REF!</definedName>
    <definedName name="price2">#REF!</definedName>
    <definedName name="Satu">#REF!</definedName>
    <definedName name="sd">#REF!</definedName>
    <definedName name="sitejudul">#REF!</definedName>
    <definedName name="sko">#REF!</definedName>
    <definedName name="startdate">#REF!</definedName>
    <definedName name="strategytask">#REF!</definedName>
    <definedName name="Summary_opt2">#REF!</definedName>
    <definedName name="vv">#REF!</definedName>
    <definedName name="week">#REF!</definedName>
    <definedName name="ww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H7" i="1" s="1"/>
  <c r="F6" i="1"/>
  <c r="F5" i="1"/>
  <c r="F4" i="1"/>
  <c r="H4" i="1" s="1"/>
  <c r="H5" i="1" s="1"/>
  <c r="H6" i="1" s="1"/>
  <c r="F3" i="1"/>
  <c r="H3" i="1" s="1"/>
  <c r="N6" i="1"/>
  <c r="N5" i="1"/>
  <c r="R7" i="1"/>
  <c r="T7" i="1" s="1"/>
  <c r="O7" i="1"/>
  <c r="Q7" i="1" s="1"/>
  <c r="N7" i="1"/>
  <c r="L7" i="1"/>
  <c r="R6" i="1"/>
  <c r="O6" i="1"/>
  <c r="L6" i="1"/>
  <c r="R5" i="1"/>
  <c r="O5" i="1"/>
  <c r="L5" i="1"/>
  <c r="R4" i="1"/>
  <c r="T4" i="1" s="1"/>
  <c r="T6" i="1" s="1"/>
  <c r="O4" i="1"/>
  <c r="Q4" i="1" s="1"/>
  <c r="Q5" i="1" s="1"/>
  <c r="Q6" i="1" s="1"/>
  <c r="N4" i="1"/>
  <c r="L4" i="1"/>
  <c r="R3" i="1"/>
  <c r="T3" i="1" s="1"/>
  <c r="O3" i="1"/>
  <c r="Q3" i="1" s="1"/>
  <c r="N3" i="1"/>
  <c r="L3" i="1"/>
  <c r="I7" i="1"/>
  <c r="K7" i="1" s="1"/>
  <c r="E7" i="1"/>
  <c r="I6" i="1"/>
  <c r="E6" i="1"/>
  <c r="I5" i="1"/>
  <c r="E5" i="1"/>
  <c r="I4" i="1"/>
  <c r="K4" i="1" s="1"/>
  <c r="K5" i="1" s="1"/>
  <c r="K6" i="1" s="1"/>
  <c r="E4" i="1"/>
  <c r="I3" i="1"/>
  <c r="K3" i="1" s="1"/>
  <c r="E3" i="1"/>
  <c r="T5" i="1" l="1"/>
</calcChain>
</file>

<file path=xl/sharedStrings.xml><?xml version="1.0" encoding="utf-8"?>
<sst xmlns="http://schemas.openxmlformats.org/spreadsheetml/2006/main" count="35" uniqueCount="20">
  <si>
    <t>Model</t>
  </si>
  <si>
    <t>Quota Hrs</t>
  </si>
  <si>
    <t>Unit</t>
  </si>
  <si>
    <t>Daily</t>
  </si>
  <si>
    <t>WTD</t>
  </si>
  <si>
    <t>MTD</t>
  </si>
  <si>
    <t>HYTD 1</t>
  </si>
  <si>
    <t>HYTD 2</t>
  </si>
  <si>
    <t>YTD</t>
  </si>
  <si>
    <t>W.Labour + 
Repair Time</t>
  </si>
  <si>
    <t>Sisa</t>
  </si>
  <si>
    <t>Quota 
Hrs</t>
  </si>
  <si>
    <t>RS501</t>
  </si>
  <si>
    <t>7W8−</t>
  </si>
  <si>
    <t>7W8</t>
  </si>
  <si>
    <t>RT408</t>
  </si>
  <si>
    <t>RT409*</t>
  </si>
  <si>
    <t>FKR/KDP</t>
  </si>
  <si>
    <t>RT410*</t>
  </si>
  <si>
    <r>
      <t xml:space="preserve">RT408,
</t>
    </r>
    <r>
      <rPr>
        <b/>
        <sz val="10"/>
        <color rgb="FF9B0000"/>
        <rFont val="Segoe UI"/>
        <family val="2"/>
      </rPr>
      <t>RT409*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</si>
</sst>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9B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D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tu-rental\PA%20Projection_OHT%20Rental_Rev2.xlsx" TargetMode="External"/><Relationship Id="rId1" Type="http://schemas.openxmlformats.org/officeDocument/2006/relationships/externalLinkPath" Target="PA%20Projection_OHT%20Rental_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Monthly"/>
      <sheetName val="Overall"/>
      <sheetName val="Sheet1"/>
      <sheetName val="Report"/>
      <sheetName val="All Fleet"/>
      <sheetName val="Sheet2"/>
      <sheetName val="Sheet4"/>
      <sheetName val="Sheet3"/>
      <sheetName val="Sheet5"/>
      <sheetName val="Sheet6"/>
      <sheetName val="Sheet7"/>
      <sheetName val="history m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F44A-A2E5-424D-9D25-1CA00FB4BF67}">
  <dimension ref="A1:T7"/>
  <sheetViews>
    <sheetView tabSelected="1" topLeftCell="C1" workbookViewId="0">
      <selection activeCell="O2" sqref="O2"/>
    </sheetView>
  </sheetViews>
  <sheetFormatPr defaultRowHeight="12.75" x14ac:dyDescent="0.2"/>
  <cols>
    <col min="2" max="2" width="10" bestFit="1" customWidth="1"/>
    <col min="3" max="3" width="12.7109375" bestFit="1" customWidth="1"/>
    <col min="4" max="4" width="12.42578125" customWidth="1"/>
    <col min="6" max="6" width="6.42578125" bestFit="1" customWidth="1"/>
    <col min="7" max="7" width="11.5703125" bestFit="1" customWidth="1"/>
    <col min="8" max="8" width="7.7109375" bestFit="1" customWidth="1"/>
    <col min="9" max="9" width="6.42578125" bestFit="1" customWidth="1"/>
    <col min="10" max="10" width="11.85546875" customWidth="1"/>
    <col min="12" max="12" width="6.42578125" bestFit="1" customWidth="1"/>
    <col min="13" max="13" width="12.5703125" customWidth="1"/>
    <col min="15" max="15" width="6.42578125" bestFit="1" customWidth="1"/>
    <col min="16" max="16" width="13" customWidth="1"/>
    <col min="19" max="19" width="12.140625" customWidth="1"/>
  </cols>
  <sheetData>
    <row r="1" spans="1:2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/>
      <c r="H1" s="2"/>
      <c r="I1" s="3" t="s">
        <v>5</v>
      </c>
      <c r="J1" s="4"/>
      <c r="K1" s="5"/>
      <c r="L1" s="3" t="s">
        <v>6</v>
      </c>
      <c r="M1" s="4"/>
      <c r="N1" s="5"/>
      <c r="O1" s="3" t="s">
        <v>7</v>
      </c>
      <c r="P1" s="4"/>
      <c r="Q1" s="5"/>
      <c r="R1" s="2" t="s">
        <v>8</v>
      </c>
      <c r="S1" s="2"/>
      <c r="T1" s="2"/>
    </row>
    <row r="2" spans="1:20" ht="28.5" x14ac:dyDescent="0.2">
      <c r="A2" s="1"/>
      <c r="B2" s="1"/>
      <c r="C2" s="1"/>
      <c r="D2" s="6" t="s">
        <v>9</v>
      </c>
      <c r="E2" s="7" t="s">
        <v>10</v>
      </c>
      <c r="F2" s="8" t="s">
        <v>11</v>
      </c>
      <c r="G2" s="8" t="s">
        <v>9</v>
      </c>
      <c r="H2" s="7" t="s">
        <v>10</v>
      </c>
      <c r="I2" s="8" t="s">
        <v>11</v>
      </c>
      <c r="J2" s="8" t="s">
        <v>9</v>
      </c>
      <c r="K2" s="7" t="s">
        <v>10</v>
      </c>
      <c r="L2" s="8" t="s">
        <v>11</v>
      </c>
      <c r="M2" s="8" t="s">
        <v>9</v>
      </c>
      <c r="N2" s="7" t="s">
        <v>10</v>
      </c>
      <c r="O2" s="8" t="s">
        <v>11</v>
      </c>
      <c r="P2" s="8" t="s">
        <v>9</v>
      </c>
      <c r="Q2" s="7" t="s">
        <v>10</v>
      </c>
      <c r="R2" s="8" t="s">
        <v>11</v>
      </c>
      <c r="S2" s="8" t="s">
        <v>9</v>
      </c>
      <c r="T2" s="7" t="s">
        <v>10</v>
      </c>
    </row>
    <row r="3" spans="1:20" ht="14.25" x14ac:dyDescent="0.2">
      <c r="A3" s="9">
        <v>6020</v>
      </c>
      <c r="B3" s="10">
        <v>24</v>
      </c>
      <c r="C3" s="11" t="s">
        <v>12</v>
      </c>
      <c r="D3" s="10">
        <v>0</v>
      </c>
      <c r="E3" s="10" t="str">
        <f>IF(D3=0,"",B3-D3)</f>
        <v/>
      </c>
      <c r="F3" s="10">
        <f ca="1">B3*WEEKDAY(TODAY(),2)</f>
        <v>144</v>
      </c>
      <c r="G3" s="10">
        <v>40.4</v>
      </c>
      <c r="H3" s="10">
        <f ca="1">IF(G3=0,"",F3-G3)</f>
        <v>103.6</v>
      </c>
      <c r="I3" s="10">
        <f ca="1">DAY(TODAY())*B3</f>
        <v>240</v>
      </c>
      <c r="J3" s="10">
        <v>40.4</v>
      </c>
      <c r="K3" s="10">
        <f ca="1">IF(J3=0,0,I3-J3)</f>
        <v>199.6</v>
      </c>
      <c r="L3" s="10">
        <f ca="1">B3*(MIN(TODAY(),DATE(YEAR(TODAY()),6,30))-DATE(YEAR(TODAY()),1,1)+1)</f>
        <v>4344</v>
      </c>
      <c r="M3" s="10">
        <v>0</v>
      </c>
      <c r="N3" s="10" t="str">
        <f>IF(M3=0,"",L3-M3)</f>
        <v/>
      </c>
      <c r="O3" s="10">
        <f ca="1">IF(TODAY()&lt;DATE(YEAR(TODAY()),7,1),0,B3*(MIN(TODAY(),DATE(YEAR(TODAY()),12,31))-DATE(YEAR(TODAY()),7,1)+1))</f>
        <v>2448</v>
      </c>
      <c r="P3" s="10">
        <v>40.4</v>
      </c>
      <c r="Q3" s="10">
        <f ca="1">IF(P3=0,"",O3-P3)</f>
        <v>2407.6</v>
      </c>
      <c r="R3" s="10">
        <f ca="1">B3*(TODAY()-DATE(YEAR(TODAY()),1,1)+1)</f>
        <v>6792</v>
      </c>
      <c r="S3" s="10">
        <v>40.4</v>
      </c>
      <c r="T3" s="10">
        <f ca="1">IF(S3=0,"",R3-S3)</f>
        <v>6751.6</v>
      </c>
    </row>
    <row r="4" spans="1:20" ht="28.5" x14ac:dyDescent="0.2">
      <c r="A4" s="9" t="s">
        <v>13</v>
      </c>
      <c r="B4" s="10">
        <v>8</v>
      </c>
      <c r="C4" s="11" t="s">
        <v>19</v>
      </c>
      <c r="D4" s="10">
        <v>0</v>
      </c>
      <c r="E4" s="10" t="str">
        <f t="shared" ref="E4:E7" si="0">IF(D4=0,"",B4-D4)</f>
        <v/>
      </c>
      <c r="F4" s="10">
        <f ca="1">B4*WEEKDAY(TODAY(),2)</f>
        <v>48</v>
      </c>
      <c r="G4" s="10">
        <v>102.85</v>
      </c>
      <c r="H4" s="10">
        <f t="shared" ref="H4:H7" ca="1" si="1">IF(G4=0,"",F4-G4)</f>
        <v>-54.849999999999994</v>
      </c>
      <c r="I4" s="10">
        <f t="shared" ref="I4:I7" ca="1" si="2">DAY(TODAY())*B4</f>
        <v>80</v>
      </c>
      <c r="J4" s="10">
        <v>102.85</v>
      </c>
      <c r="K4" s="10">
        <f t="shared" ref="K4:K7" ca="1" si="3">IF(J4=0,0,I4-J4)</f>
        <v>-22.849999999999994</v>
      </c>
      <c r="L4" s="10">
        <f ca="1">B4*(MIN(TODAY(),DATE(YEAR(TODAY()),6,30))-DATE(YEAR(TODAY()),1,1)+1)</f>
        <v>1448</v>
      </c>
      <c r="M4" s="10">
        <v>0</v>
      </c>
      <c r="N4" s="10" t="str">
        <f>IF(M4=0,"",L4-M4)</f>
        <v/>
      </c>
      <c r="O4" s="10">
        <f ca="1">IF(TODAY()&lt;DATE(YEAR(TODAY()),7,1),0,B4*(MIN(TODAY(),DATE(YEAR(TODAY()),12,31))-DATE(YEAR(TODAY()),7,1)+1))</f>
        <v>816</v>
      </c>
      <c r="P4" s="10">
        <v>102.85</v>
      </c>
      <c r="Q4" s="10">
        <f ca="1">IF(P4=0,"",O4-P4)</f>
        <v>713.15</v>
      </c>
      <c r="R4" s="10">
        <f ca="1">B4*(TODAY()-DATE(YEAR(TODAY()),1,1)+1)</f>
        <v>2264</v>
      </c>
      <c r="S4" s="10">
        <v>102.85</v>
      </c>
      <c r="T4" s="10">
        <f ca="1">IF(S4=0,"",R4-S4)</f>
        <v>2161.15</v>
      </c>
    </row>
    <row r="5" spans="1:20" ht="14.25" x14ac:dyDescent="0.2">
      <c r="A5" s="12" t="s">
        <v>14</v>
      </c>
      <c r="B5" s="13">
        <v>8</v>
      </c>
      <c r="C5" s="14" t="s">
        <v>15</v>
      </c>
      <c r="D5" s="13">
        <v>0</v>
      </c>
      <c r="E5" s="13" t="str">
        <f t="shared" si="0"/>
        <v/>
      </c>
      <c r="F5" s="13">
        <f ca="1">B5*WEEKDAY(TODAY(),2)</f>
        <v>48</v>
      </c>
      <c r="G5" s="13">
        <v>0.13</v>
      </c>
      <c r="H5" s="15">
        <f ca="1">H4</f>
        <v>-54.849999999999994</v>
      </c>
      <c r="I5" s="10">
        <f t="shared" ca="1" si="2"/>
        <v>80</v>
      </c>
      <c r="J5" s="13">
        <v>0.13</v>
      </c>
      <c r="K5" s="13">
        <f ca="1">K4</f>
        <v>-22.849999999999994</v>
      </c>
      <c r="L5" s="13">
        <f ca="1">B5*(MIN(TODAY(),DATE(YEAR(TODAY()),6,30))-DATE(YEAR(TODAY()),1,1)+1)</f>
        <v>1448</v>
      </c>
      <c r="M5" s="13">
        <v>0</v>
      </c>
      <c r="N5" s="13" t="str">
        <f>N4</f>
        <v/>
      </c>
      <c r="O5" s="13">
        <f ca="1">IF(TODAY()&lt;DATE(YEAR(TODAY()),7,1),0,B5*(MIN(TODAY(),DATE(YEAR(TODAY()),12,31))-DATE(YEAR(TODAY()),7,1)+1))</f>
        <v>816</v>
      </c>
      <c r="P5" s="13">
        <v>0.13</v>
      </c>
      <c r="Q5" s="13">
        <f ca="1">Q4</f>
        <v>713.15</v>
      </c>
      <c r="R5" s="13">
        <f ca="1">B5*(TODAY()-DATE(YEAR(TODAY()),1,1)+1)</f>
        <v>2264</v>
      </c>
      <c r="S5" s="13">
        <v>0.13</v>
      </c>
      <c r="T5" s="13">
        <f ca="1">T4</f>
        <v>2161.15</v>
      </c>
    </row>
    <row r="6" spans="1:20" ht="14.25" x14ac:dyDescent="0.2">
      <c r="A6" s="12" t="s">
        <v>14</v>
      </c>
      <c r="B6" s="13">
        <v>8</v>
      </c>
      <c r="C6" s="16" t="s">
        <v>16</v>
      </c>
      <c r="D6" s="13">
        <v>0</v>
      </c>
      <c r="E6" s="13" t="str">
        <f t="shared" si="0"/>
        <v/>
      </c>
      <c r="F6" s="13">
        <f ca="1">B6*WEEKDAY(TODAY(),2)</f>
        <v>48</v>
      </c>
      <c r="G6" s="13">
        <v>102.72</v>
      </c>
      <c r="H6" s="15">
        <f ca="1">H5</f>
        <v>-54.849999999999994</v>
      </c>
      <c r="I6" s="10">
        <f t="shared" ca="1" si="2"/>
        <v>80</v>
      </c>
      <c r="J6" s="13">
        <v>102.72</v>
      </c>
      <c r="K6" s="13">
        <f ca="1">K5</f>
        <v>-22.849999999999994</v>
      </c>
      <c r="L6" s="13">
        <f ca="1">B6*(MIN(TODAY(),DATE(YEAR(TODAY()),6,30))-DATE(YEAR(TODAY()),1,1)+1)</f>
        <v>1448</v>
      </c>
      <c r="M6" s="13">
        <v>0</v>
      </c>
      <c r="N6" s="13" t="str">
        <f>N5</f>
        <v/>
      </c>
      <c r="O6" s="13">
        <f ca="1">IF(TODAY()&lt;DATE(YEAR(TODAY()),7,1),0,B6*(MIN(TODAY(),DATE(YEAR(TODAY()),12,31))-DATE(YEAR(TODAY()),7,1)+1))</f>
        <v>816</v>
      </c>
      <c r="P6" s="13">
        <v>102.72</v>
      </c>
      <c r="Q6" s="13">
        <f ca="1">Q5</f>
        <v>713.15</v>
      </c>
      <c r="R6" s="13">
        <f ca="1">B6*(TODAY()-DATE(YEAR(TODAY()),1,1)+1)</f>
        <v>2264</v>
      </c>
      <c r="S6" s="13">
        <v>102.72</v>
      </c>
      <c r="T6" s="13">
        <f ca="1">T4</f>
        <v>2161.15</v>
      </c>
    </row>
    <row r="7" spans="1:20" ht="14.25" x14ac:dyDescent="0.2">
      <c r="A7" s="9" t="s">
        <v>17</v>
      </c>
      <c r="B7" s="10">
        <v>10</v>
      </c>
      <c r="C7" s="17" t="s">
        <v>18</v>
      </c>
      <c r="D7" s="10">
        <v>0</v>
      </c>
      <c r="E7" s="10" t="str">
        <f t="shared" si="0"/>
        <v/>
      </c>
      <c r="F7" s="10">
        <f ca="1">B7*WEEKDAY(TODAY(),2)</f>
        <v>60</v>
      </c>
      <c r="G7" s="10">
        <v>230.23</v>
      </c>
      <c r="H7" s="10">
        <f t="shared" ca="1" si="1"/>
        <v>-170.23</v>
      </c>
      <c r="I7" s="10">
        <f t="shared" ca="1" si="2"/>
        <v>100</v>
      </c>
      <c r="J7" s="10">
        <v>230.23</v>
      </c>
      <c r="K7" s="10">
        <f t="shared" ca="1" si="3"/>
        <v>-130.22999999999999</v>
      </c>
      <c r="L7" s="10">
        <f ca="1">B7*(MIN(TODAY(),DATE(YEAR(TODAY()),6,30))-DATE(YEAR(TODAY()),1,1)+1)</f>
        <v>1810</v>
      </c>
      <c r="M7" s="10">
        <v>0</v>
      </c>
      <c r="N7" s="10" t="str">
        <f>IF(M7=0,"",L7-M7)</f>
        <v/>
      </c>
      <c r="O7" s="10">
        <f ca="1">IF(TODAY()&lt;DATE(YEAR(TODAY()),7,1),0,B7*(MIN(TODAY(),DATE(YEAR(TODAY()),12,31))-DATE(YEAR(TODAY()),7,1)+1))</f>
        <v>1020</v>
      </c>
      <c r="P7" s="10">
        <v>230.23</v>
      </c>
      <c r="Q7" s="10">
        <f ca="1">IF(P7=0,"",O7-P7)</f>
        <v>789.77</v>
      </c>
      <c r="R7" s="10">
        <f ca="1">B7*(TODAY()-DATE(YEAR(TODAY()),1,1)+1)</f>
        <v>2830</v>
      </c>
      <c r="S7" s="10">
        <v>230.23</v>
      </c>
      <c r="T7" s="10">
        <f ca="1">IF(S7=0,"",R7-S7)</f>
        <v>2599.77</v>
      </c>
    </row>
  </sheetData>
  <mergeCells count="9">
    <mergeCell ref="L1:N1"/>
    <mergeCell ref="O1:Q1"/>
    <mergeCell ref="R1:T1"/>
    <mergeCell ref="A1:A2"/>
    <mergeCell ref="B1:B2"/>
    <mergeCell ref="C1:C2"/>
    <mergeCell ref="D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Ismail</dc:creator>
  <cp:lastModifiedBy>Muhammad Ismail</cp:lastModifiedBy>
  <dcterms:created xsi:type="dcterms:W3CDTF">2026-10-10T09:11:49Z</dcterms:created>
  <dcterms:modified xsi:type="dcterms:W3CDTF">2026-10-10T10:42:39Z</dcterms:modified>
</cp:coreProperties>
</file>